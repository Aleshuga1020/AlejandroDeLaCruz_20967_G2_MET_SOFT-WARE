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Universidad\Tercer Semestre\Metodología De Desarrollo Software\parcial 3\"/>
    </mc:Choice>
  </mc:AlternateContent>
  <xr:revisionPtr revIDLastSave="0" documentId="13_ncr:1_{0B1222F5-ACFC-4ACA-9616-D71BAC477223}" xr6:coauthVersionLast="47" xr6:coauthVersionMax="47" xr10:uidLastSave="{00000000-0000-0000-0000-000000000000}"/>
  <workbookProtection lockStructure="1"/>
  <bookViews>
    <workbookView xWindow="-120" yWindow="-120" windowWidth="20730" windowHeight="11040" activeTab="1" xr2:uid="{00000000-000D-0000-FFFF-FFFF00000000}"/>
  </bookViews>
  <sheets>
    <sheet name="KANBAN" sheetId="1" r:id="rId1"/>
    <sheet name="Datos" sheetId="2" r:id="rId2"/>
    <sheet name="Configura" sheetId="3" r:id="rId3"/>
    <sheet name="Tareas" sheetId="5" state="hidden" r:id="rId4"/>
    <sheet name="Formulas" sheetId="4" state="hidden" r:id="rId5"/>
    <sheet name="Idiomas" sheetId="6" state="hidden" r:id="rId6"/>
  </sheets>
  <definedNames>
    <definedName name="_xlnm._FilterDatabase" localSheetId="1" hidden="1">Datos!$A$1:$L$101</definedName>
    <definedName name="Archivo_Edita_Nombre">Configura!$B$23</definedName>
    <definedName name="Archivo_Nombre">IFERROR(Nombre_Archivo,Archivo_Edita_Nombre)</definedName>
    <definedName name="_xlnm.Print_Area" localSheetId="2">Configura!$A$1:$J$24</definedName>
    <definedName name="_xlnm.Print_Area" localSheetId="1">Datos!$A$1:$L$101</definedName>
    <definedName name="_xlnm.Print_Area" localSheetId="4">Formulas!$A$1:$AZ$199</definedName>
    <definedName name="_xlnm.Print_Area" localSheetId="5">Idiomas!$A$1:$G$33</definedName>
    <definedName name="_xlnm.Print_Area" localSheetId="0">KANBAN!$B$1:$T$41</definedName>
    <definedName name="_xlnm.Print_Area" localSheetId="3">Tareas!$A$1:$P$101</definedName>
    <definedName name="DatosKanban">Datos!$A$2:$L$101</definedName>
    <definedName name="Fecha_Hoy">TODAY()</definedName>
    <definedName name="ListaCriticidad">Configura!$D$9:$D$11</definedName>
    <definedName name="ListaEstados">Configura!$B$9:$B$18</definedName>
    <definedName name="ListaUsuarios">Configura!$F$9:$F$23</definedName>
    <definedName name="miAsignado">KANBAN!$J$2</definedName>
    <definedName name="miCabeceraFinal">Datos!$H$1</definedName>
    <definedName name="miCabeceraInicio">Datos!$F$1</definedName>
    <definedName name="miCabeceraPrevisto">Datos!$G$1</definedName>
    <definedName name="miCabeceraRetraso">Datos!$J$1</definedName>
    <definedName name="miCabeceraTarea">Datos!$D$1</definedName>
    <definedName name="miCriticidad">IFERROR(MATCH(KANBAN!$O$2,Configura!$D$9:$D$11,0),"")</definedName>
    <definedName name="miDuración">KANBAN!$AI$2</definedName>
    <definedName name="miEstadoFinal">Configura!$B$20</definedName>
    <definedName name="miFechaInicio">KANBAN!$T$2</definedName>
    <definedName name="miIdioma">Configura!$B$5</definedName>
    <definedName name="miNúmEstadoFinal">IF(miEstadoFinal="",COUNTA(ListaEstados),MATCH(miEstadoFinal,ListaEstados,0))</definedName>
    <definedName name="miNúmLíneas">KANBAN!$F$2</definedName>
    <definedName name="miOrdenTarjeta">Configura!$I$9:$I$16</definedName>
    <definedName name="miRetraso">KANBAN!$AD$2</definedName>
    <definedName name="misAsignados">Datos!$K$2:$K$101</definedName>
    <definedName name="misCriticidades">Tareas!$C$2:$C$101</definedName>
    <definedName name="misDatosTareas">Datos!$D$1:$K$1</definedName>
    <definedName name="misEstados">Tareas!$B$2:$B$101</definedName>
    <definedName name="misFechasInicio">Datos!$F$2:$F$101</definedName>
    <definedName name="misFiltros">Tareas!$D$2:$D$101</definedName>
    <definedName name="misIdiomas">Idiomas!$B$1:INDEX(TablaIdiomas[#Headers],1,COUNTA(TablaIdiomas[#Headers]))</definedName>
    <definedName name="misLíneas">COUNTIF(Datos!$1:$1,"?*")+IF(ISNUMBER(miNúmLíneas),miNúmLíneas,1)-9</definedName>
    <definedName name="miTexto">KANBAN!$Y$2</definedName>
    <definedName name="Nombre_Archivo">MID(Nombre_Ruta,FIND("[",Nombre_Ruta)+1,FIND("]",Nombre_Ruta)-FIND("[",Nombre_Ruta)-1)</definedName>
    <definedName name="Nombre_Hoja">MID(Nombre_Ruta,FIND("]",Nombre_Ruta,1)+1,100)</definedName>
    <definedName name="Nombre_Ruta">CELL("nombrearchivo",!$A$1)</definedName>
    <definedName name="_xlnm.Print_Titles" localSheetId="2">Configura!$1:$8</definedName>
    <definedName name="_xlnm.Print_Titles" localSheetId="1">Datos!$1:$1</definedName>
    <definedName name="_xlnm.Print_Titles" localSheetId="4">Formulas!$1:$1</definedName>
    <definedName name="_xlnm.Print_Titles" localSheetId="5">Idiomas!$1:$1</definedName>
    <definedName name="_xlnm.Print_Titles" localSheetId="0">KANBAN!$1:$4</definedName>
    <definedName name="_xlnm.Print_Titles" localSheetId="3">Tareas!$1:$1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3" i="2" l="1"/>
  <c r="J101" i="2" a="1"/>
  <c r="J101" i="2" s="1"/>
  <c r="I101" i="2"/>
  <c r="J100" i="2" a="1"/>
  <c r="J100" i="2" s="1"/>
  <c r="I100" i="2"/>
  <c r="J99" i="2" a="1"/>
  <c r="J99" i="2" s="1"/>
  <c r="I99" i="2"/>
  <c r="J98" i="2" a="1"/>
  <c r="J98" i="2" s="1"/>
  <c r="I98" i="2"/>
  <c r="J97" i="2" a="1"/>
  <c r="J97" i="2" s="1"/>
  <c r="I97" i="2"/>
  <c r="J96" i="2" a="1"/>
  <c r="J96" i="2" s="1"/>
  <c r="I96" i="2"/>
  <c r="J95" i="2" a="1"/>
  <c r="J95" i="2" s="1"/>
  <c r="I95" i="2"/>
  <c r="J94" i="2" a="1"/>
  <c r="J94" i="2" s="1"/>
  <c r="I94" i="2"/>
  <c r="J93" i="2" a="1"/>
  <c r="J93" i="2" s="1"/>
  <c r="I93" i="2"/>
  <c r="J92" i="2" a="1"/>
  <c r="J92" i="2" s="1"/>
  <c r="I92" i="2"/>
  <c r="J91" i="2" a="1"/>
  <c r="J91" i="2" s="1"/>
  <c r="I91" i="2"/>
  <c r="J90" i="2" a="1"/>
  <c r="J90" i="2" s="1"/>
  <c r="I90" i="2"/>
  <c r="J89" i="2" a="1"/>
  <c r="J89" i="2" s="1"/>
  <c r="I89" i="2"/>
  <c r="J88" i="2" a="1"/>
  <c r="J88" i="2" s="1"/>
  <c r="I88" i="2"/>
  <c r="J87" i="2" a="1"/>
  <c r="J87" i="2" s="1"/>
  <c r="I87" i="2"/>
  <c r="J86" i="2" a="1"/>
  <c r="J86" i="2" s="1"/>
  <c r="I86" i="2"/>
  <c r="J85" i="2" a="1"/>
  <c r="J85" i="2" s="1"/>
  <c r="I85" i="2"/>
  <c r="J84" i="2" a="1"/>
  <c r="J84" i="2" s="1"/>
  <c r="I84" i="2"/>
  <c r="J83" i="2" a="1"/>
  <c r="J83" i="2" s="1"/>
  <c r="I83" i="2"/>
  <c r="J82" i="2" a="1"/>
  <c r="J82" i="2" s="1"/>
  <c r="I82" i="2"/>
  <c r="J81" i="2" a="1"/>
  <c r="J81" i="2" s="1"/>
  <c r="I81" i="2"/>
  <c r="J80" i="2" a="1"/>
  <c r="J80" i="2" s="1"/>
  <c r="I80" i="2"/>
  <c r="J79" i="2" a="1"/>
  <c r="J79" i="2" s="1"/>
  <c r="I79" i="2"/>
  <c r="J78" i="2" a="1"/>
  <c r="J78" i="2" s="1"/>
  <c r="I78" i="2"/>
  <c r="J77" i="2" a="1"/>
  <c r="J77" i="2" s="1"/>
  <c r="I77" i="2"/>
  <c r="J76" i="2" a="1"/>
  <c r="J76" i="2" s="1"/>
  <c r="I76" i="2"/>
  <c r="J75" i="2" a="1"/>
  <c r="J75" i="2" s="1"/>
  <c r="I75" i="2"/>
  <c r="J74" i="2" a="1"/>
  <c r="J74" i="2" s="1"/>
  <c r="I74" i="2"/>
  <c r="J73" i="2" a="1"/>
  <c r="J73" i="2" s="1"/>
  <c r="I73" i="2"/>
  <c r="J72" i="2" a="1"/>
  <c r="J72" i="2" s="1"/>
  <c r="I72" i="2"/>
  <c r="J71" i="2" a="1"/>
  <c r="J71" i="2" s="1"/>
  <c r="I71" i="2"/>
  <c r="J70" i="2" a="1"/>
  <c r="J70" i="2" s="1"/>
  <c r="I70" i="2"/>
  <c r="J69" i="2" a="1"/>
  <c r="J69" i="2" s="1"/>
  <c r="I69" i="2"/>
  <c r="J68" i="2" a="1"/>
  <c r="J68" i="2" s="1"/>
  <c r="I68" i="2"/>
  <c r="J67" i="2" a="1"/>
  <c r="J67" i="2" s="1"/>
  <c r="I67" i="2"/>
  <c r="J66" i="2" a="1"/>
  <c r="J66" i="2" s="1"/>
  <c r="I66" i="2"/>
  <c r="J65" i="2" a="1"/>
  <c r="J65" i="2" s="1"/>
  <c r="I65" i="2"/>
  <c r="J64" i="2" a="1"/>
  <c r="J64" i="2" s="1"/>
  <c r="I64" i="2"/>
  <c r="J63" i="2" a="1"/>
  <c r="J63" i="2" s="1"/>
  <c r="I63" i="2"/>
  <c r="J62" i="2" a="1"/>
  <c r="J62" i="2" s="1"/>
  <c r="I62" i="2"/>
  <c r="J61" i="2" a="1"/>
  <c r="J61" i="2" s="1"/>
  <c r="I61" i="2"/>
  <c r="J60" i="2" a="1"/>
  <c r="J60" i="2" s="1"/>
  <c r="I60" i="2"/>
  <c r="J59" i="2" a="1"/>
  <c r="J59" i="2" s="1"/>
  <c r="I59" i="2"/>
  <c r="J58" i="2" a="1"/>
  <c r="J58" i="2" s="1"/>
  <c r="I58" i="2"/>
  <c r="J57" i="2" a="1"/>
  <c r="J57" i="2" s="1"/>
  <c r="I57" i="2"/>
  <c r="J56" i="2" a="1"/>
  <c r="J56" i="2" s="1"/>
  <c r="I56" i="2"/>
  <c r="J55" i="2" a="1"/>
  <c r="J55" i="2" s="1"/>
  <c r="I55" i="2"/>
  <c r="J54" i="2" a="1"/>
  <c r="J54" i="2" s="1"/>
  <c r="I54" i="2"/>
  <c r="J53" i="2" a="1"/>
  <c r="J53" i="2" s="1"/>
  <c r="I53" i="2"/>
  <c r="J52" i="2" a="1"/>
  <c r="J52" i="2" s="1"/>
  <c r="I52" i="2"/>
  <c r="AX201" i="1" l="1" a="1"/>
  <c r="AX201" i="1" s="1"/>
  <c r="AS201" i="1" a="1"/>
  <c r="AS201" i="1" s="1"/>
  <c r="AN201" i="1" a="1"/>
  <c r="AN201" i="1" s="1"/>
  <c r="AI201" i="1" a="1"/>
  <c r="AI201" i="1" s="1"/>
  <c r="AD201" i="1" a="1"/>
  <c r="AD201" i="1" s="1"/>
  <c r="Y201" i="1" a="1"/>
  <c r="Y201" i="1" s="1"/>
  <c r="T201" i="1" a="1"/>
  <c r="T201" i="1" s="1"/>
  <c r="O201" i="1" a="1"/>
  <c r="O201" i="1" s="1"/>
  <c r="J201" i="1" a="1"/>
  <c r="J201" i="1" s="1"/>
  <c r="E201" i="1" a="1"/>
  <c r="E201" i="1" s="1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" i="6"/>
  <c r="A33" i="6" s="1" a="1"/>
  <c r="A33" i="6" s="1"/>
  <c r="AH2" i="1" s="1"/>
  <c r="A2" i="6" l="1" a="1"/>
  <c r="A2" i="6" s="1"/>
  <c r="B2" i="3" s="1"/>
  <c r="B2" i="1" s="1"/>
  <c r="A32" i="6" a="1"/>
  <c r="A32" i="6" s="1"/>
  <c r="H19" i="3" s="1"/>
  <c r="A31" i="6" a="1"/>
  <c r="A31" i="6" s="1"/>
  <c r="H18" i="3" s="1"/>
  <c r="A30" i="6" a="1"/>
  <c r="A30" i="6" s="1"/>
  <c r="H8" i="3" s="1"/>
  <c r="A24" i="6" a="1"/>
  <c r="A24" i="6" s="1"/>
  <c r="A25" i="6" a="1"/>
  <c r="A25" i="6" s="1"/>
  <c r="N2" i="1" s="1"/>
  <c r="A23" i="6" a="1"/>
  <c r="A23" i="6" s="1"/>
  <c r="G2" i="1" s="1"/>
  <c r="A29" i="6" a="1"/>
  <c r="A29" i="6" s="1"/>
  <c r="A28" i="6" a="1"/>
  <c r="A28" i="6" s="1"/>
  <c r="A26" i="6" a="1"/>
  <c r="A26" i="6" s="1"/>
  <c r="S2" i="1" s="1"/>
  <c r="A22" i="6" a="1"/>
  <c r="A22" i="6" s="1"/>
  <c r="E2" i="1" s="1"/>
  <c r="A27" i="6" a="1"/>
  <c r="A27" i="6" s="1"/>
  <c r="X2" i="1" s="1"/>
  <c r="A21" i="6" a="1"/>
  <c r="A21" i="6" s="1"/>
  <c r="O1" i="5" s="1"/>
  <c r="A20" i="6" a="1"/>
  <c r="A20" i="6" s="1"/>
  <c r="D1" i="5" s="1"/>
  <c r="A14" i="6" a="1"/>
  <c r="A14" i="6" s="1"/>
  <c r="A13" i="6" a="1"/>
  <c r="A13" i="6" s="1"/>
  <c r="A16" i="6" a="1"/>
  <c r="A16" i="6" s="1"/>
  <c r="A17" i="6" a="1"/>
  <c r="A17" i="6" s="1"/>
  <c r="A15" i="6" a="1"/>
  <c r="A15" i="6" s="1"/>
  <c r="A19" i="6" a="1"/>
  <c r="A19" i="6" s="1"/>
  <c r="A18" i="6" a="1"/>
  <c r="A18" i="6" s="1"/>
  <c r="A12" i="6" a="1"/>
  <c r="A12" i="6" s="1"/>
  <c r="F2" i="3"/>
  <c r="A9" i="6" a="1"/>
  <c r="A9" i="6" s="1"/>
  <c r="F8" i="3" s="1"/>
  <c r="A6" i="6" a="1"/>
  <c r="A6" i="6" s="1"/>
  <c r="A5" i="6" a="1"/>
  <c r="A5" i="6" s="1"/>
  <c r="A11" i="6" a="1"/>
  <c r="A11" i="6" s="1"/>
  <c r="B22" i="3" s="1"/>
  <c r="A8" i="6" a="1"/>
  <c r="A8" i="6" s="1"/>
  <c r="C1" i="5" s="1"/>
  <c r="A4" i="6" a="1"/>
  <c r="A4" i="6" s="1"/>
  <c r="H17" i="3" s="1"/>
  <c r="A10" i="6" a="1"/>
  <c r="A10" i="6" s="1"/>
  <c r="B19" i="3" s="1"/>
  <c r="A7" i="6" a="1"/>
  <c r="A7" i="6" s="1"/>
  <c r="B1" i="5" s="1"/>
  <c r="A3" i="6" a="1"/>
  <c r="A3" i="6" s="1"/>
  <c r="B4" i="3" s="1"/>
  <c r="C101" i="5"/>
  <c r="D101" i="5" s="1" a="1"/>
  <c r="D101" i="5" s="1"/>
  <c r="B101" i="5"/>
  <c r="C100" i="5"/>
  <c r="D100" i="5" s="1" a="1"/>
  <c r="D100" i="5" s="1"/>
  <c r="B100" i="5"/>
  <c r="C99" i="5"/>
  <c r="D99" i="5" s="1" a="1"/>
  <c r="D99" i="5" s="1"/>
  <c r="B99" i="5"/>
  <c r="C98" i="5"/>
  <c r="D98" i="5" s="1" a="1"/>
  <c r="D98" i="5" s="1"/>
  <c r="B98" i="5"/>
  <c r="C97" i="5"/>
  <c r="D97" i="5" s="1" a="1"/>
  <c r="D97" i="5" s="1"/>
  <c r="B97" i="5"/>
  <c r="C96" i="5"/>
  <c r="D96" i="5" s="1" a="1"/>
  <c r="D96" i="5" s="1"/>
  <c r="B96" i="5"/>
  <c r="C95" i="5"/>
  <c r="D95" i="5" s="1" a="1"/>
  <c r="D95" i="5" s="1"/>
  <c r="B95" i="5"/>
  <c r="C94" i="5"/>
  <c r="D94" i="5" s="1" a="1"/>
  <c r="D94" i="5" s="1"/>
  <c r="B94" i="5"/>
  <c r="C93" i="5"/>
  <c r="D93" i="5" s="1" a="1"/>
  <c r="D93" i="5" s="1"/>
  <c r="B93" i="5"/>
  <c r="C92" i="5"/>
  <c r="D92" i="5" s="1" a="1"/>
  <c r="D92" i="5" s="1"/>
  <c r="B92" i="5"/>
  <c r="C91" i="5"/>
  <c r="D91" i="5" s="1" a="1"/>
  <c r="D91" i="5" s="1"/>
  <c r="B91" i="5"/>
  <c r="C90" i="5"/>
  <c r="D90" i="5" s="1" a="1"/>
  <c r="D90" i="5" s="1"/>
  <c r="B90" i="5"/>
  <c r="C89" i="5"/>
  <c r="D89" i="5" s="1" a="1"/>
  <c r="D89" i="5" s="1"/>
  <c r="B89" i="5"/>
  <c r="C88" i="5"/>
  <c r="D88" i="5" s="1" a="1"/>
  <c r="D88" i="5" s="1"/>
  <c r="B88" i="5"/>
  <c r="C87" i="5"/>
  <c r="D87" i="5" s="1" a="1"/>
  <c r="D87" i="5" s="1"/>
  <c r="B87" i="5"/>
  <c r="C86" i="5"/>
  <c r="D86" i="5" s="1" a="1"/>
  <c r="D86" i="5" s="1"/>
  <c r="B86" i="5"/>
  <c r="C85" i="5"/>
  <c r="B85" i="5"/>
  <c r="C84" i="5"/>
  <c r="D84" i="5" s="1" a="1"/>
  <c r="D84" i="5" s="1"/>
  <c r="B84" i="5"/>
  <c r="C83" i="5"/>
  <c r="D83" i="5" s="1" a="1"/>
  <c r="D83" i="5" s="1"/>
  <c r="B83" i="5"/>
  <c r="C82" i="5"/>
  <c r="D82" i="5" s="1" a="1"/>
  <c r="D82" i="5" s="1"/>
  <c r="B82" i="5"/>
  <c r="C81" i="5"/>
  <c r="D81" i="5" s="1" a="1"/>
  <c r="D81" i="5" s="1"/>
  <c r="B81" i="5"/>
  <c r="C80" i="5"/>
  <c r="D80" i="5" s="1" a="1"/>
  <c r="D80" i="5" s="1"/>
  <c r="B80" i="5"/>
  <c r="C79" i="5"/>
  <c r="D79" i="5" s="1" a="1"/>
  <c r="D79" i="5" s="1"/>
  <c r="B79" i="5"/>
  <c r="C78" i="5"/>
  <c r="D78" i="5" s="1" a="1"/>
  <c r="D78" i="5" s="1"/>
  <c r="B78" i="5"/>
  <c r="C77" i="5"/>
  <c r="D77" i="5" s="1" a="1"/>
  <c r="D77" i="5" s="1"/>
  <c r="B77" i="5"/>
  <c r="C76" i="5"/>
  <c r="D76" i="5" s="1" a="1"/>
  <c r="D76" i="5" s="1"/>
  <c r="B76" i="5"/>
  <c r="C75" i="5"/>
  <c r="D75" i="5" s="1" a="1"/>
  <c r="D75" i="5" s="1"/>
  <c r="B75" i="5"/>
  <c r="C74" i="5"/>
  <c r="D74" i="5" s="1" a="1"/>
  <c r="D74" i="5" s="1"/>
  <c r="B74" i="5"/>
  <c r="C73" i="5"/>
  <c r="D73" i="5" s="1" a="1"/>
  <c r="D73" i="5" s="1"/>
  <c r="B73" i="5"/>
  <c r="C72" i="5"/>
  <c r="D72" i="5" s="1" a="1"/>
  <c r="D72" i="5" s="1"/>
  <c r="B72" i="5"/>
  <c r="C71" i="5"/>
  <c r="D71" i="5" s="1" a="1"/>
  <c r="D71" i="5" s="1"/>
  <c r="B71" i="5"/>
  <c r="C70" i="5"/>
  <c r="D70" i="5" s="1" a="1"/>
  <c r="D70" i="5" s="1"/>
  <c r="B70" i="5"/>
  <c r="C69" i="5"/>
  <c r="D69" i="5" s="1" a="1"/>
  <c r="D69" i="5" s="1"/>
  <c r="B69" i="5"/>
  <c r="C68" i="5"/>
  <c r="D68" i="5" s="1" a="1"/>
  <c r="D68" i="5" s="1"/>
  <c r="B68" i="5"/>
  <c r="C67" i="5"/>
  <c r="D67" i="5" s="1" a="1"/>
  <c r="D67" i="5" s="1"/>
  <c r="B67" i="5"/>
  <c r="C66" i="5"/>
  <c r="D66" i="5" s="1" a="1"/>
  <c r="D66" i="5" s="1"/>
  <c r="B66" i="5"/>
  <c r="C65" i="5"/>
  <c r="D65" i="5" s="1" a="1"/>
  <c r="D65" i="5" s="1"/>
  <c r="B65" i="5"/>
  <c r="C64" i="5"/>
  <c r="D64" i="5" s="1" a="1"/>
  <c r="D64" i="5" s="1"/>
  <c r="B64" i="5"/>
  <c r="C63" i="5"/>
  <c r="D63" i="5" s="1" a="1"/>
  <c r="D63" i="5" s="1"/>
  <c r="B63" i="5"/>
  <c r="C62" i="5"/>
  <c r="D62" i="5" s="1" a="1"/>
  <c r="D62" i="5" s="1"/>
  <c r="B62" i="5"/>
  <c r="C61" i="5"/>
  <c r="D61" i="5" s="1" a="1"/>
  <c r="D61" i="5" s="1"/>
  <c r="B61" i="5"/>
  <c r="C60" i="5"/>
  <c r="D60" i="5" s="1" a="1"/>
  <c r="D60" i="5" s="1"/>
  <c r="B60" i="5"/>
  <c r="C59" i="5"/>
  <c r="D59" i="5" s="1" a="1"/>
  <c r="D59" i="5" s="1"/>
  <c r="B59" i="5"/>
  <c r="C58" i="5"/>
  <c r="D58" i="5" s="1" a="1"/>
  <c r="D58" i="5" s="1"/>
  <c r="B58" i="5"/>
  <c r="C57" i="5"/>
  <c r="D57" i="5" s="1" a="1"/>
  <c r="D57" i="5" s="1"/>
  <c r="B57" i="5"/>
  <c r="C56" i="5"/>
  <c r="D56" i="5" s="1" a="1"/>
  <c r="D56" i="5" s="1"/>
  <c r="B56" i="5"/>
  <c r="C55" i="5"/>
  <c r="D55" i="5" s="1" a="1"/>
  <c r="D55" i="5" s="1"/>
  <c r="B55" i="5"/>
  <c r="C54" i="5"/>
  <c r="D54" i="5" s="1" a="1"/>
  <c r="D54" i="5" s="1"/>
  <c r="B54" i="5"/>
  <c r="C53" i="5"/>
  <c r="D53" i="5" s="1" a="1"/>
  <c r="D53" i="5" s="1"/>
  <c r="B53" i="5"/>
  <c r="C52" i="5"/>
  <c r="D52" i="5" s="1" a="1"/>
  <c r="D52" i="5" s="1"/>
  <c r="B52" i="5"/>
  <c r="C51" i="5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AY1" i="4"/>
  <c r="AT1" i="4"/>
  <c r="AO1" i="4"/>
  <c r="AJ1" i="4"/>
  <c r="C1" i="4" a="1"/>
  <c r="C1" i="4" s="1"/>
  <c r="AE1" i="4"/>
  <c r="Z1" i="4"/>
  <c r="U1" i="4"/>
  <c r="P1" i="4"/>
  <c r="G1" i="4"/>
  <c r="H1" i="4" s="1" a="1"/>
  <c r="H1" i="4" s="1"/>
  <c r="G4" i="1"/>
  <c r="K1" i="4"/>
  <c r="F1" i="4"/>
  <c r="AJ2" i="1" l="1"/>
  <c r="J30" i="2" a="1"/>
  <c r="J30" i="2" s="1"/>
  <c r="I30" i="2"/>
  <c r="H9" i="3"/>
  <c r="A85" i="5"/>
  <c r="AC2" i="1"/>
  <c r="AE2" i="1"/>
  <c r="J51" i="2" a="1"/>
  <c r="J51" i="2" s="1"/>
  <c r="I46" i="2"/>
  <c r="J40" i="2" a="1"/>
  <c r="J40" i="2" s="1"/>
  <c r="I35" i="2"/>
  <c r="I28" i="2"/>
  <c r="I23" i="2"/>
  <c r="I10" i="2"/>
  <c r="I15" i="2"/>
  <c r="I5" i="2"/>
  <c r="J41" i="2" a="1"/>
  <c r="J41" i="2" s="1"/>
  <c r="J35" i="2" a="1"/>
  <c r="J35" i="2" s="1"/>
  <c r="I51" i="2"/>
  <c r="J45" i="2" a="1"/>
  <c r="J45" i="2" s="1"/>
  <c r="I40" i="2"/>
  <c r="J34" i="2" a="1"/>
  <c r="J34" i="2" s="1"/>
  <c r="J27" i="2" a="1"/>
  <c r="J27" i="2" s="1"/>
  <c r="J22" i="2" a="1"/>
  <c r="J22" i="2" s="1"/>
  <c r="J14" i="2" a="1"/>
  <c r="J14" i="2" s="1"/>
  <c r="J16" i="2" a="1"/>
  <c r="J16" i="2" s="1"/>
  <c r="J3" i="2" a="1"/>
  <c r="J3" i="2" s="1"/>
  <c r="I36" i="2"/>
  <c r="J5" i="2" a="1"/>
  <c r="J5" i="2" s="1"/>
  <c r="J50" i="2" a="1"/>
  <c r="J50" i="2" s="1"/>
  <c r="I45" i="2"/>
  <c r="I34" i="2"/>
  <c r="I27" i="2"/>
  <c r="I22" i="2"/>
  <c r="I14" i="2"/>
  <c r="I16" i="2"/>
  <c r="I3" i="2"/>
  <c r="J12" i="2" a="1"/>
  <c r="J12" i="2" s="1"/>
  <c r="J11" i="2" a="1"/>
  <c r="J11" i="2" s="1"/>
  <c r="I9" i="2"/>
  <c r="J15" i="2" a="1"/>
  <c r="J15" i="2" s="1"/>
  <c r="I50" i="2"/>
  <c r="J44" i="2" a="1"/>
  <c r="J44" i="2" s="1"/>
  <c r="J39" i="2" a="1"/>
  <c r="J39" i="2" s="1"/>
  <c r="J33" i="2" a="1"/>
  <c r="J33" i="2" s="1"/>
  <c r="J26" i="2" a="1"/>
  <c r="J26" i="2" s="1"/>
  <c r="J21" i="2" a="1"/>
  <c r="J21" i="2" s="1"/>
  <c r="J7" i="2" a="1"/>
  <c r="J7" i="2" s="1"/>
  <c r="J2" i="2" a="1"/>
  <c r="J2" i="2" s="1"/>
  <c r="J23" i="2" a="1"/>
  <c r="J23" i="2" s="1"/>
  <c r="J49" i="2" a="1"/>
  <c r="J49" i="2" s="1"/>
  <c r="I44" i="2"/>
  <c r="I39" i="2"/>
  <c r="I26" i="2"/>
  <c r="I21" i="2"/>
  <c r="I7" i="2"/>
  <c r="I12" i="2"/>
  <c r="I2" i="2"/>
  <c r="J20" i="2" a="1"/>
  <c r="J20" i="2" s="1"/>
  <c r="I47" i="2"/>
  <c r="I49" i="2"/>
  <c r="J38" i="2" a="1"/>
  <c r="J38" i="2" s="1"/>
  <c r="J32" i="2" a="1"/>
  <c r="J32" i="2" s="1"/>
  <c r="J4" i="2" a="1"/>
  <c r="J4" i="2" s="1"/>
  <c r="J18" i="2" a="1"/>
  <c r="J18" i="2" s="1"/>
  <c r="I13" i="2"/>
  <c r="J48" i="2" a="1"/>
  <c r="J48" i="2" s="1"/>
  <c r="J43" i="2" a="1"/>
  <c r="J43" i="2" s="1"/>
  <c r="I38" i="2"/>
  <c r="I32" i="2"/>
  <c r="I4" i="2"/>
  <c r="I20" i="2"/>
  <c r="I18" i="2"/>
  <c r="I11" i="2"/>
  <c r="J6" i="2" a="1"/>
  <c r="J6" i="2" s="1"/>
  <c r="J13" i="2" a="1"/>
  <c r="J13" i="2" s="1"/>
  <c r="I29" i="2"/>
  <c r="J28" i="2" a="1"/>
  <c r="J28" i="2" s="1"/>
  <c r="I48" i="2"/>
  <c r="I43" i="2"/>
  <c r="J37" i="2" a="1"/>
  <c r="J37" i="2" s="1"/>
  <c r="J31" i="2" a="1"/>
  <c r="J31" i="2" s="1"/>
  <c r="J25" i="2" a="1"/>
  <c r="J25" i="2" s="1"/>
  <c r="J19" i="2" a="1"/>
  <c r="J19" i="2" s="1"/>
  <c r="J17" i="2" a="1"/>
  <c r="J17" i="2" s="1"/>
  <c r="J9" i="2" a="1"/>
  <c r="J9" i="2" s="1"/>
  <c r="I24" i="2"/>
  <c r="J10" i="2" a="1"/>
  <c r="J10" i="2" s="1"/>
  <c r="J42" i="2" a="1"/>
  <c r="J42" i="2" s="1"/>
  <c r="I37" i="2"/>
  <c r="I31" i="2"/>
  <c r="I25" i="2"/>
  <c r="I19" i="2"/>
  <c r="I17" i="2"/>
  <c r="I6" i="2"/>
  <c r="J29" i="2" a="1"/>
  <c r="J29" i="2" s="1"/>
  <c r="I8" i="2"/>
  <c r="I41" i="2"/>
  <c r="J47" i="2" a="1"/>
  <c r="J47" i="2" s="1"/>
  <c r="I42" i="2"/>
  <c r="J36" i="2" a="1"/>
  <c r="J36" i="2" s="1"/>
  <c r="J24" i="2" a="1"/>
  <c r="J24" i="2" s="1"/>
  <c r="J8" i="2" a="1"/>
  <c r="J8" i="2" s="1"/>
  <c r="J46" i="2" a="1"/>
  <c r="J46" i="2" s="1"/>
  <c r="F1" i="2"/>
  <c r="H11" i="3"/>
  <c r="J1" i="2"/>
  <c r="H15" i="3"/>
  <c r="E1" i="2"/>
  <c r="H10" i="3"/>
  <c r="K1" i="2"/>
  <c r="H16" i="3"/>
  <c r="G1" i="2"/>
  <c r="H12" i="3"/>
  <c r="I1" i="2"/>
  <c r="H14" i="3"/>
  <c r="H1" i="2"/>
  <c r="H13" i="3"/>
  <c r="B6" i="3"/>
  <c r="D1" i="2"/>
  <c r="A1" i="5"/>
  <c r="A13" i="5"/>
  <c r="A25" i="5"/>
  <c r="A37" i="5"/>
  <c r="A49" i="5"/>
  <c r="A32" i="5"/>
  <c r="A9" i="5"/>
  <c r="A2" i="5"/>
  <c r="A14" i="5"/>
  <c r="A26" i="5"/>
  <c r="A38" i="5"/>
  <c r="A50" i="5"/>
  <c r="A3" i="5"/>
  <c r="A15" i="5"/>
  <c r="A27" i="5"/>
  <c r="A39" i="5"/>
  <c r="A51" i="5"/>
  <c r="A44" i="5"/>
  <c r="A33" i="5"/>
  <c r="A22" i="5"/>
  <c r="A24" i="5"/>
  <c r="A4" i="5"/>
  <c r="A16" i="5"/>
  <c r="A28" i="5"/>
  <c r="A40" i="5"/>
  <c r="A52" i="5"/>
  <c r="A19" i="5"/>
  <c r="A20" i="5"/>
  <c r="A45" i="5"/>
  <c r="A46" i="5"/>
  <c r="A11" i="5"/>
  <c r="A47" i="5"/>
  <c r="A12" i="5"/>
  <c r="A5" i="5"/>
  <c r="A17" i="5"/>
  <c r="A29" i="5"/>
  <c r="A41" i="5"/>
  <c r="A31" i="5"/>
  <c r="A8" i="5"/>
  <c r="A48" i="5"/>
  <c r="A6" i="5"/>
  <c r="A18" i="5"/>
  <c r="A30" i="5"/>
  <c r="A42" i="5"/>
  <c r="A43" i="5"/>
  <c r="A21" i="5"/>
  <c r="A23" i="5"/>
  <c r="A7" i="5"/>
  <c r="A34" i="5"/>
  <c r="A35" i="5"/>
  <c r="A36" i="5"/>
  <c r="A10" i="5"/>
  <c r="B8" i="3"/>
  <c r="A1" i="2"/>
  <c r="D8" i="3"/>
  <c r="B1" i="2"/>
  <c r="L1" i="4"/>
  <c r="L4" i="1"/>
  <c r="D51" i="5" l="1" a="1"/>
  <c r="D51" i="5" s="1"/>
  <c r="D22" i="5" a="1"/>
  <c r="D22" i="5" s="1"/>
  <c r="D45" i="5" a="1"/>
  <c r="D45" i="5" s="1"/>
  <c r="D85" i="5" a="1"/>
  <c r="D85" i="5" s="1"/>
  <c r="D12" i="5" a="1"/>
  <c r="D12" i="5" s="1"/>
  <c r="D24" i="5" a="1"/>
  <c r="D24" i="5" s="1"/>
  <c r="D36" i="5" a="1"/>
  <c r="D36" i="5" s="1"/>
  <c r="D25" i="5" a="1"/>
  <c r="D25" i="5" s="1"/>
  <c r="D14" i="5" a="1"/>
  <c r="D14" i="5" s="1"/>
  <c r="D26" i="5" a="1"/>
  <c r="D26" i="5" s="1"/>
  <c r="D9" i="5" a="1"/>
  <c r="D9" i="5" s="1"/>
  <c r="D27" i="5" a="1"/>
  <c r="D27" i="5" s="1"/>
  <c r="D44" i="5" a="1"/>
  <c r="D44" i="5" s="1"/>
  <c r="D39" i="5" a="1"/>
  <c r="D39" i="5" s="1"/>
  <c r="D16" i="5" a="1"/>
  <c r="D16" i="5" s="1"/>
  <c r="D11" i="5" a="1"/>
  <c r="D11" i="5" s="1"/>
  <c r="D50" i="5" a="1"/>
  <c r="D50" i="5" s="1"/>
  <c r="D34" i="5" a="1"/>
  <c r="D34" i="5" s="1"/>
  <c r="D46" i="5" a="1"/>
  <c r="D46" i="5" s="1"/>
  <c r="D6" i="5" a="1"/>
  <c r="D6" i="5" s="1"/>
  <c r="D31" i="5" a="1"/>
  <c r="D31" i="5" s="1"/>
  <c r="D29" i="5" a="1"/>
  <c r="D29" i="5" s="1"/>
  <c r="D10" i="5" a="1"/>
  <c r="D10" i="5" s="1"/>
  <c r="D2" i="5" a="1"/>
  <c r="D2" i="5" s="1"/>
  <c r="D15" i="5" a="1"/>
  <c r="D15" i="5" s="1"/>
  <c r="D33" i="5" a="1"/>
  <c r="D33" i="5" s="1"/>
  <c r="D28" i="5" a="1"/>
  <c r="D28" i="5" s="1"/>
  <c r="D4" i="5" a="1"/>
  <c r="D4" i="5" s="1"/>
  <c r="D40" i="5" a="1"/>
  <c r="D40" i="5" s="1"/>
  <c r="D17" i="5" a="1"/>
  <c r="D17" i="5" s="1"/>
  <c r="D37" i="5" a="1"/>
  <c r="D37" i="5" s="1"/>
  <c r="D48" i="5" a="1"/>
  <c r="D48" i="5" s="1"/>
  <c r="D7" i="5" a="1"/>
  <c r="D7" i="5" s="1"/>
  <c r="D3" i="5" a="1"/>
  <c r="D3" i="5" s="1"/>
  <c r="D8" i="5" a="1"/>
  <c r="D8" i="5" s="1"/>
  <c r="D18" i="5" a="1"/>
  <c r="D18" i="5" s="1"/>
  <c r="D19" i="5" a="1"/>
  <c r="D19" i="5" s="1"/>
  <c r="D21" i="5" a="1"/>
  <c r="D21" i="5" s="1"/>
  <c r="D30" i="5" a="1"/>
  <c r="D30" i="5" s="1"/>
  <c r="D20" i="5" a="1"/>
  <c r="D20" i="5" s="1"/>
  <c r="D42" i="5" a="1"/>
  <c r="D42" i="5" s="1"/>
  <c r="D32" i="5" a="1"/>
  <c r="D32" i="5" s="1"/>
  <c r="D47" i="5" a="1"/>
  <c r="D47" i="5" s="1"/>
  <c r="D38" i="5" a="1"/>
  <c r="D38" i="5" s="1"/>
  <c r="D5" i="5" a="1"/>
  <c r="D5" i="5" s="1"/>
  <c r="D23" i="5" a="1"/>
  <c r="D23" i="5" s="1"/>
  <c r="D43" i="5" a="1"/>
  <c r="D43" i="5" s="1"/>
  <c r="D35" i="5" a="1"/>
  <c r="D35" i="5" s="1"/>
  <c r="D41" i="5" a="1"/>
  <c r="D41" i="5" s="1"/>
  <c r="D13" i="5" a="1"/>
  <c r="D13" i="5" s="1"/>
  <c r="D49" i="5" a="1"/>
  <c r="D49" i="5" s="1"/>
  <c r="Q1" i="4"/>
  <c r="M1" i="4" a="1"/>
  <c r="M1" i="4" s="1"/>
  <c r="Q4" i="1"/>
  <c r="R4" i="1" l="1" a="1"/>
  <c r="R4" i="1" s="1"/>
  <c r="B2" i="4" a="1"/>
  <c r="B2" i="4" s="1"/>
  <c r="D3" i="4" s="1"/>
  <c r="E3" i="4" s="1" a="1"/>
  <c r="E3" i="4" s="1"/>
  <c r="F3" i="4" s="1" a="1"/>
  <c r="F3" i="4" s="1"/>
  <c r="D6" i="1" s="1" a="1"/>
  <c r="D6" i="1" s="1"/>
  <c r="H4" i="1" a="1"/>
  <c r="H4" i="1" s="1"/>
  <c r="Q2" i="4" a="1"/>
  <c r="Q2" i="4" s="1"/>
  <c r="S3" i="4" s="1"/>
  <c r="T3" i="4" s="1" a="1"/>
  <c r="T3" i="4" s="1"/>
  <c r="G2" i="4" a="1"/>
  <c r="G2" i="4" s="1"/>
  <c r="I3" i="4" s="1"/>
  <c r="J3" i="4" s="1" a="1"/>
  <c r="J3" i="4" s="1"/>
  <c r="C4" i="1" a="1"/>
  <c r="C4" i="1" s="1"/>
  <c r="M4" i="1" a="1"/>
  <c r="M4" i="1" s="1"/>
  <c r="I2" i="1"/>
  <c r="L2" i="4" a="1"/>
  <c r="L2" i="4" s="1"/>
  <c r="N3" i="4" s="1"/>
  <c r="O3" i="4" s="1" a="1"/>
  <c r="O3" i="4" s="1"/>
  <c r="P3" i="4" s="1" a="1"/>
  <c r="P3" i="4" s="1"/>
  <c r="N6" i="1" s="1" a="1"/>
  <c r="N6" i="1" s="1"/>
  <c r="V1" i="4"/>
  <c r="V2" i="4" s="1" a="1"/>
  <c r="V2" i="4" s="1"/>
  <c r="R1" i="4" a="1"/>
  <c r="R1" i="4" s="1"/>
  <c r="V4" i="1"/>
  <c r="W4" i="1" s="1" a="1"/>
  <c r="W4" i="1" s="1"/>
  <c r="C4" i="4" l="1"/>
  <c r="D4" i="4" s="1"/>
  <c r="E4" i="4" s="1" a="1"/>
  <c r="E4" i="4" s="1"/>
  <c r="F4" i="4" s="1" a="1"/>
  <c r="F4" i="4" s="1"/>
  <c r="E6" i="1" s="1" a="1"/>
  <c r="E6" i="1" s="1"/>
  <c r="M4" i="4"/>
  <c r="N4" i="4" s="1"/>
  <c r="O4" i="4" s="1" a="1"/>
  <c r="O4" i="4" s="1"/>
  <c r="P4" i="4" s="1" a="1"/>
  <c r="P4" i="4" s="1"/>
  <c r="O6" i="1" s="1" a="1"/>
  <c r="O6" i="1" s="1"/>
  <c r="U3" i="4" a="1"/>
  <c r="U3" i="4" s="1"/>
  <c r="S6" i="1" s="1" a="1"/>
  <c r="S6" i="1" s="1"/>
  <c r="M6" i="1" a="1"/>
  <c r="M6" i="1" s="1"/>
  <c r="K3" i="4" a="1"/>
  <c r="K3" i="4" s="1"/>
  <c r="I6" i="1" s="1" a="1"/>
  <c r="I6" i="1" s="1"/>
  <c r="C6" i="1" a="1"/>
  <c r="C6" i="1" s="1"/>
  <c r="H4" i="4"/>
  <c r="I4" i="4" s="1"/>
  <c r="J4" i="4" s="1" a="1"/>
  <c r="J4" i="4" s="1"/>
  <c r="AA1" i="4"/>
  <c r="AA2" i="4" s="1" a="1"/>
  <c r="AA2" i="4" s="1"/>
  <c r="W1" i="4" a="1"/>
  <c r="W1" i="4" s="1"/>
  <c r="X3" i="4"/>
  <c r="Y3" i="4" s="1" a="1"/>
  <c r="Y3" i="4" s="1"/>
  <c r="R4" i="4"/>
  <c r="S4" i="4" s="1"/>
  <c r="T4" i="4" s="1" a="1"/>
  <c r="T4" i="4" s="1"/>
  <c r="AA4" i="1"/>
  <c r="AB4" i="1" s="1" a="1"/>
  <c r="AB4" i="1" s="1"/>
  <c r="Z3" i="4" l="1" a="1"/>
  <c r="Z3" i="4" s="1"/>
  <c r="W6" i="1" s="1" a="1"/>
  <c r="W6" i="1" s="1"/>
  <c r="M7" i="1" a="1"/>
  <c r="M7" i="1" s="1"/>
  <c r="R6" i="1" a="1"/>
  <c r="R6" i="1" s="1"/>
  <c r="U4" i="4" a="1"/>
  <c r="U4" i="4" s="1"/>
  <c r="T6" i="1" s="1" a="1"/>
  <c r="T6" i="1" s="1"/>
  <c r="N7" i="1" a="1"/>
  <c r="N7" i="1" s="1"/>
  <c r="K4" i="4" a="1"/>
  <c r="K4" i="4" s="1"/>
  <c r="J6" i="1" s="1" a="1"/>
  <c r="J6" i="1" s="1"/>
  <c r="H6" i="1" a="1"/>
  <c r="H6" i="1" s="1"/>
  <c r="C7" i="1" a="1"/>
  <c r="C7" i="1" s="1"/>
  <c r="D7" i="1" a="1"/>
  <c r="D7" i="1" s="1"/>
  <c r="H5" i="4"/>
  <c r="I5" i="4" s="1"/>
  <c r="J5" i="4" s="1" a="1"/>
  <c r="J5" i="4" s="1"/>
  <c r="R5" i="4"/>
  <c r="S5" i="4" s="1"/>
  <c r="T5" i="4" s="1" a="1"/>
  <c r="T5" i="4" s="1"/>
  <c r="W4" i="4"/>
  <c r="X4" i="4" s="1"/>
  <c r="Y4" i="4" s="1" a="1"/>
  <c r="Y4" i="4" s="1"/>
  <c r="AC3" i="4"/>
  <c r="AD3" i="4" s="1" a="1"/>
  <c r="AD3" i="4" s="1"/>
  <c r="AF1" i="4"/>
  <c r="AF2" i="4" s="1" a="1"/>
  <c r="AF2" i="4" s="1"/>
  <c r="AB1" i="4" a="1"/>
  <c r="AB1" i="4" s="1"/>
  <c r="AF4" i="1"/>
  <c r="AG4" i="1" s="1" a="1"/>
  <c r="AG4" i="1" s="1"/>
  <c r="AE3" i="4" l="1" a="1"/>
  <c r="AE3" i="4" s="1"/>
  <c r="AC6" i="1" s="1" a="1"/>
  <c r="AC6" i="1" s="1"/>
  <c r="S7" i="1" a="1"/>
  <c r="S7" i="1" s="1"/>
  <c r="Z4" i="4" a="1"/>
  <c r="Z4" i="4" s="1"/>
  <c r="Y6" i="1" s="1" a="1"/>
  <c r="Y6" i="1" s="1"/>
  <c r="X6" i="1" a="1"/>
  <c r="X6" i="1" s="1"/>
  <c r="U5" i="4" a="1"/>
  <c r="U5" i="4" s="1"/>
  <c r="T7" i="1" s="1" a="1"/>
  <c r="T7" i="1" s="1"/>
  <c r="R7" i="1" a="1"/>
  <c r="R7" i="1" s="1"/>
  <c r="K5" i="4" a="1"/>
  <c r="K5" i="4" s="1"/>
  <c r="J7" i="1" s="1" a="1"/>
  <c r="J7" i="1" s="1"/>
  <c r="I7" i="1" a="1"/>
  <c r="I7" i="1" s="1"/>
  <c r="H7" i="1" a="1"/>
  <c r="H7" i="1" s="1"/>
  <c r="AH3" i="4"/>
  <c r="AI3" i="4" s="1" a="1"/>
  <c r="AI3" i="4" s="1"/>
  <c r="AK1" i="4"/>
  <c r="AK2" i="4" s="1" a="1"/>
  <c r="AK2" i="4" s="1"/>
  <c r="AG1" i="4" a="1"/>
  <c r="AG1" i="4" s="1"/>
  <c r="AB4" i="4"/>
  <c r="AK4" i="1"/>
  <c r="AL4" i="1" s="1" a="1"/>
  <c r="AL4" i="1" s="1"/>
  <c r="M5" i="4"/>
  <c r="N5" i="4" s="1"/>
  <c r="O5" i="4" s="1" a="1"/>
  <c r="O5" i="4" s="1"/>
  <c r="W5" i="4"/>
  <c r="X5" i="4" s="1"/>
  <c r="Y5" i="4" s="1" a="1"/>
  <c r="Y5" i="4" s="1"/>
  <c r="AB6" i="1" l="1" a="1"/>
  <c r="AB6" i="1" s="1"/>
  <c r="AJ3" i="4" a="1"/>
  <c r="AJ3" i="4" s="1"/>
  <c r="AH6" i="1" s="1" a="1"/>
  <c r="AH6" i="1" s="1"/>
  <c r="Z5" i="4" a="1"/>
  <c r="Z5" i="4" s="1"/>
  <c r="Y7" i="1" s="1" a="1"/>
  <c r="Y7" i="1" s="1"/>
  <c r="W7" i="1" a="1"/>
  <c r="W7" i="1" s="1"/>
  <c r="X7" i="1" a="1"/>
  <c r="X7" i="1" s="1"/>
  <c r="R8" i="1" a="1"/>
  <c r="R8" i="1" s="1"/>
  <c r="S8" i="1" a="1"/>
  <c r="S8" i="1" s="1"/>
  <c r="P5" i="4" a="1"/>
  <c r="P5" i="4" s="1"/>
  <c r="O7" i="1" s="1" a="1"/>
  <c r="O7" i="1" s="1"/>
  <c r="H8" i="1" a="1"/>
  <c r="H8" i="1" s="1"/>
  <c r="I8" i="1" a="1"/>
  <c r="I8" i="1" s="1"/>
  <c r="AC4" i="4"/>
  <c r="AD4" i="4" s="1" a="1"/>
  <c r="AD4" i="4" s="1"/>
  <c r="AP1" i="4"/>
  <c r="AP2" i="4" s="1" a="1"/>
  <c r="AP2" i="4" s="1"/>
  <c r="AL1" i="4" a="1"/>
  <c r="AL1" i="4" s="1"/>
  <c r="AM3" i="4"/>
  <c r="AN3" i="4" s="1" a="1"/>
  <c r="AN3" i="4" s="1"/>
  <c r="AG4" i="4"/>
  <c r="AP4" i="1"/>
  <c r="AQ4" i="1" s="1" a="1"/>
  <c r="AQ4" i="1" s="1"/>
  <c r="R6" i="4"/>
  <c r="S6" i="4" s="1"/>
  <c r="T6" i="4" s="1" a="1"/>
  <c r="T6" i="4" s="1"/>
  <c r="AG6" i="1" l="1" a="1"/>
  <c r="AG6" i="1" s="1"/>
  <c r="AO3" i="4" a="1"/>
  <c r="AO3" i="4" s="1"/>
  <c r="AM6" i="1" s="1" a="1"/>
  <c r="AM6" i="1" s="1"/>
  <c r="W8" i="1" a="1"/>
  <c r="W8" i="1" s="1"/>
  <c r="AE4" i="4" a="1"/>
  <c r="AE4" i="4" s="1"/>
  <c r="AD6" i="1" s="1" a="1"/>
  <c r="AD6" i="1" s="1"/>
  <c r="X8" i="1" a="1"/>
  <c r="X8" i="1" s="1"/>
  <c r="U6" i="4" a="1"/>
  <c r="U6" i="4" s="1"/>
  <c r="T8" i="1" s="1" a="1"/>
  <c r="T8" i="1" s="1"/>
  <c r="N8" i="1" a="1"/>
  <c r="N8" i="1" s="1"/>
  <c r="M8" i="1" a="1"/>
  <c r="M8" i="1" s="1"/>
  <c r="AB5" i="4"/>
  <c r="AC5" i="4" s="1"/>
  <c r="AD5" i="4" s="1" a="1"/>
  <c r="AD5" i="4" s="1"/>
  <c r="AH4" i="4"/>
  <c r="AI4" i="4" s="1" a="1"/>
  <c r="AI4" i="4" s="1"/>
  <c r="AQ1" i="4" a="1"/>
  <c r="AQ1" i="4" s="1"/>
  <c r="AR3" i="4"/>
  <c r="AS3" i="4" s="1" a="1"/>
  <c r="AS3" i="4" s="1"/>
  <c r="AU1" i="4"/>
  <c r="AU2" i="4" s="1" a="1"/>
  <c r="AU2" i="4" s="1"/>
  <c r="AL4" i="4"/>
  <c r="AU4" i="1"/>
  <c r="AV4" i="1" s="1" a="1"/>
  <c r="AV4" i="1" s="1"/>
  <c r="M6" i="4"/>
  <c r="N6" i="4" s="1"/>
  <c r="O6" i="4" s="1" a="1"/>
  <c r="O6" i="4" s="1"/>
  <c r="H6" i="4"/>
  <c r="W6" i="4"/>
  <c r="X6" i="4" s="1"/>
  <c r="Y6" i="4" s="1" a="1"/>
  <c r="Y6" i="4" s="1"/>
  <c r="AL6" i="1" l="1" a="1"/>
  <c r="AL6" i="1" s="1"/>
  <c r="AT3" i="4" a="1"/>
  <c r="AT3" i="4" s="1"/>
  <c r="AQ6" i="1" s="1" a="1"/>
  <c r="AQ6" i="1" s="1"/>
  <c r="AJ4" i="4" a="1"/>
  <c r="AJ4" i="4" s="1"/>
  <c r="AI6" i="1" s="1" a="1"/>
  <c r="AI6" i="1" s="1"/>
  <c r="AC7" i="1" a="1"/>
  <c r="AC7" i="1" s="1"/>
  <c r="AB7" i="1" a="1"/>
  <c r="AB7" i="1" s="1"/>
  <c r="AE5" i="4" a="1"/>
  <c r="AE5" i="4" s="1"/>
  <c r="AD7" i="1" s="1" a="1"/>
  <c r="AD7" i="1" s="1"/>
  <c r="Z6" i="4" a="1"/>
  <c r="Z6" i="4" s="1"/>
  <c r="Y8" i="1" s="1" a="1"/>
  <c r="Y8" i="1" s="1"/>
  <c r="R9" i="1" a="1"/>
  <c r="R9" i="1" s="1"/>
  <c r="S9" i="1" a="1"/>
  <c r="S9" i="1" s="1"/>
  <c r="P6" i="4" a="1"/>
  <c r="P6" i="4" s="1"/>
  <c r="O8" i="1" s="1" a="1"/>
  <c r="O8" i="1" s="1"/>
  <c r="AG5" i="4"/>
  <c r="AH5" i="4" s="1"/>
  <c r="AI5" i="4" s="1" a="1"/>
  <c r="AI5" i="4" s="1"/>
  <c r="AB6" i="4"/>
  <c r="AC6" i="4" s="1"/>
  <c r="AD6" i="4" s="1" a="1"/>
  <c r="AD6" i="4" s="1"/>
  <c r="AM4" i="4"/>
  <c r="AN4" i="4" s="1" a="1"/>
  <c r="AN4" i="4" s="1"/>
  <c r="AV1" i="4" a="1"/>
  <c r="AV1" i="4" s="1"/>
  <c r="AW3" i="4"/>
  <c r="AX3" i="4" s="1" a="1"/>
  <c r="AX3" i="4" s="1"/>
  <c r="AQ4" i="4"/>
  <c r="I6" i="4"/>
  <c r="J6" i="4" s="1" a="1"/>
  <c r="J6" i="4" s="1"/>
  <c r="AR6" i="1" l="1" a="1"/>
  <c r="AR6" i="1" s="1"/>
  <c r="AY3" i="4" a="1"/>
  <c r="AY3" i="4" s="1"/>
  <c r="AW6" i="1" s="1" a="1"/>
  <c r="AW6" i="1" s="1"/>
  <c r="AO4" i="4" a="1"/>
  <c r="AO4" i="4" s="1"/>
  <c r="AN6" i="1" s="1" a="1"/>
  <c r="AN6" i="1" s="1"/>
  <c r="AH7" i="1" a="1"/>
  <c r="AH7" i="1" s="1"/>
  <c r="AG7" i="1" a="1"/>
  <c r="AG7" i="1" s="1"/>
  <c r="AC8" i="1" a="1"/>
  <c r="AC8" i="1" s="1"/>
  <c r="AB8" i="1" a="1"/>
  <c r="AB8" i="1" s="1"/>
  <c r="AJ5" i="4" a="1"/>
  <c r="AJ5" i="4" s="1"/>
  <c r="AI7" i="1" s="1" a="1"/>
  <c r="AI7" i="1" s="1"/>
  <c r="AE6" i="4" a="1"/>
  <c r="AE6" i="4" s="1"/>
  <c r="AD8" i="1" s="1" a="1"/>
  <c r="AD8" i="1" s="1"/>
  <c r="X9" i="1" a="1"/>
  <c r="X9" i="1" s="1"/>
  <c r="W9" i="1" a="1"/>
  <c r="W9" i="1" s="1"/>
  <c r="N9" i="1" a="1"/>
  <c r="N9" i="1" s="1"/>
  <c r="M9" i="1" a="1"/>
  <c r="M9" i="1" s="1"/>
  <c r="K6" i="4" a="1"/>
  <c r="K6" i="4" s="1"/>
  <c r="J8" i="1" s="1" a="1"/>
  <c r="J8" i="1" s="1"/>
  <c r="AL5" i="4"/>
  <c r="AM5" i="4" s="1"/>
  <c r="AN5" i="4" s="1" a="1"/>
  <c r="AN5" i="4" s="1"/>
  <c r="AG6" i="4"/>
  <c r="AH6" i="4" s="1"/>
  <c r="AI6" i="4" s="1" a="1"/>
  <c r="AI6" i="4" s="1"/>
  <c r="AB7" i="4"/>
  <c r="AC7" i="4" s="1"/>
  <c r="AD7" i="4" s="1" a="1"/>
  <c r="AD7" i="4" s="1"/>
  <c r="AR4" i="4"/>
  <c r="AS4" i="4" s="1" a="1"/>
  <c r="AS4" i="4" s="1"/>
  <c r="AV4" i="4"/>
  <c r="W7" i="4"/>
  <c r="X7" i="4" s="1"/>
  <c r="Y7" i="4" s="1" a="1"/>
  <c r="Y7" i="4" s="1"/>
  <c r="AV6" i="1" l="1" a="1"/>
  <c r="AV6" i="1" s="1"/>
  <c r="AT4" i="4" a="1"/>
  <c r="AT4" i="4" s="1"/>
  <c r="AS6" i="1" s="1" a="1"/>
  <c r="AS6" i="1" s="1"/>
  <c r="AG8" i="1" a="1"/>
  <c r="AG8" i="1" s="1"/>
  <c r="AL7" i="1" a="1"/>
  <c r="AL7" i="1" s="1"/>
  <c r="AH8" i="1" a="1"/>
  <c r="AH8" i="1" s="1"/>
  <c r="AO5" i="4" a="1"/>
  <c r="AO5" i="4" s="1"/>
  <c r="AN7" i="1" s="1" a="1"/>
  <c r="AN7" i="1" s="1"/>
  <c r="AM7" i="1" a="1"/>
  <c r="AM7" i="1" s="1"/>
  <c r="AJ6" i="4" a="1"/>
  <c r="AJ6" i="4" s="1"/>
  <c r="AI8" i="1" s="1" a="1"/>
  <c r="AI8" i="1" s="1"/>
  <c r="AC9" i="1" a="1"/>
  <c r="AC9" i="1" s="1"/>
  <c r="AB9" i="1" a="1"/>
  <c r="AB9" i="1" s="1"/>
  <c r="AE7" i="4" a="1"/>
  <c r="AE7" i="4" s="1"/>
  <c r="AD9" i="1" s="1" a="1"/>
  <c r="AD9" i="1" s="1"/>
  <c r="Z7" i="4" a="1"/>
  <c r="Z7" i="4" s="1"/>
  <c r="Y9" i="1" s="1" a="1"/>
  <c r="Y9" i="1" s="1"/>
  <c r="H9" i="1" a="1"/>
  <c r="H9" i="1" s="1"/>
  <c r="I9" i="1" a="1"/>
  <c r="I9" i="1" s="1"/>
  <c r="AL6" i="4"/>
  <c r="AM6" i="4" s="1"/>
  <c r="AN6" i="4" s="1" a="1"/>
  <c r="AN6" i="4" s="1"/>
  <c r="AG7" i="4"/>
  <c r="AH7" i="4" s="1"/>
  <c r="AI7" i="4" s="1" a="1"/>
  <c r="AI7" i="4" s="1"/>
  <c r="AB8" i="4"/>
  <c r="AC8" i="4" s="1"/>
  <c r="AD8" i="4" s="1" a="1"/>
  <c r="AD8" i="4" s="1"/>
  <c r="H7" i="4"/>
  <c r="I7" i="4" s="1"/>
  <c r="J7" i="4" s="1" a="1"/>
  <c r="J7" i="4" s="1"/>
  <c r="AW4" i="4"/>
  <c r="AX4" i="4" s="1" a="1"/>
  <c r="AX4" i="4" s="1"/>
  <c r="AQ5" i="4"/>
  <c r="R7" i="4"/>
  <c r="AY4" i="4" l="1" a="1"/>
  <c r="AY4" i="4" s="1"/>
  <c r="AX6" i="1" s="1" a="1"/>
  <c r="AX6" i="1" s="1"/>
  <c r="AQ7" i="1" a="1"/>
  <c r="AQ7" i="1" s="1"/>
  <c r="AR7" i="1" a="1"/>
  <c r="AR7" i="1" s="1"/>
  <c r="AH9" i="1" a="1"/>
  <c r="AH9" i="1" s="1"/>
  <c r="AL8" i="1" a="1"/>
  <c r="AL8" i="1" s="1"/>
  <c r="AO6" i="4" a="1"/>
  <c r="AO6" i="4" s="1"/>
  <c r="AN8" i="1" s="1" a="1"/>
  <c r="AN8" i="1" s="1"/>
  <c r="AM8" i="1" a="1"/>
  <c r="AM8" i="1" s="1"/>
  <c r="AB10" i="1" a="1"/>
  <c r="AB10" i="1" s="1"/>
  <c r="AJ7" i="4" a="1"/>
  <c r="AJ7" i="4" s="1"/>
  <c r="AI9" i="1" s="1" a="1"/>
  <c r="AI9" i="1" s="1"/>
  <c r="AG9" i="1" a="1"/>
  <c r="AG9" i="1" s="1"/>
  <c r="AE8" i="4" a="1"/>
  <c r="AE8" i="4" s="1"/>
  <c r="AD10" i="1" s="1" a="1"/>
  <c r="AD10" i="1" s="1"/>
  <c r="AC10" i="1" a="1"/>
  <c r="AC10" i="1" s="1"/>
  <c r="W10" i="1" a="1"/>
  <c r="W10" i="1" s="1"/>
  <c r="X10" i="1" a="1"/>
  <c r="X10" i="1" s="1"/>
  <c r="K7" i="4" a="1"/>
  <c r="K7" i="4" s="1"/>
  <c r="J9" i="1" s="1" a="1"/>
  <c r="J9" i="1" s="1"/>
  <c r="AV5" i="4"/>
  <c r="AW5" i="4" s="1"/>
  <c r="AX5" i="4" s="1" a="1"/>
  <c r="AX5" i="4" s="1"/>
  <c r="AL7" i="4"/>
  <c r="AM7" i="4" s="1"/>
  <c r="AN7" i="4" s="1" a="1"/>
  <c r="AN7" i="4" s="1"/>
  <c r="AG8" i="4"/>
  <c r="AH8" i="4" s="1"/>
  <c r="AI8" i="4" s="1" a="1"/>
  <c r="AI8" i="4" s="1"/>
  <c r="AB9" i="4"/>
  <c r="AR5" i="4"/>
  <c r="AS5" i="4" s="1" a="1"/>
  <c r="AS5" i="4" s="1"/>
  <c r="S7" i="4"/>
  <c r="T7" i="4" s="1" a="1"/>
  <c r="T7" i="4" s="1"/>
  <c r="M7" i="4"/>
  <c r="AW7" i="1" l="1" a="1"/>
  <c r="AW7" i="1" s="1"/>
  <c r="AY5" i="4" a="1"/>
  <c r="AY5" i="4" s="1"/>
  <c r="AX7" i="1" s="1" a="1"/>
  <c r="AX7" i="1" s="1"/>
  <c r="AV7" i="1" a="1"/>
  <c r="AV7" i="1" s="1"/>
  <c r="AT5" i="4" a="1"/>
  <c r="AT5" i="4" s="1"/>
  <c r="AS7" i="1" s="1" a="1"/>
  <c r="AS7" i="1" s="1"/>
  <c r="AL9" i="1" a="1"/>
  <c r="AL9" i="1" s="1"/>
  <c r="AO7" i="4" a="1"/>
  <c r="AO7" i="4" s="1"/>
  <c r="AN9" i="1" s="1" a="1"/>
  <c r="AN9" i="1" s="1"/>
  <c r="AM9" i="1" a="1"/>
  <c r="AM9" i="1" s="1"/>
  <c r="AB11" i="1" a="1"/>
  <c r="AB11" i="1" s="1"/>
  <c r="AG10" i="1" a="1"/>
  <c r="AG10" i="1" s="1"/>
  <c r="AH10" i="1" a="1"/>
  <c r="AH10" i="1" s="1"/>
  <c r="AJ8" i="4" a="1"/>
  <c r="AJ8" i="4" s="1"/>
  <c r="AI10" i="1" s="1" a="1"/>
  <c r="AI10" i="1" s="1"/>
  <c r="AC11" i="1" a="1"/>
  <c r="AC11" i="1" s="1"/>
  <c r="U7" i="4" a="1"/>
  <c r="U7" i="4" s="1"/>
  <c r="T9" i="1" s="1" a="1"/>
  <c r="T9" i="1" s="1"/>
  <c r="H10" i="1" a="1"/>
  <c r="H10" i="1" s="1"/>
  <c r="I10" i="1" a="1"/>
  <c r="I10" i="1" s="1"/>
  <c r="AV6" i="4"/>
  <c r="AW6" i="4" s="1"/>
  <c r="AX6" i="4" s="1" a="1"/>
  <c r="AX6" i="4" s="1"/>
  <c r="AQ6" i="4"/>
  <c r="AR6" i="4" s="1"/>
  <c r="AS6" i="4" s="1" a="1"/>
  <c r="AS6" i="4" s="1"/>
  <c r="AL8" i="4"/>
  <c r="AM8" i="4" s="1"/>
  <c r="AN8" i="4" s="1" a="1"/>
  <c r="AN8" i="4" s="1"/>
  <c r="AG9" i="4"/>
  <c r="AH9" i="4" s="1"/>
  <c r="AI9" i="4" s="1" a="1"/>
  <c r="AI9" i="4" s="1"/>
  <c r="AC9" i="4"/>
  <c r="AD9" i="4" s="1" a="1"/>
  <c r="AD9" i="4" s="1"/>
  <c r="N7" i="4"/>
  <c r="O7" i="4" s="1" a="1"/>
  <c r="O7" i="4" s="1"/>
  <c r="AV8" i="1" l="1" a="1"/>
  <c r="AV8" i="1" s="1"/>
  <c r="AW8" i="1" a="1"/>
  <c r="AW8" i="1" s="1"/>
  <c r="AQ8" i="1" a="1"/>
  <c r="AQ8" i="1" s="1"/>
  <c r="AY6" i="4" a="1"/>
  <c r="AY6" i="4" s="1"/>
  <c r="AX8" i="1" s="1" a="1"/>
  <c r="AX8" i="1" s="1"/>
  <c r="AT6" i="4" a="1"/>
  <c r="AT6" i="4" s="1"/>
  <c r="AS8" i="1" s="1" a="1"/>
  <c r="AS8" i="1" s="1"/>
  <c r="AL10" i="1" a="1"/>
  <c r="AL10" i="1" s="1"/>
  <c r="AR8" i="1" a="1"/>
  <c r="AR8" i="1" s="1"/>
  <c r="AO8" i="4" a="1"/>
  <c r="AO8" i="4" s="1"/>
  <c r="AN10" i="1" s="1" a="1"/>
  <c r="AN10" i="1" s="1"/>
  <c r="AM10" i="1" a="1"/>
  <c r="AM10" i="1" s="1"/>
  <c r="AH11" i="1" a="1"/>
  <c r="AH11" i="1" s="1"/>
  <c r="AG11" i="1" a="1"/>
  <c r="AG11" i="1" s="1"/>
  <c r="AJ9" i="4" a="1"/>
  <c r="AJ9" i="4" s="1"/>
  <c r="AI11" i="1" s="1" a="1"/>
  <c r="AI11" i="1" s="1"/>
  <c r="AE9" i="4" a="1"/>
  <c r="AE9" i="4" s="1"/>
  <c r="AD11" i="1" s="1" a="1"/>
  <c r="AD11" i="1" s="1"/>
  <c r="R10" i="1" a="1"/>
  <c r="R10" i="1" s="1"/>
  <c r="S10" i="1" a="1"/>
  <c r="S10" i="1" s="1"/>
  <c r="P7" i="4" a="1"/>
  <c r="P7" i="4" s="1"/>
  <c r="O9" i="1" s="1" a="1"/>
  <c r="O9" i="1" s="1"/>
  <c r="R8" i="4"/>
  <c r="S8" i="4" s="1"/>
  <c r="T8" i="4" s="1" a="1"/>
  <c r="T8" i="4" s="1"/>
  <c r="AV7" i="4"/>
  <c r="AW7" i="4" s="1"/>
  <c r="AX7" i="4" s="1" a="1"/>
  <c r="AX7" i="4" s="1"/>
  <c r="AQ7" i="4"/>
  <c r="AR7" i="4" s="1"/>
  <c r="AS7" i="4" s="1" a="1"/>
  <c r="AS7" i="4" s="1"/>
  <c r="AL9" i="4"/>
  <c r="AM9" i="4" s="1"/>
  <c r="AN9" i="4" s="1" a="1"/>
  <c r="AN9" i="4" s="1"/>
  <c r="AG10" i="4"/>
  <c r="AH10" i="4" s="1"/>
  <c r="AI10" i="4" s="1" a="1"/>
  <c r="AI10" i="4" s="1"/>
  <c r="M8" i="4"/>
  <c r="N8" i="4" s="1"/>
  <c r="O8" i="4" s="1" a="1"/>
  <c r="O8" i="4" s="1"/>
  <c r="H8" i="4"/>
  <c r="W8" i="4"/>
  <c r="X8" i="4" s="1"/>
  <c r="Y8" i="4" s="1" a="1"/>
  <c r="Y8" i="4" s="1"/>
  <c r="AL11" i="1" l="1" a="1"/>
  <c r="AL11" i="1" s="1"/>
  <c r="AW9" i="1" a="1"/>
  <c r="AW9" i="1" s="1"/>
  <c r="AM11" i="1" a="1"/>
  <c r="AM11" i="1" s="1"/>
  <c r="AY7" i="4" a="1"/>
  <c r="AY7" i="4" s="1"/>
  <c r="AX9" i="1" s="1" a="1"/>
  <c r="AX9" i="1" s="1"/>
  <c r="AV9" i="1" a="1"/>
  <c r="AV9" i="1" s="1"/>
  <c r="AT7" i="4" a="1"/>
  <c r="AT7" i="4" s="1"/>
  <c r="AS9" i="1" s="1" a="1"/>
  <c r="AS9" i="1" s="1"/>
  <c r="AQ9" i="1" a="1"/>
  <c r="AQ9" i="1" s="1"/>
  <c r="AR9" i="1" a="1"/>
  <c r="AR9" i="1" s="1"/>
  <c r="AG12" i="1" a="1"/>
  <c r="AG12" i="1" s="1"/>
  <c r="AO9" i="4" a="1"/>
  <c r="AO9" i="4" s="1"/>
  <c r="AN11" i="1" s="1" a="1"/>
  <c r="AN11" i="1" s="1"/>
  <c r="AH12" i="1" a="1"/>
  <c r="AH12" i="1" s="1"/>
  <c r="AB12" i="1" a="1"/>
  <c r="AB12" i="1" s="1"/>
  <c r="AJ10" i="4" a="1"/>
  <c r="AJ10" i="4" s="1"/>
  <c r="AI12" i="1" s="1" a="1"/>
  <c r="AI12" i="1" s="1"/>
  <c r="AC12" i="1" a="1"/>
  <c r="AC12" i="1" s="1"/>
  <c r="Z8" i="4" a="1"/>
  <c r="Z8" i="4" s="1"/>
  <c r="Y10" i="1" s="1" a="1"/>
  <c r="Y10" i="1" s="1"/>
  <c r="U8" i="4" a="1"/>
  <c r="U8" i="4" s="1"/>
  <c r="T10" i="1" s="1" a="1"/>
  <c r="T10" i="1" s="1"/>
  <c r="P8" i="4" a="1"/>
  <c r="P8" i="4" s="1"/>
  <c r="O10" i="1" s="1" a="1"/>
  <c r="O10" i="1" s="1"/>
  <c r="M10" i="1" a="1"/>
  <c r="M10" i="1" s="1"/>
  <c r="N10" i="1" a="1"/>
  <c r="N10" i="1" s="1"/>
  <c r="AB10" i="4"/>
  <c r="AC10" i="4" s="1"/>
  <c r="AD10" i="4" s="1" a="1"/>
  <c r="AD10" i="4" s="1"/>
  <c r="AQ8" i="4"/>
  <c r="AR8" i="4" s="1"/>
  <c r="AS8" i="4" s="1" a="1"/>
  <c r="AS8" i="4" s="1"/>
  <c r="AL10" i="4"/>
  <c r="AM10" i="4" s="1"/>
  <c r="AN10" i="4" s="1" a="1"/>
  <c r="AN10" i="4" s="1"/>
  <c r="AG11" i="4"/>
  <c r="AV8" i="4"/>
  <c r="I8" i="4"/>
  <c r="J8" i="4" s="1" a="1"/>
  <c r="J8" i="4" s="1"/>
  <c r="AL12" i="1" l="1" a="1"/>
  <c r="AL12" i="1" s="1"/>
  <c r="AM12" i="1" a="1"/>
  <c r="AM12" i="1" s="1"/>
  <c r="AR10" i="1" a="1"/>
  <c r="AR10" i="1" s="1"/>
  <c r="AV10" i="1" a="1"/>
  <c r="AV10" i="1" s="1"/>
  <c r="AW10" i="1" a="1"/>
  <c r="AW10" i="1" s="1"/>
  <c r="AT8" i="4" a="1"/>
  <c r="AT8" i="4" s="1"/>
  <c r="AS10" i="1" s="1" a="1"/>
  <c r="AS10" i="1" s="1"/>
  <c r="AQ10" i="1" a="1"/>
  <c r="AQ10" i="1" s="1"/>
  <c r="AH13" i="1" a="1"/>
  <c r="AH13" i="1" s="1"/>
  <c r="AO10" i="4" a="1"/>
  <c r="AO10" i="4" s="1"/>
  <c r="AN12" i="1" s="1" a="1"/>
  <c r="AN12" i="1" s="1"/>
  <c r="AG13" i="1" a="1"/>
  <c r="AG13" i="1" s="1"/>
  <c r="AE10" i="4" a="1"/>
  <c r="AE10" i="4" s="1"/>
  <c r="AD12" i="1" s="1" a="1"/>
  <c r="AD12" i="1" s="1"/>
  <c r="X11" i="1" a="1"/>
  <c r="X11" i="1" s="1"/>
  <c r="W11" i="1" a="1"/>
  <c r="W11" i="1" s="1"/>
  <c r="S11" i="1" a="1"/>
  <c r="S11" i="1" s="1"/>
  <c r="R11" i="1" a="1"/>
  <c r="R11" i="1" s="1"/>
  <c r="N11" i="1" a="1"/>
  <c r="N11" i="1" s="1"/>
  <c r="M11" i="1" a="1"/>
  <c r="M11" i="1" s="1"/>
  <c r="K8" i="4" a="1"/>
  <c r="K8" i="4" s="1"/>
  <c r="J10" i="1" s="1" a="1"/>
  <c r="J10" i="1" s="1"/>
  <c r="AQ9" i="4"/>
  <c r="AR9" i="4" s="1"/>
  <c r="AS9" i="4" s="1" a="1"/>
  <c r="AS9" i="4" s="1"/>
  <c r="AL11" i="4"/>
  <c r="AM11" i="4" s="1"/>
  <c r="AN11" i="4" s="1" a="1"/>
  <c r="AN11" i="4" s="1"/>
  <c r="AH11" i="4"/>
  <c r="AI11" i="4" s="1" a="1"/>
  <c r="AI11" i="4" s="1"/>
  <c r="AB11" i="4"/>
  <c r="AW8" i="4"/>
  <c r="AX8" i="4" s="1" a="1"/>
  <c r="AX8" i="4" s="1"/>
  <c r="R9" i="4"/>
  <c r="S9" i="4" s="1"/>
  <c r="T9" i="4" s="1" a="1"/>
  <c r="T9" i="4" s="1"/>
  <c r="H9" i="4"/>
  <c r="I9" i="4" s="1"/>
  <c r="J9" i="4" s="1" a="1"/>
  <c r="J9" i="4" s="1"/>
  <c r="AQ11" i="1" l="1" a="1"/>
  <c r="AQ11" i="1" s="1"/>
  <c r="AR11" i="1" a="1"/>
  <c r="AR11" i="1" s="1"/>
  <c r="AM13" i="1" a="1"/>
  <c r="AM13" i="1" s="1"/>
  <c r="AY8" i="4" a="1"/>
  <c r="AY8" i="4" s="1"/>
  <c r="AX10" i="1" s="1" a="1"/>
  <c r="AX10" i="1" s="1"/>
  <c r="AL13" i="1" a="1"/>
  <c r="AL13" i="1" s="1"/>
  <c r="AT9" i="4" a="1"/>
  <c r="AT9" i="4" s="1"/>
  <c r="AS11" i="1" s="1" a="1"/>
  <c r="AS11" i="1" s="1"/>
  <c r="AC13" i="1" a="1"/>
  <c r="AC13" i="1" s="1"/>
  <c r="AO11" i="4" a="1"/>
  <c r="AO11" i="4" s="1"/>
  <c r="AN13" i="1" s="1" a="1"/>
  <c r="AN13" i="1" s="1"/>
  <c r="AJ11" i="4" a="1"/>
  <c r="AJ11" i="4" s="1"/>
  <c r="AI13" i="1" s="1" a="1"/>
  <c r="AI13" i="1" s="1"/>
  <c r="AB13" i="1" a="1"/>
  <c r="AB13" i="1" s="1"/>
  <c r="U9" i="4" a="1"/>
  <c r="U9" i="4" s="1"/>
  <c r="T11" i="1" s="1" a="1"/>
  <c r="T11" i="1" s="1"/>
  <c r="K9" i="4" a="1"/>
  <c r="K9" i="4" s="1"/>
  <c r="J11" i="1" s="1" a="1"/>
  <c r="J11" i="1" s="1"/>
  <c r="H11" i="1" a="1"/>
  <c r="H11" i="1" s="1"/>
  <c r="I11" i="1" a="1"/>
  <c r="I11" i="1" s="1"/>
  <c r="AQ10" i="4"/>
  <c r="AR10" i="4" s="1"/>
  <c r="AS10" i="4" s="1" a="1"/>
  <c r="AS10" i="4" s="1"/>
  <c r="AL12" i="4"/>
  <c r="AM12" i="4" s="1"/>
  <c r="AN12" i="4" s="1" a="1"/>
  <c r="AN12" i="4" s="1"/>
  <c r="AC11" i="4"/>
  <c r="AD11" i="4" s="1" a="1"/>
  <c r="AD11" i="4" s="1"/>
  <c r="AV9" i="4"/>
  <c r="AR12" i="1" l="1" a="1"/>
  <c r="AR12" i="1" s="1"/>
  <c r="AW11" i="1" a="1"/>
  <c r="AW11" i="1" s="1"/>
  <c r="AQ12" i="1" a="1"/>
  <c r="AQ12" i="1" s="1"/>
  <c r="AV11" i="1" a="1"/>
  <c r="AV11" i="1" s="1"/>
  <c r="AL14" i="1" a="1"/>
  <c r="AL14" i="1" s="1"/>
  <c r="AM14" i="1" a="1"/>
  <c r="AM14" i="1" s="1"/>
  <c r="AG14" i="1" a="1"/>
  <c r="AG14" i="1" s="1"/>
  <c r="AT10" i="4" a="1"/>
  <c r="AT10" i="4" s="1"/>
  <c r="AS12" i="1" s="1" a="1"/>
  <c r="AS12" i="1" s="1"/>
  <c r="AO12" i="4" a="1"/>
  <c r="AO12" i="4" s="1"/>
  <c r="AN14" i="1" s="1" a="1"/>
  <c r="AN14" i="1" s="1"/>
  <c r="AH14" i="1" a="1"/>
  <c r="AH14" i="1" s="1"/>
  <c r="AE11" i="4" a="1"/>
  <c r="AE11" i="4" s="1"/>
  <c r="AD13" i="1" s="1" a="1"/>
  <c r="AD13" i="1" s="1"/>
  <c r="R12" i="1" a="1"/>
  <c r="R12" i="1" s="1"/>
  <c r="S12" i="1" a="1"/>
  <c r="S12" i="1" s="1"/>
  <c r="H12" i="1" a="1"/>
  <c r="H12" i="1" s="1"/>
  <c r="I12" i="1" a="1"/>
  <c r="I12" i="1" s="1"/>
  <c r="AG12" i="4"/>
  <c r="AH12" i="4" s="1"/>
  <c r="AI12" i="4" s="1" a="1"/>
  <c r="AI12" i="4" s="1"/>
  <c r="AQ11" i="4"/>
  <c r="AR11" i="4" s="1"/>
  <c r="AS11" i="4" s="1" a="1"/>
  <c r="AS11" i="4" s="1"/>
  <c r="AL13" i="4"/>
  <c r="AM13" i="4" s="1"/>
  <c r="AN13" i="4" s="1" a="1"/>
  <c r="AN13" i="4" s="1"/>
  <c r="AW9" i="4"/>
  <c r="AX9" i="4" s="1" a="1"/>
  <c r="AX9" i="4" s="1"/>
  <c r="M9" i="4"/>
  <c r="N9" i="4" s="1"/>
  <c r="O9" i="4" s="1" a="1"/>
  <c r="O9" i="4" s="1"/>
  <c r="W9" i="4"/>
  <c r="AQ13" i="1" l="1" a="1"/>
  <c r="AQ13" i="1" s="1"/>
  <c r="AR13" i="1" a="1"/>
  <c r="AR13" i="1" s="1"/>
  <c r="AY9" i="4" a="1"/>
  <c r="AY9" i="4" s="1"/>
  <c r="AX11" i="1" s="1" a="1"/>
  <c r="AX11" i="1" s="1"/>
  <c r="AC14" i="1" a="1"/>
  <c r="AC14" i="1" s="1"/>
  <c r="AL15" i="1" a="1"/>
  <c r="AL15" i="1" s="1"/>
  <c r="AB14" i="1" a="1"/>
  <c r="AB14" i="1" s="1"/>
  <c r="AT11" i="4" a="1"/>
  <c r="AT11" i="4" s="1"/>
  <c r="AS13" i="1" s="1" a="1"/>
  <c r="AS13" i="1" s="1"/>
  <c r="AO13" i="4" a="1"/>
  <c r="AO13" i="4" s="1"/>
  <c r="AN15" i="1" s="1" a="1"/>
  <c r="AN15" i="1" s="1"/>
  <c r="AM15" i="1" a="1"/>
  <c r="AM15" i="1" s="1"/>
  <c r="AJ12" i="4" a="1"/>
  <c r="AJ12" i="4" s="1"/>
  <c r="AI14" i="1" s="1" a="1"/>
  <c r="AI14" i="1" s="1"/>
  <c r="P9" i="4" a="1"/>
  <c r="P9" i="4" s="1"/>
  <c r="O11" i="1" s="1" a="1"/>
  <c r="O11" i="1" s="1"/>
  <c r="AG13" i="4"/>
  <c r="AH13" i="4" s="1"/>
  <c r="AI13" i="4" s="1" a="1"/>
  <c r="AI13" i="4" s="1"/>
  <c r="AB12" i="4"/>
  <c r="AC12" i="4" s="1"/>
  <c r="AD12" i="4" s="1" a="1"/>
  <c r="AD12" i="4" s="1"/>
  <c r="AV10" i="4"/>
  <c r="AW10" i="4" s="1"/>
  <c r="AX10" i="4" s="1" a="1"/>
  <c r="AX10" i="4" s="1"/>
  <c r="AQ12" i="4"/>
  <c r="AR12" i="4" s="1"/>
  <c r="AS12" i="4" s="1" a="1"/>
  <c r="AS12" i="4" s="1"/>
  <c r="AL14" i="4"/>
  <c r="X9" i="4"/>
  <c r="Y9" i="4" s="1" a="1"/>
  <c r="Y9" i="4" s="1"/>
  <c r="H10" i="4"/>
  <c r="I10" i="4" s="1"/>
  <c r="J10" i="4" s="1" a="1"/>
  <c r="J10" i="4" s="1"/>
  <c r="AQ14" i="1" l="1" a="1"/>
  <c r="AQ14" i="1" s="1"/>
  <c r="AV12" i="1" a="1"/>
  <c r="AV12" i="1" s="1"/>
  <c r="AM16" i="1" a="1"/>
  <c r="AM16" i="1" s="1"/>
  <c r="AL16" i="1" a="1"/>
  <c r="AL16" i="1" s="1"/>
  <c r="AY10" i="4" a="1"/>
  <c r="AY10" i="4" s="1"/>
  <c r="AX12" i="1" s="1" a="1"/>
  <c r="AX12" i="1" s="1"/>
  <c r="AW12" i="1" a="1"/>
  <c r="AW12" i="1" s="1"/>
  <c r="AR14" i="1" a="1"/>
  <c r="AR14" i="1" s="1"/>
  <c r="AT12" i="4" a="1"/>
  <c r="AT12" i="4" s="1"/>
  <c r="AS14" i="1" s="1" a="1"/>
  <c r="AS14" i="1" s="1"/>
  <c r="AH15" i="1" a="1"/>
  <c r="AH15" i="1" s="1"/>
  <c r="AG15" i="1" a="1"/>
  <c r="AG15" i="1" s="1"/>
  <c r="AJ13" i="4" a="1"/>
  <c r="AJ13" i="4" s="1"/>
  <c r="AI15" i="1" s="1" a="1"/>
  <c r="AI15" i="1" s="1"/>
  <c r="AE12" i="4" a="1"/>
  <c r="AE12" i="4" s="1"/>
  <c r="AD14" i="1" s="1" a="1"/>
  <c r="AD14" i="1" s="1"/>
  <c r="Z9" i="4" a="1"/>
  <c r="Z9" i="4" s="1"/>
  <c r="Y11" i="1" s="1" a="1"/>
  <c r="Y11" i="1" s="1"/>
  <c r="M12" i="1" a="1"/>
  <c r="M12" i="1" s="1"/>
  <c r="N12" i="1" a="1"/>
  <c r="N12" i="1" s="1"/>
  <c r="K10" i="4" a="1"/>
  <c r="K10" i="4" s="1"/>
  <c r="J12" i="1" s="1" a="1"/>
  <c r="J12" i="1" s="1"/>
  <c r="AV11" i="4"/>
  <c r="AW11" i="4" s="1"/>
  <c r="AX11" i="4" s="1" a="1"/>
  <c r="AX11" i="4" s="1"/>
  <c r="AQ13" i="4"/>
  <c r="AR13" i="4" s="1"/>
  <c r="AS13" i="4" s="1" a="1"/>
  <c r="AS13" i="4" s="1"/>
  <c r="AM14" i="4"/>
  <c r="AN14" i="4" s="1" a="1"/>
  <c r="AN14" i="4" s="1"/>
  <c r="AG14" i="4"/>
  <c r="AH14" i="4" s="1"/>
  <c r="AI14" i="4" s="1" a="1"/>
  <c r="AI14" i="4" s="1"/>
  <c r="AB13" i="4"/>
  <c r="W10" i="4"/>
  <c r="X10" i="4" s="1"/>
  <c r="Y10" i="4" s="1" a="1"/>
  <c r="Y10" i="4" s="1"/>
  <c r="R10" i="4"/>
  <c r="S10" i="4" s="1"/>
  <c r="T10" i="4" s="1" a="1"/>
  <c r="T10" i="4" s="1"/>
  <c r="AQ15" i="1" l="1" a="1"/>
  <c r="AQ15" i="1" s="1"/>
  <c r="AW13" i="1" a="1"/>
  <c r="AW13" i="1" s="1"/>
  <c r="AR15" i="1" a="1"/>
  <c r="AR15" i="1" s="1"/>
  <c r="AY11" i="4" a="1"/>
  <c r="AY11" i="4" s="1"/>
  <c r="AX13" i="1" s="1" a="1"/>
  <c r="AX13" i="1" s="1"/>
  <c r="AV13" i="1" a="1"/>
  <c r="AV13" i="1" s="1"/>
  <c r="AT13" i="4" a="1"/>
  <c r="AT13" i="4" s="1"/>
  <c r="AS15" i="1" s="1" a="1"/>
  <c r="AS15" i="1" s="1"/>
  <c r="AG16" i="1" a="1"/>
  <c r="AG16" i="1" s="1"/>
  <c r="AH16" i="1" a="1"/>
  <c r="AH16" i="1" s="1"/>
  <c r="AO14" i="4" a="1"/>
  <c r="AO14" i="4" s="1"/>
  <c r="AN16" i="1" s="1" a="1"/>
  <c r="AN16" i="1" s="1"/>
  <c r="AJ14" i="4" a="1"/>
  <c r="AJ14" i="4" s="1"/>
  <c r="AI16" i="1" s="1" a="1"/>
  <c r="AI16" i="1" s="1"/>
  <c r="AC15" i="1" a="1"/>
  <c r="AC15" i="1" s="1"/>
  <c r="AB15" i="1" a="1"/>
  <c r="AB15" i="1" s="1"/>
  <c r="W12" i="1" a="1"/>
  <c r="W12" i="1" s="1"/>
  <c r="Z10" i="4" a="1"/>
  <c r="Z10" i="4" s="1"/>
  <c r="Y12" i="1" s="1" a="1"/>
  <c r="Y12" i="1" s="1"/>
  <c r="X12" i="1" a="1"/>
  <c r="X12" i="1" s="1"/>
  <c r="U10" i="4" a="1"/>
  <c r="U10" i="4" s="1"/>
  <c r="T12" i="1" s="1" a="1"/>
  <c r="T12" i="1" s="1"/>
  <c r="H13" i="1" a="1"/>
  <c r="H13" i="1" s="1"/>
  <c r="I13" i="1" a="1"/>
  <c r="I13" i="1" s="1"/>
  <c r="AV12" i="4"/>
  <c r="AW12" i="4" s="1"/>
  <c r="AX12" i="4" s="1" a="1"/>
  <c r="AX12" i="4" s="1"/>
  <c r="AQ14" i="4"/>
  <c r="AR14" i="4" s="1"/>
  <c r="AS14" i="4" s="1" a="1"/>
  <c r="AS14" i="4" s="1"/>
  <c r="AC13" i="4"/>
  <c r="AD13" i="4" s="1" a="1"/>
  <c r="AD13" i="4" s="1"/>
  <c r="M10" i="4"/>
  <c r="AR16" i="1" l="1" a="1"/>
  <c r="AR16" i="1" s="1"/>
  <c r="AL17" i="1" a="1"/>
  <c r="AL17" i="1" s="1"/>
  <c r="AQ16" i="1" a="1"/>
  <c r="AQ16" i="1" s="1"/>
  <c r="AV14" i="1" a="1"/>
  <c r="AV14" i="1" s="1"/>
  <c r="AW14" i="1" a="1"/>
  <c r="AW14" i="1" s="1"/>
  <c r="AY12" i="4" a="1"/>
  <c r="AY12" i="4" s="1"/>
  <c r="AX14" i="1" s="1" a="1"/>
  <c r="AX14" i="1" s="1"/>
  <c r="AT14" i="4" a="1"/>
  <c r="AT14" i="4" s="1"/>
  <c r="AS16" i="1" s="1" a="1"/>
  <c r="AS16" i="1" s="1"/>
  <c r="AH17" i="1" a="1"/>
  <c r="AH17" i="1" s="1"/>
  <c r="AG17" i="1" a="1"/>
  <c r="AG17" i="1" s="1"/>
  <c r="AM17" i="1" a="1"/>
  <c r="AM17" i="1" s="1"/>
  <c r="AE13" i="4" a="1"/>
  <c r="AE13" i="4" s="1"/>
  <c r="AD15" i="1" s="1" a="1"/>
  <c r="AD15" i="1" s="1"/>
  <c r="X13" i="1" a="1"/>
  <c r="X13" i="1" s="1"/>
  <c r="W13" i="1" a="1"/>
  <c r="W13" i="1" s="1"/>
  <c r="R13" i="1" a="1"/>
  <c r="R13" i="1" s="1"/>
  <c r="S13" i="1" a="1"/>
  <c r="S13" i="1" s="1"/>
  <c r="AV13" i="4"/>
  <c r="AW13" i="4" s="1"/>
  <c r="AX13" i="4" s="1" a="1"/>
  <c r="AX13" i="4" s="1"/>
  <c r="AQ15" i="4"/>
  <c r="AL15" i="4"/>
  <c r="AG15" i="4"/>
  <c r="AH15" i="4" s="1"/>
  <c r="AI15" i="4" s="1" a="1"/>
  <c r="AI15" i="4" s="1"/>
  <c r="N10" i="4"/>
  <c r="O10" i="4" s="1" a="1"/>
  <c r="O10" i="4" s="1"/>
  <c r="AV15" i="1" l="1" a="1"/>
  <c r="AV15" i="1" s="1"/>
  <c r="AW15" i="1" a="1"/>
  <c r="AW15" i="1" s="1"/>
  <c r="AQ17" i="1" a="1"/>
  <c r="AQ17" i="1" s="1"/>
  <c r="AR17" i="1" a="1"/>
  <c r="AR17" i="1" s="1"/>
  <c r="AY13" i="4" a="1"/>
  <c r="AY13" i="4" s="1"/>
  <c r="AX15" i="1" s="1" a="1"/>
  <c r="AX15" i="1" s="1"/>
  <c r="AB16" i="1" a="1"/>
  <c r="AB16" i="1" s="1"/>
  <c r="AJ15" i="4" a="1"/>
  <c r="AJ15" i="4" s="1"/>
  <c r="AI17" i="1" s="1" a="1"/>
  <c r="AI17" i="1" s="1"/>
  <c r="AC16" i="1" a="1"/>
  <c r="AC16" i="1" s="1"/>
  <c r="P10" i="4" a="1"/>
  <c r="P10" i="4" s="1"/>
  <c r="O12" i="1" s="1" a="1"/>
  <c r="O12" i="1" s="1"/>
  <c r="AV14" i="4"/>
  <c r="AW14" i="4" s="1"/>
  <c r="AX14" i="4" s="1" a="1"/>
  <c r="AX14" i="4" s="1"/>
  <c r="AR15" i="4"/>
  <c r="AS15" i="4" s="1" a="1"/>
  <c r="AS15" i="4" s="1"/>
  <c r="AM15" i="4"/>
  <c r="AN15" i="4" s="1" a="1"/>
  <c r="AN15" i="4" s="1"/>
  <c r="AB14" i="4"/>
  <c r="M11" i="4"/>
  <c r="N11" i="4" s="1"/>
  <c r="O11" i="4" s="1" a="1"/>
  <c r="O11" i="4" s="1"/>
  <c r="R11" i="4"/>
  <c r="S11" i="4" s="1"/>
  <c r="T11" i="4" s="1" a="1"/>
  <c r="T11" i="4" s="1"/>
  <c r="H11" i="4"/>
  <c r="I11" i="4" s="1"/>
  <c r="J11" i="4" s="1" a="1"/>
  <c r="J11" i="4" s="1"/>
  <c r="W11" i="4"/>
  <c r="X11" i="4" s="1"/>
  <c r="Y11" i="4" s="1" a="1"/>
  <c r="Y11" i="4" s="1"/>
  <c r="AV16" i="1" l="1" a="1"/>
  <c r="AV16" i="1" s="1"/>
  <c r="AW16" i="1" a="1"/>
  <c r="AW16" i="1" s="1"/>
  <c r="AY14" i="4" a="1"/>
  <c r="AY14" i="4" s="1"/>
  <c r="AX16" i="1" s="1" a="1"/>
  <c r="AX16" i="1" s="1"/>
  <c r="AT15" i="4" a="1"/>
  <c r="AT15" i="4" s="1"/>
  <c r="AS17" i="1" s="1" a="1"/>
  <c r="AS17" i="1" s="1"/>
  <c r="AO15" i="4" a="1"/>
  <c r="AO15" i="4" s="1"/>
  <c r="AN17" i="1" s="1" a="1"/>
  <c r="AN17" i="1" s="1"/>
  <c r="AG18" i="1" a="1"/>
  <c r="AG18" i="1" s="1"/>
  <c r="AH18" i="1" a="1"/>
  <c r="AH18" i="1" s="1"/>
  <c r="Z11" i="4" a="1"/>
  <c r="Z11" i="4" s="1"/>
  <c r="Y13" i="1" s="1" a="1"/>
  <c r="Y13" i="1" s="1"/>
  <c r="N13" i="1" a="1"/>
  <c r="N13" i="1" s="1"/>
  <c r="U11" i="4" a="1"/>
  <c r="U11" i="4" s="1"/>
  <c r="T13" i="1" s="1" a="1"/>
  <c r="T13" i="1" s="1"/>
  <c r="M13" i="1" a="1"/>
  <c r="M13" i="1" s="1"/>
  <c r="P11" i="4" a="1"/>
  <c r="P11" i="4" s="1"/>
  <c r="O13" i="1" s="1" a="1"/>
  <c r="O13" i="1" s="1"/>
  <c r="K11" i="4" a="1"/>
  <c r="K11" i="4" s="1"/>
  <c r="J13" i="1" s="1" a="1"/>
  <c r="J13" i="1" s="1"/>
  <c r="AV15" i="4"/>
  <c r="AW15" i="4" s="1"/>
  <c r="AX15" i="4" s="1" a="1"/>
  <c r="AX15" i="4" s="1"/>
  <c r="AG16" i="4"/>
  <c r="AH16" i="4" s="1"/>
  <c r="AI16" i="4" s="1" a="1"/>
  <c r="AI16" i="4" s="1"/>
  <c r="AC14" i="4"/>
  <c r="AD14" i="4" s="1" a="1"/>
  <c r="AD14" i="4" s="1"/>
  <c r="AW17" i="1" l="1" a="1"/>
  <c r="AW17" i="1" s="1"/>
  <c r="AQ18" i="1" a="1"/>
  <c r="AQ18" i="1" s="1"/>
  <c r="AR18" i="1" a="1"/>
  <c r="AR18" i="1" s="1"/>
  <c r="AV17" i="1" a="1"/>
  <c r="AV17" i="1" s="1"/>
  <c r="AL18" i="1" a="1"/>
  <c r="AL18" i="1" s="1"/>
  <c r="AM18" i="1" a="1"/>
  <c r="AM18" i="1" s="1"/>
  <c r="AY15" i="4" a="1"/>
  <c r="AY15" i="4" s="1"/>
  <c r="AX17" i="1" s="1" a="1"/>
  <c r="AX17" i="1" s="1"/>
  <c r="W14" i="1" a="1"/>
  <c r="W14" i="1" s="1"/>
  <c r="X14" i="1" a="1"/>
  <c r="X14" i="1" s="1"/>
  <c r="AJ16" i="4" a="1"/>
  <c r="AJ16" i="4" s="1"/>
  <c r="AI18" i="1" s="1" a="1"/>
  <c r="AI18" i="1" s="1"/>
  <c r="AE14" i="4" a="1"/>
  <c r="AE14" i="4" s="1"/>
  <c r="AD16" i="1" s="1" a="1"/>
  <c r="AD16" i="1" s="1"/>
  <c r="R14" i="1" a="1"/>
  <c r="R14" i="1" s="1"/>
  <c r="S14" i="1" a="1"/>
  <c r="S14" i="1" s="1"/>
  <c r="H14" i="1" a="1"/>
  <c r="H14" i="1" s="1"/>
  <c r="M14" i="1" a="1"/>
  <c r="M14" i="1" s="1"/>
  <c r="I14" i="1" a="1"/>
  <c r="I14" i="1" s="1"/>
  <c r="N14" i="1" a="1"/>
  <c r="N14" i="1" s="1"/>
  <c r="AV16" i="4"/>
  <c r="AW16" i="4" s="1"/>
  <c r="AX16" i="4" s="1" a="1"/>
  <c r="AX16" i="4" s="1"/>
  <c r="AQ16" i="4"/>
  <c r="AL16" i="4"/>
  <c r="AG19" i="1" l="1" a="1"/>
  <c r="AG19" i="1" s="1"/>
  <c r="AW18" i="1" a="1"/>
  <c r="AW18" i="1" s="1"/>
  <c r="AH19" i="1" a="1"/>
  <c r="AH19" i="1" s="1"/>
  <c r="AY16" i="4" a="1"/>
  <c r="AY16" i="4" s="1"/>
  <c r="AX18" i="1" s="1" a="1"/>
  <c r="AX18" i="1" s="1"/>
  <c r="AV18" i="1" a="1"/>
  <c r="AV18" i="1" s="1"/>
  <c r="AC17" i="1" a="1"/>
  <c r="AC17" i="1" s="1"/>
  <c r="AB17" i="1" a="1"/>
  <c r="AB17" i="1" s="1"/>
  <c r="AG17" i="4"/>
  <c r="AH17" i="4" s="1"/>
  <c r="AI17" i="4" s="1" a="1"/>
  <c r="AI17" i="4" s="1"/>
  <c r="AV17" i="4"/>
  <c r="AW17" i="4" s="1"/>
  <c r="AX17" i="4" s="1" a="1"/>
  <c r="AX17" i="4" s="1"/>
  <c r="AR16" i="4"/>
  <c r="AS16" i="4" s="1" a="1"/>
  <c r="AS16" i="4" s="1"/>
  <c r="AM16" i="4"/>
  <c r="AN16" i="4" s="1" a="1"/>
  <c r="AN16" i="4" s="1"/>
  <c r="AB15" i="4"/>
  <c r="R12" i="4"/>
  <c r="H12" i="4"/>
  <c r="I12" i="4" s="1"/>
  <c r="J12" i="4" s="1" a="1"/>
  <c r="J12" i="4" s="1"/>
  <c r="AW19" i="1" l="1" a="1"/>
  <c r="AW19" i="1" s="1"/>
  <c r="AV19" i="1" a="1"/>
  <c r="AV19" i="1" s="1"/>
  <c r="AY17" i="4" a="1"/>
  <c r="AY17" i="4" s="1"/>
  <c r="AX19" i="1" s="1" a="1"/>
  <c r="AX19" i="1" s="1"/>
  <c r="AT16" i="4" a="1"/>
  <c r="AT16" i="4" s="1"/>
  <c r="AS18" i="1" s="1" a="1"/>
  <c r="AS18" i="1" s="1"/>
  <c r="AO16" i="4" a="1"/>
  <c r="AO16" i="4" s="1"/>
  <c r="AN18" i="1" s="1" a="1"/>
  <c r="AN18" i="1" s="1"/>
  <c r="AJ17" i="4" a="1"/>
  <c r="AJ17" i="4" s="1"/>
  <c r="AI19" i="1" s="1" a="1"/>
  <c r="AI19" i="1" s="1"/>
  <c r="K12" i="4" a="1"/>
  <c r="K12" i="4" s="1"/>
  <c r="J14" i="1" s="1" a="1"/>
  <c r="J14" i="1" s="1"/>
  <c r="AG18" i="4"/>
  <c r="AH18" i="4" s="1"/>
  <c r="AI18" i="4" s="1" a="1"/>
  <c r="AI18" i="4" s="1"/>
  <c r="AV18" i="4"/>
  <c r="AW18" i="4" s="1"/>
  <c r="AX18" i="4" s="1" a="1"/>
  <c r="AX18" i="4" s="1"/>
  <c r="AC15" i="4"/>
  <c r="AD15" i="4" s="1" a="1"/>
  <c r="AD15" i="4" s="1"/>
  <c r="S12" i="4"/>
  <c r="T12" i="4" s="1" a="1"/>
  <c r="T12" i="4" s="1"/>
  <c r="M12" i="4"/>
  <c r="N12" i="4" s="1"/>
  <c r="O12" i="4" s="1" a="1"/>
  <c r="O12" i="4" s="1"/>
  <c r="W12" i="4"/>
  <c r="AV20" i="1" l="1" a="1"/>
  <c r="AV20" i="1" s="1"/>
  <c r="AQ19" i="1" a="1"/>
  <c r="AQ19" i="1" s="1"/>
  <c r="AR19" i="1" a="1"/>
  <c r="AR19" i="1" s="1"/>
  <c r="AW20" i="1" a="1"/>
  <c r="AW20" i="1" s="1"/>
  <c r="AM19" i="1" a="1"/>
  <c r="AM19" i="1" s="1"/>
  <c r="AY18" i="4" a="1"/>
  <c r="AY18" i="4" s="1"/>
  <c r="AX20" i="1" s="1" a="1"/>
  <c r="AX20" i="1" s="1"/>
  <c r="AL19" i="1" a="1"/>
  <c r="AL19" i="1" s="1"/>
  <c r="AH20" i="1" a="1"/>
  <c r="AH20" i="1" s="1"/>
  <c r="AG20" i="1" a="1"/>
  <c r="AG20" i="1" s="1"/>
  <c r="H15" i="1" a="1"/>
  <c r="H15" i="1" s="1"/>
  <c r="AJ18" i="4" a="1"/>
  <c r="AJ18" i="4" s="1"/>
  <c r="AI20" i="1" s="1" a="1"/>
  <c r="AI20" i="1" s="1"/>
  <c r="AE15" i="4" a="1"/>
  <c r="AE15" i="4" s="1"/>
  <c r="AD17" i="1" s="1" a="1"/>
  <c r="AD17" i="1" s="1"/>
  <c r="U12" i="4" a="1"/>
  <c r="U12" i="4" s="1"/>
  <c r="T14" i="1" s="1" a="1"/>
  <c r="T14" i="1" s="1"/>
  <c r="P12" i="4" a="1"/>
  <c r="P12" i="4" s="1"/>
  <c r="O14" i="1" s="1" a="1"/>
  <c r="O14" i="1" s="1"/>
  <c r="I15" i="1" a="1"/>
  <c r="I15" i="1" s="1"/>
  <c r="AQ17" i="4"/>
  <c r="AR17" i="4" s="1"/>
  <c r="AS17" i="4" s="1" a="1"/>
  <c r="AS17" i="4" s="1"/>
  <c r="AG19" i="4"/>
  <c r="AH19" i="4" s="1"/>
  <c r="AI19" i="4" s="1" a="1"/>
  <c r="AI19" i="4" s="1"/>
  <c r="AL17" i="4"/>
  <c r="AM17" i="4" s="1"/>
  <c r="AN17" i="4" s="1" a="1"/>
  <c r="AN17" i="4" s="1"/>
  <c r="AV19" i="4"/>
  <c r="AW19" i="4" s="1"/>
  <c r="AX19" i="4" s="1" a="1"/>
  <c r="AX19" i="4" s="1"/>
  <c r="X12" i="4"/>
  <c r="Y12" i="4" s="1" a="1"/>
  <c r="Y12" i="4" s="1"/>
  <c r="AW21" i="1" l="1" a="1"/>
  <c r="AW21" i="1" s="1"/>
  <c r="AV21" i="1" a="1"/>
  <c r="AV21" i="1" s="1"/>
  <c r="AH21" i="1" a="1"/>
  <c r="AH21" i="1" s="1"/>
  <c r="AY19" i="4" a="1"/>
  <c r="AY19" i="4" s="1"/>
  <c r="AX21" i="1" s="1" a="1"/>
  <c r="AX21" i="1" s="1"/>
  <c r="AG21" i="1" a="1"/>
  <c r="AG21" i="1" s="1"/>
  <c r="AT17" i="4" a="1"/>
  <c r="AT17" i="4" s="1"/>
  <c r="AS19" i="1" s="1" a="1"/>
  <c r="AS19" i="1" s="1"/>
  <c r="AO17" i="4" a="1"/>
  <c r="AO17" i="4" s="1"/>
  <c r="AN19" i="1" s="1" a="1"/>
  <c r="AN19" i="1" s="1"/>
  <c r="AB18" i="1" a="1"/>
  <c r="AB18" i="1" s="1"/>
  <c r="AC18" i="1" a="1"/>
  <c r="AC18" i="1" s="1"/>
  <c r="AJ19" i="4" a="1"/>
  <c r="AJ19" i="4" s="1"/>
  <c r="AI21" i="1" s="1" a="1"/>
  <c r="AI21" i="1" s="1"/>
  <c r="Z12" i="4" a="1"/>
  <c r="Z12" i="4" s="1"/>
  <c r="Y14" i="1" s="1" a="1"/>
  <c r="Y14" i="1" s="1"/>
  <c r="R15" i="1" a="1"/>
  <c r="R15" i="1" s="1"/>
  <c r="N15" i="1" a="1"/>
  <c r="N15" i="1" s="1"/>
  <c r="M15" i="1" a="1"/>
  <c r="M15" i="1" s="1"/>
  <c r="S15" i="1" a="1"/>
  <c r="S15" i="1" s="1"/>
  <c r="AG20" i="4"/>
  <c r="AH20" i="4" s="1"/>
  <c r="AI20" i="4" s="1" a="1"/>
  <c r="AI20" i="4" s="1"/>
  <c r="AV20" i="4"/>
  <c r="AQ18" i="4"/>
  <c r="AL18" i="4"/>
  <c r="AB16" i="4"/>
  <c r="M13" i="4"/>
  <c r="N13" i="4" s="1"/>
  <c r="O13" i="4" s="1" a="1"/>
  <c r="O13" i="4" s="1"/>
  <c r="R13" i="4"/>
  <c r="S13" i="4" s="1"/>
  <c r="T13" i="4" s="1" a="1"/>
  <c r="T13" i="4" s="1"/>
  <c r="H13" i="4"/>
  <c r="W13" i="4"/>
  <c r="X13" i="4" s="1"/>
  <c r="Y13" i="4" s="1" a="1"/>
  <c r="Y13" i="4" s="1"/>
  <c r="AV22" i="1" l="1" a="1"/>
  <c r="AV22" i="1" s="1"/>
  <c r="AW22" i="1" a="1"/>
  <c r="AW22" i="1" s="1"/>
  <c r="AM20" i="1" a="1"/>
  <c r="AM20" i="1" s="1"/>
  <c r="AL20" i="1" a="1"/>
  <c r="AL20" i="1" s="1"/>
  <c r="AR20" i="1" a="1"/>
  <c r="AR20" i="1" s="1"/>
  <c r="AQ20" i="1" a="1"/>
  <c r="AQ20" i="1" s="1"/>
  <c r="AG22" i="1" a="1"/>
  <c r="AG22" i="1" s="1"/>
  <c r="AH22" i="1" a="1"/>
  <c r="AH22" i="1" s="1"/>
  <c r="AJ20" i="4" a="1"/>
  <c r="AJ20" i="4" s="1"/>
  <c r="AI22" i="1" s="1" a="1"/>
  <c r="AI22" i="1" s="1"/>
  <c r="Z13" i="4" a="1"/>
  <c r="Z13" i="4" s="1"/>
  <c r="Y15" i="1" s="1" a="1"/>
  <c r="Y15" i="1" s="1"/>
  <c r="X15" i="1" a="1"/>
  <c r="X15" i="1" s="1"/>
  <c r="W15" i="1" a="1"/>
  <c r="W15" i="1" s="1"/>
  <c r="U13" i="4" a="1"/>
  <c r="U13" i="4" s="1"/>
  <c r="T15" i="1" s="1" a="1"/>
  <c r="T15" i="1" s="1"/>
  <c r="P13" i="4" a="1"/>
  <c r="P13" i="4" s="1"/>
  <c r="O15" i="1" s="1" a="1"/>
  <c r="O15" i="1" s="1"/>
  <c r="AW20" i="4"/>
  <c r="AX20" i="4" s="1" a="1"/>
  <c r="AX20" i="4" s="1"/>
  <c r="AR18" i="4"/>
  <c r="AS18" i="4" s="1" a="1"/>
  <c r="AS18" i="4" s="1"/>
  <c r="AM18" i="4"/>
  <c r="AN18" i="4" s="1" a="1"/>
  <c r="AN18" i="4" s="1"/>
  <c r="AC16" i="4"/>
  <c r="AD16" i="4" s="1" a="1"/>
  <c r="AD16" i="4" s="1"/>
  <c r="AG21" i="4"/>
  <c r="I13" i="4"/>
  <c r="J13" i="4" s="1" a="1"/>
  <c r="J13" i="4" s="1"/>
  <c r="AY20" i="4" l="1" a="1"/>
  <c r="AY20" i="4" s="1"/>
  <c r="AX22" i="1" s="1" a="1"/>
  <c r="AX22" i="1" s="1"/>
  <c r="AT18" i="4" a="1"/>
  <c r="AT18" i="4" s="1"/>
  <c r="AS20" i="1" s="1" a="1"/>
  <c r="AS20" i="1" s="1"/>
  <c r="AO18" i="4" a="1"/>
  <c r="AO18" i="4" s="1"/>
  <c r="AN20" i="1" s="1" a="1"/>
  <c r="AN20" i="1" s="1"/>
  <c r="AH23" i="1" a="1"/>
  <c r="AH23" i="1" s="1"/>
  <c r="AG23" i="1" a="1"/>
  <c r="AG23" i="1" s="1"/>
  <c r="AE16" i="4" a="1"/>
  <c r="AE16" i="4" s="1"/>
  <c r="AD18" i="1" s="1" a="1"/>
  <c r="AD18" i="1" s="1"/>
  <c r="M16" i="1" a="1"/>
  <c r="M16" i="1" s="1"/>
  <c r="X16" i="1" a="1"/>
  <c r="X16" i="1" s="1"/>
  <c r="W16" i="1" a="1"/>
  <c r="W16" i="1" s="1"/>
  <c r="N16" i="1" a="1"/>
  <c r="N16" i="1" s="1"/>
  <c r="R16" i="1" a="1"/>
  <c r="R16" i="1" s="1"/>
  <c r="S16" i="1" a="1"/>
  <c r="S16" i="1" s="1"/>
  <c r="K13" i="4" a="1"/>
  <c r="K13" i="4" s="1"/>
  <c r="J15" i="1" s="1" a="1"/>
  <c r="J15" i="1" s="1"/>
  <c r="AH21" i="4"/>
  <c r="AI21" i="4" s="1" a="1"/>
  <c r="AI21" i="4" s="1"/>
  <c r="M14" i="4"/>
  <c r="N14" i="4" s="1"/>
  <c r="O14" i="4" s="1" a="1"/>
  <c r="O14" i="4" s="1"/>
  <c r="R14" i="4"/>
  <c r="S14" i="4" s="1"/>
  <c r="T14" i="4" s="1" a="1"/>
  <c r="T14" i="4" s="1"/>
  <c r="H14" i="4"/>
  <c r="W14" i="4"/>
  <c r="X14" i="4" s="1"/>
  <c r="Y14" i="4" s="1" a="1"/>
  <c r="Y14" i="4" s="1"/>
  <c r="AW23" i="1" l="1" a="1"/>
  <c r="AW23" i="1" s="1"/>
  <c r="AV23" i="1" a="1"/>
  <c r="AV23" i="1" s="1"/>
  <c r="AQ21" i="1" a="1"/>
  <c r="AQ21" i="1" s="1"/>
  <c r="AR21" i="1" a="1"/>
  <c r="AR21" i="1" s="1"/>
  <c r="AL21" i="1" a="1"/>
  <c r="AL21" i="1" s="1"/>
  <c r="AM21" i="1" a="1"/>
  <c r="AM21" i="1" s="1"/>
  <c r="AJ21" i="4" a="1"/>
  <c r="AJ21" i="4" s="1"/>
  <c r="AI23" i="1" s="1" a="1"/>
  <c r="AI23" i="1" s="1"/>
  <c r="AC19" i="1" a="1"/>
  <c r="AC19" i="1" s="1"/>
  <c r="AB19" i="1" a="1"/>
  <c r="AB19" i="1" s="1"/>
  <c r="Z14" i="4" a="1"/>
  <c r="Z14" i="4" s="1"/>
  <c r="Y16" i="1" s="1" a="1"/>
  <c r="Y16" i="1" s="1"/>
  <c r="U14" i="4" a="1"/>
  <c r="U14" i="4" s="1"/>
  <c r="T16" i="1" s="1" a="1"/>
  <c r="T16" i="1" s="1"/>
  <c r="H16" i="1" a="1"/>
  <c r="H16" i="1" s="1"/>
  <c r="P14" i="4" a="1"/>
  <c r="P14" i="4" s="1"/>
  <c r="O16" i="1" s="1" a="1"/>
  <c r="O16" i="1" s="1"/>
  <c r="I16" i="1" a="1"/>
  <c r="I16" i="1" s="1"/>
  <c r="AQ19" i="4"/>
  <c r="AR19" i="4" s="1"/>
  <c r="AS19" i="4" s="1" a="1"/>
  <c r="AS19" i="4" s="1"/>
  <c r="AB17" i="4"/>
  <c r="AC17" i="4" s="1"/>
  <c r="AD17" i="4" s="1" a="1"/>
  <c r="AD17" i="4" s="1"/>
  <c r="AL19" i="4"/>
  <c r="AM19" i="4" s="1"/>
  <c r="AN19" i="4" s="1" a="1"/>
  <c r="AN19" i="4" s="1"/>
  <c r="AV21" i="4"/>
  <c r="AG22" i="4"/>
  <c r="AH22" i="4" s="1"/>
  <c r="AI22" i="4" s="1" a="1"/>
  <c r="AI22" i="4" s="1"/>
  <c r="I14" i="4"/>
  <c r="J14" i="4" s="1" a="1"/>
  <c r="J14" i="4" s="1"/>
  <c r="AT19" i="4" l="1" a="1"/>
  <c r="AT19" i="4" s="1"/>
  <c r="AS21" i="1" s="1" a="1"/>
  <c r="AS21" i="1" s="1"/>
  <c r="AG24" i="1" a="1"/>
  <c r="AG24" i="1" s="1"/>
  <c r="AO19" i="4" a="1"/>
  <c r="AO19" i="4" s="1"/>
  <c r="AN21" i="1" s="1" a="1"/>
  <c r="AN21" i="1" s="1"/>
  <c r="AJ22" i="4" a="1"/>
  <c r="AJ22" i="4" s="1"/>
  <c r="AI24" i="1" s="1" a="1"/>
  <c r="AI24" i="1" s="1"/>
  <c r="AH24" i="1" a="1"/>
  <c r="AH24" i="1" s="1"/>
  <c r="X17" i="1" a="1"/>
  <c r="X17" i="1" s="1"/>
  <c r="AE17" i="4" a="1"/>
  <c r="AE17" i="4" s="1"/>
  <c r="AD19" i="1" s="1" a="1"/>
  <c r="AD19" i="1" s="1"/>
  <c r="W17" i="1" a="1"/>
  <c r="W17" i="1" s="1"/>
  <c r="N17" i="1" a="1"/>
  <c r="N17" i="1" s="1"/>
  <c r="M17" i="1" a="1"/>
  <c r="M17" i="1" s="1"/>
  <c r="S17" i="1" a="1"/>
  <c r="S17" i="1" s="1"/>
  <c r="R17" i="1" a="1"/>
  <c r="R17" i="1" s="1"/>
  <c r="K14" i="4" a="1"/>
  <c r="K14" i="4" s="1"/>
  <c r="J16" i="1" s="1" a="1"/>
  <c r="J16" i="1" s="1"/>
  <c r="AW21" i="4"/>
  <c r="AX21" i="4" s="1" a="1"/>
  <c r="AX21" i="4" s="1"/>
  <c r="AQ20" i="4"/>
  <c r="AL20" i="4"/>
  <c r="AB18" i="4"/>
  <c r="H15" i="4"/>
  <c r="I15" i="4" s="1"/>
  <c r="J15" i="4" s="1" a="1"/>
  <c r="J15" i="4" s="1"/>
  <c r="AL22" i="1" l="1" a="1"/>
  <c r="AL22" i="1" s="1"/>
  <c r="AY21" i="4" a="1"/>
  <c r="AY21" i="4" s="1"/>
  <c r="AX23" i="1" s="1" a="1"/>
  <c r="AX23" i="1" s="1"/>
  <c r="AQ22" i="1" a="1"/>
  <c r="AQ22" i="1" s="1"/>
  <c r="AH25" i="1" a="1"/>
  <c r="AH25" i="1" s="1"/>
  <c r="AR22" i="1" a="1"/>
  <c r="AR22" i="1" s="1"/>
  <c r="AB20" i="1" a="1"/>
  <c r="AB20" i="1" s="1"/>
  <c r="AC20" i="1" a="1"/>
  <c r="AC20" i="1" s="1"/>
  <c r="AG25" i="1" a="1"/>
  <c r="AG25" i="1" s="1"/>
  <c r="AM22" i="1" a="1"/>
  <c r="AM22" i="1" s="1"/>
  <c r="H17" i="1" a="1"/>
  <c r="H17" i="1" s="1"/>
  <c r="I17" i="1" a="1"/>
  <c r="I17" i="1" s="1"/>
  <c r="K15" i="4" a="1"/>
  <c r="K15" i="4" s="1"/>
  <c r="J17" i="1" s="1" a="1"/>
  <c r="J17" i="1" s="1"/>
  <c r="AR20" i="4"/>
  <c r="AS20" i="4" s="1" a="1"/>
  <c r="AS20" i="4" s="1"/>
  <c r="AM20" i="4"/>
  <c r="AN20" i="4" s="1" a="1"/>
  <c r="AN20" i="4" s="1"/>
  <c r="AG23" i="4"/>
  <c r="AH23" i="4" s="1"/>
  <c r="AI23" i="4" s="1" a="1"/>
  <c r="AI23" i="4" s="1"/>
  <c r="AC18" i="4"/>
  <c r="AD18" i="4" s="1" a="1"/>
  <c r="AD18" i="4" s="1"/>
  <c r="R15" i="4"/>
  <c r="AV24" i="1" l="1" a="1"/>
  <c r="AV24" i="1" s="1"/>
  <c r="AW24" i="1" a="1"/>
  <c r="AW24" i="1" s="1"/>
  <c r="AT20" i="4" a="1"/>
  <c r="AT20" i="4" s="1"/>
  <c r="AS22" i="1" s="1" a="1"/>
  <c r="AS22" i="1" s="1"/>
  <c r="AO20" i="4" a="1"/>
  <c r="AO20" i="4" s="1"/>
  <c r="AN22" i="1" s="1" a="1"/>
  <c r="AN22" i="1" s="1"/>
  <c r="AJ23" i="4" a="1"/>
  <c r="AJ23" i="4" s="1"/>
  <c r="AI25" i="1" s="1" a="1"/>
  <c r="AI25" i="1" s="1"/>
  <c r="AE18" i="4" a="1"/>
  <c r="AE18" i="4" s="1"/>
  <c r="AD20" i="1" s="1" a="1"/>
  <c r="AD20" i="1" s="1"/>
  <c r="H18" i="1" a="1"/>
  <c r="H18" i="1" s="1"/>
  <c r="I18" i="1" a="1"/>
  <c r="I18" i="1" s="1"/>
  <c r="AV22" i="4"/>
  <c r="AW22" i="4" s="1"/>
  <c r="AX22" i="4" s="1" a="1"/>
  <c r="AX22" i="4" s="1"/>
  <c r="AG24" i="4"/>
  <c r="AH24" i="4" s="1"/>
  <c r="AI24" i="4" s="1" a="1"/>
  <c r="AI24" i="4" s="1"/>
  <c r="S15" i="4"/>
  <c r="T15" i="4" s="1" a="1"/>
  <c r="T15" i="4" s="1"/>
  <c r="M15" i="4"/>
  <c r="N15" i="4" s="1"/>
  <c r="O15" i="4" s="1" a="1"/>
  <c r="O15" i="4" s="1"/>
  <c r="AQ23" i="1" l="1" a="1"/>
  <c r="AQ23" i="1" s="1"/>
  <c r="AG26" i="1" a="1"/>
  <c r="AG26" i="1" s="1"/>
  <c r="AY22" i="4" a="1"/>
  <c r="AY22" i="4" s="1"/>
  <c r="AX24" i="1" s="1" a="1"/>
  <c r="AX24" i="1" s="1"/>
  <c r="AH26" i="1" a="1"/>
  <c r="AH26" i="1" s="1"/>
  <c r="AL23" i="1" a="1"/>
  <c r="AL23" i="1" s="1"/>
  <c r="AR23" i="1" a="1"/>
  <c r="AR23" i="1" s="1"/>
  <c r="AC21" i="1" a="1"/>
  <c r="AC21" i="1" s="1"/>
  <c r="AM23" i="1" a="1"/>
  <c r="AM23" i="1" s="1"/>
  <c r="AB21" i="1" a="1"/>
  <c r="AB21" i="1" s="1"/>
  <c r="AJ24" i="4" a="1"/>
  <c r="AJ24" i="4" s="1"/>
  <c r="AI26" i="1" s="1" a="1"/>
  <c r="AI26" i="1" s="1"/>
  <c r="U15" i="4" a="1"/>
  <c r="U15" i="4" s="1"/>
  <c r="T17" i="1" s="1" a="1"/>
  <c r="T17" i="1" s="1"/>
  <c r="P15" i="4" a="1"/>
  <c r="P15" i="4" s="1"/>
  <c r="O17" i="1" s="1" a="1"/>
  <c r="O17" i="1" s="1"/>
  <c r="AB19" i="4"/>
  <c r="AC19" i="4" s="1"/>
  <c r="AD19" i="4" s="1" a="1"/>
  <c r="AD19" i="4" s="1"/>
  <c r="AV23" i="4"/>
  <c r="AQ21" i="4"/>
  <c r="AL21" i="4"/>
  <c r="W15" i="4"/>
  <c r="X15" i="4" s="1"/>
  <c r="Y15" i="4" s="1" a="1"/>
  <c r="Y15" i="4" s="1"/>
  <c r="AW25" i="1" l="1" a="1"/>
  <c r="AW25" i="1" s="1"/>
  <c r="AV25" i="1" a="1"/>
  <c r="AV25" i="1" s="1"/>
  <c r="AH27" i="1" a="1"/>
  <c r="AH27" i="1" s="1"/>
  <c r="AG27" i="1" a="1"/>
  <c r="AG27" i="1" s="1"/>
  <c r="AE19" i="4" a="1"/>
  <c r="AE19" i="4" s="1"/>
  <c r="AD21" i="1" s="1" a="1"/>
  <c r="AD21" i="1" s="1"/>
  <c r="Z15" i="4" a="1"/>
  <c r="Z15" i="4" s="1"/>
  <c r="Y17" i="1" s="1" a="1"/>
  <c r="Y17" i="1" s="1"/>
  <c r="M18" i="1" a="1"/>
  <c r="M18" i="1" s="1"/>
  <c r="N18" i="1" a="1"/>
  <c r="N18" i="1" s="1"/>
  <c r="R18" i="1" a="1"/>
  <c r="R18" i="1" s="1"/>
  <c r="S18" i="1" a="1"/>
  <c r="S18" i="1" s="1"/>
  <c r="AG25" i="4"/>
  <c r="AH25" i="4" s="1"/>
  <c r="AI25" i="4" s="1" a="1"/>
  <c r="AI25" i="4" s="1"/>
  <c r="AW23" i="4"/>
  <c r="AX23" i="4" s="1" a="1"/>
  <c r="AX23" i="4" s="1"/>
  <c r="AR21" i="4"/>
  <c r="AS21" i="4" s="1" a="1"/>
  <c r="AS21" i="4" s="1"/>
  <c r="AM21" i="4"/>
  <c r="AN21" i="4" s="1" a="1"/>
  <c r="AN21" i="4" s="1"/>
  <c r="AB20" i="4"/>
  <c r="M16" i="4"/>
  <c r="N16" i="4" s="1"/>
  <c r="O16" i="4" s="1" a="1"/>
  <c r="O16" i="4" s="1"/>
  <c r="R16" i="4"/>
  <c r="S16" i="4" s="1"/>
  <c r="T16" i="4" s="1" a="1"/>
  <c r="T16" i="4" s="1"/>
  <c r="H16" i="4"/>
  <c r="I16" i="4" s="1"/>
  <c r="J16" i="4" s="1" a="1"/>
  <c r="J16" i="4" s="1"/>
  <c r="AY23" i="4" l="1" a="1"/>
  <c r="AY23" i="4" s="1"/>
  <c r="AX25" i="1" s="1" a="1"/>
  <c r="AX25" i="1" s="1"/>
  <c r="AT21" i="4" a="1"/>
  <c r="AT21" i="4" s="1"/>
  <c r="AS23" i="1" s="1" a="1"/>
  <c r="AS23" i="1" s="1"/>
  <c r="AO21" i="4" a="1"/>
  <c r="AO21" i="4" s="1"/>
  <c r="AN23" i="1" s="1" a="1"/>
  <c r="AN23" i="1" s="1"/>
  <c r="AJ25" i="4" a="1"/>
  <c r="AJ25" i="4" s="1"/>
  <c r="AI27" i="1" s="1" a="1"/>
  <c r="AI27" i="1" s="1"/>
  <c r="AB22" i="1" a="1"/>
  <c r="AB22" i="1" s="1"/>
  <c r="AC22" i="1" a="1"/>
  <c r="AC22" i="1" s="1"/>
  <c r="W18" i="1" a="1"/>
  <c r="W18" i="1" s="1"/>
  <c r="X18" i="1" a="1"/>
  <c r="X18" i="1" s="1"/>
  <c r="U16" i="4" a="1"/>
  <c r="U16" i="4" s="1"/>
  <c r="T18" i="1" s="1" a="1"/>
  <c r="T18" i="1" s="1"/>
  <c r="P16" i="4" a="1"/>
  <c r="P16" i="4" s="1"/>
  <c r="O18" i="1" s="1" a="1"/>
  <c r="O18" i="1" s="1"/>
  <c r="K16" i="4" a="1"/>
  <c r="K16" i="4" s="1"/>
  <c r="J18" i="1" s="1" a="1"/>
  <c r="J18" i="1" s="1"/>
  <c r="W16" i="4"/>
  <c r="X16" i="4" s="1"/>
  <c r="Y16" i="4" s="1" a="1"/>
  <c r="Y16" i="4" s="1"/>
  <c r="AC20" i="4"/>
  <c r="AD20" i="4" s="1" a="1"/>
  <c r="AD20" i="4" s="1"/>
  <c r="AG26" i="4"/>
  <c r="AV26" i="1" l="1" a="1"/>
  <c r="AV26" i="1" s="1"/>
  <c r="AR24" i="1" a="1"/>
  <c r="AR24" i="1" s="1"/>
  <c r="AW26" i="1" a="1"/>
  <c r="AW26" i="1" s="1"/>
  <c r="AQ24" i="1" a="1"/>
  <c r="AQ24" i="1" s="1"/>
  <c r="AG28" i="1" a="1"/>
  <c r="AG28" i="1" s="1"/>
  <c r="AL24" i="1" a="1"/>
  <c r="AL24" i="1" s="1"/>
  <c r="AM24" i="1" a="1"/>
  <c r="AM24" i="1" s="1"/>
  <c r="AH28" i="1" a="1"/>
  <c r="AH28" i="1" s="1"/>
  <c r="H19" i="1" a="1"/>
  <c r="H19" i="1" s="1"/>
  <c r="AE20" i="4" a="1"/>
  <c r="AE20" i="4" s="1"/>
  <c r="AD22" i="1" s="1" a="1"/>
  <c r="AD22" i="1" s="1"/>
  <c r="Z16" i="4" a="1"/>
  <c r="Z16" i="4" s="1"/>
  <c r="Y18" i="1" s="1" a="1"/>
  <c r="Y18" i="1" s="1"/>
  <c r="I19" i="1" a="1"/>
  <c r="I19" i="1" s="1"/>
  <c r="N19" i="1" a="1"/>
  <c r="N19" i="1" s="1"/>
  <c r="R19" i="1" a="1"/>
  <c r="R19" i="1" s="1"/>
  <c r="S19" i="1" a="1"/>
  <c r="S19" i="1" s="1"/>
  <c r="M19" i="1" a="1"/>
  <c r="M19" i="1" s="1"/>
  <c r="AV24" i="4"/>
  <c r="AW24" i="4" s="1"/>
  <c r="AX24" i="4" s="1" a="1"/>
  <c r="AX24" i="4" s="1"/>
  <c r="AL22" i="4"/>
  <c r="AM22" i="4" s="1"/>
  <c r="AN22" i="4" s="1" a="1"/>
  <c r="AN22" i="4" s="1"/>
  <c r="AQ22" i="4"/>
  <c r="AR22" i="4" s="1"/>
  <c r="AS22" i="4" s="1" a="1"/>
  <c r="AS22" i="4" s="1"/>
  <c r="AH26" i="4"/>
  <c r="AI26" i="4" s="1" a="1"/>
  <c r="AI26" i="4" s="1"/>
  <c r="AY24" i="4" l="1" a="1"/>
  <c r="AY24" i="4" s="1"/>
  <c r="AX26" i="1" s="1" a="1"/>
  <c r="AX26" i="1" s="1"/>
  <c r="AT22" i="4" a="1"/>
  <c r="AT22" i="4" s="1"/>
  <c r="AS24" i="1" s="1" a="1"/>
  <c r="AS24" i="1" s="1"/>
  <c r="AC23" i="1" a="1"/>
  <c r="AC23" i="1" s="1"/>
  <c r="AO22" i="4" a="1"/>
  <c r="AO22" i="4" s="1"/>
  <c r="AN24" i="1" s="1" a="1"/>
  <c r="AN24" i="1" s="1"/>
  <c r="AJ26" i="4" a="1"/>
  <c r="AJ26" i="4" s="1"/>
  <c r="AI28" i="1" s="1" a="1"/>
  <c r="AI28" i="1" s="1"/>
  <c r="AB23" i="1" a="1"/>
  <c r="AB23" i="1" s="1"/>
  <c r="W19" i="1" a="1"/>
  <c r="W19" i="1" s="1"/>
  <c r="X19" i="1" a="1"/>
  <c r="X19" i="1" s="1"/>
  <c r="AV25" i="4"/>
  <c r="AQ23" i="4"/>
  <c r="AL23" i="4"/>
  <c r="AB21" i="4"/>
  <c r="AG27" i="4"/>
  <c r="R17" i="4"/>
  <c r="M17" i="4"/>
  <c r="N17" i="4" s="1"/>
  <c r="O17" i="4" s="1" a="1"/>
  <c r="O17" i="4" s="1"/>
  <c r="H17" i="4"/>
  <c r="I17" i="4" s="1"/>
  <c r="J17" i="4" s="1" a="1"/>
  <c r="J17" i="4" s="1"/>
  <c r="W17" i="4"/>
  <c r="X17" i="4" s="1"/>
  <c r="Y17" i="4" s="1" a="1"/>
  <c r="Y17" i="4" s="1"/>
  <c r="AW27" i="1" l="1" a="1"/>
  <c r="AW27" i="1" s="1"/>
  <c r="AV27" i="1" a="1"/>
  <c r="AV27" i="1" s="1"/>
  <c r="AQ25" i="1" a="1"/>
  <c r="AQ25" i="1" s="1"/>
  <c r="AR25" i="1" a="1"/>
  <c r="AR25" i="1" s="1"/>
  <c r="AM25" i="1" a="1"/>
  <c r="AM25" i="1" s="1"/>
  <c r="AL25" i="1" a="1"/>
  <c r="AL25" i="1" s="1"/>
  <c r="AH29" i="1" a="1"/>
  <c r="AH29" i="1" s="1"/>
  <c r="AG29" i="1" a="1"/>
  <c r="AG29" i="1" s="1"/>
  <c r="Z17" i="4" a="1"/>
  <c r="Z17" i="4" s="1"/>
  <c r="Y19" i="1" s="1" a="1"/>
  <c r="Y19" i="1" s="1"/>
  <c r="P17" i="4" a="1"/>
  <c r="P17" i="4" s="1"/>
  <c r="O19" i="1" s="1" a="1"/>
  <c r="O19" i="1" s="1"/>
  <c r="K17" i="4" a="1"/>
  <c r="K17" i="4" s="1"/>
  <c r="J19" i="1" s="1" a="1"/>
  <c r="J19" i="1" s="1"/>
  <c r="AW25" i="4"/>
  <c r="AX25" i="4" s="1" a="1"/>
  <c r="AX25" i="4" s="1"/>
  <c r="AR23" i="4"/>
  <c r="AS23" i="4" s="1" a="1"/>
  <c r="AS23" i="4" s="1"/>
  <c r="AM23" i="4"/>
  <c r="AN23" i="4" s="1" a="1"/>
  <c r="AN23" i="4" s="1"/>
  <c r="AC21" i="4"/>
  <c r="AD21" i="4" s="1" a="1"/>
  <c r="AD21" i="4" s="1"/>
  <c r="AH27" i="4"/>
  <c r="AI27" i="4" s="1" a="1"/>
  <c r="AI27" i="4" s="1"/>
  <c r="S17" i="4"/>
  <c r="T17" i="4" s="1" a="1"/>
  <c r="T17" i="4" s="1"/>
  <c r="AY25" i="4" l="1" a="1"/>
  <c r="AY25" i="4" s="1"/>
  <c r="AX27" i="1" s="1" a="1"/>
  <c r="AX27" i="1" s="1"/>
  <c r="AT23" i="4" a="1"/>
  <c r="AT23" i="4" s="1"/>
  <c r="AS25" i="1" s="1" a="1"/>
  <c r="AS25" i="1" s="1"/>
  <c r="AO23" i="4" a="1"/>
  <c r="AO23" i="4" s="1"/>
  <c r="AN25" i="1" s="1" a="1"/>
  <c r="AN25" i="1" s="1"/>
  <c r="AJ27" i="4" a="1"/>
  <c r="AJ27" i="4" s="1"/>
  <c r="AI29" i="1" s="1" a="1"/>
  <c r="AI29" i="1" s="1"/>
  <c r="AE21" i="4" a="1"/>
  <c r="AE21" i="4" s="1"/>
  <c r="AD23" i="1" s="1" a="1"/>
  <c r="AD23" i="1" s="1"/>
  <c r="M20" i="1" a="1"/>
  <c r="M20" i="1" s="1"/>
  <c r="N20" i="1" a="1"/>
  <c r="N20" i="1" s="1"/>
  <c r="W20" i="1" a="1"/>
  <c r="W20" i="1" s="1"/>
  <c r="X20" i="1" a="1"/>
  <c r="X20" i="1" s="1"/>
  <c r="H20" i="1" a="1"/>
  <c r="H20" i="1" s="1"/>
  <c r="U17" i="4" a="1"/>
  <c r="U17" i="4" s="1"/>
  <c r="T19" i="1" s="1" a="1"/>
  <c r="T19" i="1" s="1"/>
  <c r="I20" i="1" a="1"/>
  <c r="I20" i="1" s="1"/>
  <c r="R18" i="4"/>
  <c r="S18" i="4" s="1"/>
  <c r="T18" i="4" s="1" a="1"/>
  <c r="T18" i="4" s="1"/>
  <c r="H18" i="4"/>
  <c r="AV28" i="1" l="1" a="1"/>
  <c r="AV28" i="1" s="1"/>
  <c r="AQ26" i="1" a="1"/>
  <c r="AQ26" i="1" s="1"/>
  <c r="AL26" i="1" a="1"/>
  <c r="AL26" i="1" s="1"/>
  <c r="AR26" i="1" a="1"/>
  <c r="AR26" i="1" s="1"/>
  <c r="AW28" i="1" a="1"/>
  <c r="AW28" i="1" s="1"/>
  <c r="AB24" i="1" a="1"/>
  <c r="AB24" i="1" s="1"/>
  <c r="AM26" i="1" a="1"/>
  <c r="AM26" i="1" s="1"/>
  <c r="AG30" i="1" a="1"/>
  <c r="AG30" i="1" s="1"/>
  <c r="AH30" i="1" a="1"/>
  <c r="AH30" i="1" s="1"/>
  <c r="AC24" i="1" a="1"/>
  <c r="AC24" i="1" s="1"/>
  <c r="R20" i="1" a="1"/>
  <c r="R20" i="1" s="1"/>
  <c r="U18" i="4" a="1"/>
  <c r="U18" i="4" s="1"/>
  <c r="T20" i="1" s="1" a="1"/>
  <c r="T20" i="1" s="1"/>
  <c r="S20" i="1" a="1"/>
  <c r="S20" i="1" s="1"/>
  <c r="AQ24" i="4"/>
  <c r="AR24" i="4" s="1"/>
  <c r="AS24" i="4" s="1" a="1"/>
  <c r="AS24" i="4" s="1"/>
  <c r="AB22" i="4"/>
  <c r="AC22" i="4" s="1"/>
  <c r="AD22" i="4" s="1" a="1"/>
  <c r="AD22" i="4" s="1"/>
  <c r="AL24" i="4"/>
  <c r="AM24" i="4" s="1"/>
  <c r="AN24" i="4" s="1" a="1"/>
  <c r="AN24" i="4" s="1"/>
  <c r="AG28" i="4"/>
  <c r="AH28" i="4" s="1"/>
  <c r="AI28" i="4" s="1" a="1"/>
  <c r="AI28" i="4" s="1"/>
  <c r="AV26" i="4"/>
  <c r="I18" i="4"/>
  <c r="J18" i="4" s="1" a="1"/>
  <c r="J18" i="4" s="1"/>
  <c r="M18" i="4"/>
  <c r="N18" i="4" s="1"/>
  <c r="O18" i="4" s="1" a="1"/>
  <c r="O18" i="4" s="1"/>
  <c r="W18" i="4"/>
  <c r="AT24" i="4" l="1" a="1"/>
  <c r="AT24" i="4" s="1"/>
  <c r="AS26" i="1" s="1" a="1"/>
  <c r="AS26" i="1" s="1"/>
  <c r="AO24" i="4" a="1"/>
  <c r="AO24" i="4" s="1"/>
  <c r="AN26" i="1" s="1" a="1"/>
  <c r="AN26" i="1" s="1"/>
  <c r="AJ28" i="4" a="1"/>
  <c r="AJ28" i="4" s="1"/>
  <c r="AI30" i="1" s="1" a="1"/>
  <c r="AI30" i="1" s="1"/>
  <c r="AE22" i="4" a="1"/>
  <c r="AE22" i="4" s="1"/>
  <c r="AD24" i="1" s="1" a="1"/>
  <c r="AD24" i="1" s="1"/>
  <c r="S21" i="1" a="1"/>
  <c r="S21" i="1" s="1"/>
  <c r="R21" i="1" a="1"/>
  <c r="R21" i="1" s="1"/>
  <c r="P18" i="4" a="1"/>
  <c r="P18" i="4" s="1"/>
  <c r="O20" i="1" s="1" a="1"/>
  <c r="O20" i="1" s="1"/>
  <c r="K18" i="4" a="1"/>
  <c r="K18" i="4" s="1"/>
  <c r="J20" i="1" s="1" a="1"/>
  <c r="J20" i="1" s="1"/>
  <c r="AW26" i="4"/>
  <c r="AX26" i="4" s="1" a="1"/>
  <c r="AX26" i="4" s="1"/>
  <c r="AQ25" i="4"/>
  <c r="AL25" i="4"/>
  <c r="AB23" i="4"/>
  <c r="AG29" i="4"/>
  <c r="AH29" i="4" s="1"/>
  <c r="AI29" i="4" s="1" a="1"/>
  <c r="AI29" i="4" s="1"/>
  <c r="X18" i="4"/>
  <c r="Y18" i="4" s="1" a="1"/>
  <c r="Y18" i="4" s="1"/>
  <c r="AC25" i="1" l="1" a="1"/>
  <c r="AC25" i="1" s="1"/>
  <c r="AL27" i="1" a="1"/>
  <c r="AL27" i="1" s="1"/>
  <c r="AM27" i="1" a="1"/>
  <c r="AM27" i="1" s="1"/>
  <c r="AQ27" i="1" a="1"/>
  <c r="AQ27" i="1" s="1"/>
  <c r="AY26" i="4" a="1"/>
  <c r="AY26" i="4" s="1"/>
  <c r="AX28" i="1" s="1" a="1"/>
  <c r="AX28" i="1" s="1"/>
  <c r="AH31" i="1" a="1"/>
  <c r="AH31" i="1" s="1"/>
  <c r="AR27" i="1" a="1"/>
  <c r="AR27" i="1" s="1"/>
  <c r="AJ29" i="4" a="1"/>
  <c r="AJ29" i="4" s="1"/>
  <c r="AI31" i="1" s="1" a="1"/>
  <c r="AI31" i="1" s="1"/>
  <c r="AG31" i="1" a="1"/>
  <c r="AG31" i="1" s="1"/>
  <c r="AB25" i="1" a="1"/>
  <c r="AB25" i="1" s="1"/>
  <c r="N21" i="1" a="1"/>
  <c r="N21" i="1" s="1"/>
  <c r="Z18" i="4" a="1"/>
  <c r="Z18" i="4" s="1"/>
  <c r="Y20" i="1" s="1" a="1"/>
  <c r="Y20" i="1" s="1"/>
  <c r="I21" i="1" a="1"/>
  <c r="I21" i="1" s="1"/>
  <c r="M21" i="1" a="1"/>
  <c r="M21" i="1" s="1"/>
  <c r="H21" i="1" a="1"/>
  <c r="H21" i="1" s="1"/>
  <c r="AR25" i="4"/>
  <c r="AS25" i="4" s="1" a="1"/>
  <c r="AS25" i="4" s="1"/>
  <c r="AM25" i="4"/>
  <c r="AN25" i="4" s="1" a="1"/>
  <c r="AN25" i="4" s="1"/>
  <c r="AC23" i="4"/>
  <c r="AD23" i="4" s="1" a="1"/>
  <c r="AD23" i="4" s="1"/>
  <c r="M19" i="4"/>
  <c r="N19" i="4" s="1"/>
  <c r="O19" i="4" s="1" a="1"/>
  <c r="O19" i="4" s="1"/>
  <c r="R19" i="4"/>
  <c r="S19" i="4" s="1"/>
  <c r="T19" i="4" s="1" a="1"/>
  <c r="T19" i="4" s="1"/>
  <c r="H19" i="4"/>
  <c r="AG32" i="1" l="1" a="1"/>
  <c r="AG32" i="1" s="1"/>
  <c r="AW29" i="1" a="1"/>
  <c r="AW29" i="1" s="1"/>
  <c r="AV29" i="1" a="1"/>
  <c r="AV29" i="1" s="1"/>
  <c r="AT25" i="4" a="1"/>
  <c r="AT25" i="4" s="1"/>
  <c r="AS27" i="1" s="1" a="1"/>
  <c r="AS27" i="1" s="1"/>
  <c r="AO25" i="4" a="1"/>
  <c r="AO25" i="4" s="1"/>
  <c r="AN27" i="1" s="1" a="1"/>
  <c r="AN27" i="1" s="1"/>
  <c r="AH32" i="1" a="1"/>
  <c r="AH32" i="1" s="1"/>
  <c r="AE23" i="4" a="1"/>
  <c r="AE23" i="4" s="1"/>
  <c r="AD25" i="1" s="1" a="1"/>
  <c r="AD25" i="1" s="1"/>
  <c r="X21" i="1" a="1"/>
  <c r="X21" i="1" s="1"/>
  <c r="W21" i="1" a="1"/>
  <c r="W21" i="1" s="1"/>
  <c r="U19" i="4" a="1"/>
  <c r="U19" i="4" s="1"/>
  <c r="T21" i="1" s="1" a="1"/>
  <c r="T21" i="1" s="1"/>
  <c r="P19" i="4" a="1"/>
  <c r="P19" i="4" s="1"/>
  <c r="O21" i="1" s="1" a="1"/>
  <c r="O21" i="1" s="1"/>
  <c r="W19" i="4"/>
  <c r="X19" i="4" s="1"/>
  <c r="Y19" i="4" s="1" a="1"/>
  <c r="Y19" i="4" s="1"/>
  <c r="AV27" i="4"/>
  <c r="AG30" i="4"/>
  <c r="AH30" i="4" s="1"/>
  <c r="AI30" i="4" s="1" a="1"/>
  <c r="AI30" i="4" s="1"/>
  <c r="I19" i="4"/>
  <c r="J19" i="4" s="1" a="1"/>
  <c r="J19" i="4" s="1"/>
  <c r="AL28" i="1" l="1" a="1"/>
  <c r="AL28" i="1" s="1"/>
  <c r="AQ28" i="1" a="1"/>
  <c r="AQ28" i="1" s="1"/>
  <c r="AB26" i="1" a="1"/>
  <c r="AB26" i="1" s="1"/>
  <c r="AR28" i="1" a="1"/>
  <c r="AR28" i="1" s="1"/>
  <c r="AM28" i="1" a="1"/>
  <c r="AM28" i="1" s="1"/>
  <c r="AJ30" i="4" a="1"/>
  <c r="AJ30" i="4" s="1"/>
  <c r="AI32" i="1" s="1" a="1"/>
  <c r="AI32" i="1" s="1"/>
  <c r="AC26" i="1" a="1"/>
  <c r="AC26" i="1" s="1"/>
  <c r="M22" i="1" a="1"/>
  <c r="M22" i="1" s="1"/>
  <c r="Z19" i="4" a="1"/>
  <c r="Z19" i="4" s="1"/>
  <c r="Y21" i="1" s="1" a="1"/>
  <c r="Y21" i="1" s="1"/>
  <c r="N22" i="1" a="1"/>
  <c r="N22" i="1" s="1"/>
  <c r="R22" i="1" a="1"/>
  <c r="R22" i="1" s="1"/>
  <c r="S22" i="1" a="1"/>
  <c r="S22" i="1" s="1"/>
  <c r="K19" i="4" a="1"/>
  <c r="K19" i="4" s="1"/>
  <c r="J21" i="1" s="1" a="1"/>
  <c r="J21" i="1" s="1"/>
  <c r="AB24" i="4"/>
  <c r="AC24" i="4" s="1"/>
  <c r="AD24" i="4" s="1" a="1"/>
  <c r="AD24" i="4" s="1"/>
  <c r="AW27" i="4"/>
  <c r="AX27" i="4" s="1" a="1"/>
  <c r="AX27" i="4" s="1"/>
  <c r="AQ26" i="4"/>
  <c r="AL26" i="4"/>
  <c r="AG31" i="4"/>
  <c r="AH31" i="4" s="1"/>
  <c r="AI31" i="4" s="1" a="1"/>
  <c r="AI31" i="4" s="1"/>
  <c r="H20" i="4"/>
  <c r="I20" i="4" s="1"/>
  <c r="J20" i="4" s="1" a="1"/>
  <c r="J20" i="4" s="1"/>
  <c r="AY27" i="4" l="1" a="1"/>
  <c r="AY27" i="4" s="1"/>
  <c r="AX29" i="1" s="1" a="1"/>
  <c r="AX29" i="1" s="1"/>
  <c r="AG33" i="1" a="1"/>
  <c r="AG33" i="1" s="1"/>
  <c r="AJ31" i="4" a="1"/>
  <c r="AJ31" i="4" s="1"/>
  <c r="AI33" i="1" s="1" a="1"/>
  <c r="AI33" i="1" s="1"/>
  <c r="AH33" i="1" a="1"/>
  <c r="AH33" i="1" s="1"/>
  <c r="AE24" i="4" a="1"/>
  <c r="AE24" i="4" s="1"/>
  <c r="AD26" i="1" s="1" a="1"/>
  <c r="AD26" i="1" s="1"/>
  <c r="H22" i="1" a="1"/>
  <c r="H22" i="1" s="1"/>
  <c r="I22" i="1" a="1"/>
  <c r="I22" i="1" s="1"/>
  <c r="W22" i="1" a="1"/>
  <c r="W22" i="1" s="1"/>
  <c r="X22" i="1" a="1"/>
  <c r="X22" i="1" s="1"/>
  <c r="K20" i="4" a="1"/>
  <c r="K20" i="4" s="1"/>
  <c r="J22" i="1" s="1" a="1"/>
  <c r="J22" i="1" s="1"/>
  <c r="AR26" i="4"/>
  <c r="AS26" i="4" s="1" a="1"/>
  <c r="AS26" i="4" s="1"/>
  <c r="AM26" i="4"/>
  <c r="AN26" i="4" s="1" a="1"/>
  <c r="AN26" i="4" s="1"/>
  <c r="AB25" i="4"/>
  <c r="AG32" i="4"/>
  <c r="R20" i="4"/>
  <c r="AH34" i="1" l="1" a="1"/>
  <c r="AH34" i="1" s="1"/>
  <c r="AV30" i="1" a="1"/>
  <c r="AV30" i="1" s="1"/>
  <c r="AW30" i="1" a="1"/>
  <c r="AW30" i="1" s="1"/>
  <c r="AT26" i="4" a="1"/>
  <c r="AT26" i="4" s="1"/>
  <c r="AS28" i="1" s="1" a="1"/>
  <c r="AS28" i="1" s="1"/>
  <c r="AO26" i="4" a="1"/>
  <c r="AO26" i="4" s="1"/>
  <c r="AN28" i="1" s="1" a="1"/>
  <c r="AN28" i="1" s="1"/>
  <c r="I23" i="1" a="1"/>
  <c r="I23" i="1" s="1"/>
  <c r="AG34" i="1" a="1"/>
  <c r="AG34" i="1" s="1"/>
  <c r="AC27" i="1" a="1"/>
  <c r="AC27" i="1" s="1"/>
  <c r="H23" i="1" a="1"/>
  <c r="H23" i="1" s="1"/>
  <c r="AB27" i="1" a="1"/>
  <c r="AB27" i="1" s="1"/>
  <c r="AV28" i="4"/>
  <c r="AC25" i="4"/>
  <c r="AD25" i="4" s="1" a="1"/>
  <c r="AD25" i="4" s="1"/>
  <c r="AH32" i="4"/>
  <c r="AI32" i="4" s="1" a="1"/>
  <c r="AI32" i="4" s="1"/>
  <c r="S20" i="4"/>
  <c r="T20" i="4" s="1" a="1"/>
  <c r="T20" i="4" s="1"/>
  <c r="H21" i="4"/>
  <c r="I21" i="4" s="1"/>
  <c r="J21" i="4" s="1" a="1"/>
  <c r="J21" i="4" s="1"/>
  <c r="M20" i="4"/>
  <c r="W20" i="4"/>
  <c r="AL29" i="1" l="1" a="1"/>
  <c r="AL29" i="1" s="1"/>
  <c r="AM29" i="1" a="1"/>
  <c r="AM29" i="1" s="1"/>
  <c r="AQ29" i="1" a="1"/>
  <c r="AQ29" i="1" s="1"/>
  <c r="AR29" i="1" a="1"/>
  <c r="AR29" i="1" s="1"/>
  <c r="AJ32" i="4" a="1"/>
  <c r="AJ32" i="4" s="1"/>
  <c r="AI34" i="1" s="1" a="1"/>
  <c r="AI34" i="1" s="1"/>
  <c r="AE25" i="4" a="1"/>
  <c r="AE25" i="4" s="1"/>
  <c r="AD27" i="1" s="1" a="1"/>
  <c r="AD27" i="1" s="1"/>
  <c r="U20" i="4" a="1"/>
  <c r="U20" i="4" s="1"/>
  <c r="T22" i="1" s="1" a="1"/>
  <c r="T22" i="1" s="1"/>
  <c r="K21" i="4" a="1"/>
  <c r="K21" i="4" s="1"/>
  <c r="J23" i="1" s="1" a="1"/>
  <c r="J23" i="1" s="1"/>
  <c r="AW28" i="4"/>
  <c r="AX28" i="4" s="1" a="1"/>
  <c r="AX28" i="4" s="1"/>
  <c r="AQ27" i="4"/>
  <c r="AL27" i="4"/>
  <c r="X20" i="4"/>
  <c r="Y20" i="4" s="1" a="1"/>
  <c r="Y20" i="4" s="1"/>
  <c r="N20" i="4"/>
  <c r="O20" i="4" s="1" a="1"/>
  <c r="O20" i="4" s="1"/>
  <c r="AY28" i="4" l="1" a="1"/>
  <c r="AY28" i="4" s="1"/>
  <c r="AX30" i="1" s="1" a="1"/>
  <c r="AX30" i="1" s="1"/>
  <c r="AH35" i="1" a="1"/>
  <c r="AH35" i="1" s="1"/>
  <c r="AG35" i="1" a="1"/>
  <c r="AG35" i="1" s="1"/>
  <c r="R23" i="1" a="1"/>
  <c r="R23" i="1" s="1"/>
  <c r="AB28" i="1" a="1"/>
  <c r="AB28" i="1" s="1"/>
  <c r="AC28" i="1" a="1"/>
  <c r="AC28" i="1" s="1"/>
  <c r="Z20" i="4" a="1"/>
  <c r="Z20" i="4" s="1"/>
  <c r="Y22" i="1" s="1" a="1"/>
  <c r="Y22" i="1" s="1"/>
  <c r="S23" i="1" a="1"/>
  <c r="S23" i="1" s="1"/>
  <c r="H24" i="1" a="1"/>
  <c r="H24" i="1" s="1"/>
  <c r="P20" i="4" a="1"/>
  <c r="P20" i="4" s="1"/>
  <c r="O22" i="1" s="1" a="1"/>
  <c r="O22" i="1" s="1"/>
  <c r="I24" i="1" a="1"/>
  <c r="I24" i="1" s="1"/>
  <c r="AG33" i="4"/>
  <c r="AH33" i="4" s="1"/>
  <c r="AI33" i="4" s="1" a="1"/>
  <c r="AI33" i="4" s="1"/>
  <c r="AR27" i="4"/>
  <c r="AS27" i="4" s="1" a="1"/>
  <c r="AS27" i="4" s="1"/>
  <c r="AM27" i="4"/>
  <c r="AN27" i="4" s="1" a="1"/>
  <c r="AN27" i="4" s="1"/>
  <c r="AB26" i="4"/>
  <c r="R21" i="4"/>
  <c r="AW31" i="1" l="1" a="1"/>
  <c r="AW31" i="1" s="1"/>
  <c r="AV31" i="1" a="1"/>
  <c r="AV31" i="1" s="1"/>
  <c r="AT27" i="4" a="1"/>
  <c r="AT27" i="4" s="1"/>
  <c r="AS29" i="1" s="1" a="1"/>
  <c r="AS29" i="1" s="1"/>
  <c r="X23" i="1" a="1"/>
  <c r="X23" i="1" s="1"/>
  <c r="W23" i="1" a="1"/>
  <c r="W23" i="1" s="1"/>
  <c r="AO27" i="4" a="1"/>
  <c r="AO27" i="4" s="1"/>
  <c r="AN29" i="1" s="1" a="1"/>
  <c r="AN29" i="1" s="1"/>
  <c r="AJ33" i="4" a="1"/>
  <c r="AJ33" i="4" s="1"/>
  <c r="AI35" i="1" s="1" a="1"/>
  <c r="AI35" i="1" s="1"/>
  <c r="N23" i="1" a="1"/>
  <c r="N23" i="1" s="1"/>
  <c r="M23" i="1" a="1"/>
  <c r="M23" i="1" s="1"/>
  <c r="AV29" i="4"/>
  <c r="AW29" i="4" s="1"/>
  <c r="AX29" i="4" s="1" a="1"/>
  <c r="AX29" i="4" s="1"/>
  <c r="W21" i="4"/>
  <c r="X21" i="4" s="1"/>
  <c r="Y21" i="4" s="1" a="1"/>
  <c r="Y21" i="4" s="1"/>
  <c r="M21" i="4"/>
  <c r="N21" i="4" s="1"/>
  <c r="O21" i="4" s="1" a="1"/>
  <c r="O21" i="4" s="1"/>
  <c r="AC26" i="4"/>
  <c r="AD26" i="4" s="1" a="1"/>
  <c r="AD26" i="4" s="1"/>
  <c r="AG34" i="4"/>
  <c r="AH34" i="4" s="1"/>
  <c r="AI34" i="4" s="1" a="1"/>
  <c r="AI34" i="4" s="1"/>
  <c r="S21" i="4"/>
  <c r="T21" i="4" s="1" a="1"/>
  <c r="T21" i="4" s="1"/>
  <c r="AY29" i="4" l="1" a="1"/>
  <c r="AY29" i="4" s="1"/>
  <c r="AX31" i="1" s="1" a="1"/>
  <c r="AX31" i="1" s="1"/>
  <c r="AQ30" i="1" a="1"/>
  <c r="AQ30" i="1" s="1"/>
  <c r="AL30" i="1" a="1"/>
  <c r="AL30" i="1" s="1"/>
  <c r="AR30" i="1" a="1"/>
  <c r="AR30" i="1" s="1"/>
  <c r="AG36" i="1" a="1"/>
  <c r="AG36" i="1" s="1"/>
  <c r="AM30" i="1" a="1"/>
  <c r="AM30" i="1" s="1"/>
  <c r="AJ34" i="4" a="1"/>
  <c r="AJ34" i="4" s="1"/>
  <c r="AI36" i="1" s="1" a="1"/>
  <c r="AI36" i="1" s="1"/>
  <c r="AH36" i="1" a="1"/>
  <c r="AH36" i="1" s="1"/>
  <c r="AE26" i="4" a="1"/>
  <c r="AE26" i="4" s="1"/>
  <c r="AD28" i="1" s="1" a="1"/>
  <c r="AD28" i="1" s="1"/>
  <c r="Z21" i="4" a="1"/>
  <c r="Z21" i="4" s="1"/>
  <c r="Y23" i="1" s="1" a="1"/>
  <c r="Y23" i="1" s="1"/>
  <c r="U21" i="4" a="1"/>
  <c r="U21" i="4" s="1"/>
  <c r="T23" i="1" s="1" a="1"/>
  <c r="T23" i="1" s="1"/>
  <c r="P21" i="4" a="1"/>
  <c r="P21" i="4" s="1"/>
  <c r="O23" i="1" s="1" a="1"/>
  <c r="O23" i="1" s="1"/>
  <c r="AV30" i="4"/>
  <c r="AQ28" i="4"/>
  <c r="AL28" i="4"/>
  <c r="R22" i="4"/>
  <c r="S22" i="4" s="1"/>
  <c r="T22" i="4" s="1" a="1"/>
  <c r="T22" i="4" s="1"/>
  <c r="W22" i="4"/>
  <c r="X22" i="4" s="1"/>
  <c r="Y22" i="4" s="1" a="1"/>
  <c r="Y22" i="4" s="1"/>
  <c r="AV32" i="1" l="1" a="1"/>
  <c r="AV32" i="1" s="1"/>
  <c r="AW32" i="1" a="1"/>
  <c r="AW32" i="1" s="1"/>
  <c r="AG37" i="1" a="1"/>
  <c r="AG37" i="1" s="1"/>
  <c r="AH37" i="1" a="1"/>
  <c r="AH37" i="1" s="1"/>
  <c r="AC29" i="1" a="1"/>
  <c r="AC29" i="1" s="1"/>
  <c r="AB29" i="1" a="1"/>
  <c r="AB29" i="1" s="1"/>
  <c r="Z22" i="4" a="1"/>
  <c r="Z22" i="4" s="1"/>
  <c r="Y24" i="1" s="1" a="1"/>
  <c r="Y24" i="1" s="1"/>
  <c r="M24" i="1" a="1"/>
  <c r="M24" i="1" s="1"/>
  <c r="W24" i="1" a="1"/>
  <c r="W24" i="1" s="1"/>
  <c r="X24" i="1" a="1"/>
  <c r="X24" i="1" s="1"/>
  <c r="U22" i="4" a="1"/>
  <c r="U22" i="4" s="1"/>
  <c r="T24" i="1" s="1" a="1"/>
  <c r="T24" i="1" s="1"/>
  <c r="R24" i="1" a="1"/>
  <c r="R24" i="1" s="1"/>
  <c r="N24" i="1" a="1"/>
  <c r="N24" i="1" s="1"/>
  <c r="S24" i="1" a="1"/>
  <c r="S24" i="1" s="1"/>
  <c r="AW30" i="4"/>
  <c r="AX30" i="4" s="1" a="1"/>
  <c r="AX30" i="4" s="1"/>
  <c r="AR28" i="4"/>
  <c r="AS28" i="4" s="1" a="1"/>
  <c r="AS28" i="4" s="1"/>
  <c r="AM28" i="4"/>
  <c r="AN28" i="4" s="1" a="1"/>
  <c r="AN28" i="4" s="1"/>
  <c r="AG35" i="4"/>
  <c r="AH35" i="4" s="1"/>
  <c r="AI35" i="4" s="1" a="1"/>
  <c r="AI35" i="4" s="1"/>
  <c r="AB27" i="4"/>
  <c r="M22" i="4"/>
  <c r="N22" i="4" s="1"/>
  <c r="O22" i="4" s="1" a="1"/>
  <c r="O22" i="4" s="1"/>
  <c r="H22" i="4"/>
  <c r="I22" i="4" s="1"/>
  <c r="J22" i="4" s="1" a="1"/>
  <c r="J22" i="4" s="1"/>
  <c r="AY30" i="4" l="1" a="1"/>
  <c r="AY30" i="4" s="1"/>
  <c r="AX32" i="1" s="1" a="1"/>
  <c r="AX32" i="1" s="1"/>
  <c r="AT28" i="4" a="1"/>
  <c r="AT28" i="4" s="1"/>
  <c r="AS30" i="1" s="1" a="1"/>
  <c r="AS30" i="1" s="1"/>
  <c r="AO28" i="4" a="1"/>
  <c r="AO28" i="4" s="1"/>
  <c r="AN30" i="1" s="1" a="1"/>
  <c r="AN30" i="1" s="1"/>
  <c r="AJ35" i="4" a="1"/>
  <c r="AJ35" i="4" s="1"/>
  <c r="AI37" i="1" s="1" a="1"/>
  <c r="AI37" i="1" s="1"/>
  <c r="X25" i="1" a="1"/>
  <c r="X25" i="1" s="1"/>
  <c r="W25" i="1" a="1"/>
  <c r="W25" i="1" s="1"/>
  <c r="S25" i="1" a="1"/>
  <c r="S25" i="1" s="1"/>
  <c r="R25" i="1" a="1"/>
  <c r="R25" i="1" s="1"/>
  <c r="P22" i="4" a="1"/>
  <c r="P22" i="4" s="1"/>
  <c r="O24" i="1" s="1" a="1"/>
  <c r="O24" i="1" s="1"/>
  <c r="K22" i="4" a="1"/>
  <c r="K22" i="4" s="1"/>
  <c r="J24" i="1" s="1" a="1"/>
  <c r="J24" i="1" s="1"/>
  <c r="AC27" i="4"/>
  <c r="AD27" i="4" s="1" a="1"/>
  <c r="AD27" i="4" s="1"/>
  <c r="AG36" i="4"/>
  <c r="AH36" i="4" s="1"/>
  <c r="AI36" i="4" s="1" a="1"/>
  <c r="AI36" i="4" s="1"/>
  <c r="AW33" i="1" l="1" a="1"/>
  <c r="AW33" i="1" s="1"/>
  <c r="AV33" i="1" a="1"/>
  <c r="AV33" i="1" s="1"/>
  <c r="AQ31" i="1" a="1"/>
  <c r="AQ31" i="1" s="1"/>
  <c r="AR31" i="1" a="1"/>
  <c r="AR31" i="1" s="1"/>
  <c r="AL31" i="1" a="1"/>
  <c r="AL31" i="1" s="1"/>
  <c r="AM31" i="1" a="1"/>
  <c r="AM31" i="1" s="1"/>
  <c r="AJ36" i="4" a="1"/>
  <c r="AJ36" i="4" s="1"/>
  <c r="AI38" i="1" s="1" a="1"/>
  <c r="AI38" i="1" s="1"/>
  <c r="AG38" i="1" a="1"/>
  <c r="AG38" i="1" s="1"/>
  <c r="AH38" i="1" a="1"/>
  <c r="AH38" i="1" s="1"/>
  <c r="AE27" i="4" a="1"/>
  <c r="AE27" i="4" s="1"/>
  <c r="AD29" i="1" s="1" a="1"/>
  <c r="AD29" i="1" s="1"/>
  <c r="N25" i="1" a="1"/>
  <c r="N25" i="1" s="1"/>
  <c r="M25" i="1" a="1"/>
  <c r="M25" i="1" s="1"/>
  <c r="H25" i="1" a="1"/>
  <c r="H25" i="1" s="1"/>
  <c r="I25" i="1" a="1"/>
  <c r="I25" i="1" s="1"/>
  <c r="AV31" i="4"/>
  <c r="AW31" i="4" s="1"/>
  <c r="AX31" i="4" s="1" a="1"/>
  <c r="AX31" i="4" s="1"/>
  <c r="AQ29" i="4"/>
  <c r="AR29" i="4" s="1"/>
  <c r="AS29" i="4" s="1" a="1"/>
  <c r="AS29" i="4" s="1"/>
  <c r="AL29" i="4"/>
  <c r="AM29" i="4" s="1"/>
  <c r="AN29" i="4" s="1" a="1"/>
  <c r="AN29" i="4" s="1"/>
  <c r="R23" i="4"/>
  <c r="S23" i="4" s="1"/>
  <c r="T23" i="4" s="1" a="1"/>
  <c r="T23" i="4" s="1"/>
  <c r="AY31" i="4" l="1" a="1"/>
  <c r="AY31" i="4" s="1"/>
  <c r="AX33" i="1" s="1" a="1"/>
  <c r="AX33" i="1" s="1"/>
  <c r="AT29" i="4" a="1"/>
  <c r="AT29" i="4" s="1"/>
  <c r="AS31" i="1" s="1" a="1"/>
  <c r="AS31" i="1" s="1"/>
  <c r="AH39" i="1" a="1"/>
  <c r="AH39" i="1" s="1"/>
  <c r="AO29" i="4" a="1"/>
  <c r="AO29" i="4" s="1"/>
  <c r="AN31" i="1" s="1" a="1"/>
  <c r="AN31" i="1" s="1"/>
  <c r="AB30" i="1" a="1"/>
  <c r="AB30" i="1" s="1"/>
  <c r="AG39" i="1" a="1"/>
  <c r="AG39" i="1" s="1"/>
  <c r="AC30" i="1" a="1"/>
  <c r="AC30" i="1" s="1"/>
  <c r="U23" i="4" a="1"/>
  <c r="U23" i="4" s="1"/>
  <c r="T25" i="1" s="1" a="1"/>
  <c r="T25" i="1" s="1"/>
  <c r="AG37" i="4"/>
  <c r="AH37" i="4" s="1"/>
  <c r="AI37" i="4" s="1" a="1"/>
  <c r="AI37" i="4" s="1"/>
  <c r="AV32" i="4"/>
  <c r="AQ30" i="4"/>
  <c r="AL30" i="4"/>
  <c r="AB28" i="4"/>
  <c r="H23" i="4"/>
  <c r="I23" i="4" s="1"/>
  <c r="J23" i="4" s="1" a="1"/>
  <c r="J23" i="4" s="1"/>
  <c r="W23" i="4"/>
  <c r="X23" i="4" s="1"/>
  <c r="Y23" i="4" s="1" a="1"/>
  <c r="Y23" i="4" s="1"/>
  <c r="AV34" i="1" l="1" a="1"/>
  <c r="AV34" i="1" s="1"/>
  <c r="AW34" i="1" a="1"/>
  <c r="AW34" i="1" s="1"/>
  <c r="AR32" i="1" a="1"/>
  <c r="AR32" i="1" s="1"/>
  <c r="AL32" i="1" a="1"/>
  <c r="AL32" i="1" s="1"/>
  <c r="AQ32" i="1" a="1"/>
  <c r="AQ32" i="1" s="1"/>
  <c r="AM32" i="1" a="1"/>
  <c r="AM32" i="1" s="1"/>
  <c r="AJ37" i="4" a="1"/>
  <c r="AJ37" i="4" s="1"/>
  <c r="AI39" i="1" s="1" a="1"/>
  <c r="AI39" i="1" s="1"/>
  <c r="R26" i="1" a="1"/>
  <c r="R26" i="1" s="1"/>
  <c r="Z23" i="4" a="1"/>
  <c r="Z23" i="4" s="1"/>
  <c r="Y25" i="1" s="1" a="1"/>
  <c r="Y25" i="1" s="1"/>
  <c r="S26" i="1" a="1"/>
  <c r="S26" i="1" s="1"/>
  <c r="K23" i="4" a="1"/>
  <c r="K23" i="4" s="1"/>
  <c r="J25" i="1" s="1" a="1"/>
  <c r="J25" i="1" s="1"/>
  <c r="AW32" i="4"/>
  <c r="AX32" i="4" s="1" a="1"/>
  <c r="AX32" i="4" s="1"/>
  <c r="AR30" i="4"/>
  <c r="AS30" i="4" s="1" a="1"/>
  <c r="AS30" i="4" s="1"/>
  <c r="AM30" i="4"/>
  <c r="AN30" i="4" s="1" a="1"/>
  <c r="AN30" i="4" s="1"/>
  <c r="AC28" i="4"/>
  <c r="AD28" i="4" s="1" a="1"/>
  <c r="AD28" i="4" s="1"/>
  <c r="M23" i="4"/>
  <c r="AY32" i="4" l="1" a="1"/>
  <c r="AY32" i="4" s="1"/>
  <c r="AX34" i="1" s="1" a="1"/>
  <c r="AX34" i="1" s="1"/>
  <c r="AT30" i="4" a="1"/>
  <c r="AT30" i="4" s="1"/>
  <c r="AS32" i="1" s="1" a="1"/>
  <c r="AS32" i="1" s="1"/>
  <c r="AO30" i="4" a="1"/>
  <c r="AO30" i="4" s="1"/>
  <c r="AN32" i="1" s="1" a="1"/>
  <c r="AN32" i="1" s="1"/>
  <c r="AG40" i="1" a="1"/>
  <c r="AG40" i="1" s="1"/>
  <c r="H26" i="1" a="1"/>
  <c r="H26" i="1" s="1"/>
  <c r="AH40" i="1" a="1"/>
  <c r="AH40" i="1" s="1"/>
  <c r="AE28" i="4" a="1"/>
  <c r="AE28" i="4" s="1"/>
  <c r="AD30" i="1" s="1" a="1"/>
  <c r="AD30" i="1" s="1"/>
  <c r="W26" i="1" a="1"/>
  <c r="W26" i="1" s="1"/>
  <c r="X26" i="1" a="1"/>
  <c r="X26" i="1" s="1"/>
  <c r="I26" i="1" a="1"/>
  <c r="I26" i="1" s="1"/>
  <c r="AG38" i="4"/>
  <c r="AH38" i="4" s="1"/>
  <c r="AI38" i="4" s="1" a="1"/>
  <c r="AI38" i="4" s="1"/>
  <c r="N23" i="4"/>
  <c r="O23" i="4" s="1" a="1"/>
  <c r="O23" i="4" s="1"/>
  <c r="R24" i="4"/>
  <c r="S24" i="4" s="1"/>
  <c r="T24" i="4" s="1" a="1"/>
  <c r="T24" i="4" s="1"/>
  <c r="AV35" i="1" l="1" a="1"/>
  <c r="AV35" i="1" s="1"/>
  <c r="AR33" i="1" a="1"/>
  <c r="AR33" i="1" s="1"/>
  <c r="AW35" i="1" a="1"/>
  <c r="AW35" i="1" s="1"/>
  <c r="AQ33" i="1" a="1"/>
  <c r="AQ33" i="1" s="1"/>
  <c r="AB31" i="1" a="1"/>
  <c r="AB31" i="1" s="1"/>
  <c r="AL33" i="1" a="1"/>
  <c r="AL33" i="1" s="1"/>
  <c r="AC31" i="1" a="1"/>
  <c r="AC31" i="1" s="1"/>
  <c r="AM33" i="1" a="1"/>
  <c r="AM33" i="1" s="1"/>
  <c r="AJ38" i="4" a="1"/>
  <c r="AJ38" i="4" s="1"/>
  <c r="AI40" i="1" s="1" a="1"/>
  <c r="AI40" i="1" s="1"/>
  <c r="U24" i="4" a="1"/>
  <c r="U24" i="4" s="1"/>
  <c r="T26" i="1" s="1" a="1"/>
  <c r="T26" i="1" s="1"/>
  <c r="P23" i="4" a="1"/>
  <c r="P23" i="4" s="1"/>
  <c r="O25" i="1" s="1" a="1"/>
  <c r="O25" i="1" s="1"/>
  <c r="AQ31" i="4"/>
  <c r="AR31" i="4" s="1"/>
  <c r="AS31" i="4" s="1" a="1"/>
  <c r="AS31" i="4" s="1"/>
  <c r="AB29" i="4"/>
  <c r="AC29" i="4" s="1"/>
  <c r="AD29" i="4" s="1" a="1"/>
  <c r="AD29" i="4" s="1"/>
  <c r="AL31" i="4"/>
  <c r="AM31" i="4" s="1"/>
  <c r="AN31" i="4" s="1" a="1"/>
  <c r="AN31" i="4" s="1"/>
  <c r="AV33" i="4"/>
  <c r="H24" i="4"/>
  <c r="AH41" i="1" l="1" a="1"/>
  <c r="AH41" i="1" s="1"/>
  <c r="AT31" i="4" a="1"/>
  <c r="AT31" i="4" s="1"/>
  <c r="AS33" i="1" s="1" a="1"/>
  <c r="AS33" i="1" s="1"/>
  <c r="AO31" i="4" a="1"/>
  <c r="AO31" i="4" s="1"/>
  <c r="AN33" i="1" s="1" a="1"/>
  <c r="AN33" i="1" s="1"/>
  <c r="AG41" i="1" a="1"/>
  <c r="AG41" i="1" s="1"/>
  <c r="AE29" i="4" a="1"/>
  <c r="AE29" i="4" s="1"/>
  <c r="AD31" i="1" s="1" a="1"/>
  <c r="AD31" i="1" s="1"/>
  <c r="M26" i="1" a="1"/>
  <c r="M26" i="1" s="1"/>
  <c r="N26" i="1" a="1"/>
  <c r="N26" i="1" s="1"/>
  <c r="S27" i="1" a="1"/>
  <c r="S27" i="1" s="1"/>
  <c r="R27" i="1" a="1"/>
  <c r="R27" i="1" s="1"/>
  <c r="AG39" i="4"/>
  <c r="AH39" i="4" s="1"/>
  <c r="AI39" i="4" s="1" a="1"/>
  <c r="AI39" i="4" s="1"/>
  <c r="M24" i="4"/>
  <c r="N24" i="4" s="1"/>
  <c r="O24" i="4" s="1" a="1"/>
  <c r="O24" i="4" s="1"/>
  <c r="AW33" i="4"/>
  <c r="AX33" i="4" s="1" a="1"/>
  <c r="AX33" i="4" s="1"/>
  <c r="AQ32" i="4"/>
  <c r="AL32" i="4"/>
  <c r="AB30" i="4"/>
  <c r="I24" i="4"/>
  <c r="J24" i="4" s="1" a="1"/>
  <c r="J24" i="4" s="1"/>
  <c r="AR34" i="1" l="1" a="1"/>
  <c r="AR34" i="1" s="1"/>
  <c r="AB32" i="1" a="1"/>
  <c r="AB32" i="1" s="1"/>
  <c r="AC32" i="1" a="1"/>
  <c r="AC32" i="1" s="1"/>
  <c r="AL34" i="1" a="1"/>
  <c r="AL34" i="1" s="1"/>
  <c r="AY33" i="4" a="1"/>
  <c r="AY33" i="4" s="1"/>
  <c r="AX35" i="1" s="1" a="1"/>
  <c r="AX35" i="1" s="1"/>
  <c r="AM34" i="1" a="1"/>
  <c r="AM34" i="1" s="1"/>
  <c r="AQ34" i="1" a="1"/>
  <c r="AQ34" i="1" s="1"/>
  <c r="AJ39" i="4" a="1"/>
  <c r="AJ39" i="4" s="1"/>
  <c r="AI41" i="1" s="1" a="1"/>
  <c r="AI41" i="1" s="1"/>
  <c r="P24" i="4" a="1"/>
  <c r="P24" i="4" s="1"/>
  <c r="O26" i="1" s="1" a="1"/>
  <c r="O26" i="1" s="1"/>
  <c r="K24" i="4" a="1"/>
  <c r="K24" i="4" s="1"/>
  <c r="J26" i="1" s="1" a="1"/>
  <c r="J26" i="1" s="1"/>
  <c r="M25" i="4"/>
  <c r="N25" i="4" s="1"/>
  <c r="O25" i="4" s="1" a="1"/>
  <c r="O25" i="4" s="1"/>
  <c r="AR32" i="4"/>
  <c r="AS32" i="4" s="1" a="1"/>
  <c r="AS32" i="4" s="1"/>
  <c r="AM32" i="4"/>
  <c r="AN32" i="4" s="1" a="1"/>
  <c r="AN32" i="4" s="1"/>
  <c r="AC30" i="4"/>
  <c r="AD30" i="4" s="1" a="1"/>
  <c r="AD30" i="4" s="1"/>
  <c r="W24" i="4"/>
  <c r="X24" i="4" s="1"/>
  <c r="Y24" i="4" s="1" a="1"/>
  <c r="Y24" i="4" s="1"/>
  <c r="H25" i="4"/>
  <c r="I25" i="4" s="1"/>
  <c r="J25" i="4" s="1" a="1"/>
  <c r="J25" i="4" s="1"/>
  <c r="AV36" i="1" l="1" a="1"/>
  <c r="AV36" i="1" s="1"/>
  <c r="AW36" i="1" a="1"/>
  <c r="AW36" i="1" s="1"/>
  <c r="AT32" i="4" a="1"/>
  <c r="AT32" i="4" s="1"/>
  <c r="AS34" i="1" s="1" a="1"/>
  <c r="AS34" i="1" s="1"/>
  <c r="AO32" i="4" a="1"/>
  <c r="AO32" i="4" s="1"/>
  <c r="AN34" i="1" s="1" a="1"/>
  <c r="AN34" i="1" s="1"/>
  <c r="N27" i="1" a="1"/>
  <c r="N27" i="1" s="1"/>
  <c r="AG42" i="1" a="1"/>
  <c r="AG42" i="1" s="1"/>
  <c r="AH42" i="1" a="1"/>
  <c r="AH42" i="1" s="1"/>
  <c r="AE30" i="4" a="1"/>
  <c r="AE30" i="4" s="1"/>
  <c r="AD32" i="1" s="1" a="1"/>
  <c r="AD32" i="1" s="1"/>
  <c r="M27" i="1" a="1"/>
  <c r="M27" i="1" s="1"/>
  <c r="Z24" i="4" a="1"/>
  <c r="Z24" i="4" s="1"/>
  <c r="Y26" i="1" s="1" a="1"/>
  <c r="Y26" i="1" s="1"/>
  <c r="H27" i="1" a="1"/>
  <c r="H27" i="1" s="1"/>
  <c r="I27" i="1" a="1"/>
  <c r="I27" i="1" s="1"/>
  <c r="P25" i="4" a="1"/>
  <c r="P25" i="4" s="1"/>
  <c r="O27" i="1" s="1" a="1"/>
  <c r="O27" i="1" s="1"/>
  <c r="K25" i="4" a="1"/>
  <c r="K25" i="4" s="1"/>
  <c r="J27" i="1" s="1" a="1"/>
  <c r="J27" i="1" s="1"/>
  <c r="AV34" i="4"/>
  <c r="AW34" i="4" s="1"/>
  <c r="AX34" i="4" s="1" a="1"/>
  <c r="AX34" i="4" s="1"/>
  <c r="AG40" i="4"/>
  <c r="AH40" i="4" s="1"/>
  <c r="AI40" i="4" s="1" a="1"/>
  <c r="AI40" i="4" s="1"/>
  <c r="R25" i="4"/>
  <c r="AL35" i="1" l="1" a="1"/>
  <c r="AL35" i="1" s="1"/>
  <c r="AY34" i="4" a="1"/>
  <c r="AY34" i="4" s="1"/>
  <c r="AX36" i="1" s="1" a="1"/>
  <c r="AX36" i="1" s="1"/>
  <c r="AM35" i="1" a="1"/>
  <c r="AM35" i="1" s="1"/>
  <c r="AQ35" i="1" a="1"/>
  <c r="AQ35" i="1" s="1"/>
  <c r="AR35" i="1" a="1"/>
  <c r="AR35" i="1" s="1"/>
  <c r="AJ40" i="4" a="1"/>
  <c r="AJ40" i="4" s="1"/>
  <c r="AI42" i="1" s="1" a="1"/>
  <c r="AI42" i="1" s="1"/>
  <c r="AC33" i="1" a="1"/>
  <c r="AC33" i="1" s="1"/>
  <c r="AB33" i="1" a="1"/>
  <c r="AB33" i="1" s="1"/>
  <c r="H28" i="1" a="1"/>
  <c r="H28" i="1" s="1"/>
  <c r="X27" i="1" a="1"/>
  <c r="X27" i="1" s="1"/>
  <c r="I28" i="1" a="1"/>
  <c r="I28" i="1" s="1"/>
  <c r="M28" i="1" a="1"/>
  <c r="M28" i="1" s="1"/>
  <c r="W27" i="1" a="1"/>
  <c r="W27" i="1" s="1"/>
  <c r="N28" i="1" a="1"/>
  <c r="N28" i="1" s="1"/>
  <c r="AB31" i="4"/>
  <c r="AC31" i="4" s="1"/>
  <c r="AD31" i="4" s="1" a="1"/>
  <c r="AD31" i="4" s="1"/>
  <c r="W25" i="4"/>
  <c r="X25" i="4" s="1"/>
  <c r="Y25" i="4" s="1" a="1"/>
  <c r="Y25" i="4" s="1"/>
  <c r="AV35" i="4"/>
  <c r="AQ33" i="4"/>
  <c r="AL33" i="4"/>
  <c r="AG41" i="4"/>
  <c r="AH41" i="4" s="1"/>
  <c r="AI41" i="4" s="1" a="1"/>
  <c r="AI41" i="4" s="1"/>
  <c r="S25" i="4"/>
  <c r="T25" i="4" s="1" a="1"/>
  <c r="T25" i="4" s="1"/>
  <c r="AV37" i="1" l="1" a="1"/>
  <c r="AV37" i="1" s="1"/>
  <c r="AW37" i="1" a="1"/>
  <c r="AW37" i="1" s="1"/>
  <c r="AG43" i="1" a="1"/>
  <c r="AG43" i="1" s="1"/>
  <c r="AH43" i="1" a="1"/>
  <c r="AH43" i="1" s="1"/>
  <c r="AJ41" i="4" a="1"/>
  <c r="AJ41" i="4" s="1"/>
  <c r="AI43" i="1" s="1" a="1"/>
  <c r="AI43" i="1" s="1"/>
  <c r="AE31" i="4" a="1"/>
  <c r="AE31" i="4" s="1"/>
  <c r="AD33" i="1" s="1" a="1"/>
  <c r="AD33" i="1" s="1"/>
  <c r="Z25" i="4" a="1"/>
  <c r="Z25" i="4" s="1"/>
  <c r="Y27" i="1" s="1" a="1"/>
  <c r="Y27" i="1" s="1"/>
  <c r="U25" i="4" a="1"/>
  <c r="U25" i="4" s="1"/>
  <c r="T27" i="1" s="1" a="1"/>
  <c r="T27" i="1" s="1"/>
  <c r="AW35" i="4"/>
  <c r="AX35" i="4" s="1" a="1"/>
  <c r="AX35" i="4" s="1"/>
  <c r="AR33" i="4"/>
  <c r="AS33" i="4" s="1" a="1"/>
  <c r="AS33" i="4" s="1"/>
  <c r="AM33" i="4"/>
  <c r="AN33" i="4" s="1" a="1"/>
  <c r="AN33" i="4" s="1"/>
  <c r="AB32" i="4"/>
  <c r="M26" i="4"/>
  <c r="N26" i="4" s="1"/>
  <c r="O26" i="4" s="1" a="1"/>
  <c r="O26" i="4" s="1"/>
  <c r="H26" i="4"/>
  <c r="W26" i="4"/>
  <c r="X26" i="4" s="1"/>
  <c r="Y26" i="4" s="1" a="1"/>
  <c r="Y26" i="4" s="1"/>
  <c r="AY35" i="4" l="1" a="1"/>
  <c r="AY35" i="4" s="1"/>
  <c r="AX37" i="1" s="1" a="1"/>
  <c r="AX37" i="1" s="1"/>
  <c r="AT33" i="4" a="1"/>
  <c r="AT33" i="4" s="1"/>
  <c r="AS35" i="1" s="1" a="1"/>
  <c r="AS35" i="1" s="1"/>
  <c r="AO33" i="4" a="1"/>
  <c r="AO33" i="4" s="1"/>
  <c r="AN35" i="1" s="1" a="1"/>
  <c r="AN35" i="1" s="1"/>
  <c r="AH44" i="1" a="1"/>
  <c r="AH44" i="1" s="1"/>
  <c r="AB34" i="1" a="1"/>
  <c r="AB34" i="1" s="1"/>
  <c r="AG44" i="1" a="1"/>
  <c r="AG44" i="1" s="1"/>
  <c r="AC34" i="1" a="1"/>
  <c r="AC34" i="1" s="1"/>
  <c r="S28" i="1" a="1"/>
  <c r="S28" i="1" s="1"/>
  <c r="W28" i="1" a="1"/>
  <c r="W28" i="1" s="1"/>
  <c r="Z26" i="4" a="1"/>
  <c r="Z26" i="4" s="1"/>
  <c r="Y28" i="1" s="1" a="1"/>
  <c r="Y28" i="1" s="1"/>
  <c r="R28" i="1" a="1"/>
  <c r="R28" i="1" s="1"/>
  <c r="X28" i="1" a="1"/>
  <c r="X28" i="1" s="1"/>
  <c r="P26" i="4" a="1"/>
  <c r="P26" i="4" s="1"/>
  <c r="O28" i="1" s="1" a="1"/>
  <c r="O28" i="1" s="1"/>
  <c r="AG42" i="4"/>
  <c r="AH42" i="4" s="1"/>
  <c r="AI42" i="4" s="1" a="1"/>
  <c r="AI42" i="4" s="1"/>
  <c r="AC32" i="4"/>
  <c r="AD32" i="4" s="1" a="1"/>
  <c r="AD32" i="4" s="1"/>
  <c r="R26" i="4"/>
  <c r="S26" i="4" s="1"/>
  <c r="I26" i="4"/>
  <c r="J26" i="4" s="1" a="1"/>
  <c r="J26" i="4" s="1"/>
  <c r="AV38" i="1" l="1" a="1"/>
  <c r="AV38" i="1" s="1"/>
  <c r="AW38" i="1" a="1"/>
  <c r="AW38" i="1" s="1"/>
  <c r="AQ36" i="1" a="1"/>
  <c r="AQ36" i="1" s="1"/>
  <c r="AR36" i="1" a="1"/>
  <c r="AR36" i="1" s="1"/>
  <c r="AL36" i="1" a="1"/>
  <c r="AL36" i="1" s="1"/>
  <c r="AM36" i="1" a="1"/>
  <c r="AM36" i="1" s="1"/>
  <c r="AJ42" i="4" a="1"/>
  <c r="AJ42" i="4" s="1"/>
  <c r="AI44" i="1" s="1" a="1"/>
  <c r="AI44" i="1" s="1"/>
  <c r="AE32" i="4" a="1"/>
  <c r="AE32" i="4" s="1"/>
  <c r="AD34" i="1" s="1" a="1"/>
  <c r="AD34" i="1" s="1"/>
  <c r="X29" i="1" a="1"/>
  <c r="X29" i="1" s="1"/>
  <c r="W29" i="1" a="1"/>
  <c r="W29" i="1" s="1"/>
  <c r="N29" i="1" a="1"/>
  <c r="N29" i="1" s="1"/>
  <c r="M29" i="1" a="1"/>
  <c r="M29" i="1" s="1"/>
  <c r="K26" i="4" a="1"/>
  <c r="K26" i="4" s="1"/>
  <c r="J28" i="1" s="1" a="1"/>
  <c r="J28" i="1" s="1"/>
  <c r="T26" i="4" a="1"/>
  <c r="T26" i="4" s="1"/>
  <c r="AV36" i="4"/>
  <c r="AW36" i="4" s="1"/>
  <c r="AX36" i="4" s="1" a="1"/>
  <c r="AX36" i="4" s="1"/>
  <c r="AQ34" i="4"/>
  <c r="AR34" i="4" s="1"/>
  <c r="AS34" i="4" s="1" a="1"/>
  <c r="AS34" i="4" s="1"/>
  <c r="AL34" i="4"/>
  <c r="AM34" i="4" s="1"/>
  <c r="AN34" i="4" s="1" a="1"/>
  <c r="AN34" i="4" s="1"/>
  <c r="AG43" i="4"/>
  <c r="AH43" i="4" s="1"/>
  <c r="AI43" i="4" s="1" a="1"/>
  <c r="AI43" i="4" s="1"/>
  <c r="H27" i="4"/>
  <c r="AH45" i="1" l="1" a="1"/>
  <c r="AH45" i="1" s="1"/>
  <c r="AY36" i="4" a="1"/>
  <c r="AY36" i="4" s="1"/>
  <c r="AX38" i="1" s="1" a="1"/>
  <c r="AX38" i="1" s="1"/>
  <c r="AG45" i="1" a="1"/>
  <c r="AG45" i="1" s="1"/>
  <c r="AT34" i="4" a="1"/>
  <c r="AT34" i="4" s="1"/>
  <c r="AS36" i="1" s="1" a="1"/>
  <c r="AS36" i="1" s="1"/>
  <c r="AO34" i="4" a="1"/>
  <c r="AO34" i="4" s="1"/>
  <c r="AN36" i="1" s="1" a="1"/>
  <c r="AN36" i="1" s="1"/>
  <c r="AB35" i="1" a="1"/>
  <c r="AB35" i="1" s="1"/>
  <c r="AJ43" i="4" a="1"/>
  <c r="AJ43" i="4" s="1"/>
  <c r="AI45" i="1" s="1" a="1"/>
  <c r="AI45" i="1" s="1"/>
  <c r="AC35" i="1" a="1"/>
  <c r="AC35" i="1" s="1"/>
  <c r="U26" i="4" a="1"/>
  <c r="U26" i="4" s="1"/>
  <c r="T28" i="1" s="1" a="1"/>
  <c r="T28" i="1" s="1"/>
  <c r="H29" i="1" a="1"/>
  <c r="H29" i="1" s="1"/>
  <c r="I29" i="1" a="1"/>
  <c r="I29" i="1" s="1"/>
  <c r="AV37" i="4"/>
  <c r="AQ35" i="4"/>
  <c r="AL35" i="4"/>
  <c r="AB33" i="4"/>
  <c r="AG44" i="4"/>
  <c r="I27" i="4"/>
  <c r="J27" i="4" s="1" a="1"/>
  <c r="J27" i="4" s="1"/>
  <c r="R27" i="4"/>
  <c r="W27" i="4"/>
  <c r="X27" i="4" s="1"/>
  <c r="Y27" i="4" s="1" a="1"/>
  <c r="Y27" i="4" s="1"/>
  <c r="AV39" i="1" l="1" a="1"/>
  <c r="AV39" i="1" s="1"/>
  <c r="AW39" i="1" a="1"/>
  <c r="AW39" i="1" s="1"/>
  <c r="AR37" i="1" a="1"/>
  <c r="AR37" i="1" s="1"/>
  <c r="AL37" i="1" a="1"/>
  <c r="AL37" i="1" s="1"/>
  <c r="AQ37" i="1" a="1"/>
  <c r="AQ37" i="1" s="1"/>
  <c r="AG46" i="1" a="1"/>
  <c r="AG46" i="1" s="1"/>
  <c r="AM37" i="1" a="1"/>
  <c r="AM37" i="1" s="1"/>
  <c r="AH46" i="1" a="1"/>
  <c r="AH46" i="1" s="1"/>
  <c r="Z27" i="4" a="1"/>
  <c r="Z27" i="4" s="1"/>
  <c r="Y29" i="1" s="1" a="1"/>
  <c r="Y29" i="1" s="1"/>
  <c r="S29" i="1" a="1"/>
  <c r="S29" i="1" s="1"/>
  <c r="R29" i="1" a="1"/>
  <c r="R29" i="1" s="1"/>
  <c r="K27" i="4" a="1"/>
  <c r="K27" i="4" s="1"/>
  <c r="J29" i="1" s="1" a="1"/>
  <c r="J29" i="1" s="1"/>
  <c r="AW37" i="4"/>
  <c r="AX37" i="4" s="1" a="1"/>
  <c r="AX37" i="4" s="1"/>
  <c r="AR35" i="4"/>
  <c r="AS35" i="4" s="1" a="1"/>
  <c r="AS35" i="4" s="1"/>
  <c r="AM35" i="4"/>
  <c r="AN35" i="4" s="1" a="1"/>
  <c r="AN35" i="4" s="1"/>
  <c r="AC33" i="4"/>
  <c r="AD33" i="4" s="1" a="1"/>
  <c r="AD33" i="4" s="1"/>
  <c r="AH44" i="4"/>
  <c r="AI44" i="4" s="1" a="1"/>
  <c r="AI44" i="4" s="1"/>
  <c r="S27" i="4"/>
  <c r="T27" i="4" s="1" a="1"/>
  <c r="T27" i="4" s="1"/>
  <c r="H28" i="4"/>
  <c r="I28" i="4" s="1"/>
  <c r="J28" i="4" s="1" a="1"/>
  <c r="J28" i="4" s="1"/>
  <c r="M27" i="4"/>
  <c r="AY37" i="4" l="1" a="1"/>
  <c r="AY37" i="4" s="1"/>
  <c r="AX39" i="1" s="1" a="1"/>
  <c r="AX39" i="1" s="1"/>
  <c r="AT35" i="4" a="1"/>
  <c r="AT35" i="4" s="1"/>
  <c r="AS37" i="1" s="1" a="1"/>
  <c r="AS37" i="1" s="1"/>
  <c r="AO35" i="4" a="1"/>
  <c r="AO35" i="4" s="1"/>
  <c r="AN37" i="1" s="1" a="1"/>
  <c r="AN37" i="1" s="1"/>
  <c r="AJ44" i="4" a="1"/>
  <c r="AJ44" i="4" s="1"/>
  <c r="AI46" i="1" s="1" a="1"/>
  <c r="AI46" i="1" s="1"/>
  <c r="AE33" i="4" a="1"/>
  <c r="AE33" i="4" s="1"/>
  <c r="AD35" i="1" s="1" a="1"/>
  <c r="AD35" i="1" s="1"/>
  <c r="W30" i="1" a="1"/>
  <c r="W30" i="1" s="1"/>
  <c r="X30" i="1" a="1"/>
  <c r="X30" i="1" s="1"/>
  <c r="U27" i="4" a="1"/>
  <c r="U27" i="4" s="1"/>
  <c r="T29" i="1" s="1" a="1"/>
  <c r="T29" i="1" s="1"/>
  <c r="H30" i="1" a="1"/>
  <c r="H30" i="1" s="1"/>
  <c r="I30" i="1" a="1"/>
  <c r="I30" i="1" s="1"/>
  <c r="K28" i="4" a="1"/>
  <c r="K28" i="4" s="1"/>
  <c r="J30" i="1" s="1" a="1"/>
  <c r="J30" i="1" s="1"/>
  <c r="N27" i="4"/>
  <c r="O27" i="4" s="1" a="1"/>
  <c r="O27" i="4" s="1"/>
  <c r="R28" i="4"/>
  <c r="AV40" i="1" l="1" a="1"/>
  <c r="AV40" i="1" s="1"/>
  <c r="AW40" i="1" a="1"/>
  <c r="AW40" i="1" s="1"/>
  <c r="AL38" i="1" a="1"/>
  <c r="AL38" i="1" s="1"/>
  <c r="AQ38" i="1" a="1"/>
  <c r="AQ38" i="1" s="1"/>
  <c r="AG47" i="1" a="1"/>
  <c r="AG47" i="1" s="1"/>
  <c r="AM38" i="1" a="1"/>
  <c r="AM38" i="1" s="1"/>
  <c r="AR38" i="1" a="1"/>
  <c r="AR38" i="1" s="1"/>
  <c r="AH47" i="1" a="1"/>
  <c r="AH47" i="1" s="1"/>
  <c r="AB36" i="1" a="1"/>
  <c r="AB36" i="1" s="1"/>
  <c r="AC36" i="1" a="1"/>
  <c r="AC36" i="1" s="1"/>
  <c r="R30" i="1" a="1"/>
  <c r="R30" i="1" s="1"/>
  <c r="S30" i="1" a="1"/>
  <c r="S30" i="1" s="1"/>
  <c r="P27" i="4" a="1"/>
  <c r="P27" i="4" s="1"/>
  <c r="O29" i="1" s="1" a="1"/>
  <c r="O29" i="1" s="1"/>
  <c r="I31" i="1" a="1"/>
  <c r="I31" i="1" s="1"/>
  <c r="H31" i="1" a="1"/>
  <c r="H31" i="1" s="1"/>
  <c r="AQ36" i="4"/>
  <c r="AR36" i="4" s="1"/>
  <c r="AS36" i="4" s="1" a="1"/>
  <c r="AS36" i="4" s="1"/>
  <c r="AB34" i="4"/>
  <c r="AC34" i="4" s="1"/>
  <c r="AD34" i="4" s="1" a="1"/>
  <c r="AD34" i="4" s="1"/>
  <c r="AL36" i="4"/>
  <c r="AM36" i="4" s="1"/>
  <c r="AN36" i="4" s="1" a="1"/>
  <c r="AN36" i="4" s="1"/>
  <c r="AG45" i="4"/>
  <c r="AH45" i="4" s="1"/>
  <c r="AI45" i="4" s="1" a="1"/>
  <c r="AI45" i="4" s="1"/>
  <c r="AV38" i="4"/>
  <c r="S28" i="4"/>
  <c r="T28" i="4" s="1" a="1"/>
  <c r="T28" i="4" s="1"/>
  <c r="AT36" i="4" l="1" a="1"/>
  <c r="AT36" i="4" s="1"/>
  <c r="AS38" i="1" s="1" a="1"/>
  <c r="AS38" i="1" s="1"/>
  <c r="AO36" i="4" a="1"/>
  <c r="AO36" i="4" s="1"/>
  <c r="AN38" i="1" s="1" a="1"/>
  <c r="AN38" i="1" s="1"/>
  <c r="AJ45" i="4" a="1"/>
  <c r="AJ45" i="4" s="1"/>
  <c r="AI47" i="1" s="1" a="1"/>
  <c r="AI47" i="1" s="1"/>
  <c r="AE34" i="4" a="1"/>
  <c r="AE34" i="4" s="1"/>
  <c r="AD36" i="1" s="1" a="1"/>
  <c r="AD36" i="1" s="1"/>
  <c r="U28" i="4" a="1"/>
  <c r="U28" i="4" s="1"/>
  <c r="T30" i="1" s="1" a="1"/>
  <c r="T30" i="1" s="1"/>
  <c r="M30" i="1" a="1"/>
  <c r="M30" i="1" s="1"/>
  <c r="N30" i="1" a="1"/>
  <c r="N30" i="1" s="1"/>
  <c r="M28" i="4"/>
  <c r="N28" i="4" s="1"/>
  <c r="O28" i="4" s="1" a="1"/>
  <c r="O28" i="4" s="1"/>
  <c r="AW38" i="4"/>
  <c r="AX38" i="4" s="1" a="1"/>
  <c r="AX38" i="4" s="1"/>
  <c r="AQ37" i="4"/>
  <c r="AL37" i="4"/>
  <c r="AB35" i="4"/>
  <c r="AG46" i="4"/>
  <c r="AH46" i="4" s="1"/>
  <c r="AI46" i="4" s="1" a="1"/>
  <c r="AI46" i="4" s="1"/>
  <c r="W28" i="4"/>
  <c r="X28" i="4" s="1"/>
  <c r="Y28" i="4" s="1" a="1"/>
  <c r="Y28" i="4" s="1"/>
  <c r="AG48" i="1" l="1" a="1"/>
  <c r="AG48" i="1" s="1"/>
  <c r="AR39" i="1" a="1"/>
  <c r="AR39" i="1" s="1"/>
  <c r="AH48" i="1" a="1"/>
  <c r="AH48" i="1" s="1"/>
  <c r="AQ39" i="1" a="1"/>
  <c r="AQ39" i="1" s="1"/>
  <c r="AY38" i="4" a="1"/>
  <c r="AY38" i="4" s="1"/>
  <c r="AX40" i="1" s="1" a="1"/>
  <c r="AX40" i="1" s="1"/>
  <c r="AL39" i="1" a="1"/>
  <c r="AL39" i="1" s="1"/>
  <c r="AM39" i="1" a="1"/>
  <c r="AM39" i="1" s="1"/>
  <c r="AB37" i="1" a="1"/>
  <c r="AB37" i="1" s="1"/>
  <c r="AJ46" i="4" a="1"/>
  <c r="AJ46" i="4" s="1"/>
  <c r="AI48" i="1" s="1" a="1"/>
  <c r="AI48" i="1" s="1"/>
  <c r="AC37" i="1" a="1"/>
  <c r="AC37" i="1" s="1"/>
  <c r="Z28" i="4" a="1"/>
  <c r="Z28" i="4" s="1"/>
  <c r="Y30" i="1" s="1" a="1"/>
  <c r="Y30" i="1" s="1"/>
  <c r="S31" i="1" a="1"/>
  <c r="S31" i="1" s="1"/>
  <c r="R31" i="1" a="1"/>
  <c r="R31" i="1" s="1"/>
  <c r="P28" i="4" a="1"/>
  <c r="P28" i="4" s="1"/>
  <c r="O30" i="1" s="1" a="1"/>
  <c r="O30" i="1" s="1"/>
  <c r="R29" i="4"/>
  <c r="S29" i="4" s="1"/>
  <c r="T29" i="4" s="1" a="1"/>
  <c r="T29" i="4" s="1"/>
  <c r="AR37" i="4"/>
  <c r="AS37" i="4" s="1" a="1"/>
  <c r="AS37" i="4" s="1"/>
  <c r="AM37" i="4"/>
  <c r="AN37" i="4" s="1" a="1"/>
  <c r="AN37" i="4" s="1"/>
  <c r="AC35" i="4"/>
  <c r="AD35" i="4" s="1" a="1"/>
  <c r="AD35" i="4" s="1"/>
  <c r="M29" i="4"/>
  <c r="H29" i="4"/>
  <c r="AW41" i="1" l="1" a="1"/>
  <c r="AW41" i="1" s="1"/>
  <c r="AV41" i="1" a="1"/>
  <c r="AV41" i="1" s="1"/>
  <c r="AG49" i="1" a="1"/>
  <c r="AG49" i="1" s="1"/>
  <c r="AT37" i="4" a="1"/>
  <c r="AT37" i="4" s="1"/>
  <c r="AS39" i="1" s="1" a="1"/>
  <c r="AS39" i="1" s="1"/>
  <c r="AO37" i="4" a="1"/>
  <c r="AO37" i="4" s="1"/>
  <c r="AN39" i="1" s="1" a="1"/>
  <c r="AN39" i="1" s="1"/>
  <c r="AH49" i="1" a="1"/>
  <c r="AH49" i="1" s="1"/>
  <c r="N31" i="1" a="1"/>
  <c r="N31" i="1" s="1"/>
  <c r="AE35" i="4" a="1"/>
  <c r="AE35" i="4" s="1"/>
  <c r="AD37" i="1" s="1" a="1"/>
  <c r="AD37" i="1" s="1"/>
  <c r="X31" i="1" a="1"/>
  <c r="X31" i="1" s="1"/>
  <c r="W31" i="1" a="1"/>
  <c r="W31" i="1" s="1"/>
  <c r="U29" i="4" a="1"/>
  <c r="U29" i="4" s="1"/>
  <c r="T31" i="1" s="1" a="1"/>
  <c r="T31" i="1" s="1"/>
  <c r="M31" i="1" a="1"/>
  <c r="M31" i="1" s="1"/>
  <c r="W29" i="4"/>
  <c r="X29" i="4" s="1"/>
  <c r="Y29" i="4" s="1" a="1"/>
  <c r="Y29" i="4" s="1"/>
  <c r="AV39" i="4"/>
  <c r="AG47" i="4"/>
  <c r="AH47" i="4" s="1"/>
  <c r="AI47" i="4" s="1" a="1"/>
  <c r="AI47" i="4" s="1"/>
  <c r="N29" i="4"/>
  <c r="O29" i="4" s="1" a="1"/>
  <c r="O29" i="4" s="1"/>
  <c r="I29" i="4"/>
  <c r="J29" i="4" s="1" a="1"/>
  <c r="J29" i="4" s="1"/>
  <c r="AQ40" i="1" l="1" a="1"/>
  <c r="AQ40" i="1" s="1"/>
  <c r="AR40" i="1" a="1"/>
  <c r="AR40" i="1" s="1"/>
  <c r="R32" i="1" a="1"/>
  <c r="R32" i="1" s="1"/>
  <c r="AL40" i="1" a="1"/>
  <c r="AL40" i="1" s="1"/>
  <c r="AM40" i="1" a="1"/>
  <c r="AM40" i="1" s="1"/>
  <c r="S32" i="1" a="1"/>
  <c r="S32" i="1" s="1"/>
  <c r="AJ47" i="4" a="1"/>
  <c r="AJ47" i="4" s="1"/>
  <c r="AI49" i="1" s="1" a="1"/>
  <c r="AI49" i="1" s="1"/>
  <c r="AB38" i="1" a="1"/>
  <c r="AB38" i="1" s="1"/>
  <c r="AC38" i="1" a="1"/>
  <c r="AC38" i="1" s="1"/>
  <c r="Z29" i="4" a="1"/>
  <c r="Z29" i="4" s="1"/>
  <c r="Y31" i="1" s="1" a="1"/>
  <c r="Y31" i="1" s="1"/>
  <c r="P29" i="4" a="1"/>
  <c r="P29" i="4" s="1"/>
  <c r="O31" i="1" s="1" a="1"/>
  <c r="O31" i="1" s="1"/>
  <c r="K29" i="4" a="1"/>
  <c r="K29" i="4" s="1"/>
  <c r="J31" i="1" s="1" a="1"/>
  <c r="J31" i="1" s="1"/>
  <c r="AB36" i="4"/>
  <c r="AC36" i="4" s="1"/>
  <c r="AD36" i="4" s="1" a="1"/>
  <c r="AD36" i="4" s="1"/>
  <c r="AW39" i="4"/>
  <c r="AX39" i="4" s="1" a="1"/>
  <c r="AX39" i="4" s="1"/>
  <c r="AQ38" i="4"/>
  <c r="AL38" i="4"/>
  <c r="AG48" i="4"/>
  <c r="AH48" i="4" s="1"/>
  <c r="AI48" i="4" s="1" a="1"/>
  <c r="AI48" i="4" s="1"/>
  <c r="R30" i="4"/>
  <c r="S30" i="4" s="1"/>
  <c r="T30" i="4" s="1" a="1"/>
  <c r="T30" i="4" s="1"/>
  <c r="H30" i="4"/>
  <c r="I30" i="4" s="1"/>
  <c r="J30" i="4" s="1" a="1"/>
  <c r="J30" i="4" s="1"/>
  <c r="AY39" i="4" l="1" a="1"/>
  <c r="AY39" i="4" s="1"/>
  <c r="AX41" i="1" s="1" a="1"/>
  <c r="AX41" i="1" s="1"/>
  <c r="AG50" i="1" a="1"/>
  <c r="AG50" i="1" s="1"/>
  <c r="AH50" i="1" a="1"/>
  <c r="AH50" i="1" s="1"/>
  <c r="W32" i="1" a="1"/>
  <c r="W32" i="1" s="1"/>
  <c r="AJ48" i="4" a="1"/>
  <c r="AJ48" i="4" s="1"/>
  <c r="AI50" i="1" s="1" a="1"/>
  <c r="AI50" i="1" s="1"/>
  <c r="AE36" i="4" a="1"/>
  <c r="AE36" i="4" s="1"/>
  <c r="AD38" i="1" s="1" a="1"/>
  <c r="AD38" i="1" s="1"/>
  <c r="M32" i="1" a="1"/>
  <c r="M32" i="1" s="1"/>
  <c r="X32" i="1" a="1"/>
  <c r="X32" i="1" s="1"/>
  <c r="U30" i="4" a="1"/>
  <c r="U30" i="4" s="1"/>
  <c r="T32" i="1" s="1" a="1"/>
  <c r="T32" i="1" s="1"/>
  <c r="H32" i="1" a="1"/>
  <c r="H32" i="1" s="1"/>
  <c r="N32" i="1" a="1"/>
  <c r="N32" i="1" s="1"/>
  <c r="K30" i="4" a="1"/>
  <c r="K30" i="4" s="1"/>
  <c r="J32" i="1" s="1" a="1"/>
  <c r="J32" i="1" s="1"/>
  <c r="I32" i="1" a="1"/>
  <c r="I32" i="1" s="1"/>
  <c r="M30" i="4"/>
  <c r="N30" i="4" s="1"/>
  <c r="O30" i="4" s="1" a="1"/>
  <c r="O30" i="4" s="1"/>
  <c r="AR38" i="4"/>
  <c r="AS38" i="4" s="1" a="1"/>
  <c r="AS38" i="4" s="1"/>
  <c r="AM38" i="4"/>
  <c r="AN38" i="4" s="1" a="1"/>
  <c r="AN38" i="4" s="1"/>
  <c r="AB37" i="4"/>
  <c r="W30" i="4"/>
  <c r="X30" i="4" s="1"/>
  <c r="Y30" i="4" s="1" a="1"/>
  <c r="Y30" i="4" s="1"/>
  <c r="AV42" i="1" l="1" a="1"/>
  <c r="AV42" i="1" s="1"/>
  <c r="AW42" i="1" a="1"/>
  <c r="AW42" i="1" s="1"/>
  <c r="AT38" i="4" a="1"/>
  <c r="AT38" i="4" s="1"/>
  <c r="AS40" i="1" s="1" a="1"/>
  <c r="AS40" i="1" s="1"/>
  <c r="AH51" i="1" a="1"/>
  <c r="AH51" i="1" s="1"/>
  <c r="AO38" i="4" a="1"/>
  <c r="AO38" i="4" s="1"/>
  <c r="AN40" i="1" s="1" a="1"/>
  <c r="AN40" i="1" s="1"/>
  <c r="AB39" i="1" a="1"/>
  <c r="AB39" i="1" s="1"/>
  <c r="AG51" i="1" a="1"/>
  <c r="AG51" i="1" s="1"/>
  <c r="H33" i="1" a="1"/>
  <c r="H33" i="1" s="1"/>
  <c r="AC39" i="1" a="1"/>
  <c r="AC39" i="1" s="1"/>
  <c r="Z30" i="4" a="1"/>
  <c r="Z30" i="4" s="1"/>
  <c r="Y32" i="1" s="1" a="1"/>
  <c r="Y32" i="1" s="1"/>
  <c r="S33" i="1" a="1"/>
  <c r="S33" i="1" s="1"/>
  <c r="R33" i="1" a="1"/>
  <c r="R33" i="1" s="1"/>
  <c r="P30" i="4" a="1"/>
  <c r="P30" i="4" s="1"/>
  <c r="O32" i="1" s="1" a="1"/>
  <c r="O32" i="1" s="1"/>
  <c r="I33" i="1" a="1"/>
  <c r="I33" i="1" s="1"/>
  <c r="AG49" i="4"/>
  <c r="AH49" i="4" s="1"/>
  <c r="AI49" i="4" s="1" a="1"/>
  <c r="AI49" i="4" s="1"/>
  <c r="AV40" i="4"/>
  <c r="AC37" i="4"/>
  <c r="AD37" i="4" s="1" a="1"/>
  <c r="AD37" i="4" s="1"/>
  <c r="AR41" i="1" l="1" a="1"/>
  <c r="AR41" i="1" s="1"/>
  <c r="AQ41" i="1" a="1"/>
  <c r="AQ41" i="1" s="1"/>
  <c r="AL41" i="1" a="1"/>
  <c r="AL41" i="1" s="1"/>
  <c r="AM41" i="1" a="1"/>
  <c r="AM41" i="1" s="1"/>
  <c r="AJ49" i="4" a="1"/>
  <c r="AJ49" i="4" s="1"/>
  <c r="AI51" i="1" s="1" a="1"/>
  <c r="AI51" i="1" s="1"/>
  <c r="AE37" i="4" a="1"/>
  <c r="AE37" i="4" s="1"/>
  <c r="AD39" i="1" s="1" a="1"/>
  <c r="AD39" i="1" s="1"/>
  <c r="X33" i="1" a="1"/>
  <c r="X33" i="1" s="1"/>
  <c r="W33" i="1" a="1"/>
  <c r="W33" i="1" s="1"/>
  <c r="M33" i="1" a="1"/>
  <c r="M33" i="1" s="1"/>
  <c r="N33" i="1" a="1"/>
  <c r="N33" i="1" s="1"/>
  <c r="M31" i="4"/>
  <c r="N31" i="4" s="1"/>
  <c r="O31" i="4" s="1" a="1"/>
  <c r="O31" i="4" s="1"/>
  <c r="AW40" i="4"/>
  <c r="AX40" i="4" s="1" a="1"/>
  <c r="AX40" i="4" s="1"/>
  <c r="AQ39" i="4"/>
  <c r="AL39" i="4"/>
  <c r="AG50" i="4"/>
  <c r="R31" i="4"/>
  <c r="W31" i="4"/>
  <c r="X31" i="4" s="1"/>
  <c r="Y31" i="4" s="1" a="1"/>
  <c r="Y31" i="4" s="1"/>
  <c r="AY40" i="4" l="1" a="1"/>
  <c r="AY40" i="4" s="1"/>
  <c r="AX42" i="1" s="1" a="1"/>
  <c r="AX42" i="1" s="1"/>
  <c r="AH52" i="1" a="1"/>
  <c r="AH52" i="1" s="1"/>
  <c r="AG52" i="1" a="1"/>
  <c r="AG52" i="1" s="1"/>
  <c r="AB40" i="1" a="1"/>
  <c r="AB40" i="1" s="1"/>
  <c r="AC40" i="1" a="1"/>
  <c r="AC40" i="1" s="1"/>
  <c r="Z31" i="4" a="1"/>
  <c r="Z31" i="4" s="1"/>
  <c r="Y33" i="1" s="1" a="1"/>
  <c r="Y33" i="1" s="1"/>
  <c r="P31" i="4" a="1"/>
  <c r="P31" i="4" s="1"/>
  <c r="O33" i="1" s="1" a="1"/>
  <c r="O33" i="1" s="1"/>
  <c r="AR39" i="4"/>
  <c r="AS39" i="4" s="1" a="1"/>
  <c r="AS39" i="4" s="1"/>
  <c r="AM39" i="4"/>
  <c r="AN39" i="4" s="1" a="1"/>
  <c r="AN39" i="4" s="1"/>
  <c r="AB38" i="4"/>
  <c r="AH50" i="4"/>
  <c r="AI50" i="4" s="1" a="1"/>
  <c r="AI50" i="4" s="1"/>
  <c r="S31" i="4"/>
  <c r="T31" i="4" s="1" a="1"/>
  <c r="T31" i="4" s="1"/>
  <c r="H31" i="4"/>
  <c r="I31" i="4" s="1"/>
  <c r="J31" i="4" s="1" a="1"/>
  <c r="J31" i="4" s="1"/>
  <c r="AV43" i="1" l="1" a="1"/>
  <c r="AV43" i="1" s="1"/>
  <c r="AW43" i="1" a="1"/>
  <c r="AW43" i="1" s="1"/>
  <c r="AT39" i="4" a="1"/>
  <c r="AT39" i="4" s="1"/>
  <c r="AS41" i="1" s="1" a="1"/>
  <c r="AS41" i="1" s="1"/>
  <c r="AO39" i="4" a="1"/>
  <c r="AO39" i="4" s="1"/>
  <c r="AN41" i="1" s="1" a="1"/>
  <c r="AN41" i="1" s="1"/>
  <c r="AJ50" i="4" a="1"/>
  <c r="AJ50" i="4" s="1"/>
  <c r="AI52" i="1" s="1" a="1"/>
  <c r="AI52" i="1" s="1"/>
  <c r="W34" i="1" a="1"/>
  <c r="W34" i="1" s="1"/>
  <c r="X34" i="1" a="1"/>
  <c r="X34" i="1" s="1"/>
  <c r="N34" i="1" a="1"/>
  <c r="N34" i="1" s="1"/>
  <c r="U31" i="4" a="1"/>
  <c r="U31" i="4" s="1"/>
  <c r="T33" i="1" s="1" a="1"/>
  <c r="T33" i="1" s="1"/>
  <c r="M34" i="1" a="1"/>
  <c r="M34" i="1" s="1"/>
  <c r="K31" i="4" a="1"/>
  <c r="K31" i="4" s="1"/>
  <c r="J33" i="1" s="1" a="1"/>
  <c r="J33" i="1" s="1"/>
  <c r="AV41" i="4"/>
  <c r="AW41" i="4" s="1"/>
  <c r="AX41" i="4" s="1" a="1"/>
  <c r="AX41" i="4" s="1"/>
  <c r="AC38" i="4"/>
  <c r="AD38" i="4" s="1" a="1"/>
  <c r="AD38" i="4" s="1"/>
  <c r="R32" i="4"/>
  <c r="S32" i="4" s="1"/>
  <c r="T32" i="4" s="1" a="1"/>
  <c r="T32" i="4" s="1"/>
  <c r="AG51" i="4"/>
  <c r="AQ42" i="1" l="1" a="1"/>
  <c r="AQ42" i="1" s="1"/>
  <c r="AY41" i="4" a="1"/>
  <c r="AY41" i="4" s="1"/>
  <c r="AX43" i="1" s="1" a="1"/>
  <c r="AX43" i="1" s="1"/>
  <c r="AL42" i="1" a="1"/>
  <c r="AL42" i="1" s="1"/>
  <c r="AM42" i="1" a="1"/>
  <c r="AM42" i="1" s="1"/>
  <c r="AR42" i="1" a="1"/>
  <c r="AR42" i="1" s="1"/>
  <c r="AG53" i="1" a="1"/>
  <c r="AG53" i="1" s="1"/>
  <c r="AH53" i="1" a="1"/>
  <c r="AH53" i="1" s="1"/>
  <c r="H34" i="1" a="1"/>
  <c r="H34" i="1" s="1"/>
  <c r="AE38" i="4" a="1"/>
  <c r="AE38" i="4" s="1"/>
  <c r="AD40" i="1" s="1" a="1"/>
  <c r="AD40" i="1" s="1"/>
  <c r="I34" i="1" a="1"/>
  <c r="I34" i="1" s="1"/>
  <c r="U32" i="4" a="1"/>
  <c r="U32" i="4" s="1"/>
  <c r="T34" i="1" s="1" a="1"/>
  <c r="T34" i="1" s="1"/>
  <c r="R34" i="1" a="1"/>
  <c r="R34" i="1" s="1"/>
  <c r="S34" i="1" a="1"/>
  <c r="S34" i="1" s="1"/>
  <c r="AV42" i="4"/>
  <c r="AQ40" i="4"/>
  <c r="AL40" i="4"/>
  <c r="AH51" i="4"/>
  <c r="AI51" i="4" s="1" a="1"/>
  <c r="AI51" i="4" s="1"/>
  <c r="AW44" i="1" l="1" a="1"/>
  <c r="AW44" i="1" s="1"/>
  <c r="AV44" i="1" a="1"/>
  <c r="AV44" i="1" s="1"/>
  <c r="AB41" i="1" a="1"/>
  <c r="AB41" i="1" s="1"/>
  <c r="AJ51" i="4" a="1"/>
  <c r="AJ51" i="4" s="1"/>
  <c r="AI53" i="1" s="1" a="1"/>
  <c r="AI53" i="1" s="1"/>
  <c r="AC41" i="1" a="1"/>
  <c r="AC41" i="1" s="1"/>
  <c r="R35" i="1" a="1"/>
  <c r="R35" i="1" s="1"/>
  <c r="S35" i="1" a="1"/>
  <c r="S35" i="1" s="1"/>
  <c r="AW42" i="4"/>
  <c r="AX42" i="4" s="1" a="1"/>
  <c r="AX42" i="4" s="1"/>
  <c r="AR40" i="4"/>
  <c r="AS40" i="4" s="1" a="1"/>
  <c r="AS40" i="4" s="1"/>
  <c r="AM40" i="4"/>
  <c r="AN40" i="4" s="1" a="1"/>
  <c r="AN40" i="4" s="1"/>
  <c r="AB39" i="4"/>
  <c r="M32" i="4"/>
  <c r="N32" i="4" s="1"/>
  <c r="O32" i="4" s="1" a="1"/>
  <c r="O32" i="4" s="1"/>
  <c r="H32" i="4"/>
  <c r="I32" i="4" s="1"/>
  <c r="J32" i="4" s="1" a="1"/>
  <c r="J32" i="4" s="1"/>
  <c r="W32" i="4"/>
  <c r="AY42" i="4" l="1" a="1"/>
  <c r="AY42" i="4" s="1"/>
  <c r="AX44" i="1" s="1" a="1"/>
  <c r="AX44" i="1" s="1"/>
  <c r="AT40" i="4" a="1"/>
  <c r="AT40" i="4" s="1"/>
  <c r="AS42" i="1" s="1" a="1"/>
  <c r="AS42" i="1" s="1"/>
  <c r="AG54" i="1" a="1"/>
  <c r="AG54" i="1" s="1"/>
  <c r="AO40" i="4" a="1"/>
  <c r="AO40" i="4" s="1"/>
  <c r="AN42" i="1" s="1" a="1"/>
  <c r="AN42" i="1" s="1"/>
  <c r="AH54" i="1" a="1"/>
  <c r="AH54" i="1" s="1"/>
  <c r="P32" i="4" a="1"/>
  <c r="P32" i="4" s="1"/>
  <c r="O34" i="1" s="1" a="1"/>
  <c r="O34" i="1" s="1"/>
  <c r="K32" i="4" a="1"/>
  <c r="K32" i="4" s="1"/>
  <c r="J34" i="1" s="1" a="1"/>
  <c r="J34" i="1" s="1"/>
  <c r="AG52" i="4"/>
  <c r="AH52" i="4" s="1"/>
  <c r="AI52" i="4" s="1" a="1"/>
  <c r="AI52" i="4" s="1"/>
  <c r="AC39" i="4"/>
  <c r="AD39" i="4" s="1" a="1"/>
  <c r="AD39" i="4" s="1"/>
  <c r="X32" i="4"/>
  <c r="Y32" i="4" s="1" a="1"/>
  <c r="Y32" i="4" s="1"/>
  <c r="AV45" i="1" l="1" a="1"/>
  <c r="AV45" i="1" s="1"/>
  <c r="AQ43" i="1" a="1"/>
  <c r="AQ43" i="1" s="1"/>
  <c r="AW45" i="1" a="1"/>
  <c r="AW45" i="1" s="1"/>
  <c r="AR43" i="1" a="1"/>
  <c r="AR43" i="1" s="1"/>
  <c r="AL43" i="1" a="1"/>
  <c r="AL43" i="1" s="1"/>
  <c r="AM43" i="1" a="1"/>
  <c r="AM43" i="1" s="1"/>
  <c r="H35" i="1" a="1"/>
  <c r="H35" i="1" s="1"/>
  <c r="AJ52" i="4" a="1"/>
  <c r="AJ52" i="4" s="1"/>
  <c r="AI54" i="1" s="1" a="1"/>
  <c r="AI54" i="1" s="1"/>
  <c r="AE39" i="4" a="1"/>
  <c r="AE39" i="4" s="1"/>
  <c r="AD41" i="1" s="1" a="1"/>
  <c r="AD41" i="1" s="1"/>
  <c r="I35" i="1" a="1"/>
  <c r="I35" i="1" s="1"/>
  <c r="Z32" i="4" a="1"/>
  <c r="Z32" i="4" s="1"/>
  <c r="Y34" i="1" s="1" a="1"/>
  <c r="Y34" i="1" s="1"/>
  <c r="M35" i="1" a="1"/>
  <c r="M35" i="1" s="1"/>
  <c r="N35" i="1" a="1"/>
  <c r="N35" i="1" s="1"/>
  <c r="AL41" i="4"/>
  <c r="AM41" i="4" s="1"/>
  <c r="AN41" i="4" s="1" a="1"/>
  <c r="AN41" i="4" s="1"/>
  <c r="AQ41" i="4"/>
  <c r="AR41" i="4" s="1"/>
  <c r="AS41" i="4" s="1" a="1"/>
  <c r="AS41" i="4" s="1"/>
  <c r="AV43" i="4"/>
  <c r="AW43" i="4" s="1"/>
  <c r="AX43" i="4" s="1" a="1"/>
  <c r="AX43" i="4" s="1"/>
  <c r="AG53" i="4"/>
  <c r="AH53" i="4" s="1"/>
  <c r="AI53" i="4" s="1" a="1"/>
  <c r="AI53" i="4" s="1"/>
  <c r="W33" i="4"/>
  <c r="X33" i="4" s="1"/>
  <c r="Y33" i="4" s="1" a="1"/>
  <c r="Y33" i="4" s="1"/>
  <c r="M33" i="4"/>
  <c r="N33" i="4" s="1"/>
  <c r="O33" i="4" s="1" a="1"/>
  <c r="O33" i="4" s="1"/>
  <c r="R33" i="4"/>
  <c r="S33" i="4" s="1"/>
  <c r="T33" i="4" s="1" a="1"/>
  <c r="T33" i="4" s="1"/>
  <c r="H33" i="4"/>
  <c r="I33" i="4" s="1"/>
  <c r="J33" i="4" s="1" a="1"/>
  <c r="J33" i="4" s="1"/>
  <c r="AY43" i="4" l="1" a="1"/>
  <c r="AY43" i="4" s="1"/>
  <c r="AX45" i="1" s="1" a="1"/>
  <c r="AX45" i="1" s="1"/>
  <c r="AT41" i="4" a="1"/>
  <c r="AT41" i="4" s="1"/>
  <c r="AS43" i="1" s="1" a="1"/>
  <c r="AS43" i="1" s="1"/>
  <c r="AO41" i="4" a="1"/>
  <c r="AO41" i="4" s="1"/>
  <c r="AN43" i="1" s="1" a="1"/>
  <c r="AN43" i="1" s="1"/>
  <c r="AH55" i="1" a="1"/>
  <c r="AH55" i="1" s="1"/>
  <c r="AG55" i="1" a="1"/>
  <c r="AG55" i="1" s="1"/>
  <c r="AB42" i="1" a="1"/>
  <c r="AB42" i="1" s="1"/>
  <c r="AJ53" i="4" a="1"/>
  <c r="AJ53" i="4" s="1"/>
  <c r="AI55" i="1" s="1" a="1"/>
  <c r="AI55" i="1" s="1"/>
  <c r="W35" i="1" a="1"/>
  <c r="W35" i="1" s="1"/>
  <c r="AC42" i="1" a="1"/>
  <c r="AC42" i="1" s="1"/>
  <c r="Z33" i="4" a="1"/>
  <c r="Z33" i="4" s="1"/>
  <c r="Y35" i="1" s="1" a="1"/>
  <c r="Y35" i="1" s="1"/>
  <c r="X35" i="1" a="1"/>
  <c r="X35" i="1" s="1"/>
  <c r="U33" i="4" a="1"/>
  <c r="U33" i="4" s="1"/>
  <c r="T35" i="1" s="1" a="1"/>
  <c r="T35" i="1" s="1"/>
  <c r="P33" i="4" a="1"/>
  <c r="P33" i="4" s="1"/>
  <c r="O35" i="1" s="1" a="1"/>
  <c r="O35" i="1" s="1"/>
  <c r="K33" i="4" a="1"/>
  <c r="K33" i="4" s="1"/>
  <c r="J35" i="1" s="1" a="1"/>
  <c r="J35" i="1" s="1"/>
  <c r="AV44" i="4"/>
  <c r="AQ42" i="4"/>
  <c r="AL42" i="4"/>
  <c r="AB40" i="4"/>
  <c r="AL44" i="1" l="1" a="1"/>
  <c r="AL44" i="1" s="1"/>
  <c r="AQ44" i="1" a="1"/>
  <c r="AQ44" i="1" s="1"/>
  <c r="AV46" i="1" a="1"/>
  <c r="AV46" i="1" s="1"/>
  <c r="AM44" i="1" a="1"/>
  <c r="AM44" i="1" s="1"/>
  <c r="AR44" i="1" a="1"/>
  <c r="AR44" i="1" s="1"/>
  <c r="AW46" i="1" a="1"/>
  <c r="AW46" i="1" s="1"/>
  <c r="AG56" i="1" a="1"/>
  <c r="AG56" i="1" s="1"/>
  <c r="AH56" i="1" a="1"/>
  <c r="AH56" i="1" s="1"/>
  <c r="I36" i="1" a="1"/>
  <c r="I36" i="1" s="1"/>
  <c r="H36" i="1" a="1"/>
  <c r="H36" i="1" s="1"/>
  <c r="X36" i="1" a="1"/>
  <c r="X36" i="1" s="1"/>
  <c r="M36" i="1" a="1"/>
  <c r="M36" i="1" s="1"/>
  <c r="W36" i="1" a="1"/>
  <c r="W36" i="1" s="1"/>
  <c r="R36" i="1" a="1"/>
  <c r="R36" i="1" s="1"/>
  <c r="S36" i="1" a="1"/>
  <c r="S36" i="1" s="1"/>
  <c r="N36" i="1" a="1"/>
  <c r="N36" i="1" s="1"/>
  <c r="AW44" i="4"/>
  <c r="AX44" i="4" s="1" a="1"/>
  <c r="AX44" i="4" s="1"/>
  <c r="AR42" i="4"/>
  <c r="AS42" i="4" s="1" a="1"/>
  <c r="AS42" i="4" s="1"/>
  <c r="AM42" i="4"/>
  <c r="AN42" i="4" s="1" a="1"/>
  <c r="AN42" i="4" s="1"/>
  <c r="AG54" i="4"/>
  <c r="AH54" i="4" s="1"/>
  <c r="AI54" i="4" s="1" a="1"/>
  <c r="AI54" i="4" s="1"/>
  <c r="AC40" i="4"/>
  <c r="AD40" i="4" s="1" a="1"/>
  <c r="AD40" i="4" s="1"/>
  <c r="AY44" i="4" l="1" a="1"/>
  <c r="AY44" i="4" s="1"/>
  <c r="AX46" i="1" s="1" a="1"/>
  <c r="AX46" i="1" s="1"/>
  <c r="AT42" i="4" a="1"/>
  <c r="AT42" i="4" s="1"/>
  <c r="AS44" i="1" s="1" a="1"/>
  <c r="AS44" i="1" s="1"/>
  <c r="AO42" i="4" a="1"/>
  <c r="AO42" i="4" s="1"/>
  <c r="AN44" i="1" s="1" a="1"/>
  <c r="AN44" i="1" s="1"/>
  <c r="AJ54" i="4" a="1"/>
  <c r="AJ54" i="4" s="1"/>
  <c r="AI56" i="1" s="1" a="1"/>
  <c r="AI56" i="1" s="1"/>
  <c r="AE40" i="4" a="1"/>
  <c r="AE40" i="4" s="1"/>
  <c r="AD42" i="1" s="1" a="1"/>
  <c r="AD42" i="1" s="1"/>
  <c r="AG55" i="4"/>
  <c r="AH55" i="4" s="1"/>
  <c r="AI55" i="4" s="1" a="1"/>
  <c r="AI55" i="4" s="1"/>
  <c r="M34" i="4"/>
  <c r="N34" i="4" s="1"/>
  <c r="O34" i="4" s="1" a="1"/>
  <c r="O34" i="4" s="1"/>
  <c r="R34" i="4"/>
  <c r="S34" i="4" s="1"/>
  <c r="T34" i="4" s="1" a="1"/>
  <c r="T34" i="4" s="1"/>
  <c r="H34" i="4"/>
  <c r="W34" i="4"/>
  <c r="X34" i="4" s="1"/>
  <c r="Y34" i="4" s="1" a="1"/>
  <c r="Y34" i="4" s="1"/>
  <c r="AV47" i="1" l="1" a="1"/>
  <c r="AV47" i="1" s="1"/>
  <c r="AW47" i="1" a="1"/>
  <c r="AW47" i="1" s="1"/>
  <c r="AR45" i="1" a="1"/>
  <c r="AR45" i="1" s="1"/>
  <c r="AM45" i="1" a="1"/>
  <c r="AM45" i="1" s="1"/>
  <c r="AL45" i="1" a="1"/>
  <c r="AL45" i="1" s="1"/>
  <c r="AQ45" i="1" a="1"/>
  <c r="AQ45" i="1" s="1"/>
  <c r="AH57" i="1" a="1"/>
  <c r="AH57" i="1" s="1"/>
  <c r="AG57" i="1" a="1"/>
  <c r="AG57" i="1" s="1"/>
  <c r="AB43" i="1" a="1"/>
  <c r="AB43" i="1" s="1"/>
  <c r="AJ55" i="4" a="1"/>
  <c r="AJ55" i="4" s="1"/>
  <c r="AI57" i="1" s="1" a="1"/>
  <c r="AI57" i="1" s="1"/>
  <c r="AC43" i="1" a="1"/>
  <c r="AC43" i="1" s="1"/>
  <c r="Z34" i="4" a="1"/>
  <c r="Z34" i="4" s="1"/>
  <c r="Y36" i="1" s="1" a="1"/>
  <c r="Y36" i="1" s="1"/>
  <c r="U34" i="4" a="1"/>
  <c r="U34" i="4" s="1"/>
  <c r="T36" i="1" s="1" a="1"/>
  <c r="T36" i="1" s="1"/>
  <c r="P34" i="4" a="1"/>
  <c r="P34" i="4" s="1"/>
  <c r="O36" i="1" s="1" a="1"/>
  <c r="O36" i="1" s="1"/>
  <c r="AQ43" i="4"/>
  <c r="AR43" i="4" s="1"/>
  <c r="AS43" i="4" s="1" a="1"/>
  <c r="AS43" i="4" s="1"/>
  <c r="AB41" i="4"/>
  <c r="AC41" i="4" s="1"/>
  <c r="AD41" i="4" s="1" a="1"/>
  <c r="AD41" i="4" s="1"/>
  <c r="AL43" i="4"/>
  <c r="AM43" i="4" s="1"/>
  <c r="AN43" i="4" s="1" a="1"/>
  <c r="AN43" i="4" s="1"/>
  <c r="AV45" i="4"/>
  <c r="I34" i="4"/>
  <c r="J34" i="4" s="1" a="1"/>
  <c r="J34" i="4" s="1"/>
  <c r="AT43" i="4" l="1" a="1"/>
  <c r="AT43" i="4" s="1"/>
  <c r="AS45" i="1" s="1" a="1"/>
  <c r="AS45" i="1" s="1"/>
  <c r="AH58" i="1" a="1"/>
  <c r="AH58" i="1" s="1"/>
  <c r="AG58" i="1" a="1"/>
  <c r="AG58" i="1" s="1"/>
  <c r="AO43" i="4" a="1"/>
  <c r="AO43" i="4" s="1"/>
  <c r="AN45" i="1" s="1" a="1"/>
  <c r="AN45" i="1" s="1"/>
  <c r="AE41" i="4" a="1"/>
  <c r="AE41" i="4" s="1"/>
  <c r="AD43" i="1" s="1" a="1"/>
  <c r="AD43" i="1" s="1"/>
  <c r="R37" i="1" a="1"/>
  <c r="R37" i="1" s="1"/>
  <c r="W37" i="1" a="1"/>
  <c r="W37" i="1" s="1"/>
  <c r="X37" i="1" a="1"/>
  <c r="X37" i="1" s="1"/>
  <c r="N37" i="1" a="1"/>
  <c r="N37" i="1" s="1"/>
  <c r="S37" i="1" a="1"/>
  <c r="S37" i="1" s="1"/>
  <c r="M37" i="1" a="1"/>
  <c r="M37" i="1" s="1"/>
  <c r="K34" i="4" a="1"/>
  <c r="K34" i="4" s="1"/>
  <c r="J36" i="1" s="1" a="1"/>
  <c r="J36" i="1" s="1"/>
  <c r="AG56" i="4"/>
  <c r="AH56" i="4" s="1"/>
  <c r="AI56" i="4" s="1" a="1"/>
  <c r="AI56" i="4" s="1"/>
  <c r="AW45" i="4"/>
  <c r="AX45" i="4" s="1" a="1"/>
  <c r="AX45" i="4" s="1"/>
  <c r="AQ44" i="4"/>
  <c r="AL44" i="4"/>
  <c r="AB42" i="4"/>
  <c r="R35" i="4"/>
  <c r="S35" i="4" s="1"/>
  <c r="T35" i="4" s="1" a="1"/>
  <c r="T35" i="4" s="1"/>
  <c r="AL46" i="1" l="1" a="1"/>
  <c r="AL46" i="1" s="1"/>
  <c r="AY45" i="4" a="1"/>
  <c r="AY45" i="4" s="1"/>
  <c r="AX47" i="1" s="1" a="1"/>
  <c r="AX47" i="1" s="1"/>
  <c r="AQ46" i="1" a="1"/>
  <c r="AQ46" i="1" s="1"/>
  <c r="AR46" i="1" a="1"/>
  <c r="AR46" i="1" s="1"/>
  <c r="AM46" i="1" a="1"/>
  <c r="AM46" i="1" s="1"/>
  <c r="AJ56" i="4" a="1"/>
  <c r="AJ56" i="4" s="1"/>
  <c r="AI58" i="1" s="1" a="1"/>
  <c r="AI58" i="1" s="1"/>
  <c r="AB44" i="1" a="1"/>
  <c r="AB44" i="1" s="1"/>
  <c r="AC44" i="1" a="1"/>
  <c r="AC44" i="1" s="1"/>
  <c r="U35" i="4" a="1"/>
  <c r="U35" i="4" s="1"/>
  <c r="T37" i="1" s="1" a="1"/>
  <c r="T37" i="1" s="1"/>
  <c r="H37" i="1" a="1"/>
  <c r="H37" i="1" s="1"/>
  <c r="I37" i="1" a="1"/>
  <c r="I37" i="1" s="1"/>
  <c r="AR44" i="4"/>
  <c r="AS44" i="4" s="1" a="1"/>
  <c r="AS44" i="4" s="1"/>
  <c r="AM44" i="4"/>
  <c r="AN44" i="4" s="1" a="1"/>
  <c r="AN44" i="4" s="1"/>
  <c r="AC42" i="4"/>
  <c r="AD42" i="4" s="1" a="1"/>
  <c r="AD42" i="4" s="1"/>
  <c r="H35" i="4"/>
  <c r="AV48" i="1" l="1" a="1"/>
  <c r="AV48" i="1" s="1"/>
  <c r="AW48" i="1" a="1"/>
  <c r="AW48" i="1" s="1"/>
  <c r="AH59" i="1" a="1"/>
  <c r="AH59" i="1" s="1"/>
  <c r="AT44" i="4" a="1"/>
  <c r="AT44" i="4" s="1"/>
  <c r="AS46" i="1" s="1" a="1"/>
  <c r="AS46" i="1" s="1"/>
  <c r="AO44" i="4" a="1"/>
  <c r="AO44" i="4" s="1"/>
  <c r="AN46" i="1" s="1" a="1"/>
  <c r="AN46" i="1" s="1"/>
  <c r="AG59" i="1" a="1"/>
  <c r="AG59" i="1" s="1"/>
  <c r="AE42" i="4" a="1"/>
  <c r="AE42" i="4" s="1"/>
  <c r="AD44" i="1" s="1" a="1"/>
  <c r="AD44" i="1" s="1"/>
  <c r="S38" i="1" a="1"/>
  <c r="S38" i="1" s="1"/>
  <c r="R38" i="1" a="1"/>
  <c r="R38" i="1" s="1"/>
  <c r="AV46" i="4"/>
  <c r="AW46" i="4" s="1"/>
  <c r="AX46" i="4" s="1" a="1"/>
  <c r="AX46" i="4" s="1"/>
  <c r="AG57" i="4"/>
  <c r="AH57" i="4" s="1"/>
  <c r="AI57" i="4" s="1" a="1"/>
  <c r="AI57" i="4" s="1"/>
  <c r="I35" i="4"/>
  <c r="J35" i="4" s="1" a="1"/>
  <c r="J35" i="4" s="1"/>
  <c r="M35" i="4"/>
  <c r="N35" i="4" s="1"/>
  <c r="O35" i="4" s="1" a="1"/>
  <c r="O35" i="4" s="1"/>
  <c r="W35" i="4"/>
  <c r="AY46" i="4" l="1" a="1"/>
  <c r="AY46" i="4" s="1"/>
  <c r="AX48" i="1" s="1" a="1"/>
  <c r="AX48" i="1" s="1"/>
  <c r="AL47" i="1" a="1"/>
  <c r="AL47" i="1" s="1"/>
  <c r="AQ47" i="1" a="1"/>
  <c r="AQ47" i="1" s="1"/>
  <c r="AM47" i="1" a="1"/>
  <c r="AM47" i="1" s="1"/>
  <c r="AB45" i="1" a="1"/>
  <c r="AB45" i="1" s="1"/>
  <c r="AC45" i="1" a="1"/>
  <c r="AC45" i="1" s="1"/>
  <c r="AR47" i="1" a="1"/>
  <c r="AR47" i="1" s="1"/>
  <c r="AJ57" i="4" a="1"/>
  <c r="AJ57" i="4" s="1"/>
  <c r="AI59" i="1" s="1" a="1"/>
  <c r="AI59" i="1" s="1"/>
  <c r="P35" i="4" a="1"/>
  <c r="P35" i="4" s="1"/>
  <c r="O37" i="1" s="1" a="1"/>
  <c r="O37" i="1" s="1"/>
  <c r="K35" i="4" a="1"/>
  <c r="K35" i="4" s="1"/>
  <c r="J37" i="1" s="1" a="1"/>
  <c r="J37" i="1" s="1"/>
  <c r="AB43" i="4"/>
  <c r="AC43" i="4" s="1"/>
  <c r="AD43" i="4" s="1" a="1"/>
  <c r="AD43" i="4" s="1"/>
  <c r="AV47" i="4"/>
  <c r="AQ45" i="4"/>
  <c r="AL45" i="4"/>
  <c r="AG58" i="4"/>
  <c r="AH58" i="4" s="1"/>
  <c r="AI58" i="4" s="1" a="1"/>
  <c r="AI58" i="4" s="1"/>
  <c r="X35" i="4"/>
  <c r="Y35" i="4" s="1" a="1"/>
  <c r="Y35" i="4" s="1"/>
  <c r="AW49" i="1" l="1" a="1"/>
  <c r="AW49" i="1" s="1"/>
  <c r="AV49" i="1" a="1"/>
  <c r="AV49" i="1" s="1"/>
  <c r="AG60" i="1" a="1"/>
  <c r="AG60" i="1" s="1"/>
  <c r="AH60" i="1" a="1"/>
  <c r="AH60" i="1" s="1"/>
  <c r="AJ58" i="4" a="1"/>
  <c r="AJ58" i="4" s="1"/>
  <c r="AI60" i="1" s="1" a="1"/>
  <c r="AI60" i="1" s="1"/>
  <c r="AE43" i="4" a="1"/>
  <c r="AE43" i="4" s="1"/>
  <c r="AD45" i="1" s="1" a="1"/>
  <c r="AD45" i="1" s="1"/>
  <c r="Z35" i="4" a="1"/>
  <c r="Z35" i="4" s="1"/>
  <c r="Y37" i="1" s="1" a="1"/>
  <c r="Y37" i="1" s="1"/>
  <c r="H38" i="1" a="1"/>
  <c r="H38" i="1" s="1"/>
  <c r="M38" i="1" a="1"/>
  <c r="M38" i="1" s="1"/>
  <c r="I38" i="1" a="1"/>
  <c r="I38" i="1" s="1"/>
  <c r="N38" i="1" a="1"/>
  <c r="N38" i="1" s="1"/>
  <c r="AW47" i="4"/>
  <c r="AX47" i="4" s="1" a="1"/>
  <c r="AX47" i="4" s="1"/>
  <c r="AR45" i="4"/>
  <c r="AS45" i="4" s="1" a="1"/>
  <c r="AS45" i="4" s="1"/>
  <c r="AM45" i="4"/>
  <c r="AN45" i="4" s="1" a="1"/>
  <c r="AN45" i="4" s="1"/>
  <c r="AB44" i="4"/>
  <c r="R36" i="4"/>
  <c r="S36" i="4" s="1"/>
  <c r="T36" i="4" s="1" a="1"/>
  <c r="T36" i="4" s="1"/>
  <c r="H36" i="4"/>
  <c r="I36" i="4" s="1"/>
  <c r="J36" i="4" s="1" a="1"/>
  <c r="J36" i="4" s="1"/>
  <c r="AY47" i="4" l="1" a="1"/>
  <c r="AY47" i="4" s="1"/>
  <c r="AX49" i="1" s="1" a="1"/>
  <c r="AX49" i="1" s="1"/>
  <c r="AT45" i="4" a="1"/>
  <c r="AT45" i="4" s="1"/>
  <c r="AS47" i="1" s="1" a="1"/>
  <c r="AS47" i="1" s="1"/>
  <c r="AG61" i="1" a="1"/>
  <c r="AG61" i="1" s="1"/>
  <c r="AH61" i="1" a="1"/>
  <c r="AH61" i="1" s="1"/>
  <c r="AO45" i="4" a="1"/>
  <c r="AO45" i="4" s="1"/>
  <c r="AN47" i="1" s="1" a="1"/>
  <c r="AN47" i="1" s="1"/>
  <c r="W38" i="1" a="1"/>
  <c r="W38" i="1" s="1"/>
  <c r="X38" i="1" a="1"/>
  <c r="X38" i="1" s="1"/>
  <c r="AB46" i="1" a="1"/>
  <c r="AB46" i="1" s="1"/>
  <c r="AC46" i="1" a="1"/>
  <c r="AC46" i="1" s="1"/>
  <c r="U36" i="4" a="1"/>
  <c r="U36" i="4" s="1"/>
  <c r="T38" i="1" s="1" a="1"/>
  <c r="T38" i="1" s="1"/>
  <c r="K36" i="4" a="1"/>
  <c r="K36" i="4" s="1"/>
  <c r="J38" i="1" s="1" a="1"/>
  <c r="J38" i="1" s="1"/>
  <c r="W36" i="4"/>
  <c r="X36" i="4" s="1"/>
  <c r="AG59" i="4"/>
  <c r="AH59" i="4" s="1"/>
  <c r="AI59" i="4" s="1" a="1"/>
  <c r="AI59" i="4" s="1"/>
  <c r="AC44" i="4"/>
  <c r="AD44" i="4" s="1" a="1"/>
  <c r="AD44" i="4" s="1"/>
  <c r="M36" i="4"/>
  <c r="AV50" i="1" l="1" a="1"/>
  <c r="AV50" i="1" s="1"/>
  <c r="AR48" i="1" a="1"/>
  <c r="AR48" i="1" s="1"/>
  <c r="AW50" i="1" a="1"/>
  <c r="AW50" i="1" s="1"/>
  <c r="AQ48" i="1" a="1"/>
  <c r="AQ48" i="1" s="1"/>
  <c r="AL48" i="1" a="1"/>
  <c r="AL48" i="1" s="1"/>
  <c r="AM48" i="1" a="1"/>
  <c r="AM48" i="1" s="1"/>
  <c r="AJ59" i="4" a="1"/>
  <c r="AJ59" i="4" s="1"/>
  <c r="AI61" i="1" s="1" a="1"/>
  <c r="AI61" i="1" s="1"/>
  <c r="AE44" i="4" a="1"/>
  <c r="AE44" i="4" s="1"/>
  <c r="AD46" i="1" s="1" a="1"/>
  <c r="AD46" i="1" s="1"/>
  <c r="S39" i="1" a="1"/>
  <c r="S39" i="1" s="1"/>
  <c r="H39" i="1" a="1"/>
  <c r="H39" i="1" s="1"/>
  <c r="R39" i="1" a="1"/>
  <c r="R39" i="1" s="1"/>
  <c r="I39" i="1" a="1"/>
  <c r="I39" i="1" s="1"/>
  <c r="Y36" i="4" a="1"/>
  <c r="Y36" i="4" s="1"/>
  <c r="AL46" i="4"/>
  <c r="AM46" i="4" s="1"/>
  <c r="AN46" i="4" s="1" a="1"/>
  <c r="AN46" i="4" s="1"/>
  <c r="AQ46" i="4"/>
  <c r="AR46" i="4" s="1"/>
  <c r="AS46" i="4" s="1" a="1"/>
  <c r="AS46" i="4" s="1"/>
  <c r="AV48" i="4"/>
  <c r="AW48" i="4" s="1"/>
  <c r="AX48" i="4" s="1" a="1"/>
  <c r="AX48" i="4" s="1"/>
  <c r="AG60" i="4"/>
  <c r="AH60" i="4" s="1"/>
  <c r="AI60" i="4" s="1" a="1"/>
  <c r="AI60" i="4" s="1"/>
  <c r="N36" i="4"/>
  <c r="O36" i="4" s="1" a="1"/>
  <c r="O36" i="4" s="1"/>
  <c r="AY48" i="4" l="1" a="1"/>
  <c r="AY48" i="4" s="1"/>
  <c r="AX50" i="1" s="1" a="1"/>
  <c r="AX50" i="1" s="1"/>
  <c r="AT46" i="4" a="1"/>
  <c r="AT46" i="4" s="1"/>
  <c r="AS48" i="1" s="1" a="1"/>
  <c r="AS48" i="1" s="1"/>
  <c r="AG62" i="1" a="1"/>
  <c r="AG62" i="1" s="1"/>
  <c r="AO46" i="4" a="1"/>
  <c r="AO46" i="4" s="1"/>
  <c r="AN48" i="1" s="1" a="1"/>
  <c r="AN48" i="1" s="1"/>
  <c r="AB47" i="1" a="1"/>
  <c r="AB47" i="1" s="1"/>
  <c r="AC47" i="1" a="1"/>
  <c r="AC47" i="1" s="1"/>
  <c r="AJ60" i="4" a="1"/>
  <c r="AJ60" i="4" s="1"/>
  <c r="AI62" i="1" s="1" a="1"/>
  <c r="AI62" i="1" s="1"/>
  <c r="AH62" i="1" a="1"/>
  <c r="AH62" i="1" s="1"/>
  <c r="Z36" i="4" a="1"/>
  <c r="Z36" i="4" s="1"/>
  <c r="Y38" i="1" s="1" a="1"/>
  <c r="Y38" i="1" s="1"/>
  <c r="P36" i="4" a="1"/>
  <c r="P36" i="4" s="1"/>
  <c r="O38" i="1" s="1" a="1"/>
  <c r="O38" i="1" s="1"/>
  <c r="AV49" i="4"/>
  <c r="AQ47" i="4"/>
  <c r="AL47" i="4"/>
  <c r="AB45" i="4"/>
  <c r="R37" i="4"/>
  <c r="S37" i="4" s="1"/>
  <c r="T37" i="4" s="1" a="1"/>
  <c r="T37" i="4" s="1"/>
  <c r="M37" i="4"/>
  <c r="N37" i="4" s="1"/>
  <c r="O37" i="4" s="1" a="1"/>
  <c r="O37" i="4" s="1"/>
  <c r="H37" i="4"/>
  <c r="W37" i="4"/>
  <c r="X37" i="4" s="1"/>
  <c r="Y37" i="4" s="1" a="1"/>
  <c r="Y37" i="4" s="1"/>
  <c r="AR49" i="1" l="1" a="1"/>
  <c r="AR49" i="1" s="1"/>
  <c r="AQ49" i="1" a="1"/>
  <c r="AQ49" i="1" s="1"/>
  <c r="AV51" i="1" a="1"/>
  <c r="AV51" i="1" s="1"/>
  <c r="AW51" i="1" a="1"/>
  <c r="AW51" i="1" s="1"/>
  <c r="AG63" i="1" a="1"/>
  <c r="AG63" i="1" s="1"/>
  <c r="AL49" i="1" a="1"/>
  <c r="AL49" i="1" s="1"/>
  <c r="AM49" i="1" a="1"/>
  <c r="AM49" i="1" s="1"/>
  <c r="AH63" i="1" a="1"/>
  <c r="AH63" i="1" s="1"/>
  <c r="M39" i="1" a="1"/>
  <c r="M39" i="1" s="1"/>
  <c r="W39" i="1" a="1"/>
  <c r="W39" i="1" s="1"/>
  <c r="N39" i="1" a="1"/>
  <c r="N39" i="1" s="1"/>
  <c r="Z37" i="4" a="1"/>
  <c r="Z37" i="4" s="1"/>
  <c r="Y39" i="1" s="1" a="1"/>
  <c r="Y39" i="1" s="1"/>
  <c r="X39" i="1" a="1"/>
  <c r="X39" i="1" s="1"/>
  <c r="U37" i="4" a="1"/>
  <c r="U37" i="4" s="1"/>
  <c r="T39" i="1" s="1" a="1"/>
  <c r="T39" i="1" s="1"/>
  <c r="P37" i="4" a="1"/>
  <c r="P37" i="4" s="1"/>
  <c r="O39" i="1" s="1" a="1"/>
  <c r="O39" i="1" s="1"/>
  <c r="AW49" i="4"/>
  <c r="AX49" i="4" s="1" a="1"/>
  <c r="AX49" i="4" s="1"/>
  <c r="AR47" i="4"/>
  <c r="AS47" i="4" s="1" a="1"/>
  <c r="AS47" i="4" s="1"/>
  <c r="AM47" i="4"/>
  <c r="AN47" i="4" s="1" a="1"/>
  <c r="AN47" i="4" s="1"/>
  <c r="AG61" i="4"/>
  <c r="AH61" i="4" s="1"/>
  <c r="AI61" i="4" s="1" a="1"/>
  <c r="AI61" i="4" s="1"/>
  <c r="AC45" i="4"/>
  <c r="AD45" i="4" s="1" a="1"/>
  <c r="AD45" i="4" s="1"/>
  <c r="I37" i="4"/>
  <c r="J37" i="4" s="1" a="1"/>
  <c r="J37" i="4" s="1"/>
  <c r="AY49" i="4" l="1" a="1"/>
  <c r="AY49" i="4" s="1"/>
  <c r="AX51" i="1" s="1" a="1"/>
  <c r="AX51" i="1" s="1"/>
  <c r="AT47" i="4" a="1"/>
  <c r="AT47" i="4" s="1"/>
  <c r="AS49" i="1" s="1" a="1"/>
  <c r="AS49" i="1" s="1"/>
  <c r="AO47" i="4" a="1"/>
  <c r="AO47" i="4" s="1"/>
  <c r="AN49" i="1" s="1" a="1"/>
  <c r="AN49" i="1" s="1"/>
  <c r="AJ61" i="4" a="1"/>
  <c r="AJ61" i="4" s="1"/>
  <c r="AI63" i="1" s="1" a="1"/>
  <c r="AI63" i="1" s="1"/>
  <c r="AE45" i="4" a="1"/>
  <c r="AE45" i="4" s="1"/>
  <c r="AD47" i="1" s="1" a="1"/>
  <c r="AD47" i="1" s="1"/>
  <c r="X40" i="1" a="1"/>
  <c r="X40" i="1" s="1"/>
  <c r="W40" i="1" a="1"/>
  <c r="W40" i="1" s="1"/>
  <c r="M40" i="1" a="1"/>
  <c r="M40" i="1" s="1"/>
  <c r="R40" i="1" a="1"/>
  <c r="R40" i="1" s="1"/>
  <c r="S40" i="1" a="1"/>
  <c r="S40" i="1" s="1"/>
  <c r="N40" i="1" a="1"/>
  <c r="N40" i="1" s="1"/>
  <c r="K37" i="4" a="1"/>
  <c r="K37" i="4" s="1"/>
  <c r="J39" i="1" s="1" a="1"/>
  <c r="J39" i="1" s="1"/>
  <c r="R38" i="4"/>
  <c r="S38" i="4" s="1"/>
  <c r="T38" i="4" s="1" a="1"/>
  <c r="T38" i="4" s="1"/>
  <c r="AG64" i="1" l="1" a="1"/>
  <c r="AG64" i="1" s="1"/>
  <c r="AQ50" i="1" a="1"/>
  <c r="AQ50" i="1" s="1"/>
  <c r="AW52" i="1" a="1"/>
  <c r="AW52" i="1" s="1"/>
  <c r="AV52" i="1" a="1"/>
  <c r="AV52" i="1" s="1"/>
  <c r="AL50" i="1" a="1"/>
  <c r="AL50" i="1" s="1"/>
  <c r="AB48" i="1" a="1"/>
  <c r="AB48" i="1" s="1"/>
  <c r="AC48" i="1" a="1"/>
  <c r="AC48" i="1" s="1"/>
  <c r="AR50" i="1" a="1"/>
  <c r="AR50" i="1" s="1"/>
  <c r="AH64" i="1" a="1"/>
  <c r="AH64" i="1" s="1"/>
  <c r="AM50" i="1" a="1"/>
  <c r="AM50" i="1" s="1"/>
  <c r="U38" i="4" a="1"/>
  <c r="U38" i="4" s="1"/>
  <c r="T40" i="1" s="1" a="1"/>
  <c r="T40" i="1" s="1"/>
  <c r="H40" i="1" a="1"/>
  <c r="H40" i="1" s="1"/>
  <c r="I40" i="1" a="1"/>
  <c r="I40" i="1" s="1"/>
  <c r="AQ48" i="4"/>
  <c r="AR48" i="4" s="1"/>
  <c r="AS48" i="4" s="1" a="1"/>
  <c r="AS48" i="4" s="1"/>
  <c r="AB46" i="4"/>
  <c r="AC46" i="4" s="1"/>
  <c r="AD46" i="4" s="1" a="1"/>
  <c r="AD46" i="4" s="1"/>
  <c r="AL48" i="4"/>
  <c r="AM48" i="4" s="1"/>
  <c r="AN48" i="4" s="1" a="1"/>
  <c r="AN48" i="4" s="1"/>
  <c r="AG62" i="4"/>
  <c r="AH62" i="4" s="1"/>
  <c r="AI62" i="4" s="1" a="1"/>
  <c r="AI62" i="4" s="1"/>
  <c r="AV50" i="4"/>
  <c r="H38" i="4"/>
  <c r="I38" i="4" s="1"/>
  <c r="J38" i="4" s="1" a="1"/>
  <c r="J38" i="4" s="1"/>
  <c r="AT48" i="4" l="1" a="1"/>
  <c r="AT48" i="4" s="1"/>
  <c r="AS50" i="1" s="1" a="1"/>
  <c r="AS50" i="1" s="1"/>
  <c r="AO48" i="4" a="1"/>
  <c r="AO48" i="4" s="1"/>
  <c r="AN50" i="1" s="1" a="1"/>
  <c r="AN50" i="1" s="1"/>
  <c r="AJ62" i="4" a="1"/>
  <c r="AJ62" i="4" s="1"/>
  <c r="AI64" i="1" s="1" a="1"/>
  <c r="AI64" i="1" s="1"/>
  <c r="AE46" i="4" a="1"/>
  <c r="AE46" i="4" s="1"/>
  <c r="AD48" i="1" s="1" a="1"/>
  <c r="AD48" i="1" s="1"/>
  <c r="R41" i="1" a="1"/>
  <c r="R41" i="1" s="1"/>
  <c r="S41" i="1" a="1"/>
  <c r="S41" i="1" s="1"/>
  <c r="K38" i="4" a="1"/>
  <c r="K38" i="4" s="1"/>
  <c r="J40" i="1" s="1" a="1"/>
  <c r="J40" i="1" s="1"/>
  <c r="AW50" i="4"/>
  <c r="AX50" i="4" s="1" a="1"/>
  <c r="AX50" i="4" s="1"/>
  <c r="AQ49" i="4"/>
  <c r="AL49" i="4"/>
  <c r="AB47" i="4"/>
  <c r="M38" i="4"/>
  <c r="N38" i="4" s="1"/>
  <c r="O38" i="4" s="1" a="1"/>
  <c r="O38" i="4" s="1"/>
  <c r="AR51" i="1" l="1" a="1"/>
  <c r="AR51" i="1" s="1"/>
  <c r="AG65" i="1" a="1"/>
  <c r="AG65" i="1" s="1"/>
  <c r="AQ51" i="1" a="1"/>
  <c r="AQ51" i="1" s="1"/>
  <c r="AY50" i="4" a="1"/>
  <c r="AY50" i="4" s="1"/>
  <c r="AX52" i="1" s="1" a="1"/>
  <c r="AX52" i="1" s="1"/>
  <c r="AM51" i="1" a="1"/>
  <c r="AM51" i="1" s="1"/>
  <c r="AL51" i="1" a="1"/>
  <c r="AL51" i="1" s="1"/>
  <c r="AC49" i="1" a="1"/>
  <c r="AC49" i="1" s="1"/>
  <c r="AH65" i="1" a="1"/>
  <c r="AH65" i="1" s="1"/>
  <c r="AB49" i="1" a="1"/>
  <c r="AB49" i="1" s="1"/>
  <c r="I41" i="1" a="1"/>
  <c r="I41" i="1" s="1"/>
  <c r="H41" i="1" a="1"/>
  <c r="H41" i="1" s="1"/>
  <c r="P38" i="4" a="1"/>
  <c r="P38" i="4" s="1"/>
  <c r="O40" i="1" s="1" a="1"/>
  <c r="O40" i="1" s="1"/>
  <c r="AG63" i="4"/>
  <c r="AH63" i="4" s="1"/>
  <c r="AI63" i="4" s="1" a="1"/>
  <c r="AI63" i="4" s="1"/>
  <c r="AR49" i="4"/>
  <c r="AS49" i="4" s="1" a="1"/>
  <c r="AS49" i="4" s="1"/>
  <c r="AM49" i="4"/>
  <c r="AN49" i="4" s="1" a="1"/>
  <c r="AN49" i="4" s="1"/>
  <c r="AC47" i="4"/>
  <c r="AD47" i="4" s="1" a="1"/>
  <c r="AD47" i="4" s="1"/>
  <c r="W38" i="4"/>
  <c r="X38" i="4" s="1"/>
  <c r="Y38" i="4" s="1" a="1"/>
  <c r="Y38" i="4" s="1"/>
  <c r="AV53" i="1" l="1" a="1"/>
  <c r="AV53" i="1" s="1"/>
  <c r="AW53" i="1" a="1"/>
  <c r="AW53" i="1" s="1"/>
  <c r="AT49" i="4" a="1"/>
  <c r="AT49" i="4" s="1"/>
  <c r="AS51" i="1" s="1" a="1"/>
  <c r="AS51" i="1" s="1"/>
  <c r="AO49" i="4" a="1"/>
  <c r="AO49" i="4" s="1"/>
  <c r="AN51" i="1" s="1" a="1"/>
  <c r="AN51" i="1" s="1"/>
  <c r="AJ63" i="4" a="1"/>
  <c r="AJ63" i="4" s="1"/>
  <c r="AI65" i="1" s="1" a="1"/>
  <c r="AI65" i="1" s="1"/>
  <c r="AE47" i="4" a="1"/>
  <c r="AE47" i="4" s="1"/>
  <c r="AD49" i="1" s="1" a="1"/>
  <c r="AD49" i="1" s="1"/>
  <c r="Z38" i="4" a="1"/>
  <c r="Z38" i="4" s="1"/>
  <c r="Y40" i="1" s="1" a="1"/>
  <c r="Y40" i="1" s="1"/>
  <c r="N41" i="1" a="1"/>
  <c r="N41" i="1" s="1"/>
  <c r="M41" i="1" a="1"/>
  <c r="M41" i="1" s="1"/>
  <c r="AV51" i="4"/>
  <c r="R39" i="4"/>
  <c r="S39" i="4" s="1"/>
  <c r="T39" i="4" s="1" a="1"/>
  <c r="T39" i="4" s="1"/>
  <c r="H39" i="4"/>
  <c r="AR52" i="1" l="1" a="1"/>
  <c r="AR52" i="1" s="1"/>
  <c r="AQ52" i="1" a="1"/>
  <c r="AQ52" i="1" s="1"/>
  <c r="AG66" i="1" a="1"/>
  <c r="AG66" i="1" s="1"/>
  <c r="AM52" i="1" a="1"/>
  <c r="AM52" i="1" s="1"/>
  <c r="W41" i="1" a="1"/>
  <c r="W41" i="1" s="1"/>
  <c r="AH66" i="1" a="1"/>
  <c r="AH66" i="1" s="1"/>
  <c r="AL52" i="1" a="1"/>
  <c r="AL52" i="1" s="1"/>
  <c r="AB50" i="1" a="1"/>
  <c r="AB50" i="1" s="1"/>
  <c r="AC50" i="1" a="1"/>
  <c r="AC50" i="1" s="1"/>
  <c r="X41" i="1" a="1"/>
  <c r="X41" i="1" s="1"/>
  <c r="U39" i="4" a="1"/>
  <c r="U39" i="4" s="1"/>
  <c r="T41" i="1" s="1" a="1"/>
  <c r="T41" i="1" s="1"/>
  <c r="AB48" i="4"/>
  <c r="AC48" i="4" s="1"/>
  <c r="AD48" i="4" s="1" a="1"/>
  <c r="AD48" i="4" s="1"/>
  <c r="W39" i="4"/>
  <c r="X39" i="4" s="1"/>
  <c r="AW51" i="4"/>
  <c r="AX51" i="4" s="1" a="1"/>
  <c r="AX51" i="4" s="1"/>
  <c r="AQ50" i="4"/>
  <c r="AL50" i="4"/>
  <c r="AG64" i="4"/>
  <c r="AH64" i="4" s="1"/>
  <c r="AI64" i="4" s="1" a="1"/>
  <c r="AI64" i="4" s="1"/>
  <c r="I39" i="4"/>
  <c r="J39" i="4" s="1" a="1"/>
  <c r="J39" i="4" s="1"/>
  <c r="M39" i="4"/>
  <c r="AY51" i="4" l="1" a="1"/>
  <c r="AY51" i="4" s="1"/>
  <c r="AX53" i="1" s="1" a="1"/>
  <c r="AX53" i="1" s="1"/>
  <c r="AJ64" i="4" a="1"/>
  <c r="AJ64" i="4" s="1"/>
  <c r="AI66" i="1" s="1" a="1"/>
  <c r="AI66" i="1" s="1"/>
  <c r="AE48" i="4" a="1"/>
  <c r="AE48" i="4" s="1"/>
  <c r="AD50" i="1" s="1" a="1"/>
  <c r="AD50" i="1" s="1"/>
  <c r="S42" i="1" a="1"/>
  <c r="S42" i="1" s="1"/>
  <c r="R42" i="1" a="1"/>
  <c r="R42" i="1" s="1"/>
  <c r="K39" i="4" a="1"/>
  <c r="K39" i="4" s="1"/>
  <c r="J41" i="1" s="1" a="1"/>
  <c r="J41" i="1" s="1"/>
  <c r="Y39" i="4" a="1"/>
  <c r="Y39" i="4" s="1"/>
  <c r="AR50" i="4"/>
  <c r="AS50" i="4" s="1" a="1"/>
  <c r="AS50" i="4" s="1"/>
  <c r="AM50" i="4"/>
  <c r="AN50" i="4" s="1" a="1"/>
  <c r="AN50" i="4" s="1"/>
  <c r="AB49" i="4"/>
  <c r="AG65" i="4"/>
  <c r="AH65" i="4" s="1"/>
  <c r="AI65" i="4" s="1" a="1"/>
  <c r="AI65" i="4" s="1"/>
  <c r="N39" i="4"/>
  <c r="O39" i="4" s="1" a="1"/>
  <c r="O39" i="4" s="1"/>
  <c r="AV54" i="1" l="1" a="1"/>
  <c r="AV54" i="1" s="1"/>
  <c r="AG67" i="1" a="1"/>
  <c r="AG67" i="1" s="1"/>
  <c r="AB51" i="1" a="1"/>
  <c r="AB51" i="1" s="1"/>
  <c r="AC51" i="1" a="1"/>
  <c r="AC51" i="1" s="1"/>
  <c r="AW54" i="1" a="1"/>
  <c r="AW54" i="1" s="1"/>
  <c r="AT50" i="4" a="1"/>
  <c r="AT50" i="4" s="1"/>
  <c r="AS52" i="1" s="1" a="1"/>
  <c r="AS52" i="1" s="1"/>
  <c r="AH67" i="1" a="1"/>
  <c r="AH67" i="1" s="1"/>
  <c r="AO50" i="4" a="1"/>
  <c r="AO50" i="4" s="1"/>
  <c r="AN52" i="1" s="1" a="1"/>
  <c r="AN52" i="1" s="1"/>
  <c r="AJ65" i="4" a="1"/>
  <c r="AJ65" i="4" s="1"/>
  <c r="AI67" i="1" s="1" a="1"/>
  <c r="AI67" i="1" s="1"/>
  <c r="Z39" i="4" a="1"/>
  <c r="Z39" i="4" s="1"/>
  <c r="Y41" i="1" s="1" a="1"/>
  <c r="Y41" i="1" s="1"/>
  <c r="H42" i="1" a="1"/>
  <c r="H42" i="1" s="1"/>
  <c r="P39" i="4" a="1"/>
  <c r="P39" i="4" s="1"/>
  <c r="O41" i="1" s="1" a="1"/>
  <c r="O41" i="1" s="1"/>
  <c r="I42" i="1" a="1"/>
  <c r="I42" i="1" s="1"/>
  <c r="AV52" i="4"/>
  <c r="AC49" i="4"/>
  <c r="AD49" i="4" s="1" a="1"/>
  <c r="AD49" i="4" s="1"/>
  <c r="R40" i="4"/>
  <c r="S40" i="4" s="1"/>
  <c r="T40" i="4" s="1" a="1"/>
  <c r="T40" i="4" s="1"/>
  <c r="H40" i="4"/>
  <c r="I40" i="4" s="1"/>
  <c r="J40" i="4" s="1" a="1"/>
  <c r="J40" i="4" s="1"/>
  <c r="W40" i="4"/>
  <c r="X40" i="4" s="1"/>
  <c r="Y40" i="4" s="1" a="1"/>
  <c r="Y40" i="4" s="1"/>
  <c r="AQ53" i="1" l="1" a="1"/>
  <c r="AQ53" i="1" s="1"/>
  <c r="AR53" i="1" a="1"/>
  <c r="AR53" i="1" s="1"/>
  <c r="AH68" i="1" a="1"/>
  <c r="AH68" i="1" s="1"/>
  <c r="AL53" i="1" a="1"/>
  <c r="AL53" i="1" s="1"/>
  <c r="AM53" i="1" a="1"/>
  <c r="AM53" i="1" s="1"/>
  <c r="M42" i="1" a="1"/>
  <c r="M42" i="1" s="1"/>
  <c r="AG68" i="1" a="1"/>
  <c r="AG68" i="1" s="1"/>
  <c r="AE49" i="4" a="1"/>
  <c r="AE49" i="4" s="1"/>
  <c r="AD51" i="1" s="1" a="1"/>
  <c r="AD51" i="1" s="1"/>
  <c r="N42" i="1" a="1"/>
  <c r="N42" i="1" s="1"/>
  <c r="Z40" i="4" a="1"/>
  <c r="Z40" i="4" s="1"/>
  <c r="Y42" i="1" s="1" a="1"/>
  <c r="Y42" i="1" s="1"/>
  <c r="W42" i="1" a="1"/>
  <c r="W42" i="1" s="1"/>
  <c r="X42" i="1" a="1"/>
  <c r="X42" i="1" s="1"/>
  <c r="U40" i="4" a="1"/>
  <c r="U40" i="4" s="1"/>
  <c r="T42" i="1" s="1" a="1"/>
  <c r="T42" i="1" s="1"/>
  <c r="K40" i="4" a="1"/>
  <c r="K40" i="4" s="1"/>
  <c r="J42" i="1" s="1" a="1"/>
  <c r="J42" i="1" s="1"/>
  <c r="AQ51" i="4"/>
  <c r="AR51" i="4" s="1"/>
  <c r="AS51" i="4" s="1" a="1"/>
  <c r="AS51" i="4" s="1"/>
  <c r="M40" i="4"/>
  <c r="N40" i="4" s="1"/>
  <c r="O40" i="4" s="1" a="1"/>
  <c r="O40" i="4" s="1"/>
  <c r="AG66" i="4"/>
  <c r="AH66" i="4" s="1"/>
  <c r="AI66" i="4" s="1" a="1"/>
  <c r="AI66" i="4" s="1"/>
  <c r="AW52" i="4"/>
  <c r="AX52" i="4" s="1" a="1"/>
  <c r="AX52" i="4" s="1"/>
  <c r="AL51" i="4"/>
  <c r="AY52" i="4" l="1" a="1"/>
  <c r="AY52" i="4" s="1"/>
  <c r="AX54" i="1" s="1" a="1"/>
  <c r="AX54" i="1" s="1"/>
  <c r="AT51" i="4" a="1"/>
  <c r="AT51" i="4" s="1"/>
  <c r="AS53" i="1" s="1" a="1"/>
  <c r="AS53" i="1" s="1"/>
  <c r="AC52" i="1" a="1"/>
  <c r="AC52" i="1" s="1"/>
  <c r="AJ66" i="4" a="1"/>
  <c r="AJ66" i="4" s="1"/>
  <c r="AI68" i="1" s="1" a="1"/>
  <c r="AI68" i="1" s="1"/>
  <c r="AB52" i="1" a="1"/>
  <c r="AB52" i="1" s="1"/>
  <c r="W43" i="1" a="1"/>
  <c r="W43" i="1" s="1"/>
  <c r="X43" i="1" a="1"/>
  <c r="X43" i="1" s="1"/>
  <c r="R43" i="1" a="1"/>
  <c r="R43" i="1" s="1"/>
  <c r="S43" i="1" a="1"/>
  <c r="S43" i="1" s="1"/>
  <c r="H43" i="1" a="1"/>
  <c r="H43" i="1" s="1"/>
  <c r="P40" i="4" a="1"/>
  <c r="P40" i="4" s="1"/>
  <c r="O42" i="1" s="1" a="1"/>
  <c r="O42" i="1" s="1"/>
  <c r="I43" i="1" a="1"/>
  <c r="I43" i="1" s="1"/>
  <c r="AQ52" i="4"/>
  <c r="AM51" i="4"/>
  <c r="AN51" i="4" s="1" a="1"/>
  <c r="AN51" i="4" s="1"/>
  <c r="AB50" i="4"/>
  <c r="AG67" i="4"/>
  <c r="AH67" i="4" s="1"/>
  <c r="AI67" i="4" s="1" a="1"/>
  <c r="AI67" i="4" s="1"/>
  <c r="R41" i="4"/>
  <c r="S41" i="4" s="1"/>
  <c r="T41" i="4" s="1" a="1"/>
  <c r="T41" i="4" s="1"/>
  <c r="AV55" i="1" l="1" a="1"/>
  <c r="AV55" i="1" s="1"/>
  <c r="AG69" i="1" a="1"/>
  <c r="AG69" i="1" s="1"/>
  <c r="AH69" i="1" a="1"/>
  <c r="AH69" i="1" s="1"/>
  <c r="AQ54" i="1" a="1"/>
  <c r="AQ54" i="1" s="1"/>
  <c r="AW55" i="1" a="1"/>
  <c r="AW55" i="1" s="1"/>
  <c r="AR54" i="1" a="1"/>
  <c r="AR54" i="1" s="1"/>
  <c r="AO51" i="4" a="1"/>
  <c r="AO51" i="4" s="1"/>
  <c r="AN53" i="1" s="1" a="1"/>
  <c r="AN53" i="1" s="1"/>
  <c r="AJ67" i="4" a="1"/>
  <c r="AJ67" i="4" s="1"/>
  <c r="AI69" i="1" s="1" a="1"/>
  <c r="AI69" i="1" s="1"/>
  <c r="M43" i="1" a="1"/>
  <c r="M43" i="1" s="1"/>
  <c r="N43" i="1" a="1"/>
  <c r="N43" i="1" s="1"/>
  <c r="U41" i="4" a="1"/>
  <c r="U41" i="4" s="1"/>
  <c r="T43" i="1" s="1" a="1"/>
  <c r="T43" i="1" s="1"/>
  <c r="AV53" i="4"/>
  <c r="AW53" i="4" s="1"/>
  <c r="AX53" i="4" s="1" a="1"/>
  <c r="AX53" i="4" s="1"/>
  <c r="AR52" i="4"/>
  <c r="AS52" i="4" s="1" a="1"/>
  <c r="AS52" i="4" s="1"/>
  <c r="AC50" i="4"/>
  <c r="AD50" i="4" s="1" a="1"/>
  <c r="AD50" i="4" s="1"/>
  <c r="H41" i="4"/>
  <c r="I41" i="4" s="1"/>
  <c r="J41" i="4" s="1" a="1"/>
  <c r="J41" i="4" s="1"/>
  <c r="AM54" i="1" l="1" a="1"/>
  <c r="AM54" i="1" s="1"/>
  <c r="AY53" i="4" a="1"/>
  <c r="AY53" i="4" s="1"/>
  <c r="AX55" i="1" s="1" a="1"/>
  <c r="AX55" i="1" s="1"/>
  <c r="AT52" i="4" a="1"/>
  <c r="AT52" i="4" s="1"/>
  <c r="AS54" i="1" s="1" a="1"/>
  <c r="AS54" i="1" s="1"/>
  <c r="AL54" i="1" a="1"/>
  <c r="AL54" i="1" s="1"/>
  <c r="AG70" i="1" a="1"/>
  <c r="AG70" i="1" s="1"/>
  <c r="AH70" i="1" a="1"/>
  <c r="AH70" i="1" s="1"/>
  <c r="AE50" i="4" a="1"/>
  <c r="AE50" i="4" s="1"/>
  <c r="AD52" i="1" s="1" a="1"/>
  <c r="AD52" i="1" s="1"/>
  <c r="S44" i="1" a="1"/>
  <c r="S44" i="1" s="1"/>
  <c r="R44" i="1" a="1"/>
  <c r="R44" i="1" s="1"/>
  <c r="K41" i="4" a="1"/>
  <c r="K41" i="4" s="1"/>
  <c r="J43" i="1" s="1" a="1"/>
  <c r="J43" i="1" s="1"/>
  <c r="AG68" i="4"/>
  <c r="AH68" i="4" s="1"/>
  <c r="AI68" i="4" s="1" a="1"/>
  <c r="AI68" i="4" s="1"/>
  <c r="AV54" i="4"/>
  <c r="AL52" i="4"/>
  <c r="M41" i="4"/>
  <c r="N41" i="4" s="1"/>
  <c r="O41" i="4" s="1" a="1"/>
  <c r="O41" i="4" s="1"/>
  <c r="AV56" i="1" l="1" a="1"/>
  <c r="AV56" i="1" s="1"/>
  <c r="AW56" i="1" a="1"/>
  <c r="AW56" i="1" s="1"/>
  <c r="AR55" i="1" a="1"/>
  <c r="AR55" i="1" s="1"/>
  <c r="AQ55" i="1" a="1"/>
  <c r="AQ55" i="1" s="1"/>
  <c r="AJ68" i="4" a="1"/>
  <c r="AJ68" i="4" s="1"/>
  <c r="AI70" i="1" s="1" a="1"/>
  <c r="AI70" i="1" s="1"/>
  <c r="AB53" i="1" a="1"/>
  <c r="AB53" i="1" s="1"/>
  <c r="AC53" i="1" a="1"/>
  <c r="AC53" i="1" s="1"/>
  <c r="H44" i="1" a="1"/>
  <c r="H44" i="1" s="1"/>
  <c r="P41" i="4" a="1"/>
  <c r="P41" i="4" s="1"/>
  <c r="O43" i="1" s="1" a="1"/>
  <c r="O43" i="1" s="1"/>
  <c r="I44" i="1" a="1"/>
  <c r="I44" i="1" s="1"/>
  <c r="AQ53" i="4"/>
  <c r="AR53" i="4" s="1"/>
  <c r="AS53" i="4" s="1" a="1"/>
  <c r="AS53" i="4" s="1"/>
  <c r="AW54" i="4"/>
  <c r="AX54" i="4" s="1" a="1"/>
  <c r="AX54" i="4" s="1"/>
  <c r="AM52" i="4"/>
  <c r="AN52" i="4" s="1" a="1"/>
  <c r="AN52" i="4" s="1"/>
  <c r="AB51" i="4"/>
  <c r="W41" i="4"/>
  <c r="AY54" i="4" l="1" a="1"/>
  <c r="AY54" i="4" s="1"/>
  <c r="AX56" i="1" s="1" a="1"/>
  <c r="AX56" i="1" s="1"/>
  <c r="AT53" i="4" a="1"/>
  <c r="AT53" i="4" s="1"/>
  <c r="AS55" i="1" s="1" a="1"/>
  <c r="AS55" i="1" s="1"/>
  <c r="AG71" i="1" a="1"/>
  <c r="AG71" i="1" s="1"/>
  <c r="AO52" i="4" a="1"/>
  <c r="AO52" i="4" s="1"/>
  <c r="AN54" i="1" s="1" a="1"/>
  <c r="AN54" i="1" s="1"/>
  <c r="AH71" i="1" a="1"/>
  <c r="AH71" i="1" s="1"/>
  <c r="N44" i="1" a="1"/>
  <c r="N44" i="1" s="1"/>
  <c r="M44" i="1" a="1"/>
  <c r="M44" i="1" s="1"/>
  <c r="AQ54" i="4"/>
  <c r="AG69" i="4"/>
  <c r="AH69" i="4" s="1"/>
  <c r="AI69" i="4" s="1" a="1"/>
  <c r="AI69" i="4" s="1"/>
  <c r="AC51" i="4"/>
  <c r="AD51" i="4" s="1" a="1"/>
  <c r="AD51" i="4" s="1"/>
  <c r="X41" i="4"/>
  <c r="Y41" i="4" s="1" a="1"/>
  <c r="Y41" i="4" s="1"/>
  <c r="H42" i="4"/>
  <c r="R42" i="4"/>
  <c r="S42" i="4" s="1"/>
  <c r="T42" i="4" s="1" a="1"/>
  <c r="T42" i="4" s="1"/>
  <c r="AW57" i="1" l="1" a="1"/>
  <c r="AW57" i="1" s="1"/>
  <c r="AV57" i="1" a="1"/>
  <c r="AV57" i="1" s="1"/>
  <c r="AR56" i="1" a="1"/>
  <c r="AR56" i="1" s="1"/>
  <c r="AQ56" i="1" a="1"/>
  <c r="AQ56" i="1" s="1"/>
  <c r="AL55" i="1" a="1"/>
  <c r="AL55" i="1" s="1"/>
  <c r="AM55" i="1" a="1"/>
  <c r="AM55" i="1" s="1"/>
  <c r="AJ69" i="4" a="1"/>
  <c r="AJ69" i="4" s="1"/>
  <c r="AI71" i="1" s="1" a="1"/>
  <c r="AI71" i="1" s="1"/>
  <c r="AE51" i="4" a="1"/>
  <c r="AE51" i="4" s="1"/>
  <c r="AD53" i="1" s="1" a="1"/>
  <c r="AD53" i="1" s="1"/>
  <c r="Z41" i="4" a="1"/>
  <c r="Z41" i="4" s="1"/>
  <c r="Y43" i="1" s="1" a="1"/>
  <c r="Y43" i="1" s="1"/>
  <c r="U42" i="4" a="1"/>
  <c r="U42" i="4" s="1"/>
  <c r="T44" i="1" s="1" a="1"/>
  <c r="T44" i="1" s="1"/>
  <c r="AV55" i="4"/>
  <c r="AW55" i="4" s="1"/>
  <c r="AX55" i="4" s="1" a="1"/>
  <c r="AX55" i="4" s="1"/>
  <c r="AL53" i="4"/>
  <c r="AM53" i="4" s="1"/>
  <c r="AN53" i="4" s="1" a="1"/>
  <c r="AN53" i="4" s="1"/>
  <c r="AR54" i="4"/>
  <c r="AS54" i="4" s="1" a="1"/>
  <c r="AS54" i="4" s="1"/>
  <c r="AG70" i="4"/>
  <c r="AH70" i="4" s="1"/>
  <c r="AI70" i="4" s="1" a="1"/>
  <c r="AI70" i="4" s="1"/>
  <c r="W42" i="4"/>
  <c r="X42" i="4" s="1"/>
  <c r="Y42" i="4" s="1" a="1"/>
  <c r="Y42" i="4" s="1"/>
  <c r="I42" i="4"/>
  <c r="J42" i="4" s="1" a="1"/>
  <c r="J42" i="4" s="1"/>
  <c r="M42" i="4"/>
  <c r="AB54" i="1" l="1" a="1"/>
  <c r="AB54" i="1" s="1"/>
  <c r="AY55" i="4" a="1"/>
  <c r="AY55" i="4" s="1"/>
  <c r="AX57" i="1" s="1" a="1"/>
  <c r="AX57" i="1" s="1"/>
  <c r="AG72" i="1" a="1"/>
  <c r="AG72" i="1" s="1"/>
  <c r="AT54" i="4" a="1"/>
  <c r="AT54" i="4" s="1"/>
  <c r="AS56" i="1" s="1" a="1"/>
  <c r="AS56" i="1" s="1"/>
  <c r="AO53" i="4" a="1"/>
  <c r="AO53" i="4" s="1"/>
  <c r="AN55" i="1" s="1" a="1"/>
  <c r="AN55" i="1" s="1"/>
  <c r="AJ70" i="4" a="1"/>
  <c r="AJ70" i="4" s="1"/>
  <c r="AI72" i="1" s="1" a="1"/>
  <c r="AI72" i="1" s="1"/>
  <c r="AH72" i="1" a="1"/>
  <c r="AH72" i="1" s="1"/>
  <c r="X44" i="1" a="1"/>
  <c r="X44" i="1" s="1"/>
  <c r="AC54" i="1" a="1"/>
  <c r="AC54" i="1" s="1"/>
  <c r="W44" i="1" a="1"/>
  <c r="W44" i="1" s="1"/>
  <c r="Z42" i="4" a="1"/>
  <c r="Z42" i="4" s="1"/>
  <c r="Y44" i="1" s="1" a="1"/>
  <c r="Y44" i="1" s="1"/>
  <c r="R45" i="1" a="1"/>
  <c r="R45" i="1" s="1"/>
  <c r="S45" i="1" a="1"/>
  <c r="S45" i="1" s="1"/>
  <c r="K42" i="4" a="1"/>
  <c r="K42" i="4" s="1"/>
  <c r="J44" i="1" s="1" a="1"/>
  <c r="J44" i="1" s="1"/>
  <c r="AV56" i="4"/>
  <c r="AL54" i="4"/>
  <c r="AB52" i="4"/>
  <c r="N42" i="4"/>
  <c r="O42" i="4" s="1" a="1"/>
  <c r="O42" i="4" s="1"/>
  <c r="R43" i="4"/>
  <c r="S43" i="4" s="1"/>
  <c r="T43" i="4" s="1" a="1"/>
  <c r="T43" i="4" s="1"/>
  <c r="H43" i="4"/>
  <c r="I43" i="4" s="1"/>
  <c r="J43" i="4" s="1" a="1"/>
  <c r="J43" i="4" s="1"/>
  <c r="AV58" i="1" l="1" a="1"/>
  <c r="AV58" i="1" s="1"/>
  <c r="AQ57" i="1" a="1"/>
  <c r="AQ57" i="1" s="1"/>
  <c r="AR57" i="1" a="1"/>
  <c r="AR57" i="1" s="1"/>
  <c r="AL56" i="1" a="1"/>
  <c r="AL56" i="1" s="1"/>
  <c r="AW58" i="1" a="1"/>
  <c r="AW58" i="1" s="1"/>
  <c r="AG73" i="1" a="1"/>
  <c r="AG73" i="1" s="1"/>
  <c r="AH73" i="1" a="1"/>
  <c r="AH73" i="1" s="1"/>
  <c r="AM56" i="1" a="1"/>
  <c r="AM56" i="1" s="1"/>
  <c r="I45" i="1" a="1"/>
  <c r="I45" i="1" s="1"/>
  <c r="H45" i="1" a="1"/>
  <c r="H45" i="1" s="1"/>
  <c r="W45" i="1" a="1"/>
  <c r="W45" i="1" s="1"/>
  <c r="X45" i="1" a="1"/>
  <c r="X45" i="1" s="1"/>
  <c r="U43" i="4" a="1"/>
  <c r="U43" i="4" s="1"/>
  <c r="T45" i="1" s="1" a="1"/>
  <c r="T45" i="1" s="1"/>
  <c r="P42" i="4" a="1"/>
  <c r="P42" i="4" s="1"/>
  <c r="O44" i="1" s="1" a="1"/>
  <c r="O44" i="1" s="1"/>
  <c r="K43" i="4" a="1"/>
  <c r="K43" i="4" s="1"/>
  <c r="J45" i="1" s="1" a="1"/>
  <c r="J45" i="1" s="1"/>
  <c r="AQ55" i="4"/>
  <c r="AR55" i="4" s="1"/>
  <c r="AS55" i="4" s="1" a="1"/>
  <c r="AS55" i="4" s="1"/>
  <c r="AW56" i="4"/>
  <c r="AX56" i="4" s="1" a="1"/>
  <c r="AX56" i="4" s="1"/>
  <c r="AM54" i="4"/>
  <c r="AN54" i="4" s="1" a="1"/>
  <c r="AN54" i="4" s="1"/>
  <c r="AG71" i="4"/>
  <c r="AH71" i="4" s="1"/>
  <c r="AI71" i="4" s="1" a="1"/>
  <c r="AI71" i="4" s="1"/>
  <c r="AC52" i="4"/>
  <c r="AD52" i="4" s="1" a="1"/>
  <c r="AD52" i="4" s="1"/>
  <c r="AY56" i="4" l="1" a="1"/>
  <c r="AY56" i="4" s="1"/>
  <c r="AX58" i="1" s="1" a="1"/>
  <c r="AX58" i="1" s="1"/>
  <c r="AT55" i="4" a="1"/>
  <c r="AT55" i="4" s="1"/>
  <c r="AS57" i="1" s="1" a="1"/>
  <c r="AS57" i="1" s="1"/>
  <c r="AO54" i="4" a="1"/>
  <c r="AO54" i="4" s="1"/>
  <c r="AN56" i="1" s="1" a="1"/>
  <c r="AN56" i="1" s="1"/>
  <c r="AJ71" i="4" a="1"/>
  <c r="AJ71" i="4" s="1"/>
  <c r="AI73" i="1" s="1" a="1"/>
  <c r="AI73" i="1" s="1"/>
  <c r="AE52" i="4" a="1"/>
  <c r="AE52" i="4" s="1"/>
  <c r="AD54" i="1" s="1" a="1"/>
  <c r="AD54" i="1" s="1"/>
  <c r="H46" i="1" a="1"/>
  <c r="H46" i="1" s="1"/>
  <c r="I46" i="1" a="1"/>
  <c r="I46" i="1" s="1"/>
  <c r="S46" i="1" a="1"/>
  <c r="S46" i="1" s="1"/>
  <c r="M45" i="1" a="1"/>
  <c r="M45" i="1" s="1"/>
  <c r="N45" i="1" a="1"/>
  <c r="N45" i="1" s="1"/>
  <c r="R46" i="1" a="1"/>
  <c r="R46" i="1" s="1"/>
  <c r="AQ56" i="4"/>
  <c r="AG72" i="4"/>
  <c r="AH72" i="4" s="1"/>
  <c r="AI72" i="4" s="1" a="1"/>
  <c r="AI72" i="4" s="1"/>
  <c r="M43" i="4"/>
  <c r="W43" i="4"/>
  <c r="AV59" i="1" l="1" a="1"/>
  <c r="AV59" i="1" s="1"/>
  <c r="AW59" i="1" a="1"/>
  <c r="AW59" i="1" s="1"/>
  <c r="AL57" i="1" a="1"/>
  <c r="AL57" i="1" s="1"/>
  <c r="AR58" i="1" a="1"/>
  <c r="AR58" i="1" s="1"/>
  <c r="AQ58" i="1" a="1"/>
  <c r="AQ58" i="1" s="1"/>
  <c r="AM57" i="1" a="1"/>
  <c r="AM57" i="1" s="1"/>
  <c r="AB55" i="1" a="1"/>
  <c r="AB55" i="1" s="1"/>
  <c r="AG74" i="1" a="1"/>
  <c r="AG74" i="1" s="1"/>
  <c r="AJ72" i="4" a="1"/>
  <c r="AJ72" i="4" s="1"/>
  <c r="AI74" i="1" s="1" a="1"/>
  <c r="AI74" i="1" s="1"/>
  <c r="AH74" i="1" a="1"/>
  <c r="AH74" i="1" s="1"/>
  <c r="AC55" i="1" a="1"/>
  <c r="AC55" i="1" s="1"/>
  <c r="AB53" i="4"/>
  <c r="AC53" i="4" s="1"/>
  <c r="AD53" i="4" s="1" a="1"/>
  <c r="AD53" i="4" s="1"/>
  <c r="AL55" i="4"/>
  <c r="AM55" i="4" s="1"/>
  <c r="AN55" i="4" s="1" a="1"/>
  <c r="AN55" i="4" s="1"/>
  <c r="AV57" i="4"/>
  <c r="AR56" i="4"/>
  <c r="AS56" i="4" s="1" a="1"/>
  <c r="AS56" i="4" s="1"/>
  <c r="AG73" i="4"/>
  <c r="X43" i="4"/>
  <c r="Y43" i="4" s="1" a="1"/>
  <c r="Y43" i="4" s="1"/>
  <c r="N43" i="4"/>
  <c r="O43" i="4" s="1" a="1"/>
  <c r="O43" i="4" s="1"/>
  <c r="R44" i="4"/>
  <c r="S44" i="4" s="1"/>
  <c r="T44" i="4" s="1" a="1"/>
  <c r="T44" i="4" s="1"/>
  <c r="AT56" i="4" l="1" a="1"/>
  <c r="AT56" i="4" s="1"/>
  <c r="AS58" i="1" s="1" a="1"/>
  <c r="AS58" i="1" s="1"/>
  <c r="AO55" i="4" a="1"/>
  <c r="AO55" i="4" s="1"/>
  <c r="AN57" i="1" s="1" a="1"/>
  <c r="AN57" i="1" s="1"/>
  <c r="AH75" i="1" a="1"/>
  <c r="AH75" i="1" s="1"/>
  <c r="AG75" i="1" a="1"/>
  <c r="AG75" i="1" s="1"/>
  <c r="AE53" i="4" a="1"/>
  <c r="AE53" i="4" s="1"/>
  <c r="AD55" i="1" s="1" a="1"/>
  <c r="AD55" i="1" s="1"/>
  <c r="Z43" i="4" a="1"/>
  <c r="Z43" i="4" s="1"/>
  <c r="Y45" i="1" s="1" a="1"/>
  <c r="Y45" i="1" s="1"/>
  <c r="U44" i="4" a="1"/>
  <c r="U44" i="4" s="1"/>
  <c r="T46" i="1" s="1" a="1"/>
  <c r="T46" i="1" s="1"/>
  <c r="P43" i="4" a="1"/>
  <c r="P43" i="4" s="1"/>
  <c r="O45" i="1" s="1" a="1"/>
  <c r="O45" i="1" s="1"/>
  <c r="AW57" i="4"/>
  <c r="AX57" i="4" s="1" a="1"/>
  <c r="AX57" i="4" s="1"/>
  <c r="AL56" i="4"/>
  <c r="AB54" i="4"/>
  <c r="AH73" i="4"/>
  <c r="AI73" i="4" s="1" a="1"/>
  <c r="AI73" i="4" s="1"/>
  <c r="H44" i="4"/>
  <c r="AL58" i="1" l="1" a="1"/>
  <c r="AL58" i="1" s="1"/>
  <c r="AB56" i="1" a="1"/>
  <c r="AB56" i="1" s="1"/>
  <c r="AQ59" i="1" a="1"/>
  <c r="AQ59" i="1" s="1"/>
  <c r="AY57" i="4" a="1"/>
  <c r="AY57" i="4" s="1"/>
  <c r="AX59" i="1" s="1" a="1"/>
  <c r="AX59" i="1" s="1"/>
  <c r="AM58" i="1" a="1"/>
  <c r="AM58" i="1" s="1"/>
  <c r="AR59" i="1" a="1"/>
  <c r="AR59" i="1" s="1"/>
  <c r="AJ73" i="4" a="1"/>
  <c r="AJ73" i="4" s="1"/>
  <c r="AI75" i="1" s="1" a="1"/>
  <c r="AI75" i="1" s="1"/>
  <c r="X46" i="1" a="1"/>
  <c r="X46" i="1" s="1"/>
  <c r="AC56" i="1" a="1"/>
  <c r="AC56" i="1" s="1"/>
  <c r="N46" i="1" a="1"/>
  <c r="N46" i="1" s="1"/>
  <c r="M46" i="1" a="1"/>
  <c r="M46" i="1" s="1"/>
  <c r="R47" i="1" a="1"/>
  <c r="R47" i="1" s="1"/>
  <c r="W46" i="1" a="1"/>
  <c r="W46" i="1" s="1"/>
  <c r="S47" i="1" a="1"/>
  <c r="S47" i="1" s="1"/>
  <c r="W44" i="4"/>
  <c r="X44" i="4" s="1"/>
  <c r="Y44" i="4" s="1" a="1"/>
  <c r="Y44" i="4" s="1"/>
  <c r="M44" i="4"/>
  <c r="N44" i="4" s="1"/>
  <c r="O44" i="4" s="1" a="1"/>
  <c r="O44" i="4" s="1"/>
  <c r="AQ57" i="4"/>
  <c r="AM56" i="4"/>
  <c r="AN56" i="4" s="1" a="1"/>
  <c r="AN56" i="4" s="1"/>
  <c r="AC54" i="4"/>
  <c r="AD54" i="4" s="1" a="1"/>
  <c r="AD54" i="4" s="1"/>
  <c r="AG74" i="4"/>
  <c r="I44" i="4"/>
  <c r="J44" i="4" s="1" a="1"/>
  <c r="J44" i="4" s="1"/>
  <c r="AW60" i="1" l="1" a="1"/>
  <c r="AW60" i="1" s="1"/>
  <c r="AV60" i="1" a="1"/>
  <c r="AV60" i="1" s="1"/>
  <c r="AH76" i="1" a="1"/>
  <c r="AH76" i="1" s="1"/>
  <c r="AO56" i="4" a="1"/>
  <c r="AO56" i="4" s="1"/>
  <c r="AN58" i="1" s="1" a="1"/>
  <c r="AN58" i="1" s="1"/>
  <c r="AG76" i="1" a="1"/>
  <c r="AG76" i="1" s="1"/>
  <c r="AE54" i="4" a="1"/>
  <c r="AE54" i="4" s="1"/>
  <c r="AD56" i="1" s="1" a="1"/>
  <c r="AD56" i="1" s="1"/>
  <c r="Z44" i="4" a="1"/>
  <c r="Z44" i="4" s="1"/>
  <c r="Y46" i="1" s="1" a="1"/>
  <c r="Y46" i="1" s="1"/>
  <c r="P44" i="4" a="1"/>
  <c r="P44" i="4" s="1"/>
  <c r="O46" i="1" s="1" a="1"/>
  <c r="O46" i="1" s="1"/>
  <c r="K44" i="4" a="1"/>
  <c r="K44" i="4" s="1"/>
  <c r="J46" i="1" s="1" a="1"/>
  <c r="J46" i="1" s="1"/>
  <c r="AV58" i="4"/>
  <c r="AW58" i="4" s="1"/>
  <c r="AX58" i="4" s="1" a="1"/>
  <c r="AX58" i="4" s="1"/>
  <c r="AR57" i="4"/>
  <c r="AS57" i="4" s="1" a="1"/>
  <c r="AS57" i="4" s="1"/>
  <c r="AH74" i="4"/>
  <c r="AI74" i="4" s="1" a="1"/>
  <c r="AI74" i="4" s="1"/>
  <c r="H45" i="4"/>
  <c r="I45" i="4" s="1"/>
  <c r="J45" i="4" s="1" a="1"/>
  <c r="J45" i="4" s="1"/>
  <c r="AL59" i="1" l="1" a="1"/>
  <c r="AL59" i="1" s="1"/>
  <c r="AY58" i="4" a="1"/>
  <c r="AY58" i="4" s="1"/>
  <c r="AX60" i="1" s="1" a="1"/>
  <c r="AX60" i="1" s="1"/>
  <c r="AB57" i="1" a="1"/>
  <c r="AB57" i="1" s="1"/>
  <c r="AM59" i="1" a="1"/>
  <c r="AM59" i="1" s="1"/>
  <c r="AC57" i="1" a="1"/>
  <c r="AC57" i="1" s="1"/>
  <c r="AT57" i="4" a="1"/>
  <c r="AT57" i="4" s="1"/>
  <c r="AS59" i="1" s="1" a="1"/>
  <c r="AS59" i="1" s="1"/>
  <c r="AJ74" i="4" a="1"/>
  <c r="AJ74" i="4" s="1"/>
  <c r="AI76" i="1" s="1" a="1"/>
  <c r="AI76" i="1" s="1"/>
  <c r="H47" i="1" a="1"/>
  <c r="H47" i="1" s="1"/>
  <c r="M47" i="1" a="1"/>
  <c r="M47" i="1" s="1"/>
  <c r="N47" i="1" a="1"/>
  <c r="N47" i="1" s="1"/>
  <c r="X47" i="1" a="1"/>
  <c r="X47" i="1" s="1"/>
  <c r="W47" i="1" a="1"/>
  <c r="W47" i="1" s="1"/>
  <c r="K45" i="4" a="1"/>
  <c r="K45" i="4" s="1"/>
  <c r="J47" i="1" s="1" a="1"/>
  <c r="J47" i="1" s="1"/>
  <c r="I47" i="1" a="1"/>
  <c r="I47" i="1" s="1"/>
  <c r="AB55" i="4"/>
  <c r="AC55" i="4" s="1"/>
  <c r="AD55" i="4" s="1" a="1"/>
  <c r="AD55" i="4" s="1"/>
  <c r="AV59" i="4"/>
  <c r="AL57" i="4"/>
  <c r="R45" i="4"/>
  <c r="S45" i="4" s="1"/>
  <c r="T45" i="4" s="1" a="1"/>
  <c r="T45" i="4" s="1"/>
  <c r="AW61" i="1" l="1" a="1"/>
  <c r="AW61" i="1" s="1"/>
  <c r="AV61" i="1" a="1"/>
  <c r="AV61" i="1" s="1"/>
  <c r="AQ60" i="1" a="1"/>
  <c r="AQ60" i="1" s="1"/>
  <c r="AR60" i="1" a="1"/>
  <c r="AR60" i="1" s="1"/>
  <c r="H48" i="1" a="1"/>
  <c r="H48" i="1" s="1"/>
  <c r="AG77" i="1" a="1"/>
  <c r="AG77" i="1" s="1"/>
  <c r="AH77" i="1" a="1"/>
  <c r="AH77" i="1" s="1"/>
  <c r="AE55" i="4" a="1"/>
  <c r="AE55" i="4" s="1"/>
  <c r="AD57" i="1" s="1" a="1"/>
  <c r="AD57" i="1" s="1"/>
  <c r="U45" i="4" a="1"/>
  <c r="U45" i="4" s="1"/>
  <c r="T47" i="1" s="1" a="1"/>
  <c r="T47" i="1" s="1"/>
  <c r="I48" i="1" a="1"/>
  <c r="I48" i="1" s="1"/>
  <c r="AQ58" i="4"/>
  <c r="AR58" i="4" s="1"/>
  <c r="AS58" i="4" s="1" a="1"/>
  <c r="AS58" i="4" s="1"/>
  <c r="AG75" i="4"/>
  <c r="AH75" i="4" s="1"/>
  <c r="AI75" i="4" s="1" a="1"/>
  <c r="AI75" i="4" s="1"/>
  <c r="AW59" i="4"/>
  <c r="AX59" i="4" s="1" a="1"/>
  <c r="AX59" i="4" s="1"/>
  <c r="AM57" i="4"/>
  <c r="AN57" i="4" s="1" a="1"/>
  <c r="AN57" i="4" s="1"/>
  <c r="AB56" i="4"/>
  <c r="W45" i="4"/>
  <c r="X45" i="4" s="1"/>
  <c r="Y45" i="4" s="1" a="1"/>
  <c r="Y45" i="4" s="1"/>
  <c r="M45" i="4"/>
  <c r="AY59" i="4" l="1" a="1"/>
  <c r="AY59" i="4" s="1"/>
  <c r="AX61" i="1" s="1" a="1"/>
  <c r="AX61" i="1" s="1"/>
  <c r="AT58" i="4" a="1"/>
  <c r="AT58" i="4" s="1"/>
  <c r="AS60" i="1" s="1" a="1"/>
  <c r="AS60" i="1" s="1"/>
  <c r="AO57" i="4" a="1"/>
  <c r="AO57" i="4" s="1"/>
  <c r="AN59" i="1" s="1" a="1"/>
  <c r="AN59" i="1" s="1"/>
  <c r="AJ75" i="4" a="1"/>
  <c r="AJ75" i="4" s="1"/>
  <c r="AI77" i="1" s="1" a="1"/>
  <c r="AI77" i="1" s="1"/>
  <c r="AB58" i="1" a="1"/>
  <c r="AB58" i="1" s="1"/>
  <c r="AC58" i="1" a="1"/>
  <c r="AC58" i="1" s="1"/>
  <c r="Z45" i="4" a="1"/>
  <c r="Z45" i="4" s="1"/>
  <c r="Y47" i="1" s="1" a="1"/>
  <c r="Y47" i="1" s="1"/>
  <c r="R48" i="1" a="1"/>
  <c r="R48" i="1" s="1"/>
  <c r="S48" i="1" a="1"/>
  <c r="S48" i="1" s="1"/>
  <c r="AQ59" i="4"/>
  <c r="AC56" i="4"/>
  <c r="AD56" i="4" s="1" a="1"/>
  <c r="AD56" i="4" s="1"/>
  <c r="AG76" i="4"/>
  <c r="N45" i="4"/>
  <c r="O45" i="4" s="1" a="1"/>
  <c r="O45" i="4" s="1"/>
  <c r="R46" i="4"/>
  <c r="S46" i="4" s="1"/>
  <c r="T46" i="4" s="1" a="1"/>
  <c r="T46" i="4" s="1"/>
  <c r="H46" i="4"/>
  <c r="I46" i="4" s="1"/>
  <c r="J46" i="4" s="1" a="1"/>
  <c r="J46" i="4" s="1"/>
  <c r="AW62" i="1" l="1" a="1"/>
  <c r="AW62" i="1" s="1"/>
  <c r="AV62" i="1" a="1"/>
  <c r="AV62" i="1" s="1"/>
  <c r="AR61" i="1" a="1"/>
  <c r="AR61" i="1" s="1"/>
  <c r="AQ61" i="1" a="1"/>
  <c r="AQ61" i="1" s="1"/>
  <c r="AL60" i="1" a="1"/>
  <c r="AL60" i="1" s="1"/>
  <c r="AH78" i="1" a="1"/>
  <c r="AH78" i="1" s="1"/>
  <c r="AM60" i="1" a="1"/>
  <c r="AM60" i="1" s="1"/>
  <c r="AG78" i="1" a="1"/>
  <c r="AG78" i="1" s="1"/>
  <c r="AE56" i="4" a="1"/>
  <c r="AE56" i="4" s="1"/>
  <c r="AD58" i="1" s="1" a="1"/>
  <c r="AD58" i="1" s="1"/>
  <c r="W48" i="1" a="1"/>
  <c r="W48" i="1" s="1"/>
  <c r="X48" i="1" a="1"/>
  <c r="X48" i="1" s="1"/>
  <c r="U46" i="4" a="1"/>
  <c r="U46" i="4" s="1"/>
  <c r="T48" i="1" s="1" a="1"/>
  <c r="T48" i="1" s="1"/>
  <c r="P45" i="4" a="1"/>
  <c r="P45" i="4" s="1"/>
  <c r="O47" i="1" s="1" a="1"/>
  <c r="O47" i="1" s="1"/>
  <c r="K46" i="4" a="1"/>
  <c r="K46" i="4" s="1"/>
  <c r="J48" i="1" s="1" a="1"/>
  <c r="J48" i="1" s="1"/>
  <c r="AV60" i="4"/>
  <c r="AW60" i="4" s="1"/>
  <c r="AX60" i="4" s="1" a="1"/>
  <c r="AX60" i="4" s="1"/>
  <c r="AL58" i="4"/>
  <c r="AM58" i="4" s="1"/>
  <c r="AN58" i="4" s="1" a="1"/>
  <c r="AN58" i="4" s="1"/>
  <c r="AR59" i="4"/>
  <c r="AS59" i="4" s="1" a="1"/>
  <c r="AS59" i="4" s="1"/>
  <c r="AH76" i="4"/>
  <c r="AI76" i="4" s="1" a="1"/>
  <c r="AI76" i="4" s="1"/>
  <c r="M46" i="4"/>
  <c r="N46" i="4" s="1"/>
  <c r="O46" i="4" s="1" a="1"/>
  <c r="O46" i="4" s="1"/>
  <c r="W46" i="4"/>
  <c r="X46" i="4" s="1"/>
  <c r="Y46" i="4" s="1" a="1"/>
  <c r="Y46" i="4" s="1"/>
  <c r="AY60" i="4" l="1" a="1"/>
  <c r="AY60" i="4" s="1"/>
  <c r="AX62" i="1" s="1" a="1"/>
  <c r="AX62" i="1" s="1"/>
  <c r="AB59" i="1" a="1"/>
  <c r="AB59" i="1" s="1"/>
  <c r="AT59" i="4" a="1"/>
  <c r="AT59" i="4" s="1"/>
  <c r="AS61" i="1" s="1" a="1"/>
  <c r="AS61" i="1" s="1"/>
  <c r="AO58" i="4" a="1"/>
  <c r="AO58" i="4" s="1"/>
  <c r="AN60" i="1" s="1" a="1"/>
  <c r="AN60" i="1" s="1"/>
  <c r="AJ76" i="4" a="1"/>
  <c r="AJ76" i="4" s="1"/>
  <c r="AI78" i="1" s="1" a="1"/>
  <c r="AI78" i="1" s="1"/>
  <c r="AC59" i="1" a="1"/>
  <c r="AC59" i="1" s="1"/>
  <c r="Z46" i="4" a="1"/>
  <c r="Z46" i="4" s="1"/>
  <c r="Y48" i="1" s="1" a="1"/>
  <c r="Y48" i="1" s="1"/>
  <c r="R49" i="1" a="1"/>
  <c r="R49" i="1" s="1"/>
  <c r="N48" i="1" a="1"/>
  <c r="N48" i="1" s="1"/>
  <c r="S49" i="1" a="1"/>
  <c r="S49" i="1" s="1"/>
  <c r="H49" i="1" a="1"/>
  <c r="H49" i="1" s="1"/>
  <c r="P46" i="4" a="1"/>
  <c r="P46" i="4" s="1"/>
  <c r="O48" i="1" s="1" a="1"/>
  <c r="O48" i="1" s="1"/>
  <c r="M48" i="1" a="1"/>
  <c r="M48" i="1" s="1"/>
  <c r="I49" i="1" a="1"/>
  <c r="I49" i="1" s="1"/>
  <c r="AV61" i="4"/>
  <c r="AL59" i="4"/>
  <c r="AB57" i="4"/>
  <c r="AG77" i="4"/>
  <c r="AH77" i="4" s="1"/>
  <c r="AI77" i="4" s="1" a="1"/>
  <c r="AI77" i="4" s="1"/>
  <c r="AV63" i="1" l="1" a="1"/>
  <c r="AV63" i="1" s="1"/>
  <c r="AW63" i="1" a="1"/>
  <c r="AW63" i="1" s="1"/>
  <c r="AQ62" i="1" a="1"/>
  <c r="AQ62" i="1" s="1"/>
  <c r="AR62" i="1" a="1"/>
  <c r="AR62" i="1" s="1"/>
  <c r="AH79" i="1" a="1"/>
  <c r="AH79" i="1" s="1"/>
  <c r="AL61" i="1" a="1"/>
  <c r="AL61" i="1" s="1"/>
  <c r="AM61" i="1" a="1"/>
  <c r="AM61" i="1" s="1"/>
  <c r="AG79" i="1" a="1"/>
  <c r="AG79" i="1" s="1"/>
  <c r="AJ77" i="4" a="1"/>
  <c r="AJ77" i="4" s="1"/>
  <c r="AI79" i="1" s="1" a="1"/>
  <c r="AI79" i="1" s="1"/>
  <c r="W49" i="1" a="1"/>
  <c r="W49" i="1" s="1"/>
  <c r="M49" i="1" a="1"/>
  <c r="M49" i="1" s="1"/>
  <c r="N49" i="1" a="1"/>
  <c r="N49" i="1" s="1"/>
  <c r="X49" i="1" a="1"/>
  <c r="X49" i="1" s="1"/>
  <c r="AQ60" i="4"/>
  <c r="AR60" i="4" s="1"/>
  <c r="AS60" i="4" s="1" a="1"/>
  <c r="AS60" i="4" s="1"/>
  <c r="AW61" i="4"/>
  <c r="AX61" i="4" s="1" a="1"/>
  <c r="AX61" i="4" s="1"/>
  <c r="AM59" i="4"/>
  <c r="AN59" i="4" s="1" a="1"/>
  <c r="AN59" i="4" s="1"/>
  <c r="AC57" i="4"/>
  <c r="AD57" i="4" s="1" a="1"/>
  <c r="AD57" i="4" s="1"/>
  <c r="R47" i="4"/>
  <c r="H47" i="4"/>
  <c r="I47" i="4" s="1"/>
  <c r="J47" i="4" s="1" a="1"/>
  <c r="J47" i="4" s="1"/>
  <c r="AY61" i="4" l="1" a="1"/>
  <c r="AY61" i="4" s="1"/>
  <c r="AX63" i="1" s="1" a="1"/>
  <c r="AX63" i="1" s="1"/>
  <c r="AG80" i="1" a="1"/>
  <c r="AG80" i="1" s="1"/>
  <c r="AT60" i="4" a="1"/>
  <c r="AT60" i="4" s="1"/>
  <c r="AS62" i="1" s="1" a="1"/>
  <c r="AS62" i="1" s="1"/>
  <c r="AH80" i="1" a="1"/>
  <c r="AH80" i="1" s="1"/>
  <c r="AO59" i="4" a="1"/>
  <c r="AO59" i="4" s="1"/>
  <c r="AN61" i="1" s="1" a="1"/>
  <c r="AN61" i="1" s="1"/>
  <c r="AE57" i="4" a="1"/>
  <c r="AE57" i="4" s="1"/>
  <c r="AD59" i="1" s="1" a="1"/>
  <c r="AD59" i="1" s="1"/>
  <c r="K47" i="4" a="1"/>
  <c r="K47" i="4" s="1"/>
  <c r="J49" i="1" s="1" a="1"/>
  <c r="J49" i="1" s="1"/>
  <c r="AG78" i="4"/>
  <c r="AH78" i="4" s="1"/>
  <c r="AI78" i="4" s="1" a="1"/>
  <c r="AI78" i="4" s="1"/>
  <c r="AQ61" i="4"/>
  <c r="S47" i="4"/>
  <c r="T47" i="4" s="1" a="1"/>
  <c r="T47" i="4" s="1"/>
  <c r="M47" i="4"/>
  <c r="N47" i="4" s="1"/>
  <c r="O47" i="4" s="1" a="1"/>
  <c r="O47" i="4" s="1"/>
  <c r="W47" i="4"/>
  <c r="AV64" i="1" l="1" a="1"/>
  <c r="AV64" i="1" s="1"/>
  <c r="AW64" i="1" a="1"/>
  <c r="AW64" i="1" s="1"/>
  <c r="AQ63" i="1" a="1"/>
  <c r="AQ63" i="1" s="1"/>
  <c r="AR63" i="1" a="1"/>
  <c r="AR63" i="1" s="1"/>
  <c r="AB60" i="1" a="1"/>
  <c r="AB60" i="1" s="1"/>
  <c r="AL62" i="1" a="1"/>
  <c r="AL62" i="1" s="1"/>
  <c r="AM62" i="1" a="1"/>
  <c r="AM62" i="1" s="1"/>
  <c r="AJ78" i="4" a="1"/>
  <c r="AJ78" i="4" s="1"/>
  <c r="AI80" i="1" s="1" a="1"/>
  <c r="AI80" i="1" s="1"/>
  <c r="AC60" i="1" a="1"/>
  <c r="AC60" i="1" s="1"/>
  <c r="H50" i="1" a="1"/>
  <c r="H50" i="1" s="1"/>
  <c r="U47" i="4" a="1"/>
  <c r="U47" i="4" s="1"/>
  <c r="T49" i="1" s="1" a="1"/>
  <c r="T49" i="1" s="1"/>
  <c r="P47" i="4" a="1"/>
  <c r="P47" i="4" s="1"/>
  <c r="O49" i="1" s="1" a="1"/>
  <c r="O49" i="1" s="1"/>
  <c r="I50" i="1" a="1"/>
  <c r="I50" i="1" s="1"/>
  <c r="AB58" i="4"/>
  <c r="AC58" i="4" s="1"/>
  <c r="AD58" i="4" s="1" a="1"/>
  <c r="AD58" i="4" s="1"/>
  <c r="AL60" i="4"/>
  <c r="AM60" i="4" s="1"/>
  <c r="AN60" i="4" s="1" a="1"/>
  <c r="AN60" i="4" s="1"/>
  <c r="AV62" i="4"/>
  <c r="AR61" i="4"/>
  <c r="AS61" i="4" s="1" a="1"/>
  <c r="AS61" i="4" s="1"/>
  <c r="AG79" i="4"/>
  <c r="AH79" i="4" s="1"/>
  <c r="AI79" i="4" s="1" a="1"/>
  <c r="AI79" i="4" s="1"/>
  <c r="X47" i="4"/>
  <c r="Y47" i="4" s="1" a="1"/>
  <c r="Y47" i="4" s="1"/>
  <c r="H48" i="4"/>
  <c r="I48" i="4" s="1"/>
  <c r="J48" i="4" s="1" a="1"/>
  <c r="J48" i="4" s="1"/>
  <c r="AG81" i="1" l="1" a="1"/>
  <c r="AG81" i="1" s="1"/>
  <c r="AH81" i="1" a="1"/>
  <c r="AH81" i="1" s="1"/>
  <c r="AT61" i="4" a="1"/>
  <c r="AT61" i="4" s="1"/>
  <c r="AS63" i="1" s="1" a="1"/>
  <c r="AS63" i="1" s="1"/>
  <c r="AO60" i="4" a="1"/>
  <c r="AO60" i="4" s="1"/>
  <c r="AN62" i="1" s="1" a="1"/>
  <c r="AN62" i="1" s="1"/>
  <c r="AJ79" i="4" a="1"/>
  <c r="AJ79" i="4" s="1"/>
  <c r="AI81" i="1" s="1" a="1"/>
  <c r="AI81" i="1" s="1"/>
  <c r="AE58" i="4" a="1"/>
  <c r="AE58" i="4" s="1"/>
  <c r="AD60" i="1" s="1" a="1"/>
  <c r="AD60" i="1" s="1"/>
  <c r="M50" i="1" a="1"/>
  <c r="M50" i="1" s="1"/>
  <c r="Z47" i="4" a="1"/>
  <c r="Z47" i="4" s="1"/>
  <c r="Y49" i="1" s="1" a="1"/>
  <c r="Y49" i="1" s="1"/>
  <c r="R50" i="1" a="1"/>
  <c r="R50" i="1" s="1"/>
  <c r="S50" i="1" a="1"/>
  <c r="S50" i="1" s="1"/>
  <c r="N50" i="1" a="1"/>
  <c r="N50" i="1" s="1"/>
  <c r="K48" i="4" a="1"/>
  <c r="K48" i="4" s="1"/>
  <c r="J50" i="1" s="1" a="1"/>
  <c r="J50" i="1" s="1"/>
  <c r="AW62" i="4"/>
  <c r="AX62" i="4" s="1" a="1"/>
  <c r="AX62" i="4" s="1"/>
  <c r="AL61" i="4"/>
  <c r="AB59" i="4"/>
  <c r="AG80" i="4"/>
  <c r="AH80" i="4" s="1"/>
  <c r="AI80" i="4" s="1" a="1"/>
  <c r="AI80" i="4" s="1"/>
  <c r="R48" i="4"/>
  <c r="S48" i="4" s="1"/>
  <c r="T48" i="4" s="1" a="1"/>
  <c r="T48" i="4" s="1"/>
  <c r="AL63" i="1" l="1" a="1"/>
  <c r="AL63" i="1" s="1"/>
  <c r="AY62" i="4" a="1"/>
  <c r="AY62" i="4" s="1"/>
  <c r="AX64" i="1" s="1" a="1"/>
  <c r="AX64" i="1" s="1"/>
  <c r="AQ64" i="1" a="1"/>
  <c r="AQ64" i="1" s="1"/>
  <c r="AR64" i="1" a="1"/>
  <c r="AR64" i="1" s="1"/>
  <c r="AM63" i="1" a="1"/>
  <c r="AM63" i="1" s="1"/>
  <c r="AH82" i="1" a="1"/>
  <c r="AH82" i="1" s="1"/>
  <c r="AG82" i="1" a="1"/>
  <c r="AG82" i="1" s="1"/>
  <c r="AJ80" i="4" a="1"/>
  <c r="AJ80" i="4" s="1"/>
  <c r="AI82" i="1" s="1" a="1"/>
  <c r="AI82" i="1" s="1"/>
  <c r="AB61" i="1" a="1"/>
  <c r="AB61" i="1" s="1"/>
  <c r="AC61" i="1" a="1"/>
  <c r="AC61" i="1" s="1"/>
  <c r="H51" i="1" a="1"/>
  <c r="H51" i="1" s="1"/>
  <c r="W50" i="1" a="1"/>
  <c r="W50" i="1" s="1"/>
  <c r="X50" i="1" a="1"/>
  <c r="X50" i="1" s="1"/>
  <c r="I51" i="1" a="1"/>
  <c r="I51" i="1" s="1"/>
  <c r="U48" i="4" a="1"/>
  <c r="U48" i="4" s="1"/>
  <c r="T50" i="1" s="1" a="1"/>
  <c r="T50" i="1" s="1"/>
  <c r="W48" i="4"/>
  <c r="X48" i="4" s="1"/>
  <c r="AQ62" i="4"/>
  <c r="AM61" i="4"/>
  <c r="AN61" i="4" s="1" a="1"/>
  <c r="AN61" i="4" s="1"/>
  <c r="AC59" i="4"/>
  <c r="AD59" i="4" s="1" a="1"/>
  <c r="AD59" i="4" s="1"/>
  <c r="M48" i="4"/>
  <c r="AW65" i="1" l="1" a="1"/>
  <c r="AW65" i="1" s="1"/>
  <c r="AV65" i="1" a="1"/>
  <c r="AV65" i="1" s="1"/>
  <c r="AH83" i="1" a="1"/>
  <c r="AH83" i="1" s="1"/>
  <c r="AO61" i="4" a="1"/>
  <c r="AO61" i="4" s="1"/>
  <c r="AN63" i="1" s="1" a="1"/>
  <c r="AN63" i="1" s="1"/>
  <c r="AG83" i="1" a="1"/>
  <c r="AG83" i="1" s="1"/>
  <c r="AE59" i="4" a="1"/>
  <c r="AE59" i="4" s="1"/>
  <c r="AD61" i="1" s="1" a="1"/>
  <c r="AD61" i="1" s="1"/>
  <c r="R51" i="1" a="1"/>
  <c r="R51" i="1" s="1"/>
  <c r="S51" i="1" a="1"/>
  <c r="S51" i="1" s="1"/>
  <c r="Y48" i="4" a="1"/>
  <c r="Y48" i="4" s="1"/>
  <c r="AG81" i="4"/>
  <c r="AH81" i="4" s="1"/>
  <c r="AI81" i="4" s="1" a="1"/>
  <c r="AI81" i="4" s="1"/>
  <c r="AV63" i="4"/>
  <c r="AR62" i="4"/>
  <c r="AS62" i="4" s="1" a="1"/>
  <c r="AS62" i="4" s="1"/>
  <c r="N48" i="4"/>
  <c r="O48" i="4" s="1" a="1"/>
  <c r="O48" i="4" s="1"/>
  <c r="AL64" i="1" l="1" a="1"/>
  <c r="AL64" i="1" s="1"/>
  <c r="AT62" i="4" a="1"/>
  <c r="AT62" i="4" s="1"/>
  <c r="AS64" i="1" s="1" a="1"/>
  <c r="AS64" i="1" s="1"/>
  <c r="AB62" i="1" a="1"/>
  <c r="AB62" i="1" s="1"/>
  <c r="AM64" i="1" a="1"/>
  <c r="AM64" i="1" s="1"/>
  <c r="AC62" i="1" a="1"/>
  <c r="AC62" i="1" s="1"/>
  <c r="AJ81" i="4" a="1"/>
  <c r="AJ81" i="4" s="1"/>
  <c r="AI83" i="1" s="1" a="1"/>
  <c r="AI83" i="1" s="1"/>
  <c r="Z48" i="4" a="1"/>
  <c r="Z48" i="4" s="1"/>
  <c r="Y50" i="1" s="1" a="1"/>
  <c r="Y50" i="1" s="1"/>
  <c r="P48" i="4" a="1"/>
  <c r="P48" i="4" s="1"/>
  <c r="O50" i="1" s="1" a="1"/>
  <c r="O50" i="1" s="1"/>
  <c r="AB60" i="4"/>
  <c r="AC60" i="4" s="1"/>
  <c r="AD60" i="4" s="1" a="1"/>
  <c r="AD60" i="4" s="1"/>
  <c r="AW63" i="4"/>
  <c r="AX63" i="4" s="1" a="1"/>
  <c r="AX63" i="4" s="1"/>
  <c r="AL62" i="4"/>
  <c r="AG82" i="4"/>
  <c r="AH82" i="4" s="1"/>
  <c r="AI82" i="4" s="1" a="1"/>
  <c r="AI82" i="4" s="1"/>
  <c r="R49" i="4"/>
  <c r="S49" i="4" s="1"/>
  <c r="T49" i="4" s="1" a="1"/>
  <c r="T49" i="4" s="1"/>
  <c r="H49" i="4"/>
  <c r="W49" i="4"/>
  <c r="X49" i="4" s="1"/>
  <c r="Y49" i="4" s="1" a="1"/>
  <c r="Y49" i="4" s="1"/>
  <c r="N51" i="1" l="1" a="1"/>
  <c r="N51" i="1" s="1"/>
  <c r="AY63" i="4" a="1"/>
  <c r="AY63" i="4" s="1"/>
  <c r="AX65" i="1" s="1" a="1"/>
  <c r="AX65" i="1" s="1"/>
  <c r="AR65" i="1" a="1"/>
  <c r="AR65" i="1" s="1"/>
  <c r="AQ65" i="1" a="1"/>
  <c r="AQ65" i="1" s="1"/>
  <c r="AG84" i="1" a="1"/>
  <c r="AG84" i="1" s="1"/>
  <c r="AH84" i="1" a="1"/>
  <c r="AH84" i="1" s="1"/>
  <c r="AJ82" i="4" a="1"/>
  <c r="AJ82" i="4" s="1"/>
  <c r="AI84" i="1" s="1" a="1"/>
  <c r="AI84" i="1" s="1"/>
  <c r="AE60" i="4" a="1"/>
  <c r="AE60" i="4" s="1"/>
  <c r="AD62" i="1" s="1" a="1"/>
  <c r="AD62" i="1" s="1"/>
  <c r="W51" i="1" a="1"/>
  <c r="W51" i="1" s="1"/>
  <c r="Z49" i="4" a="1"/>
  <c r="Z49" i="4" s="1"/>
  <c r="Y51" i="1" s="1" a="1"/>
  <c r="Y51" i="1" s="1"/>
  <c r="X51" i="1" a="1"/>
  <c r="X51" i="1" s="1"/>
  <c r="U49" i="4" a="1"/>
  <c r="U49" i="4" s="1"/>
  <c r="T51" i="1" s="1" a="1"/>
  <c r="T51" i="1" s="1"/>
  <c r="M51" i="1" a="1"/>
  <c r="M51" i="1" s="1"/>
  <c r="M49" i="4"/>
  <c r="N49" i="4" s="1"/>
  <c r="O49" i="4" s="1" a="1"/>
  <c r="O49" i="4" s="1"/>
  <c r="AQ63" i="4"/>
  <c r="AM62" i="4"/>
  <c r="AN62" i="4" s="1" a="1"/>
  <c r="AN62" i="4" s="1"/>
  <c r="AB61" i="4"/>
  <c r="I49" i="4"/>
  <c r="J49" i="4" s="1" a="1"/>
  <c r="J49" i="4" s="1"/>
  <c r="AG85" i="1" l="1" a="1"/>
  <c r="AG85" i="1" s="1"/>
  <c r="AV66" i="1" a="1"/>
  <c r="AV66" i="1" s="1"/>
  <c r="AH85" i="1" a="1"/>
  <c r="AH85" i="1" s="1"/>
  <c r="AW66" i="1" a="1"/>
  <c r="AW66" i="1" s="1"/>
  <c r="AB63" i="1" a="1"/>
  <c r="AB63" i="1" s="1"/>
  <c r="AO62" i="4" a="1"/>
  <c r="AO62" i="4" s="1"/>
  <c r="AN64" i="1" s="1" a="1"/>
  <c r="AN64" i="1" s="1"/>
  <c r="AC63" i="1" a="1"/>
  <c r="AC63" i="1" s="1"/>
  <c r="W52" i="1" a="1"/>
  <c r="W52" i="1" s="1"/>
  <c r="X52" i="1" a="1"/>
  <c r="X52" i="1" s="1"/>
  <c r="S52" i="1" a="1"/>
  <c r="S52" i="1" s="1"/>
  <c r="R52" i="1" a="1"/>
  <c r="R52" i="1" s="1"/>
  <c r="P49" i="4" a="1"/>
  <c r="P49" i="4" s="1"/>
  <c r="O51" i="1" s="1" a="1"/>
  <c r="O51" i="1" s="1"/>
  <c r="K49" i="4" a="1"/>
  <c r="K49" i="4" s="1"/>
  <c r="J51" i="1" s="1" a="1"/>
  <c r="J51" i="1" s="1"/>
  <c r="AG83" i="4"/>
  <c r="AH83" i="4" s="1"/>
  <c r="AI83" i="4" s="1" a="1"/>
  <c r="AI83" i="4" s="1"/>
  <c r="AV64" i="4"/>
  <c r="AR63" i="4"/>
  <c r="AS63" i="4" s="1" a="1"/>
  <c r="AS63" i="4" s="1"/>
  <c r="AC61" i="4"/>
  <c r="AD61" i="4" s="1" a="1"/>
  <c r="AD61" i="4" s="1"/>
  <c r="R50" i="4"/>
  <c r="S50" i="4" s="1"/>
  <c r="T50" i="4" s="1" a="1"/>
  <c r="T50" i="4" s="1"/>
  <c r="H50" i="4"/>
  <c r="I50" i="4" s="1"/>
  <c r="J50" i="4" s="1" a="1"/>
  <c r="J50" i="4" s="1"/>
  <c r="AL65" i="1" l="1" a="1"/>
  <c r="AL65" i="1" s="1"/>
  <c r="AT63" i="4" a="1"/>
  <c r="AT63" i="4" s="1"/>
  <c r="AS65" i="1" s="1" a="1"/>
  <c r="AS65" i="1" s="1"/>
  <c r="AM65" i="1" a="1"/>
  <c r="AM65" i="1" s="1"/>
  <c r="AJ83" i="4" a="1"/>
  <c r="AJ83" i="4" s="1"/>
  <c r="AI85" i="1" s="1" a="1"/>
  <c r="AI85" i="1" s="1"/>
  <c r="AE61" i="4" a="1"/>
  <c r="AE61" i="4" s="1"/>
  <c r="AD63" i="1" s="1" a="1"/>
  <c r="AD63" i="1" s="1"/>
  <c r="U50" i="4" a="1"/>
  <c r="U50" i="4" s="1"/>
  <c r="T52" i="1" s="1" a="1"/>
  <c r="T52" i="1" s="1"/>
  <c r="H52" i="1" a="1"/>
  <c r="H52" i="1" s="1"/>
  <c r="M52" i="1" a="1"/>
  <c r="M52" i="1" s="1"/>
  <c r="N52" i="1" a="1"/>
  <c r="N52" i="1" s="1"/>
  <c r="K50" i="4" a="1"/>
  <c r="K50" i="4" s="1"/>
  <c r="J52" i="1" s="1" a="1"/>
  <c r="J52" i="1" s="1"/>
  <c r="I52" i="1" a="1"/>
  <c r="I52" i="1" s="1"/>
  <c r="AW64" i="4"/>
  <c r="AX64" i="4" s="1" a="1"/>
  <c r="AX64" i="4" s="1"/>
  <c r="AL63" i="4"/>
  <c r="AG84" i="4"/>
  <c r="AH84" i="4" s="1"/>
  <c r="AI84" i="4" s="1" a="1"/>
  <c r="AI84" i="4" s="1"/>
  <c r="AQ66" i="1" l="1" a="1"/>
  <c r="AQ66" i="1" s="1"/>
  <c r="AR66" i="1" a="1"/>
  <c r="AR66" i="1" s="1"/>
  <c r="AY64" i="4" a="1"/>
  <c r="AY64" i="4" s="1"/>
  <c r="AX66" i="1" s="1" a="1"/>
  <c r="AX66" i="1" s="1"/>
  <c r="AC64" i="1" a="1"/>
  <c r="AC64" i="1" s="1"/>
  <c r="AH86" i="1" a="1"/>
  <c r="AH86" i="1" s="1"/>
  <c r="AJ84" i="4" a="1"/>
  <c r="AJ84" i="4" s="1"/>
  <c r="AI86" i="1" s="1" a="1"/>
  <c r="AI86" i="1" s="1"/>
  <c r="AG86" i="1" a="1"/>
  <c r="AG86" i="1" s="1"/>
  <c r="AB64" i="1" a="1"/>
  <c r="AB64" i="1" s="1"/>
  <c r="H53" i="1" a="1"/>
  <c r="H53" i="1" s="1"/>
  <c r="R53" i="1" a="1"/>
  <c r="R53" i="1" s="1"/>
  <c r="S53" i="1" a="1"/>
  <c r="S53" i="1" s="1"/>
  <c r="I53" i="1" a="1"/>
  <c r="I53" i="1" s="1"/>
  <c r="AQ64" i="4"/>
  <c r="AM63" i="4"/>
  <c r="AN63" i="4" s="1" a="1"/>
  <c r="AN63" i="4" s="1"/>
  <c r="AB62" i="4"/>
  <c r="M50" i="4"/>
  <c r="W50" i="4"/>
  <c r="AW67" i="1" l="1" a="1"/>
  <c r="AW67" i="1" s="1"/>
  <c r="AV67" i="1" a="1"/>
  <c r="AV67" i="1" s="1"/>
  <c r="AG87" i="1" a="1"/>
  <c r="AG87" i="1" s="1"/>
  <c r="AO63" i="4" a="1"/>
  <c r="AO63" i="4" s="1"/>
  <c r="AN65" i="1" s="1" a="1"/>
  <c r="AN65" i="1" s="1"/>
  <c r="AH87" i="1" a="1"/>
  <c r="AH87" i="1" s="1"/>
  <c r="AV65" i="4"/>
  <c r="AW65" i="4" s="1"/>
  <c r="AX65" i="4" s="1" a="1"/>
  <c r="AX65" i="4" s="1"/>
  <c r="AG85" i="4"/>
  <c r="AH85" i="4" s="1"/>
  <c r="AI85" i="4" s="1" a="1"/>
  <c r="AI85" i="4" s="1"/>
  <c r="AR64" i="4"/>
  <c r="AS64" i="4" s="1" a="1"/>
  <c r="AS64" i="4" s="1"/>
  <c r="AC62" i="4"/>
  <c r="AD62" i="4" s="1" a="1"/>
  <c r="AD62" i="4" s="1"/>
  <c r="X50" i="4"/>
  <c r="Y50" i="4" s="1" a="1"/>
  <c r="Y50" i="4" s="1"/>
  <c r="N50" i="4"/>
  <c r="O50" i="4" s="1" a="1"/>
  <c r="O50" i="4" s="1"/>
  <c r="R51" i="4"/>
  <c r="S51" i="4" s="1"/>
  <c r="T51" i="4" s="1" a="1"/>
  <c r="T51" i="4" s="1"/>
  <c r="H51" i="4"/>
  <c r="I51" i="4" s="1"/>
  <c r="J51" i="4" s="1" a="1"/>
  <c r="J51" i="4" s="1"/>
  <c r="AL66" i="1" l="1" a="1"/>
  <c r="AL66" i="1" s="1"/>
  <c r="AY65" i="4" a="1"/>
  <c r="AY65" i="4" s="1"/>
  <c r="AX67" i="1" s="1" a="1"/>
  <c r="AX67" i="1" s="1"/>
  <c r="AT64" i="4" a="1"/>
  <c r="AT64" i="4" s="1"/>
  <c r="AS66" i="1" s="1" a="1"/>
  <c r="AS66" i="1" s="1"/>
  <c r="AM66" i="1" a="1"/>
  <c r="AM66" i="1" s="1"/>
  <c r="AJ85" i="4" a="1"/>
  <c r="AJ85" i="4" s="1"/>
  <c r="AI87" i="1" s="1" a="1"/>
  <c r="AI87" i="1" s="1"/>
  <c r="AE62" i="4" a="1"/>
  <c r="AE62" i="4" s="1"/>
  <c r="AD64" i="1" s="1" a="1"/>
  <c r="AD64" i="1" s="1"/>
  <c r="Z50" i="4" a="1"/>
  <c r="Z50" i="4" s="1"/>
  <c r="Y52" i="1" s="1" a="1"/>
  <c r="Y52" i="1" s="1"/>
  <c r="U51" i="4" a="1"/>
  <c r="U51" i="4" s="1"/>
  <c r="T53" i="1" s="1" a="1"/>
  <c r="T53" i="1" s="1"/>
  <c r="P50" i="4" a="1"/>
  <c r="P50" i="4" s="1"/>
  <c r="O52" i="1" s="1" a="1"/>
  <c r="O52" i="1" s="1"/>
  <c r="K51" i="4" a="1"/>
  <c r="K51" i="4" s="1"/>
  <c r="J53" i="1" s="1" a="1"/>
  <c r="J53" i="1" s="1"/>
  <c r="AV66" i="4"/>
  <c r="AL64" i="4"/>
  <c r="W51" i="4"/>
  <c r="X51" i="4" s="1"/>
  <c r="Y51" i="4" s="1" a="1"/>
  <c r="Y51" i="4" s="1"/>
  <c r="M51" i="4"/>
  <c r="N51" i="4" s="1"/>
  <c r="O51" i="4" s="1" a="1"/>
  <c r="O51" i="4" s="1"/>
  <c r="AW68" i="1" l="1" a="1"/>
  <c r="AW68" i="1" s="1"/>
  <c r="AV68" i="1" a="1"/>
  <c r="AV68" i="1" s="1"/>
  <c r="AQ67" i="1" a="1"/>
  <c r="AQ67" i="1" s="1"/>
  <c r="AC65" i="1" a="1"/>
  <c r="AC65" i="1" s="1"/>
  <c r="AR67" i="1" a="1"/>
  <c r="AR67" i="1" s="1"/>
  <c r="M53" i="1" a="1"/>
  <c r="M53" i="1" s="1"/>
  <c r="AG88" i="1" a="1"/>
  <c r="AG88" i="1" s="1"/>
  <c r="AB65" i="1" a="1"/>
  <c r="AB65" i="1" s="1"/>
  <c r="AH88" i="1" a="1"/>
  <c r="AH88" i="1" s="1"/>
  <c r="R54" i="1" a="1"/>
  <c r="R54" i="1" s="1"/>
  <c r="Z51" i="4" a="1"/>
  <c r="Z51" i="4" s="1"/>
  <c r="Y53" i="1" s="1" a="1"/>
  <c r="Y53" i="1" s="1"/>
  <c r="W53" i="1" a="1"/>
  <c r="W53" i="1" s="1"/>
  <c r="X53" i="1" a="1"/>
  <c r="X53" i="1" s="1"/>
  <c r="H54" i="1" a="1"/>
  <c r="H54" i="1" s="1"/>
  <c r="I54" i="1" a="1"/>
  <c r="I54" i="1" s="1"/>
  <c r="N53" i="1" a="1"/>
  <c r="N53" i="1" s="1"/>
  <c r="S54" i="1" a="1"/>
  <c r="S54" i="1" s="1"/>
  <c r="P51" i="4" a="1"/>
  <c r="P51" i="4" s="1"/>
  <c r="O53" i="1" s="1" a="1"/>
  <c r="O53" i="1" s="1"/>
  <c r="AQ65" i="4"/>
  <c r="AR65" i="4" s="1"/>
  <c r="AS65" i="4" s="1" a="1"/>
  <c r="AS65" i="4" s="1"/>
  <c r="AG86" i="4"/>
  <c r="AH86" i="4" s="1"/>
  <c r="AI86" i="4" s="1" a="1"/>
  <c r="AI86" i="4" s="1"/>
  <c r="AW66" i="4"/>
  <c r="AX66" i="4" s="1" a="1"/>
  <c r="AX66" i="4" s="1"/>
  <c r="AM64" i="4"/>
  <c r="AN64" i="4" s="1" a="1"/>
  <c r="AN64" i="4" s="1"/>
  <c r="AB63" i="4"/>
  <c r="AY66" i="4" l="1" a="1"/>
  <c r="AY66" i="4" s="1"/>
  <c r="AX68" i="1" s="1" a="1"/>
  <c r="AX68" i="1" s="1"/>
  <c r="AT65" i="4" a="1"/>
  <c r="AT65" i="4" s="1"/>
  <c r="AS67" i="1" s="1" a="1"/>
  <c r="AS67" i="1" s="1"/>
  <c r="AO64" i="4" a="1"/>
  <c r="AO64" i="4" s="1"/>
  <c r="AN66" i="1" s="1" a="1"/>
  <c r="AN66" i="1" s="1"/>
  <c r="AJ86" i="4" a="1"/>
  <c r="AJ86" i="4" s="1"/>
  <c r="AI88" i="1" s="1" a="1"/>
  <c r="AI88" i="1" s="1"/>
  <c r="W54" i="1" a="1"/>
  <c r="W54" i="1" s="1"/>
  <c r="X54" i="1" a="1"/>
  <c r="X54" i="1" s="1"/>
  <c r="N54" i="1" a="1"/>
  <c r="N54" i="1" s="1"/>
  <c r="M54" i="1" a="1"/>
  <c r="M54" i="1" s="1"/>
  <c r="AQ66" i="4"/>
  <c r="AC63" i="4"/>
  <c r="AD63" i="4" s="1" a="1"/>
  <c r="AD63" i="4" s="1"/>
  <c r="AG87" i="4"/>
  <c r="R52" i="4"/>
  <c r="H52" i="4"/>
  <c r="I52" i="4" s="1"/>
  <c r="J52" i="4" s="1" a="1"/>
  <c r="J52" i="4" s="1"/>
  <c r="AL67" i="1" l="1" a="1"/>
  <c r="AL67" i="1" s="1"/>
  <c r="AV69" i="1" a="1"/>
  <c r="AV69" i="1" s="1"/>
  <c r="AR68" i="1" a="1"/>
  <c r="AR68" i="1" s="1"/>
  <c r="AQ68" i="1" a="1"/>
  <c r="AQ68" i="1" s="1"/>
  <c r="AM67" i="1" a="1"/>
  <c r="AM67" i="1" s="1"/>
  <c r="AW69" i="1" a="1"/>
  <c r="AW69" i="1" s="1"/>
  <c r="AH89" i="1" a="1"/>
  <c r="AH89" i="1" s="1"/>
  <c r="AG89" i="1" a="1"/>
  <c r="AG89" i="1" s="1"/>
  <c r="AE63" i="4" a="1"/>
  <c r="AE63" i="4" s="1"/>
  <c r="AD65" i="1" s="1" a="1"/>
  <c r="AD65" i="1" s="1"/>
  <c r="K52" i="4" a="1"/>
  <c r="K52" i="4" s="1"/>
  <c r="J54" i="1" s="1" a="1"/>
  <c r="J54" i="1" s="1"/>
  <c r="AV67" i="4"/>
  <c r="AW67" i="4" s="1"/>
  <c r="AX67" i="4" s="1" a="1"/>
  <c r="AX67" i="4" s="1"/>
  <c r="AL65" i="4"/>
  <c r="AM65" i="4" s="1"/>
  <c r="AN65" i="4" s="1" a="1"/>
  <c r="AN65" i="4" s="1"/>
  <c r="AR66" i="4"/>
  <c r="AS66" i="4" s="1" a="1"/>
  <c r="AS66" i="4" s="1"/>
  <c r="AH87" i="4"/>
  <c r="AI87" i="4" s="1" a="1"/>
  <c r="AI87" i="4" s="1"/>
  <c r="S52" i="4"/>
  <c r="T52" i="4" s="1" a="1"/>
  <c r="T52" i="4" s="1"/>
  <c r="M52" i="4"/>
  <c r="N52" i="4" s="1"/>
  <c r="O52" i="4" s="1" a="1"/>
  <c r="O52" i="4" s="1"/>
  <c r="AY67" i="4" l="1" a="1"/>
  <c r="AY67" i="4" s="1"/>
  <c r="AX69" i="1" s="1" a="1"/>
  <c r="AX69" i="1" s="1"/>
  <c r="AT66" i="4" a="1"/>
  <c r="AT66" i="4" s="1"/>
  <c r="AS68" i="1" s="1" a="1"/>
  <c r="AS68" i="1" s="1"/>
  <c r="AO65" i="4" a="1"/>
  <c r="AO65" i="4" s="1"/>
  <c r="AN67" i="1" s="1" a="1"/>
  <c r="AN67" i="1" s="1"/>
  <c r="AB66" i="1" a="1"/>
  <c r="AB66" i="1" s="1"/>
  <c r="AJ87" i="4" a="1"/>
  <c r="AJ87" i="4" s="1"/>
  <c r="AI89" i="1" s="1" a="1"/>
  <c r="AI89" i="1" s="1"/>
  <c r="AC66" i="1" a="1"/>
  <c r="AC66" i="1" s="1"/>
  <c r="I55" i="1" a="1"/>
  <c r="I55" i="1" s="1"/>
  <c r="U52" i="4" a="1"/>
  <c r="U52" i="4" s="1"/>
  <c r="T54" i="1" s="1" a="1"/>
  <c r="T54" i="1" s="1"/>
  <c r="P52" i="4" a="1"/>
  <c r="P52" i="4" s="1"/>
  <c r="O54" i="1" s="1" a="1"/>
  <c r="O54" i="1" s="1"/>
  <c r="H55" i="1" a="1"/>
  <c r="H55" i="1" s="1"/>
  <c r="AV68" i="4"/>
  <c r="AL66" i="4"/>
  <c r="AB64" i="4"/>
  <c r="AG88" i="4"/>
  <c r="W52" i="4"/>
  <c r="AL68" i="1" l="1" a="1"/>
  <c r="AL68" i="1" s="1"/>
  <c r="AR69" i="1" a="1"/>
  <c r="AR69" i="1" s="1"/>
  <c r="AQ69" i="1" a="1"/>
  <c r="AQ69" i="1" s="1"/>
  <c r="AV70" i="1" a="1"/>
  <c r="AV70" i="1" s="1"/>
  <c r="AW70" i="1" a="1"/>
  <c r="AW70" i="1" s="1"/>
  <c r="AM68" i="1" a="1"/>
  <c r="AM68" i="1" s="1"/>
  <c r="N55" i="1" a="1"/>
  <c r="N55" i="1" s="1"/>
  <c r="AG90" i="1" a="1"/>
  <c r="AG90" i="1" s="1"/>
  <c r="AH90" i="1" a="1"/>
  <c r="AH90" i="1" s="1"/>
  <c r="M55" i="1" a="1"/>
  <c r="M55" i="1" s="1"/>
  <c r="R55" i="1" a="1"/>
  <c r="R55" i="1" s="1"/>
  <c r="S55" i="1" a="1"/>
  <c r="S55" i="1" s="1"/>
  <c r="AQ67" i="4"/>
  <c r="AR67" i="4" s="1"/>
  <c r="AS67" i="4" s="1" a="1"/>
  <c r="AS67" i="4" s="1"/>
  <c r="AW68" i="4"/>
  <c r="AX68" i="4" s="1" a="1"/>
  <c r="AX68" i="4" s="1"/>
  <c r="AM66" i="4"/>
  <c r="AN66" i="4" s="1" a="1"/>
  <c r="AN66" i="4" s="1"/>
  <c r="AC64" i="4"/>
  <c r="AD64" i="4" s="1" a="1"/>
  <c r="AD64" i="4" s="1"/>
  <c r="AH88" i="4"/>
  <c r="AI88" i="4" s="1" a="1"/>
  <c r="AI88" i="4" s="1"/>
  <c r="X52" i="4"/>
  <c r="Y52" i="4" s="1" a="1"/>
  <c r="Y52" i="4" s="1"/>
  <c r="R53" i="4"/>
  <c r="S53" i="4" s="1"/>
  <c r="T53" i="4" s="1" a="1"/>
  <c r="T53" i="4" s="1"/>
  <c r="H53" i="4"/>
  <c r="I53" i="4" s="1"/>
  <c r="J53" i="4" s="1" a="1"/>
  <c r="J53" i="4" s="1"/>
  <c r="AY68" i="4" l="1" a="1"/>
  <c r="AY68" i="4" s="1"/>
  <c r="AX70" i="1" s="1" a="1"/>
  <c r="AX70" i="1" s="1"/>
  <c r="AT67" i="4" a="1"/>
  <c r="AT67" i="4" s="1"/>
  <c r="AS69" i="1" s="1" a="1"/>
  <c r="AS69" i="1" s="1"/>
  <c r="AO66" i="4" a="1"/>
  <c r="AO66" i="4" s="1"/>
  <c r="AN68" i="1" s="1" a="1"/>
  <c r="AN68" i="1" s="1"/>
  <c r="AJ88" i="4" a="1"/>
  <c r="AJ88" i="4" s="1"/>
  <c r="AI90" i="1" s="1" a="1"/>
  <c r="AI90" i="1" s="1"/>
  <c r="AE64" i="4" a="1"/>
  <c r="AE64" i="4" s="1"/>
  <c r="AD66" i="1" s="1" a="1"/>
  <c r="AD66" i="1" s="1"/>
  <c r="Z52" i="4" a="1"/>
  <c r="Z52" i="4" s="1"/>
  <c r="Y54" i="1" s="1" a="1"/>
  <c r="Y54" i="1" s="1"/>
  <c r="U53" i="4" a="1"/>
  <c r="U53" i="4" s="1"/>
  <c r="T55" i="1" s="1" a="1"/>
  <c r="T55" i="1" s="1"/>
  <c r="K53" i="4" a="1"/>
  <c r="K53" i="4" s="1"/>
  <c r="J55" i="1" s="1" a="1"/>
  <c r="J55" i="1" s="1"/>
  <c r="AQ68" i="4"/>
  <c r="AG89" i="4"/>
  <c r="AH89" i="4" s="1"/>
  <c r="AI89" i="4" s="1" a="1"/>
  <c r="AI89" i="4" s="1"/>
  <c r="W53" i="4"/>
  <c r="X53" i="4" s="1"/>
  <c r="Y53" i="4" s="1" a="1"/>
  <c r="Y53" i="4" s="1"/>
  <c r="M53" i="4"/>
  <c r="AQ70" i="1" l="1" a="1"/>
  <c r="AQ70" i="1" s="1"/>
  <c r="AR70" i="1" a="1"/>
  <c r="AR70" i="1" s="1"/>
  <c r="AV71" i="1" a="1"/>
  <c r="AV71" i="1" s="1"/>
  <c r="AW71" i="1" a="1"/>
  <c r="AW71" i="1" s="1"/>
  <c r="AL69" i="1" a="1"/>
  <c r="AL69" i="1" s="1"/>
  <c r="AM69" i="1" a="1"/>
  <c r="AM69" i="1" s="1"/>
  <c r="AG91" i="1" a="1"/>
  <c r="AG91" i="1" s="1"/>
  <c r="AH91" i="1" a="1"/>
  <c r="AH91" i="1" s="1"/>
  <c r="AB67" i="1" a="1"/>
  <c r="AB67" i="1" s="1"/>
  <c r="AJ89" i="4" a="1"/>
  <c r="AJ89" i="4" s="1"/>
  <c r="AI91" i="1" s="1" a="1"/>
  <c r="AI91" i="1" s="1"/>
  <c r="AC67" i="1" a="1"/>
  <c r="AC67" i="1" s="1"/>
  <c r="Z53" i="4" a="1"/>
  <c r="Z53" i="4" s="1"/>
  <c r="Y55" i="1" s="1" a="1"/>
  <c r="Y55" i="1" s="1"/>
  <c r="W55" i="1" a="1"/>
  <c r="W55" i="1" s="1"/>
  <c r="X55" i="1" a="1"/>
  <c r="X55" i="1" s="1"/>
  <c r="H56" i="1" a="1"/>
  <c r="H56" i="1" s="1"/>
  <c r="R56" i="1" a="1"/>
  <c r="R56" i="1" s="1"/>
  <c r="S56" i="1" a="1"/>
  <c r="S56" i="1" s="1"/>
  <c r="I56" i="1" a="1"/>
  <c r="I56" i="1" s="1"/>
  <c r="AL67" i="4"/>
  <c r="AM67" i="4" s="1"/>
  <c r="AN67" i="4" s="1" a="1"/>
  <c r="AN67" i="4" s="1"/>
  <c r="AB65" i="4"/>
  <c r="AC65" i="4" s="1"/>
  <c r="AD65" i="4" s="1" a="1"/>
  <c r="AD65" i="4" s="1"/>
  <c r="AV69" i="4"/>
  <c r="AR68" i="4"/>
  <c r="AS68" i="4" s="1" a="1"/>
  <c r="AS68" i="4" s="1"/>
  <c r="N53" i="4"/>
  <c r="O53" i="4" s="1" a="1"/>
  <c r="O53" i="4" s="1"/>
  <c r="R54" i="4"/>
  <c r="S54" i="4" s="1"/>
  <c r="T54" i="4" s="1" a="1"/>
  <c r="T54" i="4" s="1"/>
  <c r="AH92" i="1" l="1" a="1"/>
  <c r="AH92" i="1" s="1"/>
  <c r="AT68" i="4" a="1"/>
  <c r="AT68" i="4" s="1"/>
  <c r="AS70" i="1" s="1" a="1"/>
  <c r="AS70" i="1" s="1"/>
  <c r="AG92" i="1" a="1"/>
  <c r="AG92" i="1" s="1"/>
  <c r="AO67" i="4" a="1"/>
  <c r="AO67" i="4" s="1"/>
  <c r="AN69" i="1" s="1" a="1"/>
  <c r="AN69" i="1" s="1"/>
  <c r="AE65" i="4" a="1"/>
  <c r="AE65" i="4" s="1"/>
  <c r="AD67" i="1" s="1" a="1"/>
  <c r="AD67" i="1" s="1"/>
  <c r="W56" i="1" a="1"/>
  <c r="W56" i="1" s="1"/>
  <c r="X56" i="1" a="1"/>
  <c r="X56" i="1" s="1"/>
  <c r="U54" i="4" a="1"/>
  <c r="U54" i="4" s="1"/>
  <c r="T56" i="1" s="1" a="1"/>
  <c r="T56" i="1" s="1"/>
  <c r="P53" i="4" a="1"/>
  <c r="P53" i="4" s="1"/>
  <c r="O55" i="1" s="1" a="1"/>
  <c r="O55" i="1" s="1"/>
  <c r="AG90" i="4"/>
  <c r="AH90" i="4" s="1"/>
  <c r="AI90" i="4" s="1" a="1"/>
  <c r="AI90" i="4" s="1"/>
  <c r="AW69" i="4"/>
  <c r="AX69" i="4" s="1" a="1"/>
  <c r="AX69" i="4" s="1"/>
  <c r="AL68" i="4"/>
  <c r="AB66" i="4"/>
  <c r="H54" i="4"/>
  <c r="I54" i="4" s="1"/>
  <c r="J54" i="4" s="1" a="1"/>
  <c r="J54" i="4" s="1"/>
  <c r="AY69" i="4" l="1" a="1"/>
  <c r="AY69" i="4" s="1"/>
  <c r="AX71" i="1" s="1" a="1"/>
  <c r="AX71" i="1" s="1"/>
  <c r="AQ71" i="1" a="1"/>
  <c r="AQ71" i="1" s="1"/>
  <c r="M56" i="1" a="1"/>
  <c r="M56" i="1" s="1"/>
  <c r="AR71" i="1" a="1"/>
  <c r="AR71" i="1" s="1"/>
  <c r="AL70" i="1" a="1"/>
  <c r="AL70" i="1" s="1"/>
  <c r="AB68" i="1" a="1"/>
  <c r="AB68" i="1" s="1"/>
  <c r="AM70" i="1" a="1"/>
  <c r="AM70" i="1" s="1"/>
  <c r="AJ90" i="4" a="1"/>
  <c r="AJ90" i="4" s="1"/>
  <c r="AI92" i="1" s="1" a="1"/>
  <c r="AI92" i="1" s="1"/>
  <c r="AC68" i="1" a="1"/>
  <c r="AC68" i="1" s="1"/>
  <c r="N56" i="1" a="1"/>
  <c r="N56" i="1" s="1"/>
  <c r="R57" i="1" a="1"/>
  <c r="R57" i="1" s="1"/>
  <c r="S57" i="1" a="1"/>
  <c r="S57" i="1" s="1"/>
  <c r="K54" i="4" a="1"/>
  <c r="K54" i="4" s="1"/>
  <c r="J56" i="1" s="1" a="1"/>
  <c r="J56" i="1" s="1"/>
  <c r="AQ69" i="4"/>
  <c r="AM68" i="4"/>
  <c r="AN68" i="4" s="1" a="1"/>
  <c r="AN68" i="4" s="1"/>
  <c r="AC66" i="4"/>
  <c r="AD66" i="4" s="1" a="1"/>
  <c r="AD66" i="4" s="1"/>
  <c r="AG91" i="4"/>
  <c r="AH91" i="4" s="1"/>
  <c r="AI91" i="4" s="1" a="1"/>
  <c r="AI91" i="4" s="1"/>
  <c r="M54" i="4"/>
  <c r="N54" i="4" s="1"/>
  <c r="O54" i="4" s="1" a="1"/>
  <c r="O54" i="4" s="1"/>
  <c r="W54" i="4"/>
  <c r="AV72" i="1" l="1" a="1"/>
  <c r="AV72" i="1" s="1"/>
  <c r="AW72" i="1" a="1"/>
  <c r="AW72" i="1" s="1"/>
  <c r="AH93" i="1" a="1"/>
  <c r="AH93" i="1" s="1"/>
  <c r="AO68" i="4" a="1"/>
  <c r="AO68" i="4" s="1"/>
  <c r="AN70" i="1" s="1" a="1"/>
  <c r="AN70" i="1" s="1"/>
  <c r="AJ91" i="4" a="1"/>
  <c r="AJ91" i="4" s="1"/>
  <c r="AI93" i="1" s="1" a="1"/>
  <c r="AI93" i="1" s="1"/>
  <c r="AG93" i="1" a="1"/>
  <c r="AG93" i="1" s="1"/>
  <c r="AE66" i="4" a="1"/>
  <c r="AE66" i="4" s="1"/>
  <c r="AD68" i="1" s="1" a="1"/>
  <c r="AD68" i="1" s="1"/>
  <c r="H57" i="1" a="1"/>
  <c r="H57" i="1" s="1"/>
  <c r="P54" i="4" a="1"/>
  <c r="P54" i="4" s="1"/>
  <c r="O56" i="1" s="1" a="1"/>
  <c r="O56" i="1" s="1"/>
  <c r="I57" i="1" a="1"/>
  <c r="I57" i="1" s="1"/>
  <c r="AV70" i="4"/>
  <c r="AW70" i="4" s="1"/>
  <c r="AX70" i="4" s="1" a="1"/>
  <c r="AX70" i="4" s="1"/>
  <c r="AR69" i="4"/>
  <c r="AS69" i="4" s="1" a="1"/>
  <c r="AS69" i="4" s="1"/>
  <c r="X54" i="4"/>
  <c r="Y54" i="4" s="1" a="1"/>
  <c r="Y54" i="4" s="1"/>
  <c r="H55" i="4"/>
  <c r="I55" i="4" s="1"/>
  <c r="J55" i="4" s="1" a="1"/>
  <c r="J55" i="4" s="1"/>
  <c r="AG94" i="1" l="1" a="1"/>
  <c r="AG94" i="1" s="1"/>
  <c r="AL71" i="1" a="1"/>
  <c r="AL71" i="1" s="1"/>
  <c r="AY70" i="4" a="1"/>
  <c r="AY70" i="4" s="1"/>
  <c r="AX72" i="1" s="1" a="1"/>
  <c r="AX72" i="1" s="1"/>
  <c r="AT69" i="4" a="1"/>
  <c r="AT69" i="4" s="1"/>
  <c r="AS71" i="1" s="1" a="1"/>
  <c r="AS71" i="1" s="1"/>
  <c r="AM71" i="1" a="1"/>
  <c r="AM71" i="1" s="1"/>
  <c r="AH94" i="1" a="1"/>
  <c r="AH94" i="1" s="1"/>
  <c r="M57" i="1" a="1"/>
  <c r="M57" i="1" s="1"/>
  <c r="AB69" i="1" a="1"/>
  <c r="AB69" i="1" s="1"/>
  <c r="AC69" i="1" a="1"/>
  <c r="AC69" i="1" s="1"/>
  <c r="N57" i="1" a="1"/>
  <c r="N57" i="1" s="1"/>
  <c r="Z54" i="4" a="1"/>
  <c r="Z54" i="4" s="1"/>
  <c r="Y56" i="1" s="1" a="1"/>
  <c r="Y56" i="1" s="1"/>
  <c r="K55" i="4" a="1"/>
  <c r="K55" i="4" s="1"/>
  <c r="J57" i="1" s="1" a="1"/>
  <c r="J57" i="1" s="1"/>
  <c r="AB67" i="4"/>
  <c r="AC67" i="4" s="1"/>
  <c r="AD67" i="4" s="1" a="1"/>
  <c r="AD67" i="4" s="1"/>
  <c r="AG92" i="4"/>
  <c r="AH92" i="4" s="1"/>
  <c r="AI92" i="4" s="1" a="1"/>
  <c r="AI92" i="4" s="1"/>
  <c r="AV71" i="4"/>
  <c r="AL69" i="4"/>
  <c r="M55" i="4"/>
  <c r="N55" i="4" s="1"/>
  <c r="O55" i="4" s="1" a="1"/>
  <c r="O55" i="4" s="1"/>
  <c r="R55" i="4"/>
  <c r="S55" i="4" s="1"/>
  <c r="T55" i="4" s="1" a="1"/>
  <c r="T55" i="4" s="1"/>
  <c r="W55" i="4"/>
  <c r="X55" i="4" s="1"/>
  <c r="Y55" i="4" s="1" a="1"/>
  <c r="Y55" i="4" s="1"/>
  <c r="AR72" i="1" l="1" a="1"/>
  <c r="AR72" i="1" s="1"/>
  <c r="AQ72" i="1" a="1"/>
  <c r="AQ72" i="1" s="1"/>
  <c r="AW73" i="1" a="1"/>
  <c r="AW73" i="1" s="1"/>
  <c r="AV73" i="1" a="1"/>
  <c r="AV73" i="1" s="1"/>
  <c r="AJ92" i="4" a="1"/>
  <c r="AJ92" i="4" s="1"/>
  <c r="AI94" i="1" s="1" a="1"/>
  <c r="AI94" i="1" s="1"/>
  <c r="AE67" i="4" a="1"/>
  <c r="AE67" i="4" s="1"/>
  <c r="AD69" i="1" s="1" a="1"/>
  <c r="AD69" i="1" s="1"/>
  <c r="Z55" i="4" a="1"/>
  <c r="Z55" i="4" s="1"/>
  <c r="Y57" i="1" s="1" a="1"/>
  <c r="Y57" i="1" s="1"/>
  <c r="W57" i="1" a="1"/>
  <c r="W57" i="1" s="1"/>
  <c r="X57" i="1" a="1"/>
  <c r="X57" i="1" s="1"/>
  <c r="U55" i="4" a="1"/>
  <c r="U55" i="4" s="1"/>
  <c r="T57" i="1" s="1" a="1"/>
  <c r="T57" i="1" s="1"/>
  <c r="H58" i="1" a="1"/>
  <c r="H58" i="1" s="1"/>
  <c r="P55" i="4" a="1"/>
  <c r="P55" i="4" s="1"/>
  <c r="O57" i="1" s="1" a="1"/>
  <c r="O57" i="1" s="1"/>
  <c r="I58" i="1" a="1"/>
  <c r="I58" i="1" s="1"/>
  <c r="AQ70" i="4"/>
  <c r="AR70" i="4" s="1"/>
  <c r="AS70" i="4" s="1" a="1"/>
  <c r="AS70" i="4" s="1"/>
  <c r="AW71" i="4"/>
  <c r="AX71" i="4" s="1" a="1"/>
  <c r="AX71" i="4" s="1"/>
  <c r="AM69" i="4"/>
  <c r="AN69" i="4" s="1" a="1"/>
  <c r="AN69" i="4" s="1"/>
  <c r="AB68" i="4"/>
  <c r="AG95" i="1" l="1" a="1"/>
  <c r="AG95" i="1" s="1"/>
  <c r="AH95" i="1" a="1"/>
  <c r="AH95" i="1" s="1"/>
  <c r="AY71" i="4" a="1"/>
  <c r="AY71" i="4" s="1"/>
  <c r="AX73" i="1" s="1" a="1"/>
  <c r="AX73" i="1" s="1"/>
  <c r="AT70" i="4" a="1"/>
  <c r="AT70" i="4" s="1"/>
  <c r="AS72" i="1" s="1" a="1"/>
  <c r="AS72" i="1" s="1"/>
  <c r="AO69" i="4" a="1"/>
  <c r="AO69" i="4" s="1"/>
  <c r="AN71" i="1" s="1" a="1"/>
  <c r="AN71" i="1" s="1"/>
  <c r="AB70" i="1" a="1"/>
  <c r="AB70" i="1" s="1"/>
  <c r="AC70" i="1" a="1"/>
  <c r="AC70" i="1" s="1"/>
  <c r="W58" i="1" a="1"/>
  <c r="W58" i="1" s="1"/>
  <c r="X58" i="1" a="1"/>
  <c r="X58" i="1" s="1"/>
  <c r="N58" i="1" a="1"/>
  <c r="N58" i="1" s="1"/>
  <c r="R58" i="1" a="1"/>
  <c r="R58" i="1" s="1"/>
  <c r="S58" i="1" a="1"/>
  <c r="S58" i="1" s="1"/>
  <c r="M58" i="1" a="1"/>
  <c r="M58" i="1" s="1"/>
  <c r="AG93" i="4"/>
  <c r="AH93" i="4" s="1"/>
  <c r="AI93" i="4" s="1" a="1"/>
  <c r="AI93" i="4" s="1"/>
  <c r="AQ71" i="4"/>
  <c r="AC68" i="4"/>
  <c r="AD68" i="4" s="1" a="1"/>
  <c r="AD68" i="4" s="1"/>
  <c r="R56" i="4"/>
  <c r="H56" i="4"/>
  <c r="I56" i="4" s="1"/>
  <c r="J56" i="4" s="1" a="1"/>
  <c r="J56" i="4" s="1"/>
  <c r="AQ73" i="1" l="1" a="1"/>
  <c r="AQ73" i="1" s="1"/>
  <c r="AR73" i="1" a="1"/>
  <c r="AR73" i="1" s="1"/>
  <c r="AV74" i="1" a="1"/>
  <c r="AV74" i="1" s="1"/>
  <c r="AW74" i="1" a="1"/>
  <c r="AW74" i="1" s="1"/>
  <c r="AL72" i="1" a="1"/>
  <c r="AL72" i="1" s="1"/>
  <c r="AM72" i="1" a="1"/>
  <c r="AM72" i="1" s="1"/>
  <c r="AJ93" i="4" a="1"/>
  <c r="AJ93" i="4" s="1"/>
  <c r="AI95" i="1" s="1" a="1"/>
  <c r="AI95" i="1" s="1"/>
  <c r="AE68" i="4" a="1"/>
  <c r="AE68" i="4" s="1"/>
  <c r="AD70" i="1" s="1" a="1"/>
  <c r="AD70" i="1" s="1"/>
  <c r="K56" i="4" a="1"/>
  <c r="K56" i="4" s="1"/>
  <c r="J58" i="1" s="1" a="1"/>
  <c r="J58" i="1" s="1"/>
  <c r="AV72" i="4"/>
  <c r="AW72" i="4" s="1"/>
  <c r="AX72" i="4" s="1" a="1"/>
  <c r="AX72" i="4" s="1"/>
  <c r="AL70" i="4"/>
  <c r="AM70" i="4" s="1"/>
  <c r="AN70" i="4" s="1" a="1"/>
  <c r="AN70" i="4" s="1"/>
  <c r="AR71" i="4"/>
  <c r="AS71" i="4" s="1" a="1"/>
  <c r="AS71" i="4" s="1"/>
  <c r="AG94" i="4"/>
  <c r="AH94" i="4" s="1"/>
  <c r="AI94" i="4" s="1" a="1"/>
  <c r="AI94" i="4" s="1"/>
  <c r="S56" i="4"/>
  <c r="T56" i="4" s="1" a="1"/>
  <c r="T56" i="4" s="1"/>
  <c r="M56" i="4"/>
  <c r="N56" i="4" s="1"/>
  <c r="O56" i="4" s="1" a="1"/>
  <c r="O56" i="4" s="1"/>
  <c r="AY72" i="4" l="1" a="1"/>
  <c r="AY72" i="4" s="1"/>
  <c r="AX74" i="1" s="1" a="1"/>
  <c r="AX74" i="1" s="1"/>
  <c r="AH96" i="1" a="1"/>
  <c r="AH96" i="1" s="1"/>
  <c r="AT71" i="4" a="1"/>
  <c r="AT71" i="4" s="1"/>
  <c r="AS73" i="1" s="1" a="1"/>
  <c r="AS73" i="1" s="1"/>
  <c r="AG96" i="1" a="1"/>
  <c r="AG96" i="1" s="1"/>
  <c r="AO70" i="4" a="1"/>
  <c r="AO70" i="4" s="1"/>
  <c r="AN72" i="1" s="1" a="1"/>
  <c r="AN72" i="1" s="1"/>
  <c r="AB71" i="1" a="1"/>
  <c r="AB71" i="1" s="1"/>
  <c r="AC71" i="1" a="1"/>
  <c r="AC71" i="1" s="1"/>
  <c r="AJ94" i="4" a="1"/>
  <c r="AJ94" i="4" s="1"/>
  <c r="AI96" i="1" s="1" a="1"/>
  <c r="AI96" i="1" s="1"/>
  <c r="H59" i="1" a="1"/>
  <c r="H59" i="1" s="1"/>
  <c r="U56" i="4" a="1"/>
  <c r="U56" i="4" s="1"/>
  <c r="T58" i="1" s="1" a="1"/>
  <c r="T58" i="1" s="1"/>
  <c r="I59" i="1" a="1"/>
  <c r="I59" i="1" s="1"/>
  <c r="P56" i="4" a="1"/>
  <c r="P56" i="4" s="1"/>
  <c r="O58" i="1" s="1" a="1"/>
  <c r="O58" i="1" s="1"/>
  <c r="AV73" i="4"/>
  <c r="AL71" i="4"/>
  <c r="AB69" i="4"/>
  <c r="AG95" i="4"/>
  <c r="W56" i="4"/>
  <c r="AV75" i="1" l="1" a="1"/>
  <c r="AV75" i="1" s="1"/>
  <c r="AL73" i="1" a="1"/>
  <c r="AL73" i="1" s="1"/>
  <c r="AR74" i="1" a="1"/>
  <c r="AR74" i="1" s="1"/>
  <c r="AW75" i="1" a="1"/>
  <c r="AW75" i="1" s="1"/>
  <c r="AQ74" i="1" a="1"/>
  <c r="AQ74" i="1" s="1"/>
  <c r="AH97" i="1" a="1"/>
  <c r="AH97" i="1" s="1"/>
  <c r="AM73" i="1" a="1"/>
  <c r="AM73" i="1" s="1"/>
  <c r="AG97" i="1" a="1"/>
  <c r="AG97" i="1" s="1"/>
  <c r="R59" i="1" a="1"/>
  <c r="R59" i="1" s="1"/>
  <c r="S59" i="1" a="1"/>
  <c r="S59" i="1" s="1"/>
  <c r="N59" i="1" a="1"/>
  <c r="N59" i="1" s="1"/>
  <c r="M59" i="1" a="1"/>
  <c r="M59" i="1" s="1"/>
  <c r="AQ72" i="4"/>
  <c r="AR72" i="4" s="1"/>
  <c r="AS72" i="4" s="1" a="1"/>
  <c r="AS72" i="4" s="1"/>
  <c r="AW73" i="4"/>
  <c r="AX73" i="4" s="1" a="1"/>
  <c r="AX73" i="4" s="1"/>
  <c r="AM71" i="4"/>
  <c r="AN71" i="4" s="1" a="1"/>
  <c r="AN71" i="4" s="1"/>
  <c r="AC69" i="4"/>
  <c r="AD69" i="4" s="1" a="1"/>
  <c r="AD69" i="4" s="1"/>
  <c r="AH95" i="4"/>
  <c r="AI95" i="4" s="1" a="1"/>
  <c r="AI95" i="4" s="1"/>
  <c r="X56" i="4"/>
  <c r="Y56" i="4" s="1" a="1"/>
  <c r="Y56" i="4" s="1"/>
  <c r="R57" i="4"/>
  <c r="S57" i="4" s="1"/>
  <c r="T57" i="4" s="1" a="1"/>
  <c r="T57" i="4" s="1"/>
  <c r="H57" i="4"/>
  <c r="I57" i="4" s="1"/>
  <c r="J57" i="4" s="1" a="1"/>
  <c r="J57" i="4" s="1"/>
  <c r="AY73" i="4" l="1" a="1"/>
  <c r="AY73" i="4" s="1"/>
  <c r="AX75" i="1" s="1" a="1"/>
  <c r="AX75" i="1" s="1"/>
  <c r="AT72" i="4" a="1"/>
  <c r="AT72" i="4" s="1"/>
  <c r="AS74" i="1" s="1" a="1"/>
  <c r="AS74" i="1" s="1"/>
  <c r="AO71" i="4" a="1"/>
  <c r="AO71" i="4" s="1"/>
  <c r="AN73" i="1" s="1" a="1"/>
  <c r="AN73" i="1" s="1"/>
  <c r="AJ95" i="4" a="1"/>
  <c r="AJ95" i="4" s="1"/>
  <c r="AI97" i="1" s="1" a="1"/>
  <c r="AI97" i="1" s="1"/>
  <c r="AE69" i="4" a="1"/>
  <c r="AE69" i="4" s="1"/>
  <c r="AD71" i="1" s="1" a="1"/>
  <c r="AD71" i="1" s="1"/>
  <c r="Z56" i="4" a="1"/>
  <c r="Z56" i="4" s="1"/>
  <c r="Y58" i="1" s="1" a="1"/>
  <c r="Y58" i="1" s="1"/>
  <c r="U57" i="4" a="1"/>
  <c r="U57" i="4" s="1"/>
  <c r="T59" i="1" s="1" a="1"/>
  <c r="T59" i="1" s="1"/>
  <c r="K57" i="4" a="1"/>
  <c r="K57" i="4" s="1"/>
  <c r="J59" i="1" s="1" a="1"/>
  <c r="J59" i="1" s="1"/>
  <c r="AQ73" i="4"/>
  <c r="AG96" i="4"/>
  <c r="AH96" i="4" s="1"/>
  <c r="AI96" i="4" s="1" a="1"/>
  <c r="AI96" i="4" s="1"/>
  <c r="W57" i="4"/>
  <c r="X57" i="4" s="1"/>
  <c r="Y57" i="4" s="1" a="1"/>
  <c r="Y57" i="4" s="1"/>
  <c r="M57" i="4"/>
  <c r="N57" i="4" s="1"/>
  <c r="O57" i="4" s="1" a="1"/>
  <c r="O57" i="4" s="1"/>
  <c r="AW76" i="1" l="1" a="1"/>
  <c r="AW76" i="1" s="1"/>
  <c r="AV76" i="1" a="1"/>
  <c r="AV76" i="1" s="1"/>
  <c r="AR75" i="1" a="1"/>
  <c r="AR75" i="1" s="1"/>
  <c r="AH98" i="1" a="1"/>
  <c r="AH98" i="1" s="1"/>
  <c r="AM74" i="1" a="1"/>
  <c r="AM74" i="1" s="1"/>
  <c r="AG98" i="1" a="1"/>
  <c r="AG98" i="1" s="1"/>
  <c r="AL74" i="1" a="1"/>
  <c r="AL74" i="1" s="1"/>
  <c r="AQ75" i="1" a="1"/>
  <c r="AQ75" i="1" s="1"/>
  <c r="H60" i="1" a="1"/>
  <c r="H60" i="1" s="1"/>
  <c r="I60" i="1" a="1"/>
  <c r="I60" i="1" s="1"/>
  <c r="AJ96" i="4" a="1"/>
  <c r="AJ96" i="4" s="1"/>
  <c r="AI98" i="1" s="1" a="1"/>
  <c r="AI98" i="1" s="1"/>
  <c r="AB72" i="1" a="1"/>
  <c r="AB72" i="1" s="1"/>
  <c r="AC72" i="1" a="1"/>
  <c r="AC72" i="1" s="1"/>
  <c r="Z57" i="4" a="1"/>
  <c r="Z57" i="4" s="1"/>
  <c r="Y59" i="1" s="1" a="1"/>
  <c r="Y59" i="1" s="1"/>
  <c r="W59" i="1" a="1"/>
  <c r="W59" i="1" s="1"/>
  <c r="X59" i="1" a="1"/>
  <c r="X59" i="1" s="1"/>
  <c r="R60" i="1" a="1"/>
  <c r="R60" i="1" s="1"/>
  <c r="S60" i="1" a="1"/>
  <c r="S60" i="1" s="1"/>
  <c r="P57" i="4" a="1"/>
  <c r="P57" i="4" s="1"/>
  <c r="O59" i="1" s="1" a="1"/>
  <c r="O59" i="1" s="1"/>
  <c r="AL72" i="4"/>
  <c r="AM72" i="4" s="1"/>
  <c r="AN72" i="4" s="1" a="1"/>
  <c r="AN72" i="4" s="1"/>
  <c r="AB70" i="4"/>
  <c r="AC70" i="4" s="1"/>
  <c r="AD70" i="4" s="1" a="1"/>
  <c r="AD70" i="4" s="1"/>
  <c r="AV74" i="4"/>
  <c r="AR73" i="4"/>
  <c r="AS73" i="4" s="1" a="1"/>
  <c r="AS73" i="4" s="1"/>
  <c r="R58" i="4"/>
  <c r="S58" i="4" s="1"/>
  <c r="T58" i="4" s="1" a="1"/>
  <c r="T58" i="4" s="1"/>
  <c r="AT73" i="4" l="1" a="1"/>
  <c r="AT73" i="4" s="1"/>
  <c r="AS75" i="1" s="1" a="1"/>
  <c r="AS75" i="1" s="1"/>
  <c r="AG99" i="1" a="1"/>
  <c r="AG99" i="1" s="1"/>
  <c r="AH99" i="1" a="1"/>
  <c r="AH99" i="1" s="1"/>
  <c r="AO72" i="4" a="1"/>
  <c r="AO72" i="4" s="1"/>
  <c r="AN74" i="1" s="1" a="1"/>
  <c r="AN74" i="1" s="1"/>
  <c r="AE70" i="4" a="1"/>
  <c r="AE70" i="4" s="1"/>
  <c r="AD72" i="1" s="1" a="1"/>
  <c r="AD72" i="1" s="1"/>
  <c r="W60" i="1" a="1"/>
  <c r="W60" i="1" s="1"/>
  <c r="X60" i="1" a="1"/>
  <c r="X60" i="1" s="1"/>
  <c r="M60" i="1" a="1"/>
  <c r="M60" i="1" s="1"/>
  <c r="U58" i="4" a="1"/>
  <c r="U58" i="4" s="1"/>
  <c r="T60" i="1" s="1" a="1"/>
  <c r="T60" i="1" s="1"/>
  <c r="N60" i="1" a="1"/>
  <c r="N60" i="1" s="1"/>
  <c r="AG97" i="4"/>
  <c r="AH97" i="4" s="1"/>
  <c r="AI97" i="4" s="1" a="1"/>
  <c r="AI97" i="4" s="1"/>
  <c r="AW74" i="4"/>
  <c r="AX74" i="4" s="1" a="1"/>
  <c r="AX74" i="4" s="1"/>
  <c r="AL73" i="4"/>
  <c r="AB71" i="4"/>
  <c r="H58" i="4"/>
  <c r="I58" i="4" s="1"/>
  <c r="J58" i="4" s="1" a="1"/>
  <c r="J58" i="4" s="1"/>
  <c r="AQ76" i="1" l="1" a="1"/>
  <c r="AQ76" i="1" s="1"/>
  <c r="AY74" i="4" a="1"/>
  <c r="AY74" i="4" s="1"/>
  <c r="AX76" i="1" s="1" a="1"/>
  <c r="AX76" i="1" s="1"/>
  <c r="AL75" i="1" a="1"/>
  <c r="AL75" i="1" s="1"/>
  <c r="AM75" i="1" a="1"/>
  <c r="AM75" i="1" s="1"/>
  <c r="AR76" i="1" a="1"/>
  <c r="AR76" i="1" s="1"/>
  <c r="AB73" i="1" a="1"/>
  <c r="AB73" i="1" s="1"/>
  <c r="AC73" i="1" a="1"/>
  <c r="AC73" i="1" s="1"/>
  <c r="AJ97" i="4" a="1"/>
  <c r="AJ97" i="4" s="1"/>
  <c r="AI99" i="1" s="1" a="1"/>
  <c r="AI99" i="1" s="1"/>
  <c r="R61" i="1" a="1"/>
  <c r="R61" i="1" s="1"/>
  <c r="S61" i="1" a="1"/>
  <c r="S61" i="1" s="1"/>
  <c r="K58" i="4" a="1"/>
  <c r="K58" i="4" s="1"/>
  <c r="J60" i="1" s="1" a="1"/>
  <c r="J60" i="1" s="1"/>
  <c r="AQ74" i="4"/>
  <c r="AM73" i="4"/>
  <c r="AN73" i="4" s="1" a="1"/>
  <c r="AN73" i="4" s="1"/>
  <c r="AC71" i="4"/>
  <c r="AD71" i="4" s="1" a="1"/>
  <c r="AD71" i="4" s="1"/>
  <c r="M58" i="4"/>
  <c r="N58" i="4" s="1"/>
  <c r="O58" i="4" s="1" a="1"/>
  <c r="O58" i="4" s="1"/>
  <c r="W58" i="4"/>
  <c r="X58" i="4" s="1"/>
  <c r="Y58" i="4" s="1" a="1"/>
  <c r="Y58" i="4" s="1"/>
  <c r="AV77" i="1" l="1" a="1"/>
  <c r="AV77" i="1" s="1"/>
  <c r="AW77" i="1" a="1"/>
  <c r="AW77" i="1" s="1"/>
  <c r="AG100" i="1" a="1"/>
  <c r="AG100" i="1" s="1"/>
  <c r="AO73" i="4" a="1"/>
  <c r="AO73" i="4" s="1"/>
  <c r="AN75" i="1" s="1" a="1"/>
  <c r="AN75" i="1" s="1"/>
  <c r="AH100" i="1" a="1"/>
  <c r="AH100" i="1" s="1"/>
  <c r="AE71" i="4" a="1"/>
  <c r="AE71" i="4" s="1"/>
  <c r="AD73" i="1" s="1" a="1"/>
  <c r="AD73" i="1" s="1"/>
  <c r="Z58" i="4" a="1"/>
  <c r="Z58" i="4" s="1"/>
  <c r="Y60" i="1" s="1" a="1"/>
  <c r="Y60" i="1" s="1"/>
  <c r="P58" i="4" a="1"/>
  <c r="P58" i="4" s="1"/>
  <c r="O60" i="1" s="1" a="1"/>
  <c r="O60" i="1" s="1"/>
  <c r="H61" i="1" a="1"/>
  <c r="H61" i="1" s="1"/>
  <c r="I61" i="1" a="1"/>
  <c r="I61" i="1" s="1"/>
  <c r="AG98" i="4"/>
  <c r="AH98" i="4" s="1"/>
  <c r="AI98" i="4" s="1" a="1"/>
  <c r="AI98" i="4" s="1"/>
  <c r="AV75" i="4"/>
  <c r="AR74" i="4"/>
  <c r="AS74" i="4" s="1" a="1"/>
  <c r="AS74" i="4" s="1"/>
  <c r="AL76" i="1" l="1" a="1"/>
  <c r="AL76" i="1" s="1"/>
  <c r="AM76" i="1" a="1"/>
  <c r="AM76" i="1" s="1"/>
  <c r="AT74" i="4" a="1"/>
  <c r="AT74" i="4" s="1"/>
  <c r="AS76" i="1" s="1" a="1"/>
  <c r="AS76" i="1" s="1"/>
  <c r="AB74" i="1" a="1"/>
  <c r="AB74" i="1" s="1"/>
  <c r="AC74" i="1" a="1"/>
  <c r="AC74" i="1" s="1"/>
  <c r="AJ98" i="4" a="1"/>
  <c r="AJ98" i="4" s="1"/>
  <c r="AI100" i="1" s="1" a="1"/>
  <c r="AI100" i="1" s="1"/>
  <c r="N61" i="1" a="1"/>
  <c r="N61" i="1" s="1"/>
  <c r="W61" i="1" a="1"/>
  <c r="W61" i="1" s="1"/>
  <c r="X61" i="1" a="1"/>
  <c r="X61" i="1" s="1"/>
  <c r="M61" i="1" a="1"/>
  <c r="M61" i="1" s="1"/>
  <c r="AB72" i="4"/>
  <c r="AC72" i="4" s="1"/>
  <c r="AD72" i="4" s="1" a="1"/>
  <c r="AD72" i="4" s="1"/>
  <c r="AW75" i="4"/>
  <c r="AX75" i="4" s="1" a="1"/>
  <c r="AX75" i="4" s="1"/>
  <c r="AL74" i="4"/>
  <c r="R59" i="4"/>
  <c r="S59" i="4" s="1"/>
  <c r="T59" i="4" s="1" a="1"/>
  <c r="T59" i="4" s="1"/>
  <c r="W59" i="4"/>
  <c r="X59" i="4" s="1"/>
  <c r="Y59" i="4" s="1" a="1"/>
  <c r="Y59" i="4" s="1"/>
  <c r="AG101" i="1" l="1" a="1"/>
  <c r="AG101" i="1" s="1"/>
  <c r="AR77" i="1" a="1"/>
  <c r="AR77" i="1" s="1"/>
  <c r="AQ77" i="1" a="1"/>
  <c r="AQ77" i="1" s="1"/>
  <c r="AY75" i="4" a="1"/>
  <c r="AY75" i="4" s="1"/>
  <c r="AX77" i="1" s="1" a="1"/>
  <c r="AX77" i="1" s="1"/>
  <c r="AH101" i="1" a="1"/>
  <c r="AH101" i="1" s="1"/>
  <c r="AE72" i="4" a="1"/>
  <c r="AE72" i="4" s="1"/>
  <c r="AD74" i="1" s="1" a="1"/>
  <c r="AD74" i="1" s="1"/>
  <c r="Z59" i="4" a="1"/>
  <c r="Z59" i="4" s="1"/>
  <c r="Y61" i="1" s="1" a="1"/>
  <c r="Y61" i="1" s="1"/>
  <c r="U59" i="4" a="1"/>
  <c r="U59" i="4" s="1"/>
  <c r="T61" i="1" s="1" a="1"/>
  <c r="T61" i="1" s="1"/>
  <c r="AG99" i="4"/>
  <c r="AH99" i="4" s="1"/>
  <c r="AI99" i="4" s="1" a="1"/>
  <c r="AI99" i="4" s="1"/>
  <c r="AQ75" i="4"/>
  <c r="AM74" i="4"/>
  <c r="AN74" i="4" s="1" a="1"/>
  <c r="AN74" i="4" s="1"/>
  <c r="AB73" i="4"/>
  <c r="M59" i="4"/>
  <c r="H59" i="4"/>
  <c r="AW78" i="1" l="1" a="1"/>
  <c r="AW78" i="1" s="1"/>
  <c r="AB75" i="1" a="1"/>
  <c r="AB75" i="1" s="1"/>
  <c r="AC75" i="1" a="1"/>
  <c r="AC75" i="1" s="1"/>
  <c r="AV78" i="1" a="1"/>
  <c r="AV78" i="1" s="1"/>
  <c r="AO74" i="4" a="1"/>
  <c r="AO74" i="4" s="1"/>
  <c r="AN76" i="1" s="1" a="1"/>
  <c r="AN76" i="1" s="1"/>
  <c r="AJ99" i="4" a="1"/>
  <c r="AJ99" i="4" s="1"/>
  <c r="AI101" i="1" s="1" a="1"/>
  <c r="AI101" i="1" s="1"/>
  <c r="R62" i="1" a="1"/>
  <c r="R62" i="1" s="1"/>
  <c r="X62" i="1" a="1"/>
  <c r="X62" i="1" s="1"/>
  <c r="W62" i="1" a="1"/>
  <c r="W62" i="1" s="1"/>
  <c r="S62" i="1" a="1"/>
  <c r="S62" i="1" s="1"/>
  <c r="AV76" i="4"/>
  <c r="AR75" i="4"/>
  <c r="AS75" i="4" s="1" a="1"/>
  <c r="AS75" i="4" s="1"/>
  <c r="AC73" i="4"/>
  <c r="AD73" i="4" s="1" a="1"/>
  <c r="AD73" i="4" s="1"/>
  <c r="AG100" i="4"/>
  <c r="N59" i="4"/>
  <c r="O59" i="4" s="1" a="1"/>
  <c r="O59" i="4" s="1"/>
  <c r="I59" i="4"/>
  <c r="J59" i="4" s="1" a="1"/>
  <c r="J59" i="4" s="1"/>
  <c r="AM77" i="1" l="1" a="1"/>
  <c r="AM77" i="1" s="1"/>
  <c r="AT75" i="4" a="1"/>
  <c r="AT75" i="4" s="1"/>
  <c r="AS77" i="1" s="1" a="1"/>
  <c r="AS77" i="1" s="1"/>
  <c r="AG102" i="1" a="1"/>
  <c r="AG102" i="1" s="1"/>
  <c r="AL77" i="1" a="1"/>
  <c r="AL77" i="1" s="1"/>
  <c r="AH102" i="1" a="1"/>
  <c r="AH102" i="1" s="1"/>
  <c r="AE73" i="4" a="1"/>
  <c r="AE73" i="4" s="1"/>
  <c r="AD75" i="1" s="1" a="1"/>
  <c r="AD75" i="1" s="1"/>
  <c r="P59" i="4" a="1"/>
  <c r="P59" i="4" s="1"/>
  <c r="O61" i="1" s="1" a="1"/>
  <c r="O61" i="1" s="1"/>
  <c r="K59" i="4" a="1"/>
  <c r="K59" i="4" s="1"/>
  <c r="J61" i="1" s="1" a="1"/>
  <c r="J61" i="1" s="1"/>
  <c r="AW76" i="4"/>
  <c r="AX76" i="4" s="1" a="1"/>
  <c r="AX76" i="4" s="1"/>
  <c r="AL75" i="4"/>
  <c r="AH100" i="4"/>
  <c r="AI100" i="4" s="1" a="1"/>
  <c r="AI100" i="4" s="1"/>
  <c r="R60" i="4"/>
  <c r="S60" i="4" s="1"/>
  <c r="T60" i="4" s="1" a="1"/>
  <c r="T60" i="4" s="1"/>
  <c r="AC76" i="1" l="1" a="1"/>
  <c r="AC76" i="1" s="1"/>
  <c r="AY76" i="4" a="1"/>
  <c r="AY76" i="4" s="1"/>
  <c r="AX78" i="1" s="1" a="1"/>
  <c r="AX78" i="1" s="1"/>
  <c r="AQ78" i="1" a="1"/>
  <c r="AQ78" i="1" s="1"/>
  <c r="AB76" i="1" a="1"/>
  <c r="AB76" i="1" s="1"/>
  <c r="AR78" i="1" a="1"/>
  <c r="AR78" i="1" s="1"/>
  <c r="AJ100" i="4" a="1"/>
  <c r="AJ100" i="4" s="1"/>
  <c r="AI102" i="1" s="1" a="1"/>
  <c r="AI102" i="1" s="1"/>
  <c r="H62" i="1" a="1"/>
  <c r="H62" i="1" s="1"/>
  <c r="I62" i="1" a="1"/>
  <c r="I62" i="1" s="1"/>
  <c r="M62" i="1" a="1"/>
  <c r="M62" i="1" s="1"/>
  <c r="U60" i="4" a="1"/>
  <c r="U60" i="4" s="1"/>
  <c r="T62" i="1" s="1" a="1"/>
  <c r="T62" i="1" s="1"/>
  <c r="N62" i="1" a="1"/>
  <c r="N62" i="1" s="1"/>
  <c r="AQ76" i="4"/>
  <c r="AM75" i="4"/>
  <c r="AN75" i="4" s="1" a="1"/>
  <c r="AN75" i="4" s="1"/>
  <c r="AB74" i="4"/>
  <c r="AG101" i="4"/>
  <c r="AH101" i="4" s="1"/>
  <c r="AI101" i="4" s="1" a="1"/>
  <c r="AI101" i="4" s="1"/>
  <c r="M60" i="4"/>
  <c r="N60" i="4" s="1"/>
  <c r="O60" i="4" s="1" a="1"/>
  <c r="O60" i="4" s="1"/>
  <c r="H60" i="4"/>
  <c r="I60" i="4" s="1"/>
  <c r="J60" i="4" s="1" a="1"/>
  <c r="J60" i="4" s="1"/>
  <c r="W60" i="4"/>
  <c r="AV79" i="1" l="1" a="1"/>
  <c r="AV79" i="1" s="1"/>
  <c r="AW79" i="1" a="1"/>
  <c r="AW79" i="1" s="1"/>
  <c r="AH103" i="1" a="1"/>
  <c r="AH103" i="1" s="1"/>
  <c r="AO75" i="4" a="1"/>
  <c r="AO75" i="4" s="1"/>
  <c r="AN77" i="1" s="1" a="1"/>
  <c r="AN77" i="1" s="1"/>
  <c r="AJ101" i="4" a="1"/>
  <c r="AJ101" i="4" s="1"/>
  <c r="AI103" i="1" s="1" a="1"/>
  <c r="AI103" i="1" s="1"/>
  <c r="AG103" i="1" a="1"/>
  <c r="AG103" i="1" s="1"/>
  <c r="R63" i="1" a="1"/>
  <c r="R63" i="1" s="1"/>
  <c r="S63" i="1" a="1"/>
  <c r="S63" i="1" s="1"/>
  <c r="P60" i="4" a="1"/>
  <c r="P60" i="4" s="1"/>
  <c r="O62" i="1" s="1" a="1"/>
  <c r="O62" i="1" s="1"/>
  <c r="K60" i="4" a="1"/>
  <c r="K60" i="4" s="1"/>
  <c r="J62" i="1" s="1" a="1"/>
  <c r="J62" i="1" s="1"/>
  <c r="AV77" i="4"/>
  <c r="AW77" i="4" s="1"/>
  <c r="AX77" i="4" s="1" a="1"/>
  <c r="AX77" i="4" s="1"/>
  <c r="AR76" i="4"/>
  <c r="AS76" i="4" s="1" a="1"/>
  <c r="AS76" i="4" s="1"/>
  <c r="AC74" i="4"/>
  <c r="AD74" i="4" s="1" a="1"/>
  <c r="AD74" i="4" s="1"/>
  <c r="AG102" i="4"/>
  <c r="X60" i="4"/>
  <c r="Y60" i="4" s="1" a="1"/>
  <c r="Y60" i="4" s="1"/>
  <c r="AL78" i="1" l="1" a="1"/>
  <c r="AL78" i="1" s="1"/>
  <c r="AM78" i="1" a="1"/>
  <c r="AM78" i="1" s="1"/>
  <c r="AH104" i="1" a="1"/>
  <c r="AH104" i="1" s="1"/>
  <c r="AG104" i="1" a="1"/>
  <c r="AG104" i="1" s="1"/>
  <c r="AY77" i="4" a="1"/>
  <c r="AY77" i="4" s="1"/>
  <c r="AX79" i="1" s="1" a="1"/>
  <c r="AX79" i="1" s="1"/>
  <c r="AT76" i="4" a="1"/>
  <c r="AT76" i="4" s="1"/>
  <c r="AS78" i="1" s="1" a="1"/>
  <c r="AS78" i="1" s="1"/>
  <c r="AE74" i="4" a="1"/>
  <c r="AE74" i="4" s="1"/>
  <c r="AD76" i="1" s="1" a="1"/>
  <c r="AD76" i="1" s="1"/>
  <c r="M63" i="1" a="1"/>
  <c r="M63" i="1" s="1"/>
  <c r="Z60" i="4" a="1"/>
  <c r="Z60" i="4" s="1"/>
  <c r="Y62" i="1" s="1" a="1"/>
  <c r="Y62" i="1" s="1"/>
  <c r="N63" i="1" a="1"/>
  <c r="N63" i="1" s="1"/>
  <c r="H63" i="1" a="1"/>
  <c r="H63" i="1" s="1"/>
  <c r="I63" i="1" a="1"/>
  <c r="I63" i="1" s="1"/>
  <c r="AV78" i="4"/>
  <c r="AL76" i="4"/>
  <c r="AH102" i="4"/>
  <c r="AI102" i="4" s="1" a="1"/>
  <c r="AI102" i="4" s="1"/>
  <c r="R61" i="4"/>
  <c r="S61" i="4" s="1"/>
  <c r="T61" i="4" s="1" a="1"/>
  <c r="T61" i="4" s="1"/>
  <c r="W61" i="4"/>
  <c r="X61" i="4" s="1"/>
  <c r="Y61" i="4" s="1" a="1"/>
  <c r="Y61" i="4" s="1"/>
  <c r="AQ79" i="1" l="1" a="1"/>
  <c r="AQ79" i="1" s="1"/>
  <c r="AV80" i="1" a="1"/>
  <c r="AV80" i="1" s="1"/>
  <c r="AR79" i="1" a="1"/>
  <c r="AR79" i="1" s="1"/>
  <c r="AW80" i="1" a="1"/>
  <c r="AW80" i="1" s="1"/>
  <c r="AB77" i="1" a="1"/>
  <c r="AB77" i="1" s="1"/>
  <c r="AC77" i="1" a="1"/>
  <c r="AC77" i="1" s="1"/>
  <c r="AJ102" i="4" a="1"/>
  <c r="AJ102" i="4" s="1"/>
  <c r="AI104" i="1" s="1" a="1"/>
  <c r="AI104" i="1" s="1"/>
  <c r="Z61" i="4" a="1"/>
  <c r="Z61" i="4" s="1"/>
  <c r="Y63" i="1" s="1" a="1"/>
  <c r="Y63" i="1" s="1"/>
  <c r="W63" i="1" a="1"/>
  <c r="W63" i="1" s="1"/>
  <c r="X63" i="1" a="1"/>
  <c r="X63" i="1" s="1"/>
  <c r="U61" i="4" a="1"/>
  <c r="U61" i="4" s="1"/>
  <c r="T63" i="1" s="1" a="1"/>
  <c r="T63" i="1" s="1"/>
  <c r="AQ77" i="4"/>
  <c r="AR77" i="4" s="1"/>
  <c r="AS77" i="4" s="1" a="1"/>
  <c r="AS77" i="4" s="1"/>
  <c r="AW78" i="4"/>
  <c r="AX78" i="4" s="1" a="1"/>
  <c r="AX78" i="4" s="1"/>
  <c r="AM76" i="4"/>
  <c r="AN76" i="4" s="1" a="1"/>
  <c r="AN76" i="4" s="1"/>
  <c r="AB75" i="4"/>
  <c r="AG103" i="4"/>
  <c r="AH103" i="4" s="1"/>
  <c r="AI103" i="4" s="1" a="1"/>
  <c r="AI103" i="4" s="1"/>
  <c r="M61" i="4"/>
  <c r="N61" i="4" s="1"/>
  <c r="O61" i="4" s="1" a="1"/>
  <c r="O61" i="4" s="1"/>
  <c r="AG105" i="1" l="1" a="1"/>
  <c r="AG105" i="1" s="1"/>
  <c r="AY78" i="4" a="1"/>
  <c r="AY78" i="4" s="1"/>
  <c r="AX80" i="1" s="1" a="1"/>
  <c r="AX80" i="1" s="1"/>
  <c r="AT77" i="4" a="1"/>
  <c r="AT77" i="4" s="1"/>
  <c r="AS79" i="1" s="1" a="1"/>
  <c r="AS79" i="1" s="1"/>
  <c r="AO76" i="4" a="1"/>
  <c r="AO76" i="4" s="1"/>
  <c r="AN78" i="1" s="1" a="1"/>
  <c r="AN78" i="1" s="1"/>
  <c r="AH105" i="1" a="1"/>
  <c r="AH105" i="1" s="1"/>
  <c r="AJ103" i="4" a="1"/>
  <c r="AJ103" i="4" s="1"/>
  <c r="AI105" i="1" s="1" a="1"/>
  <c r="AI105" i="1" s="1"/>
  <c r="W64" i="1" a="1"/>
  <c r="W64" i="1" s="1"/>
  <c r="X64" i="1" a="1"/>
  <c r="X64" i="1" s="1"/>
  <c r="R64" i="1" a="1"/>
  <c r="R64" i="1" s="1"/>
  <c r="S64" i="1" a="1"/>
  <c r="S64" i="1" s="1"/>
  <c r="P61" i="4" a="1"/>
  <c r="P61" i="4" s="1"/>
  <c r="O63" i="1" s="1" a="1"/>
  <c r="O63" i="1" s="1"/>
  <c r="AQ78" i="4"/>
  <c r="AC75" i="4"/>
  <c r="AD75" i="4" s="1" a="1"/>
  <c r="AD75" i="4" s="1"/>
  <c r="R62" i="4"/>
  <c r="S62" i="4" s="1"/>
  <c r="T62" i="4" s="1" a="1"/>
  <c r="T62" i="4" s="1"/>
  <c r="H61" i="4"/>
  <c r="I61" i="4" s="1"/>
  <c r="J61" i="4" s="1" a="1"/>
  <c r="J61" i="4" s="1"/>
  <c r="AW81" i="1" l="1" a="1"/>
  <c r="AW81" i="1" s="1"/>
  <c r="AR80" i="1" a="1"/>
  <c r="AR80" i="1" s="1"/>
  <c r="AV81" i="1" a="1"/>
  <c r="AV81" i="1" s="1"/>
  <c r="AL79" i="1" a="1"/>
  <c r="AL79" i="1" s="1"/>
  <c r="AQ80" i="1" a="1"/>
  <c r="AQ80" i="1" s="1"/>
  <c r="AH106" i="1" a="1"/>
  <c r="AH106" i="1" s="1"/>
  <c r="AM79" i="1" a="1"/>
  <c r="AM79" i="1" s="1"/>
  <c r="AG106" i="1" a="1"/>
  <c r="AG106" i="1" s="1"/>
  <c r="AE75" i="4" a="1"/>
  <c r="AE75" i="4" s="1"/>
  <c r="AD77" i="1" s="1" a="1"/>
  <c r="AD77" i="1" s="1"/>
  <c r="U62" i="4" a="1"/>
  <c r="U62" i="4" s="1"/>
  <c r="T64" i="1" s="1" a="1"/>
  <c r="T64" i="1" s="1"/>
  <c r="M64" i="1" a="1"/>
  <c r="M64" i="1" s="1"/>
  <c r="N64" i="1" a="1"/>
  <c r="N64" i="1" s="1"/>
  <c r="K61" i="4" a="1"/>
  <c r="K61" i="4" s="1"/>
  <c r="J63" i="1" s="1" a="1"/>
  <c r="J63" i="1" s="1"/>
  <c r="AV79" i="4"/>
  <c r="AW79" i="4" s="1"/>
  <c r="AX79" i="4" s="1" a="1"/>
  <c r="AX79" i="4" s="1"/>
  <c r="AL77" i="4"/>
  <c r="AM77" i="4" s="1"/>
  <c r="AN77" i="4" s="1" a="1"/>
  <c r="AN77" i="4" s="1"/>
  <c r="AG104" i="4"/>
  <c r="AH104" i="4" s="1"/>
  <c r="AI104" i="4" s="1" a="1"/>
  <c r="AI104" i="4" s="1"/>
  <c r="AR78" i="4"/>
  <c r="AS78" i="4" s="1" a="1"/>
  <c r="AS78" i="4" s="1"/>
  <c r="AY79" i="4" l="1" a="1"/>
  <c r="AY79" i="4" s="1"/>
  <c r="AX81" i="1" s="1" a="1"/>
  <c r="AX81" i="1" s="1"/>
  <c r="AT78" i="4" a="1"/>
  <c r="AT78" i="4" s="1"/>
  <c r="AS80" i="1" s="1" a="1"/>
  <c r="AS80" i="1" s="1"/>
  <c r="AO77" i="4" a="1"/>
  <c r="AO77" i="4" s="1"/>
  <c r="AN79" i="1" s="1" a="1"/>
  <c r="AN79" i="1" s="1"/>
  <c r="AB78" i="1" a="1"/>
  <c r="AB78" i="1" s="1"/>
  <c r="AJ104" i="4" a="1"/>
  <c r="AJ104" i="4" s="1"/>
  <c r="AI106" i="1" s="1" a="1"/>
  <c r="AI106" i="1" s="1"/>
  <c r="AC78" i="1" a="1"/>
  <c r="AC78" i="1" s="1"/>
  <c r="S65" i="1" a="1"/>
  <c r="S65" i="1" s="1"/>
  <c r="R65" i="1" a="1"/>
  <c r="R65" i="1" s="1"/>
  <c r="H64" i="1" a="1"/>
  <c r="H64" i="1" s="1"/>
  <c r="I64" i="1" a="1"/>
  <c r="I64" i="1" s="1"/>
  <c r="AV80" i="4"/>
  <c r="AL78" i="4"/>
  <c r="AB76" i="4"/>
  <c r="AG105" i="4"/>
  <c r="M62" i="4"/>
  <c r="N62" i="4" s="1"/>
  <c r="O62" i="4" s="1" a="1"/>
  <c r="O62" i="4" s="1"/>
  <c r="W62" i="4"/>
  <c r="AV82" i="1" l="1" a="1"/>
  <c r="AV82" i="1" s="1"/>
  <c r="AW82" i="1" a="1"/>
  <c r="AW82" i="1" s="1"/>
  <c r="AR81" i="1" a="1"/>
  <c r="AR81" i="1" s="1"/>
  <c r="AG107" i="1" a="1"/>
  <c r="AG107" i="1" s="1"/>
  <c r="AQ81" i="1" a="1"/>
  <c r="AQ81" i="1" s="1"/>
  <c r="AL80" i="1" a="1"/>
  <c r="AL80" i="1" s="1"/>
  <c r="AM80" i="1" a="1"/>
  <c r="AM80" i="1" s="1"/>
  <c r="AH107" i="1" a="1"/>
  <c r="AH107" i="1" s="1"/>
  <c r="P62" i="4" a="1"/>
  <c r="P62" i="4" s="1"/>
  <c r="O64" i="1" s="1" a="1"/>
  <c r="O64" i="1" s="1"/>
  <c r="AQ79" i="4"/>
  <c r="AR79" i="4" s="1"/>
  <c r="AS79" i="4" s="1" a="1"/>
  <c r="AS79" i="4" s="1"/>
  <c r="AW80" i="4"/>
  <c r="AX80" i="4" s="1" a="1"/>
  <c r="AX80" i="4" s="1"/>
  <c r="AM78" i="4"/>
  <c r="AN78" i="4" s="1" a="1"/>
  <c r="AN78" i="4" s="1"/>
  <c r="AC76" i="4"/>
  <c r="AD76" i="4" s="1" a="1"/>
  <c r="AD76" i="4" s="1"/>
  <c r="AH105" i="4"/>
  <c r="AI105" i="4" s="1" a="1"/>
  <c r="AI105" i="4" s="1"/>
  <c r="X62" i="4"/>
  <c r="Y62" i="4" s="1" a="1"/>
  <c r="Y62" i="4" s="1"/>
  <c r="H62" i="4"/>
  <c r="I62" i="4" s="1"/>
  <c r="J62" i="4" s="1" a="1"/>
  <c r="J62" i="4" s="1"/>
  <c r="AY80" i="4" l="1" a="1"/>
  <c r="AY80" i="4" s="1"/>
  <c r="AX82" i="1" s="1" a="1"/>
  <c r="AX82" i="1" s="1"/>
  <c r="AT79" i="4" a="1"/>
  <c r="AT79" i="4" s="1"/>
  <c r="AS81" i="1" s="1" a="1"/>
  <c r="AS81" i="1" s="1"/>
  <c r="AO78" i="4" a="1"/>
  <c r="AO78" i="4" s="1"/>
  <c r="AN80" i="1" s="1" a="1"/>
  <c r="AN80" i="1" s="1"/>
  <c r="AJ105" i="4" a="1"/>
  <c r="AJ105" i="4" s="1"/>
  <c r="AI107" i="1" s="1" a="1"/>
  <c r="AI107" i="1" s="1"/>
  <c r="AE76" i="4" a="1"/>
  <c r="AE76" i="4" s="1"/>
  <c r="AD78" i="1" s="1" a="1"/>
  <c r="AD78" i="1" s="1"/>
  <c r="Z62" i="4" a="1"/>
  <c r="Z62" i="4" s="1"/>
  <c r="Y64" i="1" s="1" a="1"/>
  <c r="Y64" i="1" s="1"/>
  <c r="M65" i="1" a="1"/>
  <c r="M65" i="1" s="1"/>
  <c r="N65" i="1" a="1"/>
  <c r="N65" i="1" s="1"/>
  <c r="K62" i="4" a="1"/>
  <c r="K62" i="4" s="1"/>
  <c r="J64" i="1" s="1" a="1"/>
  <c r="J64" i="1" s="1"/>
  <c r="AQ80" i="4"/>
  <c r="AG106" i="4"/>
  <c r="AH106" i="4" s="1"/>
  <c r="AI106" i="4" s="1" a="1"/>
  <c r="AI106" i="4" s="1"/>
  <c r="R63" i="4"/>
  <c r="S63" i="4" s="1"/>
  <c r="T63" i="4" s="1" a="1"/>
  <c r="T63" i="4" s="1"/>
  <c r="W63" i="4"/>
  <c r="X63" i="4" s="1"/>
  <c r="Y63" i="4" s="1" a="1"/>
  <c r="Y63" i="4" s="1"/>
  <c r="AL81" i="1" l="1" a="1"/>
  <c r="AL81" i="1" s="1"/>
  <c r="AM81" i="1" a="1"/>
  <c r="AM81" i="1" s="1"/>
  <c r="AR82" i="1" a="1"/>
  <c r="AR82" i="1" s="1"/>
  <c r="AV83" i="1" a="1"/>
  <c r="AV83" i="1" s="1"/>
  <c r="AW83" i="1" a="1"/>
  <c r="AW83" i="1" s="1"/>
  <c r="AG108" i="1" a="1"/>
  <c r="AG108" i="1" s="1"/>
  <c r="AQ82" i="1" a="1"/>
  <c r="AQ82" i="1" s="1"/>
  <c r="AJ106" i="4" a="1"/>
  <c r="AJ106" i="4" s="1"/>
  <c r="AI108" i="1" s="1" a="1"/>
  <c r="AI108" i="1" s="1"/>
  <c r="AB79" i="1" a="1"/>
  <c r="AB79" i="1" s="1"/>
  <c r="AC79" i="1" a="1"/>
  <c r="AC79" i="1" s="1"/>
  <c r="AH108" i="1" a="1"/>
  <c r="AH108" i="1" s="1"/>
  <c r="H65" i="1" a="1"/>
  <c r="H65" i="1" s="1"/>
  <c r="W65" i="1" a="1"/>
  <c r="W65" i="1" s="1"/>
  <c r="I65" i="1" a="1"/>
  <c r="I65" i="1" s="1"/>
  <c r="Z63" i="4" a="1"/>
  <c r="Z63" i="4" s="1"/>
  <c r="Y65" i="1" s="1" a="1"/>
  <c r="Y65" i="1" s="1"/>
  <c r="X65" i="1" a="1"/>
  <c r="X65" i="1" s="1"/>
  <c r="U63" i="4" a="1"/>
  <c r="U63" i="4" s="1"/>
  <c r="T65" i="1" s="1" a="1"/>
  <c r="T65" i="1" s="1"/>
  <c r="AL79" i="4"/>
  <c r="AM79" i="4" s="1"/>
  <c r="AN79" i="4" s="1" a="1"/>
  <c r="AN79" i="4" s="1"/>
  <c r="AB77" i="4"/>
  <c r="AC77" i="4" s="1"/>
  <c r="AD77" i="4" s="1" a="1"/>
  <c r="AD77" i="4" s="1"/>
  <c r="AV81" i="4"/>
  <c r="AR80" i="4"/>
  <c r="AS80" i="4" s="1" a="1"/>
  <c r="AS80" i="4" s="1"/>
  <c r="M63" i="4"/>
  <c r="AT80" i="4" l="1" a="1"/>
  <c r="AT80" i="4" s="1"/>
  <c r="AS82" i="1" s="1" a="1"/>
  <c r="AS82" i="1" s="1"/>
  <c r="AO79" i="4" a="1"/>
  <c r="AO79" i="4" s="1"/>
  <c r="AN81" i="1" s="1" a="1"/>
  <c r="AN81" i="1" s="1"/>
  <c r="AG109" i="1" a="1"/>
  <c r="AG109" i="1" s="1"/>
  <c r="AH109" i="1" a="1"/>
  <c r="AH109" i="1" s="1"/>
  <c r="AE77" i="4" a="1"/>
  <c r="AE77" i="4" s="1"/>
  <c r="AD79" i="1" s="1" a="1"/>
  <c r="AD79" i="1" s="1"/>
  <c r="R66" i="1" a="1"/>
  <c r="R66" i="1" s="1"/>
  <c r="W66" i="1" a="1"/>
  <c r="W66" i="1" s="1"/>
  <c r="X66" i="1" a="1"/>
  <c r="X66" i="1" s="1"/>
  <c r="S66" i="1" a="1"/>
  <c r="S66" i="1" s="1"/>
  <c r="AL80" i="4"/>
  <c r="AM80" i="4" s="1"/>
  <c r="AN80" i="4" s="1" a="1"/>
  <c r="AN80" i="4" s="1"/>
  <c r="AG107" i="4"/>
  <c r="AH107" i="4" s="1"/>
  <c r="AI107" i="4" s="1" a="1"/>
  <c r="AI107" i="4" s="1"/>
  <c r="AW81" i="4"/>
  <c r="AX81" i="4" s="1" a="1"/>
  <c r="AX81" i="4" s="1"/>
  <c r="AB78" i="4"/>
  <c r="N63" i="4"/>
  <c r="O63" i="4" s="1" a="1"/>
  <c r="O63" i="4" s="1"/>
  <c r="H63" i="4"/>
  <c r="I63" i="4" s="1"/>
  <c r="J63" i="4" s="1" a="1"/>
  <c r="J63" i="4" s="1"/>
  <c r="AQ83" i="1" l="1" a="1"/>
  <c r="AQ83" i="1" s="1"/>
  <c r="AR83" i="1" a="1"/>
  <c r="AR83" i="1" s="1"/>
  <c r="AM82" i="1" a="1"/>
  <c r="AM82" i="1" s="1"/>
  <c r="AY81" i="4" a="1"/>
  <c r="AY81" i="4" s="1"/>
  <c r="AX83" i="1" s="1" a="1"/>
  <c r="AX83" i="1" s="1"/>
  <c r="AL82" i="1" a="1"/>
  <c r="AL82" i="1" s="1"/>
  <c r="AO80" i="4" a="1"/>
  <c r="AO80" i="4" s="1"/>
  <c r="AN82" i="1" s="1" a="1"/>
  <c r="AN82" i="1" s="1"/>
  <c r="AJ107" i="4" a="1"/>
  <c r="AJ107" i="4" s="1"/>
  <c r="AI109" i="1" s="1" a="1"/>
  <c r="AI109" i="1" s="1"/>
  <c r="AB80" i="1" a="1"/>
  <c r="AB80" i="1" s="1"/>
  <c r="AC80" i="1" a="1"/>
  <c r="AC80" i="1" s="1"/>
  <c r="P63" i="4" a="1"/>
  <c r="P63" i="4" s="1"/>
  <c r="O65" i="1" s="1" a="1"/>
  <c r="O65" i="1" s="1"/>
  <c r="K63" i="4" a="1"/>
  <c r="K63" i="4" s="1"/>
  <c r="J65" i="1" s="1" a="1"/>
  <c r="J65" i="1" s="1"/>
  <c r="AQ81" i="4"/>
  <c r="AL81" i="4"/>
  <c r="AC78" i="4"/>
  <c r="AD78" i="4" s="1" a="1"/>
  <c r="AD78" i="4" s="1"/>
  <c r="AG108" i="4"/>
  <c r="AH108" i="4" s="1"/>
  <c r="AI108" i="4" s="1" a="1"/>
  <c r="AI108" i="4" s="1"/>
  <c r="R64" i="4"/>
  <c r="W64" i="4"/>
  <c r="X64" i="4" s="1"/>
  <c r="Y64" i="4" s="1" a="1"/>
  <c r="Y64" i="4" s="1"/>
  <c r="AW84" i="1" l="1" a="1"/>
  <c r="AW84" i="1" s="1"/>
  <c r="AV84" i="1" a="1"/>
  <c r="AV84" i="1" s="1"/>
  <c r="AH110" i="1" a="1"/>
  <c r="AH110" i="1" s="1"/>
  <c r="AG110" i="1" a="1"/>
  <c r="AG110" i="1" s="1"/>
  <c r="AM83" i="1" a="1"/>
  <c r="AM83" i="1" s="1"/>
  <c r="N66" i="1" a="1"/>
  <c r="N66" i="1" s="1"/>
  <c r="AL83" i="1" a="1"/>
  <c r="AL83" i="1" s="1"/>
  <c r="AJ108" i="4" a="1"/>
  <c r="AJ108" i="4" s="1"/>
  <c r="AI110" i="1" s="1" a="1"/>
  <c r="AI110" i="1" s="1"/>
  <c r="AE78" i="4" a="1"/>
  <c r="AE78" i="4" s="1"/>
  <c r="AD80" i="1" s="1" a="1"/>
  <c r="AD80" i="1" s="1"/>
  <c r="Z64" i="4" a="1"/>
  <c r="Z64" i="4" s="1"/>
  <c r="Y66" i="1" s="1" a="1"/>
  <c r="Y66" i="1" s="1"/>
  <c r="M66" i="1" a="1"/>
  <c r="M66" i="1" s="1"/>
  <c r="I66" i="1" a="1"/>
  <c r="I66" i="1" s="1"/>
  <c r="H66" i="1" a="1"/>
  <c r="H66" i="1" s="1"/>
  <c r="AV82" i="4"/>
  <c r="AW82" i="4" s="1"/>
  <c r="AX82" i="4" s="1" a="1"/>
  <c r="AX82" i="4" s="1"/>
  <c r="AR81" i="4"/>
  <c r="AS81" i="4" s="1" a="1"/>
  <c r="AS81" i="4" s="1"/>
  <c r="AM81" i="4"/>
  <c r="AN81" i="4" s="1" a="1"/>
  <c r="AN81" i="4" s="1"/>
  <c r="S64" i="4"/>
  <c r="T64" i="4" s="1" a="1"/>
  <c r="T64" i="4" s="1"/>
  <c r="H64" i="4"/>
  <c r="M64" i="4"/>
  <c r="N64" i="4" s="1"/>
  <c r="O64" i="4" s="1" a="1"/>
  <c r="O64" i="4" s="1"/>
  <c r="AB81" i="1" l="1" a="1"/>
  <c r="AB81" i="1" s="1"/>
  <c r="AC81" i="1" a="1"/>
  <c r="AC81" i="1" s="1"/>
  <c r="AY82" i="4" a="1"/>
  <c r="AY82" i="4" s="1"/>
  <c r="AX84" i="1" s="1" a="1"/>
  <c r="AX84" i="1" s="1"/>
  <c r="AT81" i="4" a="1"/>
  <c r="AT81" i="4" s="1"/>
  <c r="AS83" i="1" s="1" a="1"/>
  <c r="AS83" i="1" s="1"/>
  <c r="AH111" i="1" a="1"/>
  <c r="AH111" i="1" s="1"/>
  <c r="AG111" i="1" a="1"/>
  <c r="AG111" i="1" s="1"/>
  <c r="AO81" i="4" a="1"/>
  <c r="AO81" i="4" s="1"/>
  <c r="AN83" i="1" s="1" a="1"/>
  <c r="AN83" i="1" s="1"/>
  <c r="X67" i="1" a="1"/>
  <c r="X67" i="1" s="1"/>
  <c r="W67" i="1" a="1"/>
  <c r="W67" i="1" s="1"/>
  <c r="U64" i="4" a="1"/>
  <c r="U64" i="4" s="1"/>
  <c r="T66" i="1" s="1" a="1"/>
  <c r="T66" i="1" s="1"/>
  <c r="P64" i="4" a="1"/>
  <c r="P64" i="4" s="1"/>
  <c r="O66" i="1" s="1" a="1"/>
  <c r="O66" i="1" s="1"/>
  <c r="AB79" i="4"/>
  <c r="AC79" i="4" s="1"/>
  <c r="AD79" i="4" s="1" a="1"/>
  <c r="AD79" i="4" s="1"/>
  <c r="AG109" i="4"/>
  <c r="AH109" i="4" s="1"/>
  <c r="AI109" i="4" s="1" a="1"/>
  <c r="AI109" i="4" s="1"/>
  <c r="AV83" i="4"/>
  <c r="I64" i="4"/>
  <c r="J64" i="4" s="1" a="1"/>
  <c r="J64" i="4" s="1"/>
  <c r="AV85" i="1" l="1" a="1"/>
  <c r="AV85" i="1" s="1"/>
  <c r="AQ84" i="1" a="1"/>
  <c r="AQ84" i="1" s="1"/>
  <c r="AW85" i="1" a="1"/>
  <c r="AW85" i="1" s="1"/>
  <c r="AL84" i="1" a="1"/>
  <c r="AL84" i="1" s="1"/>
  <c r="AM84" i="1" a="1"/>
  <c r="AM84" i="1" s="1"/>
  <c r="AR84" i="1" a="1"/>
  <c r="AR84" i="1" s="1"/>
  <c r="M67" i="1" a="1"/>
  <c r="M67" i="1" s="1"/>
  <c r="N67" i="1" a="1"/>
  <c r="N67" i="1" s="1"/>
  <c r="AJ109" i="4" a="1"/>
  <c r="AJ109" i="4" s="1"/>
  <c r="AI111" i="1" s="1" a="1"/>
  <c r="AI111" i="1" s="1"/>
  <c r="AE79" i="4" a="1"/>
  <c r="AE79" i="4" s="1"/>
  <c r="AD81" i="1" s="1" a="1"/>
  <c r="AD81" i="1" s="1"/>
  <c r="S67" i="1" a="1"/>
  <c r="S67" i="1" s="1"/>
  <c r="R67" i="1" a="1"/>
  <c r="R67" i="1" s="1"/>
  <c r="K64" i="4" a="1"/>
  <c r="K64" i="4" s="1"/>
  <c r="J66" i="1" s="1" a="1"/>
  <c r="J66" i="1" s="1"/>
  <c r="AL82" i="4"/>
  <c r="AM82" i="4" s="1"/>
  <c r="AN82" i="4" s="1" a="1"/>
  <c r="AN82" i="4" s="1"/>
  <c r="AQ82" i="4"/>
  <c r="AR82" i="4" s="1"/>
  <c r="AS82" i="4" s="1" a="1"/>
  <c r="AS82" i="4" s="1"/>
  <c r="AW83" i="4"/>
  <c r="AX83" i="4" s="1" a="1"/>
  <c r="AX83" i="4" s="1"/>
  <c r="AB80" i="4"/>
  <c r="M65" i="4"/>
  <c r="N65" i="4" s="1"/>
  <c r="O65" i="4" s="1" a="1"/>
  <c r="O65" i="4" s="1"/>
  <c r="R65" i="4"/>
  <c r="S65" i="4" s="1"/>
  <c r="T65" i="4" s="1" a="1"/>
  <c r="T65" i="4" s="1"/>
  <c r="H65" i="4"/>
  <c r="I65" i="4" s="1"/>
  <c r="J65" i="4" s="1" a="1"/>
  <c r="J65" i="4" s="1"/>
  <c r="W65" i="4"/>
  <c r="X65" i="4" s="1"/>
  <c r="Y65" i="4" s="1" a="1"/>
  <c r="Y65" i="4" s="1"/>
  <c r="AY83" i="4" l="1" a="1"/>
  <c r="AY83" i="4" s="1"/>
  <c r="AX85" i="1" s="1" a="1"/>
  <c r="AX85" i="1" s="1"/>
  <c r="AT82" i="4" a="1"/>
  <c r="AT82" i="4" s="1"/>
  <c r="AS84" i="1" s="1" a="1"/>
  <c r="AS84" i="1" s="1"/>
  <c r="AO82" i="4" a="1"/>
  <c r="AO82" i="4" s="1"/>
  <c r="AN84" i="1" s="1" a="1"/>
  <c r="AN84" i="1" s="1"/>
  <c r="AG112" i="1" a="1"/>
  <c r="AG112" i="1" s="1"/>
  <c r="AB82" i="1" a="1"/>
  <c r="AB82" i="1" s="1"/>
  <c r="AH112" i="1" a="1"/>
  <c r="AH112" i="1" s="1"/>
  <c r="AC82" i="1" a="1"/>
  <c r="AC82" i="1" s="1"/>
  <c r="Z65" i="4" a="1"/>
  <c r="Z65" i="4" s="1"/>
  <c r="Y67" i="1" s="1" a="1"/>
  <c r="Y67" i="1" s="1"/>
  <c r="U65" i="4" a="1"/>
  <c r="U65" i="4" s="1"/>
  <c r="T67" i="1" s="1" a="1"/>
  <c r="T67" i="1" s="1"/>
  <c r="P65" i="4" a="1"/>
  <c r="P65" i="4" s="1"/>
  <c r="O67" i="1" s="1" a="1"/>
  <c r="O67" i="1" s="1"/>
  <c r="H67" i="1" a="1"/>
  <c r="H67" i="1" s="1"/>
  <c r="K65" i="4" a="1"/>
  <c r="K65" i="4" s="1"/>
  <c r="J67" i="1" s="1" a="1"/>
  <c r="J67" i="1" s="1"/>
  <c r="I67" i="1" a="1"/>
  <c r="I67" i="1" s="1"/>
  <c r="AG110" i="4"/>
  <c r="AH110" i="4" s="1"/>
  <c r="AI110" i="4" s="1" a="1"/>
  <c r="AI110" i="4" s="1"/>
  <c r="AQ83" i="4"/>
  <c r="AL83" i="4"/>
  <c r="AC80" i="4"/>
  <c r="AD80" i="4" s="1" a="1"/>
  <c r="AD80" i="4" s="1"/>
  <c r="AV86" i="1" l="1" a="1"/>
  <c r="AV86" i="1" s="1"/>
  <c r="AR85" i="1" a="1"/>
  <c r="AR85" i="1" s="1"/>
  <c r="AQ85" i="1" a="1"/>
  <c r="AQ85" i="1" s="1"/>
  <c r="AW86" i="1" a="1"/>
  <c r="AW86" i="1" s="1"/>
  <c r="AL85" i="1" a="1"/>
  <c r="AL85" i="1" s="1"/>
  <c r="AM85" i="1" a="1"/>
  <c r="AM85" i="1" s="1"/>
  <c r="M68" i="1" a="1"/>
  <c r="M68" i="1" s="1"/>
  <c r="N68" i="1" a="1"/>
  <c r="N68" i="1" s="1"/>
  <c r="AJ110" i="4" a="1"/>
  <c r="AJ110" i="4" s="1"/>
  <c r="AI112" i="1" s="1" a="1"/>
  <c r="AI112" i="1" s="1"/>
  <c r="AE80" i="4" a="1"/>
  <c r="AE80" i="4" s="1"/>
  <c r="AD82" i="1" s="1" a="1"/>
  <c r="AD82" i="1" s="1"/>
  <c r="R68" i="1" a="1"/>
  <c r="R68" i="1" s="1"/>
  <c r="W68" i="1" a="1"/>
  <c r="W68" i="1" s="1"/>
  <c r="X68" i="1" a="1"/>
  <c r="X68" i="1" s="1"/>
  <c r="H68" i="1" a="1"/>
  <c r="H68" i="1" s="1"/>
  <c r="S68" i="1" a="1"/>
  <c r="S68" i="1" s="1"/>
  <c r="I68" i="1" a="1"/>
  <c r="I68" i="1" s="1"/>
  <c r="AV84" i="4"/>
  <c r="AW84" i="4" s="1"/>
  <c r="AX84" i="4" s="1" a="1"/>
  <c r="AX84" i="4" s="1"/>
  <c r="AR83" i="4"/>
  <c r="AS83" i="4" s="1" a="1"/>
  <c r="AS83" i="4" s="1"/>
  <c r="AM83" i="4"/>
  <c r="AN83" i="4" s="1" a="1"/>
  <c r="AN83" i="4" s="1"/>
  <c r="R66" i="4"/>
  <c r="S66" i="4" s="1"/>
  <c r="T66" i="4" s="1" a="1"/>
  <c r="T66" i="4" s="1"/>
  <c r="H66" i="4"/>
  <c r="I66" i="4" s="1"/>
  <c r="J66" i="4" s="1" a="1"/>
  <c r="J66" i="4" s="1"/>
  <c r="AG113" i="1" l="1" a="1"/>
  <c r="AG113" i="1" s="1"/>
  <c r="AY84" i="4" a="1"/>
  <c r="AY84" i="4" s="1"/>
  <c r="AX86" i="1" s="1" a="1"/>
  <c r="AX86" i="1" s="1"/>
  <c r="AT83" i="4" a="1"/>
  <c r="AT83" i="4" s="1"/>
  <c r="AS85" i="1" s="1" a="1"/>
  <c r="AS85" i="1" s="1"/>
  <c r="AH113" i="1" a="1"/>
  <c r="AH113" i="1" s="1"/>
  <c r="AO83" i="4" a="1"/>
  <c r="AO83" i="4" s="1"/>
  <c r="AN85" i="1" s="1" a="1"/>
  <c r="AN85" i="1" s="1"/>
  <c r="AB83" i="1" a="1"/>
  <c r="AB83" i="1" s="1"/>
  <c r="AC83" i="1" a="1"/>
  <c r="AC83" i="1" s="1"/>
  <c r="U66" i="4" a="1"/>
  <c r="U66" i="4" s="1"/>
  <c r="T68" i="1" s="1" a="1"/>
  <c r="T68" i="1" s="1"/>
  <c r="K66" i="4" a="1"/>
  <c r="K66" i="4" s="1"/>
  <c r="J68" i="1" s="1" a="1"/>
  <c r="J68" i="1" s="1"/>
  <c r="AG111" i="4"/>
  <c r="AH111" i="4" s="1"/>
  <c r="AI111" i="4" s="1" a="1"/>
  <c r="AI111" i="4" s="1"/>
  <c r="AV85" i="4"/>
  <c r="AB81" i="4"/>
  <c r="AV87" i="1" l="1" a="1"/>
  <c r="AV87" i="1" s="1"/>
  <c r="AW87" i="1" a="1"/>
  <c r="AW87" i="1" s="1"/>
  <c r="AR86" i="1" a="1"/>
  <c r="AR86" i="1" s="1"/>
  <c r="AQ86" i="1" a="1"/>
  <c r="AQ86" i="1" s="1"/>
  <c r="AL86" i="1" a="1"/>
  <c r="AL86" i="1" s="1"/>
  <c r="AM86" i="1" a="1"/>
  <c r="AM86" i="1" s="1"/>
  <c r="AJ111" i="4" a="1"/>
  <c r="AJ111" i="4" s="1"/>
  <c r="AI113" i="1" s="1" a="1"/>
  <c r="AI113" i="1" s="1"/>
  <c r="H69" i="1" a="1"/>
  <c r="H69" i="1" s="1"/>
  <c r="I69" i="1" a="1"/>
  <c r="I69" i="1" s="1"/>
  <c r="R69" i="1" a="1"/>
  <c r="R69" i="1" s="1"/>
  <c r="S69" i="1" a="1"/>
  <c r="S69" i="1" s="1"/>
  <c r="AL84" i="4"/>
  <c r="AM84" i="4" s="1"/>
  <c r="AN84" i="4" s="1" a="1"/>
  <c r="AN84" i="4" s="1"/>
  <c r="AQ84" i="4"/>
  <c r="AR84" i="4" s="1"/>
  <c r="AS84" i="4" s="1" a="1"/>
  <c r="AS84" i="4" s="1"/>
  <c r="AW85" i="4"/>
  <c r="AX85" i="4" s="1" a="1"/>
  <c r="AX85" i="4" s="1"/>
  <c r="AC81" i="4"/>
  <c r="AD81" i="4" s="1" a="1"/>
  <c r="AD81" i="4" s="1"/>
  <c r="M66" i="4"/>
  <c r="AY85" i="4" l="1" a="1"/>
  <c r="AY85" i="4" s="1"/>
  <c r="AX87" i="1" s="1" a="1"/>
  <c r="AX87" i="1" s="1"/>
  <c r="AT84" i="4" a="1"/>
  <c r="AT84" i="4" s="1"/>
  <c r="AS86" i="1" s="1" a="1"/>
  <c r="AS86" i="1" s="1"/>
  <c r="AG114" i="1" a="1"/>
  <c r="AG114" i="1" s="1"/>
  <c r="AO84" i="4" a="1"/>
  <c r="AO84" i="4" s="1"/>
  <c r="AN86" i="1" s="1" a="1"/>
  <c r="AN86" i="1" s="1"/>
  <c r="AH114" i="1" a="1"/>
  <c r="AH114" i="1" s="1"/>
  <c r="AE81" i="4" a="1"/>
  <c r="AE81" i="4" s="1"/>
  <c r="AD83" i="1" s="1" a="1"/>
  <c r="AD83" i="1" s="1"/>
  <c r="AL85" i="4"/>
  <c r="AM85" i="4" s="1"/>
  <c r="AN85" i="4" s="1" a="1"/>
  <c r="AN85" i="4" s="1"/>
  <c r="AG112" i="4"/>
  <c r="AH112" i="4" s="1"/>
  <c r="AI112" i="4" s="1" a="1"/>
  <c r="AI112" i="4" s="1"/>
  <c r="AQ85" i="4"/>
  <c r="N66" i="4"/>
  <c r="O66" i="4" s="1" a="1"/>
  <c r="O66" i="4" s="1"/>
  <c r="W66" i="4"/>
  <c r="AV88" i="1" l="1" a="1"/>
  <c r="AV88" i="1" s="1"/>
  <c r="AR87" i="1" a="1"/>
  <c r="AR87" i="1" s="1"/>
  <c r="AW88" i="1" a="1"/>
  <c r="AW88" i="1" s="1"/>
  <c r="AQ87" i="1" a="1"/>
  <c r="AQ87" i="1" s="1"/>
  <c r="AL87" i="1" a="1"/>
  <c r="AL87" i="1" s="1"/>
  <c r="AB84" i="1" a="1"/>
  <c r="AB84" i="1" s="1"/>
  <c r="AM87" i="1" a="1"/>
  <c r="AM87" i="1" s="1"/>
  <c r="AO85" i="4" a="1"/>
  <c r="AO85" i="4" s="1"/>
  <c r="AN87" i="1" s="1" a="1"/>
  <c r="AN87" i="1" s="1"/>
  <c r="AJ112" i="4" a="1"/>
  <c r="AJ112" i="4" s="1"/>
  <c r="AI114" i="1" s="1" a="1"/>
  <c r="AI114" i="1" s="1"/>
  <c r="AC84" i="1" a="1"/>
  <c r="AC84" i="1" s="1"/>
  <c r="P66" i="4" a="1"/>
  <c r="P66" i="4" s="1"/>
  <c r="O68" i="1" s="1" a="1"/>
  <c r="O68" i="1" s="1"/>
  <c r="AB82" i="4"/>
  <c r="AC82" i="4" s="1"/>
  <c r="AD82" i="4" s="1" a="1"/>
  <c r="AD82" i="4" s="1"/>
  <c r="AV86" i="4"/>
  <c r="AR85" i="4"/>
  <c r="AS85" i="4" s="1" a="1"/>
  <c r="AS85" i="4" s="1"/>
  <c r="AL86" i="4"/>
  <c r="AG113" i="4"/>
  <c r="AH113" i="4" s="1"/>
  <c r="AI113" i="4" s="1" a="1"/>
  <c r="AI113" i="4" s="1"/>
  <c r="X66" i="4"/>
  <c r="Y66" i="4" s="1" a="1"/>
  <c r="Y66" i="4" s="1"/>
  <c r="R67" i="4"/>
  <c r="S67" i="4" s="1"/>
  <c r="T67" i="4" s="1" a="1"/>
  <c r="T67" i="4" s="1"/>
  <c r="H67" i="4"/>
  <c r="I67" i="4" s="1"/>
  <c r="J67" i="4" s="1" a="1"/>
  <c r="J67" i="4" s="1"/>
  <c r="AM88" i="1" l="1" a="1"/>
  <c r="AM88" i="1" s="1"/>
  <c r="AT85" i="4" a="1"/>
  <c r="AT85" i="4" s="1"/>
  <c r="AS87" i="1" s="1" a="1"/>
  <c r="AS87" i="1" s="1"/>
  <c r="AL88" i="1" a="1"/>
  <c r="AL88" i="1" s="1"/>
  <c r="AG115" i="1" a="1"/>
  <c r="AG115" i="1" s="1"/>
  <c r="AH115" i="1" a="1"/>
  <c r="AH115" i="1" s="1"/>
  <c r="AJ113" i="4" a="1"/>
  <c r="AJ113" i="4" s="1"/>
  <c r="AI115" i="1" s="1" a="1"/>
  <c r="AI115" i="1" s="1"/>
  <c r="AE82" i="4" a="1"/>
  <c r="AE82" i="4" s="1"/>
  <c r="AD84" i="1" s="1" a="1"/>
  <c r="AD84" i="1" s="1"/>
  <c r="Z66" i="4" a="1"/>
  <c r="Z66" i="4" s="1"/>
  <c r="Y68" i="1" s="1" a="1"/>
  <c r="Y68" i="1" s="1"/>
  <c r="N69" i="1" a="1"/>
  <c r="N69" i="1" s="1"/>
  <c r="U67" i="4" a="1"/>
  <c r="U67" i="4" s="1"/>
  <c r="T69" i="1" s="1" a="1"/>
  <c r="T69" i="1" s="1"/>
  <c r="M69" i="1" a="1"/>
  <c r="M69" i="1" s="1"/>
  <c r="K67" i="4" a="1"/>
  <c r="K67" i="4" s="1"/>
  <c r="J69" i="1" s="1" a="1"/>
  <c r="J69" i="1" s="1"/>
  <c r="AW86" i="4"/>
  <c r="AX86" i="4" s="1" a="1"/>
  <c r="AX86" i="4" s="1"/>
  <c r="AM86" i="4"/>
  <c r="AN86" i="4" s="1" a="1"/>
  <c r="AN86" i="4" s="1"/>
  <c r="AB83" i="4"/>
  <c r="M67" i="4"/>
  <c r="N67" i="4" s="1"/>
  <c r="O67" i="4" s="1" a="1"/>
  <c r="O67" i="4" s="1"/>
  <c r="AQ88" i="1" l="1" a="1"/>
  <c r="AQ88" i="1" s="1"/>
  <c r="AR88" i="1" a="1"/>
  <c r="AR88" i="1" s="1"/>
  <c r="AY86" i="4" a="1"/>
  <c r="AY86" i="4" s="1"/>
  <c r="AX88" i="1" s="1" a="1"/>
  <c r="AX88" i="1" s="1"/>
  <c r="AO86" i="4" a="1"/>
  <c r="AO86" i="4" s="1"/>
  <c r="AN88" i="1" s="1" a="1"/>
  <c r="AN88" i="1" s="1"/>
  <c r="AH116" i="1" a="1"/>
  <c r="AH116" i="1" s="1"/>
  <c r="AG116" i="1" a="1"/>
  <c r="AG116" i="1" s="1"/>
  <c r="AC85" i="1" a="1"/>
  <c r="AC85" i="1" s="1"/>
  <c r="AB85" i="1" a="1"/>
  <c r="AB85" i="1" s="1"/>
  <c r="W69" i="1" a="1"/>
  <c r="W69" i="1" s="1"/>
  <c r="S70" i="1" a="1"/>
  <c r="S70" i="1" s="1"/>
  <c r="X69" i="1" a="1"/>
  <c r="X69" i="1" s="1"/>
  <c r="H70" i="1" a="1"/>
  <c r="H70" i="1" s="1"/>
  <c r="R70" i="1" a="1"/>
  <c r="R70" i="1" s="1"/>
  <c r="I70" i="1" a="1"/>
  <c r="I70" i="1" s="1"/>
  <c r="P67" i="4" a="1"/>
  <c r="P67" i="4" s="1"/>
  <c r="O69" i="1" s="1" a="1"/>
  <c r="O69" i="1" s="1"/>
  <c r="W67" i="4"/>
  <c r="X67" i="4" s="1"/>
  <c r="Y67" i="4" s="1" a="1"/>
  <c r="Y67" i="4" s="1"/>
  <c r="AG114" i="4"/>
  <c r="AH114" i="4" s="1"/>
  <c r="AI114" i="4" s="1" a="1"/>
  <c r="AI114" i="4" s="1"/>
  <c r="AQ86" i="4"/>
  <c r="AC83" i="4"/>
  <c r="AD83" i="4" s="1" a="1"/>
  <c r="AD83" i="4" s="1"/>
  <c r="R68" i="4"/>
  <c r="S68" i="4" s="1"/>
  <c r="T68" i="4" s="1" a="1"/>
  <c r="T68" i="4" s="1"/>
  <c r="AW89" i="1" l="1" a="1"/>
  <c r="AW89" i="1" s="1"/>
  <c r="AV89" i="1" a="1"/>
  <c r="AV89" i="1" s="1"/>
  <c r="AL89" i="1" a="1"/>
  <c r="AL89" i="1" s="1"/>
  <c r="AM89" i="1" a="1"/>
  <c r="AM89" i="1" s="1"/>
  <c r="AJ114" i="4" a="1"/>
  <c r="AJ114" i="4" s="1"/>
  <c r="AI116" i="1" s="1" a="1"/>
  <c r="AI116" i="1" s="1"/>
  <c r="M70" i="1" a="1"/>
  <c r="M70" i="1" s="1"/>
  <c r="N70" i="1" a="1"/>
  <c r="N70" i="1" s="1"/>
  <c r="AE83" i="4" a="1"/>
  <c r="AE83" i="4" s="1"/>
  <c r="AD85" i="1" s="1" a="1"/>
  <c r="AD85" i="1" s="1"/>
  <c r="Z67" i="4" a="1"/>
  <c r="Z67" i="4" s="1"/>
  <c r="Y69" i="1" s="1" a="1"/>
  <c r="Y69" i="1" s="1"/>
  <c r="U68" i="4" a="1"/>
  <c r="U68" i="4" s="1"/>
  <c r="T70" i="1" s="1" a="1"/>
  <c r="T70" i="1" s="1"/>
  <c r="AV87" i="4"/>
  <c r="AR86" i="4"/>
  <c r="AS86" i="4" s="1" a="1"/>
  <c r="AS86" i="4" s="1"/>
  <c r="AL87" i="4"/>
  <c r="AG115" i="4"/>
  <c r="AH115" i="4" s="1"/>
  <c r="AI115" i="4" s="1" a="1"/>
  <c r="AI115" i="4" s="1"/>
  <c r="H68" i="4"/>
  <c r="I68" i="4" s="1"/>
  <c r="J68" i="4" s="1" a="1"/>
  <c r="J68" i="4" s="1"/>
  <c r="AH117" i="1" l="1" a="1"/>
  <c r="AH117" i="1" s="1"/>
  <c r="AT86" i="4" a="1"/>
  <c r="AT86" i="4" s="1"/>
  <c r="AS88" i="1" s="1" a="1"/>
  <c r="AS88" i="1" s="1"/>
  <c r="AB86" i="1" a="1"/>
  <c r="AB86" i="1" s="1"/>
  <c r="AJ115" i="4" a="1"/>
  <c r="AJ115" i="4" s="1"/>
  <c r="AI117" i="1" s="1" a="1"/>
  <c r="AI117" i="1" s="1"/>
  <c r="AG117" i="1" a="1"/>
  <c r="AG117" i="1" s="1"/>
  <c r="AC86" i="1" a="1"/>
  <c r="AC86" i="1" s="1"/>
  <c r="W70" i="1" a="1"/>
  <c r="W70" i="1" s="1"/>
  <c r="X70" i="1" a="1"/>
  <c r="X70" i="1" s="1"/>
  <c r="R71" i="1" a="1"/>
  <c r="R71" i="1" s="1"/>
  <c r="S71" i="1" a="1"/>
  <c r="S71" i="1" s="1"/>
  <c r="K68" i="4" a="1"/>
  <c r="K68" i="4" s="1"/>
  <c r="J70" i="1" s="1" a="1"/>
  <c r="J70" i="1" s="1"/>
  <c r="AB84" i="4"/>
  <c r="AC84" i="4" s="1"/>
  <c r="AD84" i="4" s="1" a="1"/>
  <c r="AD84" i="4" s="1"/>
  <c r="AW87" i="4"/>
  <c r="AX87" i="4" s="1" a="1"/>
  <c r="AX87" i="4" s="1"/>
  <c r="AM87" i="4"/>
  <c r="AN87" i="4" s="1" a="1"/>
  <c r="AN87" i="4" s="1"/>
  <c r="AG116" i="4"/>
  <c r="M68" i="4"/>
  <c r="N68" i="4" s="1"/>
  <c r="O68" i="4" s="1" a="1"/>
  <c r="O68" i="4" s="1"/>
  <c r="AR89" i="1" l="1" a="1"/>
  <c r="AR89" i="1" s="1"/>
  <c r="AH118" i="1" a="1"/>
  <c r="AH118" i="1" s="1"/>
  <c r="AQ89" i="1" a="1"/>
  <c r="AQ89" i="1" s="1"/>
  <c r="AG118" i="1" a="1"/>
  <c r="AG118" i="1" s="1"/>
  <c r="AY87" i="4" a="1"/>
  <c r="AY87" i="4" s="1"/>
  <c r="AX89" i="1" s="1" a="1"/>
  <c r="AX89" i="1" s="1"/>
  <c r="AO87" i="4" a="1"/>
  <c r="AO87" i="4" s="1"/>
  <c r="AN89" i="1" s="1" a="1"/>
  <c r="AN89" i="1" s="1"/>
  <c r="AE84" i="4" a="1"/>
  <c r="AE84" i="4" s="1"/>
  <c r="AD86" i="1" s="1" a="1"/>
  <c r="AD86" i="1" s="1"/>
  <c r="H71" i="1" a="1"/>
  <c r="H71" i="1" s="1"/>
  <c r="P68" i="4" a="1"/>
  <c r="P68" i="4" s="1"/>
  <c r="O70" i="1" s="1" a="1"/>
  <c r="O70" i="1" s="1"/>
  <c r="I71" i="1" a="1"/>
  <c r="I71" i="1" s="1"/>
  <c r="AQ87" i="4"/>
  <c r="AB85" i="4"/>
  <c r="AH116" i="4"/>
  <c r="AI116" i="4" s="1" a="1"/>
  <c r="AI116" i="4" s="1"/>
  <c r="W68" i="4"/>
  <c r="AW90" i="1" l="1" a="1"/>
  <c r="AW90" i="1" s="1"/>
  <c r="AV90" i="1" a="1"/>
  <c r="AV90" i="1" s="1"/>
  <c r="AC87" i="1" a="1"/>
  <c r="AC87" i="1" s="1"/>
  <c r="AL90" i="1" a="1"/>
  <c r="AL90" i="1" s="1"/>
  <c r="AM90" i="1" a="1"/>
  <c r="AM90" i="1" s="1"/>
  <c r="AB87" i="1" a="1"/>
  <c r="AB87" i="1" s="1"/>
  <c r="AJ116" i="4" a="1"/>
  <c r="AJ116" i="4" s="1"/>
  <c r="AI118" i="1" s="1" a="1"/>
  <c r="AI118" i="1" s="1"/>
  <c r="M71" i="1" a="1"/>
  <c r="M71" i="1" s="1"/>
  <c r="N71" i="1" a="1"/>
  <c r="N71" i="1" s="1"/>
  <c r="AV88" i="4"/>
  <c r="AR87" i="4"/>
  <c r="AS87" i="4" s="1" a="1"/>
  <c r="AS87" i="4" s="1"/>
  <c r="AL88" i="4"/>
  <c r="AC85" i="4"/>
  <c r="AD85" i="4" s="1" a="1"/>
  <c r="AD85" i="4" s="1"/>
  <c r="X68" i="4"/>
  <c r="Y68" i="4" s="1" a="1"/>
  <c r="Y68" i="4" s="1"/>
  <c r="R69" i="4"/>
  <c r="S69" i="4" s="1"/>
  <c r="T69" i="4" s="1" a="1"/>
  <c r="T69" i="4" s="1"/>
  <c r="H69" i="4"/>
  <c r="AT87" i="4" l="1" a="1"/>
  <c r="AT87" i="4" s="1"/>
  <c r="AS89" i="1" s="1" a="1"/>
  <c r="AS89" i="1" s="1"/>
  <c r="AG119" i="1" a="1"/>
  <c r="AG119" i="1" s="1"/>
  <c r="AH119" i="1" a="1"/>
  <c r="AH119" i="1" s="1"/>
  <c r="AE85" i="4" a="1"/>
  <c r="AE85" i="4" s="1"/>
  <c r="AD87" i="1" s="1" a="1"/>
  <c r="AD87" i="1" s="1"/>
  <c r="Z68" i="4" a="1"/>
  <c r="Z68" i="4" s="1"/>
  <c r="Y70" i="1" s="1" a="1"/>
  <c r="Y70" i="1" s="1"/>
  <c r="U69" i="4" a="1"/>
  <c r="U69" i="4" s="1"/>
  <c r="T71" i="1" s="1" a="1"/>
  <c r="T71" i="1" s="1"/>
  <c r="AW88" i="4"/>
  <c r="AX88" i="4" s="1" a="1"/>
  <c r="AX88" i="4" s="1"/>
  <c r="AM88" i="4"/>
  <c r="AN88" i="4" s="1" a="1"/>
  <c r="AN88" i="4" s="1"/>
  <c r="AG117" i="4"/>
  <c r="AH117" i="4" s="1"/>
  <c r="AI117" i="4" s="1" a="1"/>
  <c r="AI117" i="4" s="1"/>
  <c r="I69" i="4"/>
  <c r="J69" i="4" s="1" a="1"/>
  <c r="J69" i="4" s="1"/>
  <c r="M69" i="4"/>
  <c r="AQ90" i="1" l="1" a="1"/>
  <c r="AQ90" i="1" s="1"/>
  <c r="AR90" i="1" a="1"/>
  <c r="AR90" i="1" s="1"/>
  <c r="AY88" i="4" a="1"/>
  <c r="AY88" i="4" s="1"/>
  <c r="AX90" i="1" s="1" a="1"/>
  <c r="AX90" i="1" s="1"/>
  <c r="AC88" i="1" a="1"/>
  <c r="AC88" i="1" s="1"/>
  <c r="AO88" i="4" a="1"/>
  <c r="AO88" i="4" s="1"/>
  <c r="AN90" i="1" s="1" a="1"/>
  <c r="AN90" i="1" s="1"/>
  <c r="AJ117" i="4" a="1"/>
  <c r="AJ117" i="4" s="1"/>
  <c r="AI119" i="1" s="1" a="1"/>
  <c r="AI119" i="1" s="1"/>
  <c r="W71" i="1" a="1"/>
  <c r="W71" i="1" s="1"/>
  <c r="AB88" i="1" a="1"/>
  <c r="AB88" i="1" s="1"/>
  <c r="X71" i="1" a="1"/>
  <c r="X71" i="1" s="1"/>
  <c r="R72" i="1" a="1"/>
  <c r="R72" i="1" s="1"/>
  <c r="S72" i="1" a="1"/>
  <c r="S72" i="1" s="1"/>
  <c r="K69" i="4" a="1"/>
  <c r="K69" i="4" s="1"/>
  <c r="J71" i="1" s="1" a="1"/>
  <c r="J71" i="1" s="1"/>
  <c r="W69" i="4"/>
  <c r="X69" i="4" s="1"/>
  <c r="AQ88" i="4"/>
  <c r="AB86" i="4"/>
  <c r="AG118" i="4"/>
  <c r="AH118" i="4" s="1"/>
  <c r="AI118" i="4" s="1" a="1"/>
  <c r="AI118" i="4" s="1"/>
  <c r="N69" i="4"/>
  <c r="O69" i="4" s="1" a="1"/>
  <c r="O69" i="4" s="1"/>
  <c r="R70" i="4"/>
  <c r="H70" i="4"/>
  <c r="I70" i="4" s="1"/>
  <c r="J70" i="4" s="1" a="1"/>
  <c r="J70" i="4" s="1"/>
  <c r="AM91" i="1" l="1" a="1"/>
  <c r="AM91" i="1" s="1"/>
  <c r="AG120" i="1" a="1"/>
  <c r="AG120" i="1" s="1"/>
  <c r="AH120" i="1" a="1"/>
  <c r="AH120" i="1" s="1"/>
  <c r="AV91" i="1" a="1"/>
  <c r="AV91" i="1" s="1"/>
  <c r="AW91" i="1" a="1"/>
  <c r="AW91" i="1" s="1"/>
  <c r="AL91" i="1" a="1"/>
  <c r="AL91" i="1" s="1"/>
  <c r="AJ118" i="4" a="1"/>
  <c r="AJ118" i="4" s="1"/>
  <c r="AI120" i="1" s="1" a="1"/>
  <c r="AI120" i="1" s="1"/>
  <c r="P69" i="4" a="1"/>
  <c r="P69" i="4" s="1"/>
  <c r="O71" i="1" s="1" a="1"/>
  <c r="O71" i="1" s="1"/>
  <c r="H72" i="1" a="1"/>
  <c r="H72" i="1" s="1"/>
  <c r="K70" i="4" a="1"/>
  <c r="K70" i="4" s="1"/>
  <c r="J72" i="1" s="1" a="1"/>
  <c r="J72" i="1" s="1"/>
  <c r="I72" i="1" a="1"/>
  <c r="I72" i="1" s="1"/>
  <c r="Y69" i="4" a="1"/>
  <c r="Y69" i="4" s="1"/>
  <c r="AV89" i="4"/>
  <c r="AW89" i="4" s="1"/>
  <c r="AX89" i="4" s="1" a="1"/>
  <c r="AX89" i="4" s="1"/>
  <c r="AL89" i="4"/>
  <c r="AM89" i="4" s="1"/>
  <c r="AN89" i="4" s="1" a="1"/>
  <c r="AN89" i="4" s="1"/>
  <c r="AR88" i="4"/>
  <c r="AS88" i="4" s="1" a="1"/>
  <c r="AS88" i="4" s="1"/>
  <c r="AC86" i="4"/>
  <c r="AD86" i="4" s="1" a="1"/>
  <c r="AD86" i="4" s="1"/>
  <c r="AG119" i="4"/>
  <c r="S70" i="4"/>
  <c r="T70" i="4" s="1" a="1"/>
  <c r="T70" i="4" s="1"/>
  <c r="AY89" i="4" l="1" a="1"/>
  <c r="AY89" i="4" s="1"/>
  <c r="AX91" i="1" s="1" a="1"/>
  <c r="AX91" i="1" s="1"/>
  <c r="AG121" i="1" a="1"/>
  <c r="AG121" i="1" s="1"/>
  <c r="AT88" i="4" a="1"/>
  <c r="AT88" i="4" s="1"/>
  <c r="AS90" i="1" s="1" a="1"/>
  <c r="AS90" i="1" s="1"/>
  <c r="AH121" i="1" a="1"/>
  <c r="AH121" i="1" s="1"/>
  <c r="AO89" i="4" a="1"/>
  <c r="AO89" i="4" s="1"/>
  <c r="AN91" i="1" s="1" a="1"/>
  <c r="AN91" i="1" s="1"/>
  <c r="AE86" i="4" a="1"/>
  <c r="AE86" i="4" s="1"/>
  <c r="AD88" i="1" s="1" a="1"/>
  <c r="AD88" i="1" s="1"/>
  <c r="Z69" i="4" a="1"/>
  <c r="Z69" i="4" s="1"/>
  <c r="Y71" i="1" s="1" a="1"/>
  <c r="Y71" i="1" s="1"/>
  <c r="U70" i="4" a="1"/>
  <c r="U70" i="4" s="1"/>
  <c r="T72" i="1" s="1" a="1"/>
  <c r="T72" i="1" s="1"/>
  <c r="N72" i="1" a="1"/>
  <c r="N72" i="1" s="1"/>
  <c r="H73" i="1" a="1"/>
  <c r="H73" i="1" s="1"/>
  <c r="M72" i="1" a="1"/>
  <c r="M72" i="1" s="1"/>
  <c r="I73" i="1" a="1"/>
  <c r="I73" i="1" s="1"/>
  <c r="W70" i="4"/>
  <c r="X70" i="4" s="1"/>
  <c r="Y70" i="4" s="1" a="1"/>
  <c r="Y70" i="4" s="1"/>
  <c r="M70" i="4"/>
  <c r="N70" i="4" s="1"/>
  <c r="O70" i="4" s="1" a="1"/>
  <c r="O70" i="4" s="1"/>
  <c r="AV90" i="4"/>
  <c r="AL90" i="4"/>
  <c r="AH119" i="4"/>
  <c r="AI119" i="4" s="1" a="1"/>
  <c r="AI119" i="4" s="1"/>
  <c r="AC89" i="1" l="1" a="1"/>
  <c r="AC89" i="1" s="1"/>
  <c r="AR91" i="1" a="1"/>
  <c r="AR91" i="1" s="1"/>
  <c r="AQ91" i="1" a="1"/>
  <c r="AQ91" i="1" s="1"/>
  <c r="AW92" i="1" a="1"/>
  <c r="AW92" i="1" s="1"/>
  <c r="AV92" i="1" a="1"/>
  <c r="AV92" i="1" s="1"/>
  <c r="AB89" i="1" a="1"/>
  <c r="AB89" i="1" s="1"/>
  <c r="AL92" i="1" a="1"/>
  <c r="AL92" i="1" s="1"/>
  <c r="AM92" i="1" a="1"/>
  <c r="AM92" i="1" s="1"/>
  <c r="AJ119" i="4" a="1"/>
  <c r="AJ119" i="4" s="1"/>
  <c r="AI121" i="1" s="1" a="1"/>
  <c r="AI121" i="1" s="1"/>
  <c r="R73" i="1" a="1"/>
  <c r="R73" i="1" s="1"/>
  <c r="S73" i="1" a="1"/>
  <c r="S73" i="1" s="1"/>
  <c r="Z70" i="4" a="1"/>
  <c r="Z70" i="4" s="1"/>
  <c r="Y72" i="1" s="1" a="1"/>
  <c r="Y72" i="1" s="1"/>
  <c r="W72" i="1" a="1"/>
  <c r="W72" i="1" s="1"/>
  <c r="X72" i="1" a="1"/>
  <c r="X72" i="1" s="1"/>
  <c r="P70" i="4" a="1"/>
  <c r="P70" i="4" s="1"/>
  <c r="O72" i="1" s="1" a="1"/>
  <c r="O72" i="1" s="1"/>
  <c r="AQ89" i="4"/>
  <c r="AR89" i="4" s="1"/>
  <c r="AS89" i="4" s="1" a="1"/>
  <c r="AS89" i="4" s="1"/>
  <c r="AW90" i="4"/>
  <c r="AX90" i="4" s="1" a="1"/>
  <c r="AX90" i="4" s="1"/>
  <c r="AM90" i="4"/>
  <c r="AN90" i="4" s="1" a="1"/>
  <c r="AN90" i="4" s="1"/>
  <c r="AB87" i="4"/>
  <c r="AG120" i="4"/>
  <c r="AH120" i="4" s="1"/>
  <c r="AI120" i="4" s="1" a="1"/>
  <c r="AI120" i="4" s="1"/>
  <c r="R71" i="4"/>
  <c r="S71" i="4" s="1"/>
  <c r="T71" i="4" s="1" a="1"/>
  <c r="T71" i="4" s="1"/>
  <c r="H71" i="4"/>
  <c r="AY90" i="4" l="1" a="1"/>
  <c r="AY90" i="4" s="1"/>
  <c r="AX92" i="1" s="1" a="1"/>
  <c r="AX92" i="1" s="1"/>
  <c r="AG122" i="1" a="1"/>
  <c r="AG122" i="1" s="1"/>
  <c r="AT89" i="4" a="1"/>
  <c r="AT89" i="4" s="1"/>
  <c r="AS91" i="1" s="1" a="1"/>
  <c r="AS91" i="1" s="1"/>
  <c r="AO90" i="4" a="1"/>
  <c r="AO90" i="4" s="1"/>
  <c r="AN92" i="1" s="1" a="1"/>
  <c r="AN92" i="1" s="1"/>
  <c r="AJ120" i="4" a="1"/>
  <c r="AJ120" i="4" s="1"/>
  <c r="AI122" i="1" s="1" a="1"/>
  <c r="AI122" i="1" s="1"/>
  <c r="AH122" i="1" a="1"/>
  <c r="AH122" i="1" s="1"/>
  <c r="W73" i="1" a="1"/>
  <c r="W73" i="1" s="1"/>
  <c r="X73" i="1" a="1"/>
  <c r="X73" i="1" s="1"/>
  <c r="U71" i="4" a="1"/>
  <c r="U71" i="4" s="1"/>
  <c r="T73" i="1" s="1" a="1"/>
  <c r="T73" i="1" s="1"/>
  <c r="M73" i="1" a="1"/>
  <c r="M73" i="1" s="1"/>
  <c r="N73" i="1" a="1"/>
  <c r="N73" i="1" s="1"/>
  <c r="W71" i="4"/>
  <c r="X71" i="4" s="1"/>
  <c r="Y71" i="4" s="1" a="1"/>
  <c r="Y71" i="4" s="1"/>
  <c r="AQ90" i="4"/>
  <c r="AC87" i="4"/>
  <c r="AD87" i="4" s="1" a="1"/>
  <c r="AD87" i="4" s="1"/>
  <c r="M71" i="4"/>
  <c r="N71" i="4" s="1"/>
  <c r="O71" i="4" s="1" a="1"/>
  <c r="O71" i="4" s="1"/>
  <c r="I71" i="4"/>
  <c r="J71" i="4" s="1" a="1"/>
  <c r="J71" i="4" s="1"/>
  <c r="AV93" i="1" l="1" a="1"/>
  <c r="AV93" i="1" s="1"/>
  <c r="AW93" i="1" a="1"/>
  <c r="AW93" i="1" s="1"/>
  <c r="AQ92" i="1" a="1"/>
  <c r="AQ92" i="1" s="1"/>
  <c r="AL93" i="1" a="1"/>
  <c r="AL93" i="1" s="1"/>
  <c r="AR92" i="1" a="1"/>
  <c r="AR92" i="1" s="1"/>
  <c r="AM93" i="1" a="1"/>
  <c r="AM93" i="1" s="1"/>
  <c r="AH123" i="1" a="1"/>
  <c r="AH123" i="1" s="1"/>
  <c r="AG123" i="1" a="1"/>
  <c r="AG123" i="1" s="1"/>
  <c r="AE87" i="4" a="1"/>
  <c r="AE87" i="4" s="1"/>
  <c r="AD89" i="1" s="1" a="1"/>
  <c r="AD89" i="1" s="1"/>
  <c r="Z71" i="4" a="1"/>
  <c r="Z71" i="4" s="1"/>
  <c r="Y73" i="1" s="1" a="1"/>
  <c r="Y73" i="1" s="1"/>
  <c r="R74" i="1" a="1"/>
  <c r="R74" i="1" s="1"/>
  <c r="S74" i="1" a="1"/>
  <c r="S74" i="1" s="1"/>
  <c r="P71" i="4" a="1"/>
  <c r="P71" i="4" s="1"/>
  <c r="O73" i="1" s="1" a="1"/>
  <c r="O73" i="1" s="1"/>
  <c r="K71" i="4" a="1"/>
  <c r="K71" i="4" s="1"/>
  <c r="J73" i="1" s="1" a="1"/>
  <c r="J73" i="1" s="1"/>
  <c r="AV91" i="4"/>
  <c r="AW91" i="4" s="1"/>
  <c r="AX91" i="4" s="1" a="1"/>
  <c r="AX91" i="4" s="1"/>
  <c r="AL91" i="4"/>
  <c r="AM91" i="4" s="1"/>
  <c r="AN91" i="4" s="1" a="1"/>
  <c r="AN91" i="4" s="1"/>
  <c r="AG121" i="4"/>
  <c r="AH121" i="4" s="1"/>
  <c r="AI121" i="4" s="1" a="1"/>
  <c r="AI121" i="4" s="1"/>
  <c r="AR90" i="4"/>
  <c r="AS90" i="4" s="1" a="1"/>
  <c r="AS90" i="4" s="1"/>
  <c r="R72" i="4"/>
  <c r="S72" i="4" s="1"/>
  <c r="T72" i="4" s="1" a="1"/>
  <c r="T72" i="4" s="1"/>
  <c r="H72" i="4"/>
  <c r="I72" i="4" s="1"/>
  <c r="J72" i="4" s="1" a="1"/>
  <c r="J72" i="4" s="1"/>
  <c r="AY91" i="4" l="1" a="1"/>
  <c r="AY91" i="4" s="1"/>
  <c r="AX93" i="1" s="1" a="1"/>
  <c r="AX93" i="1" s="1"/>
  <c r="AT90" i="4" a="1"/>
  <c r="AT90" i="4" s="1"/>
  <c r="AS92" i="1" s="1" a="1"/>
  <c r="AS92" i="1" s="1"/>
  <c r="AO91" i="4" a="1"/>
  <c r="AO91" i="4" s="1"/>
  <c r="AN93" i="1" s="1" a="1"/>
  <c r="AN93" i="1" s="1"/>
  <c r="AB90" i="1" a="1"/>
  <c r="AB90" i="1" s="1"/>
  <c r="AJ121" i="4" a="1"/>
  <c r="AJ121" i="4" s="1"/>
  <c r="AI123" i="1" s="1" a="1"/>
  <c r="AI123" i="1" s="1"/>
  <c r="AC90" i="1" a="1"/>
  <c r="AC90" i="1" s="1"/>
  <c r="N74" i="1" a="1"/>
  <c r="N74" i="1" s="1"/>
  <c r="W74" i="1" a="1"/>
  <c r="W74" i="1" s="1"/>
  <c r="X74" i="1" a="1"/>
  <c r="X74" i="1" s="1"/>
  <c r="U72" i="4" a="1"/>
  <c r="U72" i="4" s="1"/>
  <c r="T74" i="1" s="1" a="1"/>
  <c r="T74" i="1" s="1"/>
  <c r="H74" i="1" a="1"/>
  <c r="H74" i="1" s="1"/>
  <c r="M74" i="1" a="1"/>
  <c r="M74" i="1" s="1"/>
  <c r="K72" i="4" a="1"/>
  <c r="K72" i="4" s="1"/>
  <c r="J74" i="1" s="1" a="1"/>
  <c r="J74" i="1" s="1"/>
  <c r="I74" i="1" a="1"/>
  <c r="I74" i="1" s="1"/>
  <c r="AV92" i="4"/>
  <c r="AL92" i="4"/>
  <c r="AB88" i="4"/>
  <c r="AG122" i="4"/>
  <c r="M72" i="4"/>
  <c r="N72" i="4" s="1"/>
  <c r="O72" i="4" s="1" a="1"/>
  <c r="O72" i="4" s="1"/>
  <c r="W72" i="4"/>
  <c r="X72" i="4" s="1"/>
  <c r="Y72" i="4" s="1" a="1"/>
  <c r="Y72" i="4" s="1"/>
  <c r="AL94" i="1" l="1" a="1"/>
  <c r="AL94" i="1" s="1"/>
  <c r="AQ93" i="1" a="1"/>
  <c r="AQ93" i="1" s="1"/>
  <c r="AV94" i="1" a="1"/>
  <c r="AV94" i="1" s="1"/>
  <c r="AM94" i="1" a="1"/>
  <c r="AM94" i="1" s="1"/>
  <c r="AW94" i="1" a="1"/>
  <c r="AW94" i="1" s="1"/>
  <c r="AH124" i="1" a="1"/>
  <c r="AH124" i="1" s="1"/>
  <c r="AR93" i="1" a="1"/>
  <c r="AR93" i="1" s="1"/>
  <c r="AG124" i="1" a="1"/>
  <c r="AG124" i="1" s="1"/>
  <c r="R75" i="1" a="1"/>
  <c r="R75" i="1" s="1"/>
  <c r="Z72" i="4" a="1"/>
  <c r="Z72" i="4" s="1"/>
  <c r="Y74" i="1" s="1" a="1"/>
  <c r="Y74" i="1" s="1"/>
  <c r="I75" i="1" a="1"/>
  <c r="I75" i="1" s="1"/>
  <c r="H75" i="1" a="1"/>
  <c r="H75" i="1" s="1"/>
  <c r="S75" i="1" a="1"/>
  <c r="S75" i="1" s="1"/>
  <c r="P72" i="4" a="1"/>
  <c r="P72" i="4" s="1"/>
  <c r="O74" i="1" s="1" a="1"/>
  <c r="O74" i="1" s="1"/>
  <c r="AQ91" i="4"/>
  <c r="AR91" i="4" s="1"/>
  <c r="AS91" i="4" s="1" a="1"/>
  <c r="AS91" i="4" s="1"/>
  <c r="AW92" i="4"/>
  <c r="AX92" i="4" s="1" a="1"/>
  <c r="AX92" i="4" s="1"/>
  <c r="AM92" i="4"/>
  <c r="AN92" i="4" s="1" a="1"/>
  <c r="AN92" i="4" s="1"/>
  <c r="AC88" i="4"/>
  <c r="AD88" i="4" s="1" a="1"/>
  <c r="AD88" i="4" s="1"/>
  <c r="AH122" i="4"/>
  <c r="AI122" i="4" s="1" a="1"/>
  <c r="AI122" i="4" s="1"/>
  <c r="AY92" i="4" l="1" a="1"/>
  <c r="AY92" i="4" s="1"/>
  <c r="AX94" i="1" s="1" a="1"/>
  <c r="AX94" i="1" s="1"/>
  <c r="AT91" i="4" a="1"/>
  <c r="AT91" i="4" s="1"/>
  <c r="AS93" i="1" s="1" a="1"/>
  <c r="AS93" i="1" s="1"/>
  <c r="AO92" i="4" a="1"/>
  <c r="AO92" i="4" s="1"/>
  <c r="AN94" i="1" s="1" a="1"/>
  <c r="AN94" i="1" s="1"/>
  <c r="AJ122" i="4" a="1"/>
  <c r="AJ122" i="4" s="1"/>
  <c r="AI124" i="1" s="1" a="1"/>
  <c r="AI124" i="1" s="1"/>
  <c r="AE88" i="4" a="1"/>
  <c r="AE88" i="4" s="1"/>
  <c r="AD90" i="1" s="1" a="1"/>
  <c r="AD90" i="1" s="1"/>
  <c r="M75" i="1" a="1"/>
  <c r="M75" i="1" s="1"/>
  <c r="W75" i="1" a="1"/>
  <c r="W75" i="1" s="1"/>
  <c r="X75" i="1" a="1"/>
  <c r="X75" i="1" s="1"/>
  <c r="N75" i="1" a="1"/>
  <c r="N75" i="1" s="1"/>
  <c r="AQ92" i="4"/>
  <c r="M73" i="4"/>
  <c r="N73" i="4" s="1"/>
  <c r="O73" i="4" s="1" a="1"/>
  <c r="O73" i="4" s="1"/>
  <c r="R73" i="4"/>
  <c r="S73" i="4" s="1"/>
  <c r="T73" i="4" s="1" a="1"/>
  <c r="T73" i="4" s="1"/>
  <c r="H73" i="4"/>
  <c r="AQ94" i="1" l="1" a="1"/>
  <c r="AQ94" i="1" s="1"/>
  <c r="AR94" i="1" a="1"/>
  <c r="AR94" i="1" s="1"/>
  <c r="AV95" i="1" a="1"/>
  <c r="AV95" i="1" s="1"/>
  <c r="AW95" i="1" a="1"/>
  <c r="AW95" i="1" s="1"/>
  <c r="AB91" i="1" a="1"/>
  <c r="AB91" i="1" s="1"/>
  <c r="AG125" i="1" a="1"/>
  <c r="AG125" i="1" s="1"/>
  <c r="AH125" i="1" a="1"/>
  <c r="AH125" i="1" s="1"/>
  <c r="AC91" i="1" a="1"/>
  <c r="AC91" i="1" s="1"/>
  <c r="AL95" i="1" a="1"/>
  <c r="AL95" i="1" s="1"/>
  <c r="AM95" i="1" a="1"/>
  <c r="AM95" i="1" s="1"/>
  <c r="U73" i="4" a="1"/>
  <c r="U73" i="4" s="1"/>
  <c r="T75" i="1" s="1" a="1"/>
  <c r="T75" i="1" s="1"/>
  <c r="P73" i="4" a="1"/>
  <c r="P73" i="4" s="1"/>
  <c r="O75" i="1" s="1" a="1"/>
  <c r="O75" i="1" s="1"/>
  <c r="AB89" i="4"/>
  <c r="AC89" i="4" s="1"/>
  <c r="AD89" i="4" s="1" a="1"/>
  <c r="AD89" i="4" s="1"/>
  <c r="AV93" i="4"/>
  <c r="AR92" i="4"/>
  <c r="AS92" i="4" s="1" a="1"/>
  <c r="AS92" i="4" s="1"/>
  <c r="AL93" i="4"/>
  <c r="AG123" i="4"/>
  <c r="AH123" i="4" s="1"/>
  <c r="AI123" i="4" s="1" a="1"/>
  <c r="AI123" i="4" s="1"/>
  <c r="I73" i="4"/>
  <c r="J73" i="4" s="1" a="1"/>
  <c r="J73" i="4" s="1"/>
  <c r="AT92" i="4" l="1" a="1"/>
  <c r="AT92" i="4" s="1"/>
  <c r="AS94" i="1" s="1" a="1"/>
  <c r="AS94" i="1" s="1"/>
  <c r="AJ123" i="4" a="1"/>
  <c r="AJ123" i="4" s="1"/>
  <c r="AI125" i="1" s="1" a="1"/>
  <c r="AI125" i="1" s="1"/>
  <c r="AE89" i="4" a="1"/>
  <c r="AE89" i="4" s="1"/>
  <c r="AD91" i="1" s="1" a="1"/>
  <c r="AD91" i="1" s="1"/>
  <c r="R76" i="1" a="1"/>
  <c r="R76" i="1" s="1"/>
  <c r="M76" i="1" a="1"/>
  <c r="M76" i="1" s="1"/>
  <c r="S76" i="1" a="1"/>
  <c r="S76" i="1" s="1"/>
  <c r="N76" i="1" a="1"/>
  <c r="N76" i="1" s="1"/>
  <c r="K73" i="4" a="1"/>
  <c r="K73" i="4" s="1"/>
  <c r="J75" i="1" s="1" a="1"/>
  <c r="J75" i="1" s="1"/>
  <c r="AW93" i="4"/>
  <c r="AX93" i="4" s="1" a="1"/>
  <c r="AX93" i="4" s="1"/>
  <c r="AM93" i="4"/>
  <c r="AN93" i="4" s="1" a="1"/>
  <c r="AN93" i="4" s="1"/>
  <c r="AB90" i="4"/>
  <c r="W73" i="4"/>
  <c r="R74" i="4"/>
  <c r="S74" i="4" s="1"/>
  <c r="T74" i="4" s="1" a="1"/>
  <c r="T74" i="4" s="1"/>
  <c r="H74" i="4"/>
  <c r="I74" i="4" s="1"/>
  <c r="J74" i="4" s="1" a="1"/>
  <c r="J74" i="4" s="1"/>
  <c r="AQ95" i="1" l="1" a="1"/>
  <c r="AQ95" i="1" s="1"/>
  <c r="AG126" i="1" a="1"/>
  <c r="AG126" i="1" s="1"/>
  <c r="AH126" i="1" a="1"/>
  <c r="AH126" i="1" s="1"/>
  <c r="AR95" i="1" a="1"/>
  <c r="AR95" i="1" s="1"/>
  <c r="AY93" i="4" a="1"/>
  <c r="AY93" i="4" s="1"/>
  <c r="AX95" i="1" s="1" a="1"/>
  <c r="AX95" i="1" s="1"/>
  <c r="AC92" i="1" a="1"/>
  <c r="AC92" i="1" s="1"/>
  <c r="AO93" i="4" a="1"/>
  <c r="AO93" i="4" s="1"/>
  <c r="AN95" i="1" s="1" a="1"/>
  <c r="AN95" i="1" s="1"/>
  <c r="H76" i="1" a="1"/>
  <c r="H76" i="1" s="1"/>
  <c r="AB92" i="1" a="1"/>
  <c r="AB92" i="1" s="1"/>
  <c r="U74" i="4" a="1"/>
  <c r="U74" i="4" s="1"/>
  <c r="T76" i="1" s="1" a="1"/>
  <c r="T76" i="1" s="1"/>
  <c r="K74" i="4" a="1"/>
  <c r="K74" i="4" s="1"/>
  <c r="J76" i="1" s="1" a="1"/>
  <c r="J76" i="1" s="1"/>
  <c r="I76" i="1" a="1"/>
  <c r="I76" i="1" s="1"/>
  <c r="AG124" i="4"/>
  <c r="AH124" i="4" s="1"/>
  <c r="AI124" i="4" s="1" a="1"/>
  <c r="AI124" i="4" s="1"/>
  <c r="AQ93" i="4"/>
  <c r="AC90" i="4"/>
  <c r="AD90" i="4" s="1" a="1"/>
  <c r="AD90" i="4" s="1"/>
  <c r="X73" i="4"/>
  <c r="Y73" i="4" s="1" a="1"/>
  <c r="Y73" i="4" s="1"/>
  <c r="M74" i="4"/>
  <c r="N74" i="4" s="1"/>
  <c r="O74" i="4" s="1" a="1"/>
  <c r="O74" i="4" s="1"/>
  <c r="AL96" i="1" l="1" a="1"/>
  <c r="AL96" i="1" s="1"/>
  <c r="AM96" i="1" a="1"/>
  <c r="AM96" i="1" s="1"/>
  <c r="AW96" i="1" a="1"/>
  <c r="AW96" i="1" s="1"/>
  <c r="AV96" i="1" a="1"/>
  <c r="AV96" i="1" s="1"/>
  <c r="AJ124" i="4" a="1"/>
  <c r="AJ124" i="4" s="1"/>
  <c r="AI126" i="1" s="1" a="1"/>
  <c r="AI126" i="1" s="1"/>
  <c r="H77" i="1" a="1"/>
  <c r="H77" i="1" s="1"/>
  <c r="AE90" i="4" a="1"/>
  <c r="AE90" i="4" s="1"/>
  <c r="AD92" i="1" s="1" a="1"/>
  <c r="AD92" i="1" s="1"/>
  <c r="Z73" i="4" a="1"/>
  <c r="Z73" i="4" s="1"/>
  <c r="Y75" i="1" s="1" a="1"/>
  <c r="Y75" i="1" s="1"/>
  <c r="R77" i="1" a="1"/>
  <c r="R77" i="1" s="1"/>
  <c r="S77" i="1" a="1"/>
  <c r="S77" i="1" s="1"/>
  <c r="P74" i="4" a="1"/>
  <c r="P74" i="4" s="1"/>
  <c r="O76" i="1" s="1" a="1"/>
  <c r="O76" i="1" s="1"/>
  <c r="I77" i="1" a="1"/>
  <c r="I77" i="1" s="1"/>
  <c r="AL94" i="4"/>
  <c r="AM94" i="4" s="1"/>
  <c r="AN94" i="4" s="1" a="1"/>
  <c r="AN94" i="4" s="1"/>
  <c r="AV94" i="4"/>
  <c r="AW94" i="4" s="1"/>
  <c r="AX94" i="4" s="1" a="1"/>
  <c r="AX94" i="4" s="1"/>
  <c r="AR93" i="4"/>
  <c r="AS93" i="4" s="1" a="1"/>
  <c r="AS93" i="4" s="1"/>
  <c r="W74" i="4"/>
  <c r="AG125" i="4"/>
  <c r="AH125" i="4" s="1"/>
  <c r="AI125" i="4" s="1" a="1"/>
  <c r="AI125" i="4" s="1"/>
  <c r="AG127" i="1" l="1" a="1"/>
  <c r="AG127" i="1" s="1"/>
  <c r="AY94" i="4" a="1"/>
  <c r="AY94" i="4" s="1"/>
  <c r="AX96" i="1" s="1" a="1"/>
  <c r="AX96" i="1" s="1"/>
  <c r="AB93" i="1" a="1"/>
  <c r="AB93" i="1" s="1"/>
  <c r="AH127" i="1" a="1"/>
  <c r="AH127" i="1" s="1"/>
  <c r="AT93" i="4" a="1"/>
  <c r="AT93" i="4" s="1"/>
  <c r="AS95" i="1" s="1" a="1"/>
  <c r="AS95" i="1" s="1"/>
  <c r="AC93" i="1" a="1"/>
  <c r="AC93" i="1" s="1"/>
  <c r="AO94" i="4" a="1"/>
  <c r="AO94" i="4" s="1"/>
  <c r="AN96" i="1" s="1" a="1"/>
  <c r="AN96" i="1" s="1"/>
  <c r="AJ125" i="4" a="1"/>
  <c r="AJ125" i="4" s="1"/>
  <c r="AI127" i="1" s="1" a="1"/>
  <c r="AI127" i="1" s="1"/>
  <c r="W76" i="1" a="1"/>
  <c r="W76" i="1" s="1"/>
  <c r="M77" i="1" a="1"/>
  <c r="M77" i="1" s="1"/>
  <c r="X76" i="1" a="1"/>
  <c r="X76" i="1" s="1"/>
  <c r="N77" i="1" a="1"/>
  <c r="N77" i="1" s="1"/>
  <c r="AB91" i="4"/>
  <c r="AC91" i="4" s="1"/>
  <c r="AD91" i="4" s="1" a="1"/>
  <c r="AD91" i="4" s="1"/>
  <c r="AV95" i="4"/>
  <c r="AL95" i="4"/>
  <c r="AG126" i="4"/>
  <c r="X74" i="4"/>
  <c r="Y74" i="4" s="1" a="1"/>
  <c r="Y74" i="4" s="1"/>
  <c r="M75" i="4"/>
  <c r="N75" i="4" s="1"/>
  <c r="O75" i="4" s="1" a="1"/>
  <c r="O75" i="4" s="1"/>
  <c r="R75" i="4"/>
  <c r="S75" i="4" s="1"/>
  <c r="T75" i="4" s="1" a="1"/>
  <c r="T75" i="4" s="1"/>
  <c r="H75" i="4"/>
  <c r="AQ96" i="1" l="1" a="1"/>
  <c r="AQ96" i="1" s="1"/>
  <c r="AW97" i="1" a="1"/>
  <c r="AW97" i="1" s="1"/>
  <c r="AR96" i="1" a="1"/>
  <c r="AR96" i="1" s="1"/>
  <c r="AV97" i="1" a="1"/>
  <c r="AV97" i="1" s="1"/>
  <c r="AL97" i="1" a="1"/>
  <c r="AL97" i="1" s="1"/>
  <c r="AM97" i="1" a="1"/>
  <c r="AM97" i="1" s="1"/>
  <c r="AG128" i="1" a="1"/>
  <c r="AG128" i="1" s="1"/>
  <c r="AH128" i="1" a="1"/>
  <c r="AH128" i="1" s="1"/>
  <c r="AE91" i="4" a="1"/>
  <c r="AE91" i="4" s="1"/>
  <c r="AD93" i="1" s="1" a="1"/>
  <c r="AD93" i="1" s="1"/>
  <c r="Z74" i="4" a="1"/>
  <c r="Z74" i="4" s="1"/>
  <c r="Y76" i="1" s="1" a="1"/>
  <c r="Y76" i="1" s="1"/>
  <c r="U75" i="4" a="1"/>
  <c r="U75" i="4" s="1"/>
  <c r="T77" i="1" s="1" a="1"/>
  <c r="T77" i="1" s="1"/>
  <c r="P75" i="4" a="1"/>
  <c r="P75" i="4" s="1"/>
  <c r="O77" i="1" s="1" a="1"/>
  <c r="O77" i="1" s="1"/>
  <c r="AQ94" i="4"/>
  <c r="AR94" i="4" s="1"/>
  <c r="AS94" i="4" s="1" a="1"/>
  <c r="AS94" i="4" s="1"/>
  <c r="AW95" i="4"/>
  <c r="AX95" i="4" s="1" a="1"/>
  <c r="AX95" i="4" s="1"/>
  <c r="AM95" i="4"/>
  <c r="AN95" i="4" s="1" a="1"/>
  <c r="AN95" i="4" s="1"/>
  <c r="AB92" i="4"/>
  <c r="AH126" i="4"/>
  <c r="AI126" i="4" s="1" a="1"/>
  <c r="AI126" i="4" s="1"/>
  <c r="I75" i="4"/>
  <c r="J75" i="4" s="1" a="1"/>
  <c r="J75" i="4" s="1"/>
  <c r="AY95" i="4" l="1" a="1"/>
  <c r="AY95" i="4" s="1"/>
  <c r="AX97" i="1" s="1" a="1"/>
  <c r="AX97" i="1" s="1"/>
  <c r="AT94" i="4" a="1"/>
  <c r="AT94" i="4" s="1"/>
  <c r="AS96" i="1" s="1" a="1"/>
  <c r="AS96" i="1" s="1"/>
  <c r="AO95" i="4" a="1"/>
  <c r="AO95" i="4" s="1"/>
  <c r="AN97" i="1" s="1" a="1"/>
  <c r="AN97" i="1" s="1"/>
  <c r="AC94" i="1" a="1"/>
  <c r="AC94" i="1" s="1"/>
  <c r="AJ126" i="4" a="1"/>
  <c r="AJ126" i="4" s="1"/>
  <c r="AI128" i="1" s="1" a="1"/>
  <c r="AI128" i="1" s="1"/>
  <c r="AB94" i="1" a="1"/>
  <c r="AB94" i="1" s="1"/>
  <c r="N78" i="1" a="1"/>
  <c r="N78" i="1" s="1"/>
  <c r="W77" i="1" a="1"/>
  <c r="W77" i="1" s="1"/>
  <c r="X77" i="1" a="1"/>
  <c r="X77" i="1" s="1"/>
  <c r="R78" i="1" a="1"/>
  <c r="R78" i="1" s="1"/>
  <c r="S78" i="1" a="1"/>
  <c r="S78" i="1" s="1"/>
  <c r="M78" i="1" a="1"/>
  <c r="M78" i="1" s="1"/>
  <c r="K75" i="4" a="1"/>
  <c r="K75" i="4" s="1"/>
  <c r="J77" i="1" s="1" a="1"/>
  <c r="J77" i="1" s="1"/>
  <c r="W75" i="4"/>
  <c r="X75" i="4" s="1"/>
  <c r="AQ95" i="4"/>
  <c r="AC92" i="4"/>
  <c r="AD92" i="4" s="1" a="1"/>
  <c r="AD92" i="4" s="1"/>
  <c r="AG127" i="4"/>
  <c r="AH127" i="4" s="1"/>
  <c r="AI127" i="4" s="1" a="1"/>
  <c r="AI127" i="4" s="1"/>
  <c r="R76" i="4"/>
  <c r="S76" i="4" s="1"/>
  <c r="T76" i="4" s="1" a="1"/>
  <c r="T76" i="4" s="1"/>
  <c r="H76" i="4"/>
  <c r="I76" i="4" s="1"/>
  <c r="J76" i="4" s="1" a="1"/>
  <c r="J76" i="4" s="1"/>
  <c r="AR97" i="1" l="1" a="1"/>
  <c r="AR97" i="1" s="1"/>
  <c r="AV98" i="1" a="1"/>
  <c r="AV98" i="1" s="1"/>
  <c r="AQ97" i="1" a="1"/>
  <c r="AQ97" i="1" s="1"/>
  <c r="AW98" i="1" a="1"/>
  <c r="AW98" i="1" s="1"/>
  <c r="AL98" i="1" a="1"/>
  <c r="AL98" i="1" s="1"/>
  <c r="AG129" i="1" a="1"/>
  <c r="AG129" i="1" s="1"/>
  <c r="AM98" i="1" a="1"/>
  <c r="AM98" i="1" s="1"/>
  <c r="AJ127" i="4" a="1"/>
  <c r="AJ127" i="4" s="1"/>
  <c r="AI129" i="1" s="1" a="1"/>
  <c r="AI129" i="1" s="1"/>
  <c r="AH129" i="1" a="1"/>
  <c r="AH129" i="1" s="1"/>
  <c r="AE92" i="4" a="1"/>
  <c r="AE92" i="4" s="1"/>
  <c r="AD94" i="1" s="1" a="1"/>
  <c r="AD94" i="1" s="1"/>
  <c r="U76" i="4" a="1"/>
  <c r="U76" i="4" s="1"/>
  <c r="T78" i="1" s="1" a="1"/>
  <c r="T78" i="1" s="1"/>
  <c r="H78" i="1" a="1"/>
  <c r="H78" i="1" s="1"/>
  <c r="I78" i="1" a="1"/>
  <c r="I78" i="1" s="1"/>
  <c r="K76" i="4" a="1"/>
  <c r="K76" i="4" s="1"/>
  <c r="J78" i="1" s="1" a="1"/>
  <c r="J78" i="1" s="1"/>
  <c r="Y75" i="4" a="1"/>
  <c r="Y75" i="4" s="1"/>
  <c r="AV96" i="4"/>
  <c r="AW96" i="4" s="1"/>
  <c r="AX96" i="4" s="1" a="1"/>
  <c r="AX96" i="4" s="1"/>
  <c r="AL96" i="4"/>
  <c r="AM96" i="4" s="1"/>
  <c r="AN96" i="4" s="1" a="1"/>
  <c r="AN96" i="4" s="1"/>
  <c r="AR95" i="4"/>
  <c r="AS95" i="4" s="1" a="1"/>
  <c r="AS95" i="4" s="1"/>
  <c r="AG128" i="4"/>
  <c r="M76" i="4"/>
  <c r="N76" i="4" s="1"/>
  <c r="O76" i="4" s="1" a="1"/>
  <c r="O76" i="4" s="1"/>
  <c r="AH130" i="1" l="1" a="1"/>
  <c r="AH130" i="1" s="1"/>
  <c r="AY96" i="4" a="1"/>
  <c r="AY96" i="4" s="1"/>
  <c r="AX98" i="1" s="1" a="1"/>
  <c r="AX98" i="1" s="1"/>
  <c r="AT95" i="4" a="1"/>
  <c r="AT95" i="4" s="1"/>
  <c r="AS97" i="1" s="1" a="1"/>
  <c r="AS97" i="1" s="1"/>
  <c r="AB95" i="1" a="1"/>
  <c r="AB95" i="1" s="1"/>
  <c r="AO96" i="4" a="1"/>
  <c r="AO96" i="4" s="1"/>
  <c r="AN98" i="1" s="1" a="1"/>
  <c r="AN98" i="1" s="1"/>
  <c r="AC95" i="1" a="1"/>
  <c r="AC95" i="1" s="1"/>
  <c r="AG130" i="1" a="1"/>
  <c r="AG130" i="1" s="1"/>
  <c r="Z75" i="4" a="1"/>
  <c r="Z75" i="4" s="1"/>
  <c r="Y77" i="1" s="1" a="1"/>
  <c r="Y77" i="1" s="1"/>
  <c r="S79" i="1" a="1"/>
  <c r="S79" i="1" s="1"/>
  <c r="R79" i="1" a="1"/>
  <c r="R79" i="1" s="1"/>
  <c r="P76" i="4" a="1"/>
  <c r="P76" i="4" s="1"/>
  <c r="O78" i="1" s="1" a="1"/>
  <c r="O78" i="1" s="1"/>
  <c r="H79" i="1" a="1"/>
  <c r="H79" i="1" s="1"/>
  <c r="I79" i="1" a="1"/>
  <c r="I79" i="1" s="1"/>
  <c r="W76" i="4"/>
  <c r="X76" i="4" s="1"/>
  <c r="Y76" i="4" s="1" a="1"/>
  <c r="Y76" i="4" s="1"/>
  <c r="AV97" i="4"/>
  <c r="AL97" i="4"/>
  <c r="AB93" i="4"/>
  <c r="AH128" i="4"/>
  <c r="AI128" i="4" s="1" a="1"/>
  <c r="AI128" i="4" s="1"/>
  <c r="AV99" i="1" l="1" a="1"/>
  <c r="AV99" i="1" s="1"/>
  <c r="AQ98" i="1" a="1"/>
  <c r="AQ98" i="1" s="1"/>
  <c r="AW99" i="1" a="1"/>
  <c r="AW99" i="1" s="1"/>
  <c r="AL99" i="1" a="1"/>
  <c r="AL99" i="1" s="1"/>
  <c r="AM99" i="1" a="1"/>
  <c r="AM99" i="1" s="1"/>
  <c r="AR98" i="1" a="1"/>
  <c r="AR98" i="1" s="1"/>
  <c r="AJ128" i="4" a="1"/>
  <c r="AJ128" i="4" s="1"/>
  <c r="AI130" i="1" s="1" a="1"/>
  <c r="AI130" i="1" s="1"/>
  <c r="M79" i="1" a="1"/>
  <c r="M79" i="1" s="1"/>
  <c r="W78" i="1" a="1"/>
  <c r="W78" i="1" s="1"/>
  <c r="Z76" i="4" a="1"/>
  <c r="Z76" i="4" s="1"/>
  <c r="Y78" i="1" s="1" a="1"/>
  <c r="Y78" i="1" s="1"/>
  <c r="X78" i="1" a="1"/>
  <c r="X78" i="1" s="1"/>
  <c r="N79" i="1" a="1"/>
  <c r="N79" i="1" s="1"/>
  <c r="AQ96" i="4"/>
  <c r="AR96" i="4" s="1"/>
  <c r="AS96" i="4" s="1" a="1"/>
  <c r="AS96" i="4" s="1"/>
  <c r="AW97" i="4"/>
  <c r="AX97" i="4" s="1" a="1"/>
  <c r="AX97" i="4" s="1"/>
  <c r="AM97" i="4"/>
  <c r="AN97" i="4" s="1" a="1"/>
  <c r="AN97" i="4" s="1"/>
  <c r="AC93" i="4"/>
  <c r="AD93" i="4" s="1" a="1"/>
  <c r="AD93" i="4" s="1"/>
  <c r="AG129" i="4"/>
  <c r="M77" i="4"/>
  <c r="N77" i="4" s="1"/>
  <c r="O77" i="4" s="1" a="1"/>
  <c r="O77" i="4" s="1"/>
  <c r="R77" i="4"/>
  <c r="H77" i="4"/>
  <c r="W77" i="4"/>
  <c r="X77" i="4" s="1"/>
  <c r="Y77" i="4" s="1" a="1"/>
  <c r="Y77" i="4" s="1"/>
  <c r="AY97" i="4" l="1" a="1"/>
  <c r="AY97" i="4" s="1"/>
  <c r="AX99" i="1" s="1" a="1"/>
  <c r="AX99" i="1" s="1"/>
  <c r="AT96" i="4" a="1"/>
  <c r="AT96" i="4" s="1"/>
  <c r="AS98" i="1" s="1" a="1"/>
  <c r="AS98" i="1" s="1"/>
  <c r="AG131" i="1" a="1"/>
  <c r="AG131" i="1" s="1"/>
  <c r="AO97" i="4" a="1"/>
  <c r="AO97" i="4" s="1"/>
  <c r="AN99" i="1" s="1" a="1"/>
  <c r="AN99" i="1" s="1"/>
  <c r="AH131" i="1" a="1"/>
  <c r="AH131" i="1" s="1"/>
  <c r="AE93" i="4" a="1"/>
  <c r="AE93" i="4" s="1"/>
  <c r="AD95" i="1" s="1" a="1"/>
  <c r="AD95" i="1" s="1"/>
  <c r="Z77" i="4" a="1"/>
  <c r="Z77" i="4" s="1"/>
  <c r="Y79" i="1" s="1" a="1"/>
  <c r="Y79" i="1" s="1"/>
  <c r="W79" i="1" a="1"/>
  <c r="W79" i="1" s="1"/>
  <c r="X79" i="1" a="1"/>
  <c r="X79" i="1" s="1"/>
  <c r="P77" i="4" a="1"/>
  <c r="P77" i="4" s="1"/>
  <c r="O79" i="1" s="1" a="1"/>
  <c r="O79" i="1" s="1"/>
  <c r="AQ97" i="4"/>
  <c r="AH129" i="4"/>
  <c r="AI129" i="4" s="1" a="1"/>
  <c r="AI129" i="4" s="1"/>
  <c r="S77" i="4"/>
  <c r="T77" i="4" s="1" a="1"/>
  <c r="T77" i="4" s="1"/>
  <c r="I77" i="4"/>
  <c r="J77" i="4" s="1" a="1"/>
  <c r="J77" i="4" s="1"/>
  <c r="AW100" i="1" l="1" a="1"/>
  <c r="AW100" i="1" s="1"/>
  <c r="AV100" i="1" a="1"/>
  <c r="AV100" i="1" s="1"/>
  <c r="AQ99" i="1" a="1"/>
  <c r="AQ99" i="1" s="1"/>
  <c r="AR99" i="1" a="1"/>
  <c r="AR99" i="1" s="1"/>
  <c r="AL100" i="1" a="1"/>
  <c r="AL100" i="1" s="1"/>
  <c r="AM100" i="1" a="1"/>
  <c r="AM100" i="1" s="1"/>
  <c r="AJ129" i="4" a="1"/>
  <c r="AJ129" i="4" s="1"/>
  <c r="AI131" i="1" s="1" a="1"/>
  <c r="AI131" i="1" s="1"/>
  <c r="AB96" i="1" a="1"/>
  <c r="AB96" i="1" s="1"/>
  <c r="AC96" i="1" a="1"/>
  <c r="AC96" i="1" s="1"/>
  <c r="W80" i="1" a="1"/>
  <c r="W80" i="1" s="1"/>
  <c r="X80" i="1" a="1"/>
  <c r="X80" i="1" s="1"/>
  <c r="U77" i="4" a="1"/>
  <c r="U77" i="4" s="1"/>
  <c r="T79" i="1" s="1" a="1"/>
  <c r="T79" i="1" s="1"/>
  <c r="M80" i="1" a="1"/>
  <c r="M80" i="1" s="1"/>
  <c r="N80" i="1" a="1"/>
  <c r="N80" i="1" s="1"/>
  <c r="K77" i="4" a="1"/>
  <c r="K77" i="4" s="1"/>
  <c r="J79" i="1" s="1" a="1"/>
  <c r="J79" i="1" s="1"/>
  <c r="AB94" i="4"/>
  <c r="AC94" i="4" s="1"/>
  <c r="AD94" i="4" s="1" a="1"/>
  <c r="AD94" i="4" s="1"/>
  <c r="AV98" i="4"/>
  <c r="AR97" i="4"/>
  <c r="AS97" i="4" s="1" a="1"/>
  <c r="AS97" i="4" s="1"/>
  <c r="AL98" i="4"/>
  <c r="AG130" i="4"/>
  <c r="AH130" i="4" s="1"/>
  <c r="AI130" i="4" s="1" a="1"/>
  <c r="AI130" i="4" s="1"/>
  <c r="AT97" i="4" l="1" a="1"/>
  <c r="AT97" i="4" s="1"/>
  <c r="AS99" i="1" s="1" a="1"/>
  <c r="AS99" i="1" s="1"/>
  <c r="AJ130" i="4" a="1"/>
  <c r="AJ130" i="4" s="1"/>
  <c r="AI132" i="1" s="1" a="1"/>
  <c r="AI132" i="1" s="1"/>
  <c r="AG132" i="1" a="1"/>
  <c r="AG132" i="1" s="1"/>
  <c r="AH132" i="1" a="1"/>
  <c r="AH132" i="1" s="1"/>
  <c r="AE94" i="4" a="1"/>
  <c r="AE94" i="4" s="1"/>
  <c r="AD96" i="1" s="1" a="1"/>
  <c r="AD96" i="1" s="1"/>
  <c r="H80" i="1" a="1"/>
  <c r="H80" i="1" s="1"/>
  <c r="R80" i="1" a="1"/>
  <c r="R80" i="1" s="1"/>
  <c r="S80" i="1" a="1"/>
  <c r="S80" i="1" s="1"/>
  <c r="I80" i="1" a="1"/>
  <c r="I80" i="1" s="1"/>
  <c r="R78" i="4"/>
  <c r="S78" i="4" s="1"/>
  <c r="AW98" i="4"/>
  <c r="AX98" i="4" s="1" a="1"/>
  <c r="AX98" i="4" s="1"/>
  <c r="AM98" i="4"/>
  <c r="AN98" i="4" s="1" a="1"/>
  <c r="AN98" i="4" s="1"/>
  <c r="AB95" i="4"/>
  <c r="H78" i="4"/>
  <c r="I78" i="4" s="1"/>
  <c r="J78" i="4" s="1" a="1"/>
  <c r="J78" i="4" s="1"/>
  <c r="AQ100" i="1" l="1" a="1"/>
  <c r="AQ100" i="1" s="1"/>
  <c r="AR100" i="1" a="1"/>
  <c r="AR100" i="1" s="1"/>
  <c r="AY98" i="4" a="1"/>
  <c r="AY98" i="4" s="1"/>
  <c r="AX100" i="1" s="1" a="1"/>
  <c r="AX100" i="1" s="1"/>
  <c r="AC97" i="1" a="1"/>
  <c r="AC97" i="1" s="1"/>
  <c r="AB97" i="1" a="1"/>
  <c r="AB97" i="1" s="1"/>
  <c r="AO98" i="4" a="1"/>
  <c r="AO98" i="4" s="1"/>
  <c r="AN100" i="1" s="1" a="1"/>
  <c r="AN100" i="1" s="1"/>
  <c r="AG133" i="1" a="1"/>
  <c r="AG133" i="1" s="1"/>
  <c r="AH133" i="1" a="1"/>
  <c r="AH133" i="1" s="1"/>
  <c r="K78" i="4" a="1"/>
  <c r="K78" i="4" s="1"/>
  <c r="J80" i="1" s="1" a="1"/>
  <c r="J80" i="1" s="1"/>
  <c r="T78" i="4" a="1"/>
  <c r="T78" i="4" s="1"/>
  <c r="AG131" i="4"/>
  <c r="AH131" i="4" s="1"/>
  <c r="AI131" i="4" s="1" a="1"/>
  <c r="AI131" i="4" s="1"/>
  <c r="AQ98" i="4"/>
  <c r="AC95" i="4"/>
  <c r="AD95" i="4" s="1" a="1"/>
  <c r="AD95" i="4" s="1"/>
  <c r="M78" i="4"/>
  <c r="N78" i="4" s="1"/>
  <c r="O78" i="4" s="1" a="1"/>
  <c r="O78" i="4" s="1"/>
  <c r="W78" i="4"/>
  <c r="AM101" i="1" l="1" a="1"/>
  <c r="AM101" i="1" s="1"/>
  <c r="AV101" i="1" a="1"/>
  <c r="AV101" i="1" s="1"/>
  <c r="AW101" i="1" a="1"/>
  <c r="AW101" i="1" s="1"/>
  <c r="AL101" i="1" a="1"/>
  <c r="AL101" i="1" s="1"/>
  <c r="AJ131" i="4" a="1"/>
  <c r="AJ131" i="4" s="1"/>
  <c r="AI133" i="1" s="1" a="1"/>
  <c r="AI133" i="1" s="1"/>
  <c r="AE95" i="4" a="1"/>
  <c r="AE95" i="4" s="1"/>
  <c r="AD97" i="1" s="1" a="1"/>
  <c r="AD97" i="1" s="1"/>
  <c r="H81" i="1" a="1"/>
  <c r="H81" i="1" s="1"/>
  <c r="U78" i="4" a="1"/>
  <c r="U78" i="4" s="1"/>
  <c r="T80" i="1" s="1" a="1"/>
  <c r="T80" i="1" s="1"/>
  <c r="P78" i="4" a="1"/>
  <c r="P78" i="4" s="1"/>
  <c r="O80" i="1" s="1" a="1"/>
  <c r="O80" i="1" s="1"/>
  <c r="I81" i="1" a="1"/>
  <c r="I81" i="1" s="1"/>
  <c r="AV99" i="4"/>
  <c r="AR98" i="4"/>
  <c r="AS98" i="4" s="1" a="1"/>
  <c r="AS98" i="4" s="1"/>
  <c r="AL99" i="4"/>
  <c r="AG132" i="4"/>
  <c r="AH132" i="4" s="1"/>
  <c r="AI132" i="4" s="1" a="1"/>
  <c r="AI132" i="4" s="1"/>
  <c r="X78" i="4"/>
  <c r="Y78" i="4" s="1" a="1"/>
  <c r="Y78" i="4" s="1"/>
  <c r="AT98" i="4" l="1" a="1"/>
  <c r="AT98" i="4" s="1"/>
  <c r="AS100" i="1" s="1" a="1"/>
  <c r="AS100" i="1" s="1"/>
  <c r="AG134" i="1" a="1"/>
  <c r="AG134" i="1" s="1"/>
  <c r="AH134" i="1" a="1"/>
  <c r="AH134" i="1" s="1"/>
  <c r="AB98" i="1" a="1"/>
  <c r="AB98" i="1" s="1"/>
  <c r="AJ132" i="4" a="1"/>
  <c r="AJ132" i="4" s="1"/>
  <c r="AI134" i="1" s="1" a="1"/>
  <c r="AI134" i="1" s="1"/>
  <c r="M81" i="1" a="1"/>
  <c r="M81" i="1" s="1"/>
  <c r="AC98" i="1" a="1"/>
  <c r="AC98" i="1" s="1"/>
  <c r="Z78" i="4" a="1"/>
  <c r="Z78" i="4" s="1"/>
  <c r="Y80" i="1" s="1" a="1"/>
  <c r="Y80" i="1" s="1"/>
  <c r="R81" i="1" a="1"/>
  <c r="R81" i="1" s="1"/>
  <c r="N81" i="1" a="1"/>
  <c r="N81" i="1" s="1"/>
  <c r="S81" i="1" a="1"/>
  <c r="S81" i="1" s="1"/>
  <c r="AB96" i="4"/>
  <c r="AC96" i="4" s="1"/>
  <c r="AD96" i="4" s="1" a="1"/>
  <c r="AD96" i="4" s="1"/>
  <c r="AW99" i="4"/>
  <c r="AX99" i="4" s="1" a="1"/>
  <c r="AX99" i="4" s="1"/>
  <c r="AM99" i="4"/>
  <c r="AN99" i="4" s="1" a="1"/>
  <c r="AN99" i="4" s="1"/>
  <c r="AG133" i="4"/>
  <c r="R79" i="4"/>
  <c r="S79" i="4" s="1"/>
  <c r="T79" i="4" s="1" a="1"/>
  <c r="T79" i="4" s="1"/>
  <c r="H79" i="4"/>
  <c r="I79" i="4" s="1"/>
  <c r="J79" i="4" s="1" a="1"/>
  <c r="J79" i="4" s="1"/>
  <c r="AQ101" i="1" l="1" a="1"/>
  <c r="AQ101" i="1" s="1"/>
  <c r="AY99" i="4" a="1"/>
  <c r="AY99" i="4" s="1"/>
  <c r="AX101" i="1" s="1" a="1"/>
  <c r="AX101" i="1" s="1"/>
  <c r="AR101" i="1" a="1"/>
  <c r="AR101" i="1" s="1"/>
  <c r="AG135" i="1" a="1"/>
  <c r="AG135" i="1" s="1"/>
  <c r="AO99" i="4" a="1"/>
  <c r="AO99" i="4" s="1"/>
  <c r="AN101" i="1" s="1" a="1"/>
  <c r="AN101" i="1" s="1"/>
  <c r="AH135" i="1" a="1"/>
  <c r="AH135" i="1" s="1"/>
  <c r="AE96" i="4" a="1"/>
  <c r="AE96" i="4" s="1"/>
  <c r="AD98" i="1" s="1" a="1"/>
  <c r="AD98" i="1" s="1"/>
  <c r="W81" i="1" a="1"/>
  <c r="W81" i="1" s="1"/>
  <c r="X81" i="1" a="1"/>
  <c r="X81" i="1" s="1"/>
  <c r="U79" i="4" a="1"/>
  <c r="U79" i="4" s="1"/>
  <c r="T81" i="1" s="1" a="1"/>
  <c r="T81" i="1" s="1"/>
  <c r="K79" i="4" a="1"/>
  <c r="K79" i="4" s="1"/>
  <c r="J81" i="1" s="1" a="1"/>
  <c r="J81" i="1" s="1"/>
  <c r="W79" i="4"/>
  <c r="X79" i="4" s="1"/>
  <c r="Y79" i="4" s="1" a="1"/>
  <c r="Y79" i="4" s="1"/>
  <c r="AQ99" i="4"/>
  <c r="AB97" i="4"/>
  <c r="AH133" i="4"/>
  <c r="AI133" i="4" s="1" a="1"/>
  <c r="AI133" i="4" s="1"/>
  <c r="M79" i="4"/>
  <c r="N79" i="4" s="1"/>
  <c r="O79" i="4" s="1" a="1"/>
  <c r="O79" i="4" s="1"/>
  <c r="AV102" i="1" l="1" a="1"/>
  <c r="AV102" i="1" s="1"/>
  <c r="AL102" i="1" a="1"/>
  <c r="AL102" i="1" s="1"/>
  <c r="AW102" i="1" a="1"/>
  <c r="AW102" i="1" s="1"/>
  <c r="AC99" i="1" a="1"/>
  <c r="AC99" i="1" s="1"/>
  <c r="AB99" i="1" a="1"/>
  <c r="AB99" i="1" s="1"/>
  <c r="AM102" i="1" a="1"/>
  <c r="AM102" i="1" s="1"/>
  <c r="AJ133" i="4" a="1"/>
  <c r="AJ133" i="4" s="1"/>
  <c r="AI135" i="1" s="1" a="1"/>
  <c r="AI135" i="1" s="1"/>
  <c r="H82" i="1" a="1"/>
  <c r="H82" i="1" s="1"/>
  <c r="Z79" i="4" a="1"/>
  <c r="Z79" i="4" s="1"/>
  <c r="Y81" i="1" s="1" a="1"/>
  <c r="Y81" i="1" s="1"/>
  <c r="S82" i="1" a="1"/>
  <c r="S82" i="1" s="1"/>
  <c r="R82" i="1" a="1"/>
  <c r="R82" i="1" s="1"/>
  <c r="P79" i="4" a="1"/>
  <c r="P79" i="4" s="1"/>
  <c r="O81" i="1" s="1" a="1"/>
  <c r="O81" i="1" s="1"/>
  <c r="I82" i="1" a="1"/>
  <c r="I82" i="1" s="1"/>
  <c r="AV100" i="4"/>
  <c r="AR99" i="4"/>
  <c r="AS99" i="4" s="1" a="1"/>
  <c r="AS99" i="4" s="1"/>
  <c r="AL100" i="4"/>
  <c r="AC97" i="4"/>
  <c r="AD97" i="4" s="1" a="1"/>
  <c r="AD97" i="4" s="1"/>
  <c r="AG136" i="1" l="1" a="1"/>
  <c r="AG136" i="1" s="1"/>
  <c r="AT99" i="4" a="1"/>
  <c r="AT99" i="4" s="1"/>
  <c r="AS101" i="1" s="1" a="1"/>
  <c r="AS101" i="1" s="1"/>
  <c r="AH136" i="1" a="1"/>
  <c r="AH136" i="1" s="1"/>
  <c r="AE97" i="4" a="1"/>
  <c r="AE97" i="4" s="1"/>
  <c r="AD99" i="1" s="1" a="1"/>
  <c r="AD99" i="1" s="1"/>
  <c r="N82" i="1" a="1"/>
  <c r="N82" i="1" s="1"/>
  <c r="W82" i="1" a="1"/>
  <c r="W82" i="1" s="1"/>
  <c r="X82" i="1" a="1"/>
  <c r="X82" i="1" s="1"/>
  <c r="M82" i="1" a="1"/>
  <c r="M82" i="1" s="1"/>
  <c r="AG134" i="4"/>
  <c r="AH134" i="4" s="1"/>
  <c r="AI134" i="4" s="1" a="1"/>
  <c r="AI134" i="4" s="1"/>
  <c r="AW100" i="4"/>
  <c r="AX100" i="4" s="1" a="1"/>
  <c r="AX100" i="4" s="1"/>
  <c r="AM100" i="4"/>
  <c r="AN100" i="4" s="1" a="1"/>
  <c r="AN100" i="4" s="1"/>
  <c r="R80" i="4"/>
  <c r="H80" i="4"/>
  <c r="I80" i="4" s="1"/>
  <c r="J80" i="4" s="1" a="1"/>
  <c r="J80" i="4" s="1"/>
  <c r="AY100" i="4" l="1" a="1"/>
  <c r="AY100" i="4" s="1"/>
  <c r="AX102" i="1" s="1" a="1"/>
  <c r="AX102" i="1" s="1"/>
  <c r="AQ102" i="1" a="1"/>
  <c r="AQ102" i="1" s="1"/>
  <c r="AR102" i="1" a="1"/>
  <c r="AR102" i="1" s="1"/>
  <c r="AO100" i="4" a="1"/>
  <c r="AO100" i="4" s="1"/>
  <c r="AN102" i="1" s="1" a="1"/>
  <c r="AN102" i="1" s="1"/>
  <c r="AJ134" i="4" a="1"/>
  <c r="AJ134" i="4" s="1"/>
  <c r="AI136" i="1" s="1" a="1"/>
  <c r="AI136" i="1" s="1"/>
  <c r="AB100" i="1" a="1"/>
  <c r="AB100" i="1" s="1"/>
  <c r="AC100" i="1" a="1"/>
  <c r="AC100" i="1" s="1"/>
  <c r="K80" i="4" a="1"/>
  <c r="K80" i="4" s="1"/>
  <c r="J82" i="1" s="1" a="1"/>
  <c r="J82" i="1" s="1"/>
  <c r="AQ100" i="4"/>
  <c r="AB98" i="4"/>
  <c r="AG135" i="4"/>
  <c r="S80" i="4"/>
  <c r="T80" i="4" s="1" a="1"/>
  <c r="T80" i="4" s="1"/>
  <c r="M80" i="4"/>
  <c r="N80" i="4" s="1"/>
  <c r="O80" i="4" s="1" a="1"/>
  <c r="O80" i="4" s="1"/>
  <c r="AV103" i="1" l="1" a="1"/>
  <c r="AV103" i="1" s="1"/>
  <c r="AM103" i="1" a="1"/>
  <c r="AM103" i="1" s="1"/>
  <c r="AL103" i="1" a="1"/>
  <c r="AL103" i="1" s="1"/>
  <c r="AW103" i="1" a="1"/>
  <c r="AW103" i="1" s="1"/>
  <c r="AG137" i="1" a="1"/>
  <c r="AG137" i="1" s="1"/>
  <c r="AH137" i="1" a="1"/>
  <c r="AH137" i="1" s="1"/>
  <c r="U80" i="4" a="1"/>
  <c r="U80" i="4" s="1"/>
  <c r="T82" i="1" s="1" a="1"/>
  <c r="T82" i="1" s="1"/>
  <c r="H83" i="1" a="1"/>
  <c r="H83" i="1" s="1"/>
  <c r="I83" i="1" a="1"/>
  <c r="I83" i="1" s="1"/>
  <c r="P80" i="4" a="1"/>
  <c r="P80" i="4" s="1"/>
  <c r="O82" i="1" s="1" a="1"/>
  <c r="O82" i="1" s="1"/>
  <c r="AL101" i="4"/>
  <c r="AM101" i="4" s="1"/>
  <c r="AN101" i="4" s="1" a="1"/>
  <c r="AN101" i="4" s="1"/>
  <c r="AV101" i="4"/>
  <c r="AW101" i="4" s="1"/>
  <c r="AX101" i="4" s="1" a="1"/>
  <c r="AX101" i="4" s="1"/>
  <c r="AR100" i="4"/>
  <c r="AS100" i="4" s="1" a="1"/>
  <c r="AS100" i="4" s="1"/>
  <c r="AC98" i="4"/>
  <c r="AD98" i="4" s="1" a="1"/>
  <c r="AD98" i="4" s="1"/>
  <c r="AH135" i="4"/>
  <c r="AI135" i="4" s="1" a="1"/>
  <c r="AI135" i="4" s="1"/>
  <c r="W80" i="4"/>
  <c r="AY101" i="4" l="1" a="1"/>
  <c r="AY101" i="4" s="1"/>
  <c r="AX103" i="1" s="1" a="1"/>
  <c r="AX103" i="1" s="1"/>
  <c r="AT100" i="4" a="1"/>
  <c r="AT100" i="4" s="1"/>
  <c r="AS102" i="1" s="1" a="1"/>
  <c r="AS102" i="1" s="1"/>
  <c r="AO101" i="4" a="1"/>
  <c r="AO101" i="4" s="1"/>
  <c r="AN103" i="1" s="1" a="1"/>
  <c r="AN103" i="1" s="1"/>
  <c r="AJ135" i="4" a="1"/>
  <c r="AJ135" i="4" s="1"/>
  <c r="AI137" i="1" s="1" a="1"/>
  <c r="AI137" i="1" s="1"/>
  <c r="AE98" i="4" a="1"/>
  <c r="AE98" i="4" s="1"/>
  <c r="AD100" i="1" s="1" a="1"/>
  <c r="AD100" i="1" s="1"/>
  <c r="R83" i="1" a="1"/>
  <c r="R83" i="1" s="1"/>
  <c r="S83" i="1" a="1"/>
  <c r="S83" i="1" s="1"/>
  <c r="N83" i="1" a="1"/>
  <c r="N83" i="1" s="1"/>
  <c r="M83" i="1" a="1"/>
  <c r="M83" i="1" s="1"/>
  <c r="AV102" i="4"/>
  <c r="AL102" i="4"/>
  <c r="AG136" i="4"/>
  <c r="X80" i="4"/>
  <c r="Y80" i="4" s="1" a="1"/>
  <c r="Y80" i="4" s="1"/>
  <c r="M81" i="4"/>
  <c r="N81" i="4" s="1"/>
  <c r="O81" i="4" s="1" a="1"/>
  <c r="O81" i="4" s="1"/>
  <c r="R81" i="4"/>
  <c r="S81" i="4" s="1"/>
  <c r="T81" i="4" s="1" a="1"/>
  <c r="T81" i="4" s="1"/>
  <c r="H81" i="4"/>
  <c r="I81" i="4" s="1"/>
  <c r="J81" i="4" s="1" a="1"/>
  <c r="J81" i="4" s="1"/>
  <c r="AV104" i="1" l="1" a="1"/>
  <c r="AV104" i="1" s="1"/>
  <c r="AL104" i="1" a="1"/>
  <c r="AL104" i="1" s="1"/>
  <c r="AM104" i="1" a="1"/>
  <c r="AM104" i="1" s="1"/>
  <c r="AW104" i="1" a="1"/>
  <c r="AW104" i="1" s="1"/>
  <c r="AC101" i="1" a="1"/>
  <c r="AC101" i="1" s="1"/>
  <c r="AG138" i="1" a="1"/>
  <c r="AG138" i="1" s="1"/>
  <c r="AQ103" i="1" a="1"/>
  <c r="AQ103" i="1" s="1"/>
  <c r="AH138" i="1" a="1"/>
  <c r="AH138" i="1" s="1"/>
  <c r="AR103" i="1" a="1"/>
  <c r="AR103" i="1" s="1"/>
  <c r="AB101" i="1" a="1"/>
  <c r="AB101" i="1" s="1"/>
  <c r="Z80" i="4" a="1"/>
  <c r="Z80" i="4" s="1"/>
  <c r="Y82" i="1" s="1" a="1"/>
  <c r="Y82" i="1" s="1"/>
  <c r="U81" i="4" a="1"/>
  <c r="U81" i="4" s="1"/>
  <c r="T83" i="1" s="1" a="1"/>
  <c r="T83" i="1" s="1"/>
  <c r="P81" i="4" a="1"/>
  <c r="P81" i="4" s="1"/>
  <c r="O83" i="1" s="1" a="1"/>
  <c r="O83" i="1" s="1"/>
  <c r="K81" i="4" a="1"/>
  <c r="K81" i="4" s="1"/>
  <c r="J83" i="1" s="1" a="1"/>
  <c r="J83" i="1" s="1"/>
  <c r="AQ101" i="4"/>
  <c r="AR101" i="4" s="1"/>
  <c r="AS101" i="4" s="1" a="1"/>
  <c r="AS101" i="4" s="1"/>
  <c r="AW102" i="4"/>
  <c r="AX102" i="4" s="1" a="1"/>
  <c r="AX102" i="4" s="1"/>
  <c r="AM102" i="4"/>
  <c r="AN102" i="4" s="1" a="1"/>
  <c r="AN102" i="4" s="1"/>
  <c r="AB99" i="4"/>
  <c r="AH136" i="4"/>
  <c r="AI136" i="4" s="1" a="1"/>
  <c r="AI136" i="4" s="1"/>
  <c r="AY102" i="4" l="1" a="1"/>
  <c r="AY102" i="4" s="1"/>
  <c r="AX104" i="1" s="1" a="1"/>
  <c r="AX104" i="1" s="1"/>
  <c r="AT101" i="4" a="1"/>
  <c r="AT101" i="4" s="1"/>
  <c r="AS103" i="1" s="1" a="1"/>
  <c r="AS103" i="1" s="1"/>
  <c r="AO102" i="4" a="1"/>
  <c r="AO102" i="4" s="1"/>
  <c r="AN104" i="1" s="1" a="1"/>
  <c r="AN104" i="1" s="1"/>
  <c r="AJ136" i="4" a="1"/>
  <c r="AJ136" i="4" s="1"/>
  <c r="AI138" i="1" s="1" a="1"/>
  <c r="AI138" i="1" s="1"/>
  <c r="H84" i="1" a="1"/>
  <c r="H84" i="1" s="1"/>
  <c r="R84" i="1" a="1"/>
  <c r="R84" i="1" s="1"/>
  <c r="W83" i="1" a="1"/>
  <c r="W83" i="1" s="1"/>
  <c r="X83" i="1" a="1"/>
  <c r="X83" i="1" s="1"/>
  <c r="M84" i="1" a="1"/>
  <c r="M84" i="1" s="1"/>
  <c r="S84" i="1" a="1"/>
  <c r="S84" i="1" s="1"/>
  <c r="N84" i="1" a="1"/>
  <c r="N84" i="1" s="1"/>
  <c r="I84" i="1" a="1"/>
  <c r="I84" i="1" s="1"/>
  <c r="W81" i="4"/>
  <c r="X81" i="4" s="1"/>
  <c r="Y81" i="4" s="1" a="1"/>
  <c r="Y81" i="4" s="1"/>
  <c r="AQ102" i="4"/>
  <c r="AC99" i="4"/>
  <c r="AD99" i="4" s="1" a="1"/>
  <c r="AD99" i="4" s="1"/>
  <c r="AG137" i="4"/>
  <c r="AH137" i="4" s="1"/>
  <c r="AI137" i="4" s="1" a="1"/>
  <c r="AI137" i="4" s="1"/>
  <c r="H82" i="4"/>
  <c r="I82" i="4" s="1"/>
  <c r="J82" i="4" s="1" a="1"/>
  <c r="J82" i="4" s="1"/>
  <c r="R82" i="4"/>
  <c r="S82" i="4" s="1"/>
  <c r="T82" i="4" s="1" a="1"/>
  <c r="T82" i="4" s="1"/>
  <c r="AW105" i="1" l="1" a="1"/>
  <c r="AW105" i="1" s="1"/>
  <c r="AV105" i="1" a="1"/>
  <c r="AV105" i="1" s="1"/>
  <c r="AR104" i="1" a="1"/>
  <c r="AR104" i="1" s="1"/>
  <c r="AL105" i="1" a="1"/>
  <c r="AL105" i="1" s="1"/>
  <c r="AM105" i="1" a="1"/>
  <c r="AM105" i="1" s="1"/>
  <c r="AQ104" i="1" a="1"/>
  <c r="AQ104" i="1" s="1"/>
  <c r="AG139" i="1" a="1"/>
  <c r="AG139" i="1" s="1"/>
  <c r="AJ137" i="4" a="1"/>
  <c r="AJ137" i="4" s="1"/>
  <c r="AI139" i="1" s="1" a="1"/>
  <c r="AI139" i="1" s="1"/>
  <c r="AH139" i="1" a="1"/>
  <c r="AH139" i="1" s="1"/>
  <c r="AE99" i="4" a="1"/>
  <c r="AE99" i="4" s="1"/>
  <c r="AD101" i="1" s="1" a="1"/>
  <c r="AD101" i="1" s="1"/>
  <c r="Z81" i="4" a="1"/>
  <c r="Z81" i="4" s="1"/>
  <c r="Y83" i="1" s="1" a="1"/>
  <c r="Y83" i="1" s="1"/>
  <c r="U82" i="4" a="1"/>
  <c r="U82" i="4" s="1"/>
  <c r="T84" i="1" s="1" a="1"/>
  <c r="T84" i="1" s="1"/>
  <c r="K82" i="4" a="1"/>
  <c r="K82" i="4" s="1"/>
  <c r="J84" i="1" s="1" a="1"/>
  <c r="J84" i="1" s="1"/>
  <c r="AV103" i="4"/>
  <c r="AW103" i="4" s="1"/>
  <c r="AX103" i="4" s="1" a="1"/>
  <c r="AX103" i="4" s="1"/>
  <c r="AL103" i="4"/>
  <c r="AM103" i="4" s="1"/>
  <c r="AN103" i="4" s="1" a="1"/>
  <c r="AN103" i="4" s="1"/>
  <c r="AR102" i="4"/>
  <c r="AS102" i="4" s="1" a="1"/>
  <c r="AS102" i="4" s="1"/>
  <c r="AG138" i="4"/>
  <c r="AH138" i="4" s="1"/>
  <c r="AI138" i="4" s="1" a="1"/>
  <c r="AI138" i="4" s="1"/>
  <c r="W82" i="4"/>
  <c r="X82" i="4" s="1"/>
  <c r="Y82" i="4" s="1" a="1"/>
  <c r="Y82" i="4" s="1"/>
  <c r="AY103" i="4" l="1" a="1"/>
  <c r="AY103" i="4" s="1"/>
  <c r="AX105" i="1" s="1" a="1"/>
  <c r="AX105" i="1" s="1"/>
  <c r="AG140" i="1" a="1"/>
  <c r="AG140" i="1" s="1"/>
  <c r="AT102" i="4" a="1"/>
  <c r="AT102" i="4" s="1"/>
  <c r="AS104" i="1" s="1" a="1"/>
  <c r="AS104" i="1" s="1"/>
  <c r="AH140" i="1" a="1"/>
  <c r="AH140" i="1" s="1"/>
  <c r="AO103" i="4" a="1"/>
  <c r="AO103" i="4" s="1"/>
  <c r="AN105" i="1" s="1" a="1"/>
  <c r="AN105" i="1" s="1"/>
  <c r="AB102" i="1" a="1"/>
  <c r="AB102" i="1" s="1"/>
  <c r="AJ138" i="4" a="1"/>
  <c r="AJ138" i="4" s="1"/>
  <c r="AI140" i="1" s="1" a="1"/>
  <c r="AI140" i="1" s="1"/>
  <c r="AC102" i="1" a="1"/>
  <c r="AC102" i="1" s="1"/>
  <c r="W84" i="1" a="1"/>
  <c r="W84" i="1" s="1"/>
  <c r="Z82" i="4" a="1"/>
  <c r="Z82" i="4" s="1"/>
  <c r="Y84" i="1" s="1" a="1"/>
  <c r="Y84" i="1" s="1"/>
  <c r="X84" i="1" a="1"/>
  <c r="X84" i="1" s="1"/>
  <c r="R85" i="1" a="1"/>
  <c r="R85" i="1" s="1"/>
  <c r="S85" i="1" a="1"/>
  <c r="S85" i="1" s="1"/>
  <c r="H85" i="1" a="1"/>
  <c r="H85" i="1" s="1"/>
  <c r="I85" i="1" a="1"/>
  <c r="I85" i="1" s="1"/>
  <c r="AV104" i="4"/>
  <c r="AL104" i="4"/>
  <c r="AB100" i="4"/>
  <c r="AG139" i="4"/>
  <c r="AH139" i="4" s="1"/>
  <c r="AI139" i="4" s="1" a="1"/>
  <c r="AI139" i="4" s="1"/>
  <c r="M82" i="4"/>
  <c r="N82" i="4" s="1"/>
  <c r="O82" i="4" s="1" a="1"/>
  <c r="O82" i="4" s="1"/>
  <c r="AV106" i="1" l="1" a="1"/>
  <c r="AV106" i="1" s="1"/>
  <c r="AW106" i="1" a="1"/>
  <c r="AW106" i="1" s="1"/>
  <c r="AL106" i="1" a="1"/>
  <c r="AL106" i="1" s="1"/>
  <c r="AQ105" i="1" a="1"/>
  <c r="AQ105" i="1" s="1"/>
  <c r="AR105" i="1" a="1"/>
  <c r="AR105" i="1" s="1"/>
  <c r="AG141" i="1" a="1"/>
  <c r="AG141" i="1" s="1"/>
  <c r="AM106" i="1" a="1"/>
  <c r="AM106" i="1" s="1"/>
  <c r="AH141" i="1" a="1"/>
  <c r="AH141" i="1" s="1"/>
  <c r="AJ139" i="4" a="1"/>
  <c r="AJ139" i="4" s="1"/>
  <c r="AI141" i="1" s="1" a="1"/>
  <c r="AI141" i="1" s="1"/>
  <c r="W85" i="1" a="1"/>
  <c r="W85" i="1" s="1"/>
  <c r="X85" i="1" a="1"/>
  <c r="X85" i="1" s="1"/>
  <c r="P82" i="4" a="1"/>
  <c r="P82" i="4" s="1"/>
  <c r="O84" i="1" s="1" a="1"/>
  <c r="O84" i="1" s="1"/>
  <c r="AQ103" i="4"/>
  <c r="AR103" i="4" s="1"/>
  <c r="AS103" i="4" s="1" a="1"/>
  <c r="AS103" i="4" s="1"/>
  <c r="AW104" i="4"/>
  <c r="AX104" i="4" s="1" a="1"/>
  <c r="AX104" i="4" s="1"/>
  <c r="AM104" i="4"/>
  <c r="AN104" i="4" s="1" a="1"/>
  <c r="AN104" i="4" s="1"/>
  <c r="AC100" i="4"/>
  <c r="AD100" i="4" s="1" a="1"/>
  <c r="AD100" i="4" s="1"/>
  <c r="AY104" i="4" l="1" a="1"/>
  <c r="AY104" i="4" s="1"/>
  <c r="AX106" i="1" s="1" a="1"/>
  <c r="AX106" i="1" s="1"/>
  <c r="AT103" i="4" a="1"/>
  <c r="AT103" i="4" s="1"/>
  <c r="AS105" i="1" s="1" a="1"/>
  <c r="AS105" i="1" s="1"/>
  <c r="AO104" i="4" a="1"/>
  <c r="AO104" i="4" s="1"/>
  <c r="AN106" i="1" s="1" a="1"/>
  <c r="AN106" i="1" s="1"/>
  <c r="AG142" i="1" a="1"/>
  <c r="AG142" i="1" s="1"/>
  <c r="AH142" i="1" a="1"/>
  <c r="AH142" i="1" s="1"/>
  <c r="AE100" i="4" a="1"/>
  <c r="AE100" i="4" s="1"/>
  <c r="AD102" i="1" s="1" a="1"/>
  <c r="AD102" i="1" s="1"/>
  <c r="N85" i="1" a="1"/>
  <c r="N85" i="1" s="1"/>
  <c r="M85" i="1" a="1"/>
  <c r="M85" i="1" s="1"/>
  <c r="AQ104" i="4"/>
  <c r="AG140" i="4"/>
  <c r="AH140" i="4" s="1"/>
  <c r="AI140" i="4" s="1" a="1"/>
  <c r="AI140" i="4" s="1"/>
  <c r="M83" i="4"/>
  <c r="N83" i="4" s="1"/>
  <c r="O83" i="4" s="1" a="1"/>
  <c r="O83" i="4" s="1"/>
  <c r="R83" i="4"/>
  <c r="S83" i="4" s="1"/>
  <c r="T83" i="4" s="1" a="1"/>
  <c r="T83" i="4" s="1"/>
  <c r="H83" i="4"/>
  <c r="AL107" i="1" l="1" a="1"/>
  <c r="AL107" i="1" s="1"/>
  <c r="AM107" i="1" a="1"/>
  <c r="AM107" i="1" s="1"/>
  <c r="AR106" i="1" a="1"/>
  <c r="AR106" i="1" s="1"/>
  <c r="AQ106" i="1" a="1"/>
  <c r="AQ106" i="1" s="1"/>
  <c r="AV107" i="1" a="1"/>
  <c r="AV107" i="1" s="1"/>
  <c r="AW107" i="1" a="1"/>
  <c r="AW107" i="1" s="1"/>
  <c r="AB103" i="1" a="1"/>
  <c r="AB103" i="1" s="1"/>
  <c r="AJ140" i="4" a="1"/>
  <c r="AJ140" i="4" s="1"/>
  <c r="AI142" i="1" s="1" a="1"/>
  <c r="AI142" i="1" s="1"/>
  <c r="AC103" i="1" a="1"/>
  <c r="AC103" i="1" s="1"/>
  <c r="U83" i="4" a="1"/>
  <c r="U83" i="4" s="1"/>
  <c r="T85" i="1" s="1" a="1"/>
  <c r="T85" i="1" s="1"/>
  <c r="P83" i="4" a="1"/>
  <c r="P83" i="4" s="1"/>
  <c r="O85" i="1" s="1" a="1"/>
  <c r="O85" i="1" s="1"/>
  <c r="AB101" i="4"/>
  <c r="AC101" i="4" s="1"/>
  <c r="AD101" i="4" s="1" a="1"/>
  <c r="AD101" i="4" s="1"/>
  <c r="AV105" i="4"/>
  <c r="AR104" i="4"/>
  <c r="AS104" i="4" s="1" a="1"/>
  <c r="AS104" i="4" s="1"/>
  <c r="AL105" i="4"/>
  <c r="I83" i="4"/>
  <c r="J83" i="4" s="1" a="1"/>
  <c r="J83" i="4" s="1"/>
  <c r="AT104" i="4" l="1" a="1"/>
  <c r="AT104" i="4" s="1"/>
  <c r="AS106" i="1" s="1" a="1"/>
  <c r="AS106" i="1" s="1"/>
  <c r="AH143" i="1" a="1"/>
  <c r="AH143" i="1" s="1"/>
  <c r="AG143" i="1" a="1"/>
  <c r="AG143" i="1" s="1"/>
  <c r="AE101" i="4" a="1"/>
  <c r="AE101" i="4" s="1"/>
  <c r="AD103" i="1" s="1" a="1"/>
  <c r="AD103" i="1" s="1"/>
  <c r="R86" i="1" a="1"/>
  <c r="R86" i="1" s="1"/>
  <c r="S86" i="1" a="1"/>
  <c r="S86" i="1" s="1"/>
  <c r="M86" i="1" a="1"/>
  <c r="M86" i="1" s="1"/>
  <c r="N86" i="1" a="1"/>
  <c r="N86" i="1" s="1"/>
  <c r="K83" i="4" a="1"/>
  <c r="K83" i="4" s="1"/>
  <c r="J85" i="1" s="1" a="1"/>
  <c r="J85" i="1" s="1"/>
  <c r="AG141" i="4"/>
  <c r="AH141" i="4" s="1"/>
  <c r="AI141" i="4" s="1" a="1"/>
  <c r="AI141" i="4" s="1"/>
  <c r="AW105" i="4"/>
  <c r="AX105" i="4" s="1" a="1"/>
  <c r="AX105" i="4" s="1"/>
  <c r="AM105" i="4"/>
  <c r="AN105" i="4" s="1" a="1"/>
  <c r="AN105" i="4" s="1"/>
  <c r="AB102" i="4"/>
  <c r="W83" i="4"/>
  <c r="X83" i="4" s="1"/>
  <c r="Y83" i="4" s="1" a="1"/>
  <c r="Y83" i="4" s="1"/>
  <c r="H84" i="4"/>
  <c r="I84" i="4" s="1"/>
  <c r="J84" i="4" s="1" a="1"/>
  <c r="J84" i="4" s="1"/>
  <c r="AR107" i="1" l="1" a="1"/>
  <c r="AR107" i="1" s="1"/>
  <c r="AQ107" i="1" a="1"/>
  <c r="AQ107" i="1" s="1"/>
  <c r="AY105" i="4" a="1"/>
  <c r="AY105" i="4" s="1"/>
  <c r="AX107" i="1" s="1" a="1"/>
  <c r="AX107" i="1" s="1"/>
  <c r="AO105" i="4" a="1"/>
  <c r="AO105" i="4" s="1"/>
  <c r="AN107" i="1" s="1" a="1"/>
  <c r="AN107" i="1" s="1"/>
  <c r="AC104" i="1" a="1"/>
  <c r="AC104" i="1" s="1"/>
  <c r="AB104" i="1" a="1"/>
  <c r="AB104" i="1" s="1"/>
  <c r="H86" i="1" a="1"/>
  <c r="H86" i="1" s="1"/>
  <c r="AJ141" i="4" a="1"/>
  <c r="AJ141" i="4" s="1"/>
  <c r="AI143" i="1" s="1" a="1"/>
  <c r="AI143" i="1" s="1"/>
  <c r="Z83" i="4" a="1"/>
  <c r="Z83" i="4" s="1"/>
  <c r="Y85" i="1" s="1" a="1"/>
  <c r="Y85" i="1" s="1"/>
  <c r="I86" i="1" a="1"/>
  <c r="I86" i="1" s="1"/>
  <c r="K84" i="4" a="1"/>
  <c r="K84" i="4" s="1"/>
  <c r="J86" i="1" s="1" a="1"/>
  <c r="J86" i="1" s="1"/>
  <c r="AQ105" i="4"/>
  <c r="AC102" i="4"/>
  <c r="AD102" i="4" s="1" a="1"/>
  <c r="AD102" i="4" s="1"/>
  <c r="AG142" i="4"/>
  <c r="AH142" i="4" s="1"/>
  <c r="AI142" i="4" s="1" a="1"/>
  <c r="AI142" i="4" s="1"/>
  <c r="R84" i="4"/>
  <c r="AW108" i="1" l="1" a="1"/>
  <c r="AW108" i="1" s="1"/>
  <c r="AV108" i="1" a="1"/>
  <c r="AV108" i="1" s="1"/>
  <c r="AL108" i="1" a="1"/>
  <c r="AL108" i="1" s="1"/>
  <c r="AH144" i="1" a="1"/>
  <c r="AH144" i="1" s="1"/>
  <c r="AM108" i="1" a="1"/>
  <c r="AM108" i="1" s="1"/>
  <c r="AJ142" i="4" a="1"/>
  <c r="AJ142" i="4" s="1"/>
  <c r="AI144" i="1" s="1" a="1"/>
  <c r="AI144" i="1" s="1"/>
  <c r="AG144" i="1" a="1"/>
  <c r="AG144" i="1" s="1"/>
  <c r="W86" i="1" a="1"/>
  <c r="W86" i="1" s="1"/>
  <c r="AE102" i="4" a="1"/>
  <c r="AE102" i="4" s="1"/>
  <c r="AD104" i="1" s="1" a="1"/>
  <c r="AD104" i="1" s="1"/>
  <c r="X86" i="1" a="1"/>
  <c r="X86" i="1" s="1"/>
  <c r="H87" i="1" a="1"/>
  <c r="H87" i="1" s="1"/>
  <c r="I87" i="1" a="1"/>
  <c r="I87" i="1" s="1"/>
  <c r="AV106" i="4"/>
  <c r="AW106" i="4" s="1"/>
  <c r="AX106" i="4" s="1" a="1"/>
  <c r="AX106" i="4" s="1"/>
  <c r="AL106" i="4"/>
  <c r="AM106" i="4" s="1"/>
  <c r="AN106" i="4" s="1" a="1"/>
  <c r="AN106" i="4" s="1"/>
  <c r="AR105" i="4"/>
  <c r="AS105" i="4" s="1" a="1"/>
  <c r="AS105" i="4" s="1"/>
  <c r="AG143" i="4"/>
  <c r="S84" i="4"/>
  <c r="T84" i="4" s="1" a="1"/>
  <c r="T84" i="4" s="1"/>
  <c r="M84" i="4"/>
  <c r="N84" i="4" s="1"/>
  <c r="O84" i="4" s="1" a="1"/>
  <c r="O84" i="4" s="1"/>
  <c r="W84" i="4"/>
  <c r="AY106" i="4" l="1" a="1"/>
  <c r="AY106" i="4" s="1"/>
  <c r="AX108" i="1" s="1" a="1"/>
  <c r="AX108" i="1" s="1"/>
  <c r="AT105" i="4" a="1"/>
  <c r="AT105" i="4" s="1"/>
  <c r="AS107" i="1" s="1" a="1"/>
  <c r="AS107" i="1" s="1"/>
  <c r="AG145" i="1" a="1"/>
  <c r="AG145" i="1" s="1"/>
  <c r="AC105" i="1" a="1"/>
  <c r="AC105" i="1" s="1"/>
  <c r="AO106" i="4" a="1"/>
  <c r="AO106" i="4" s="1"/>
  <c r="AN108" i="1" s="1" a="1"/>
  <c r="AN108" i="1" s="1"/>
  <c r="AH145" i="1" a="1"/>
  <c r="AH145" i="1" s="1"/>
  <c r="AB105" i="1" a="1"/>
  <c r="AB105" i="1" s="1"/>
  <c r="U84" i="4" a="1"/>
  <c r="U84" i="4" s="1"/>
  <c r="T86" i="1" s="1" a="1"/>
  <c r="T86" i="1" s="1"/>
  <c r="P84" i="4" a="1"/>
  <c r="P84" i="4" s="1"/>
  <c r="O86" i="1" s="1" a="1"/>
  <c r="O86" i="1" s="1"/>
  <c r="AB103" i="4"/>
  <c r="AC103" i="4" s="1"/>
  <c r="AD103" i="4" s="1" a="1"/>
  <c r="AD103" i="4" s="1"/>
  <c r="AV107" i="4"/>
  <c r="AL107" i="4"/>
  <c r="AH143" i="4"/>
  <c r="AI143" i="4" s="1" a="1"/>
  <c r="AI143" i="4" s="1"/>
  <c r="X84" i="4"/>
  <c r="Y84" i="4" s="1" a="1"/>
  <c r="Y84" i="4" s="1"/>
  <c r="AQ108" i="1" l="1" a="1"/>
  <c r="AQ108" i="1" s="1"/>
  <c r="AL109" i="1" a="1"/>
  <c r="AL109" i="1" s="1"/>
  <c r="AR108" i="1" a="1"/>
  <c r="AR108" i="1" s="1"/>
  <c r="AV109" i="1" a="1"/>
  <c r="AV109" i="1" s="1"/>
  <c r="AW109" i="1" a="1"/>
  <c r="AW109" i="1" s="1"/>
  <c r="AM109" i="1" a="1"/>
  <c r="AM109" i="1" s="1"/>
  <c r="AJ143" i="4" a="1"/>
  <c r="AJ143" i="4" s="1"/>
  <c r="AI145" i="1" s="1" a="1"/>
  <c r="AI145" i="1" s="1"/>
  <c r="M87" i="1" a="1"/>
  <c r="M87" i="1" s="1"/>
  <c r="N87" i="1" a="1"/>
  <c r="N87" i="1" s="1"/>
  <c r="AE103" i="4" a="1"/>
  <c r="AE103" i="4" s="1"/>
  <c r="AD105" i="1" s="1" a="1"/>
  <c r="AD105" i="1" s="1"/>
  <c r="Z84" i="4" a="1"/>
  <c r="Z84" i="4" s="1"/>
  <c r="Y86" i="1" s="1" a="1"/>
  <c r="Y86" i="1" s="1"/>
  <c r="R87" i="1" a="1"/>
  <c r="R87" i="1" s="1"/>
  <c r="S87" i="1" a="1"/>
  <c r="S87" i="1" s="1"/>
  <c r="AQ106" i="4"/>
  <c r="AR106" i="4" s="1"/>
  <c r="AS106" i="4" s="1" a="1"/>
  <c r="AS106" i="4" s="1"/>
  <c r="AB104" i="4"/>
  <c r="AC104" i="4" s="1"/>
  <c r="AD104" i="4" s="1" a="1"/>
  <c r="AD104" i="4" s="1"/>
  <c r="AW107" i="4"/>
  <c r="AX107" i="4" s="1" a="1"/>
  <c r="AX107" i="4" s="1"/>
  <c r="AM107" i="4"/>
  <c r="AN107" i="4" s="1" a="1"/>
  <c r="AN107" i="4" s="1"/>
  <c r="AG144" i="4"/>
  <c r="AH144" i="4" s="1"/>
  <c r="AI144" i="4" s="1" a="1"/>
  <c r="AI144" i="4" s="1"/>
  <c r="M85" i="4"/>
  <c r="N85" i="4" s="1"/>
  <c r="O85" i="4" s="1" a="1"/>
  <c r="O85" i="4" s="1"/>
  <c r="R85" i="4"/>
  <c r="S85" i="4" s="1"/>
  <c r="T85" i="4" s="1" a="1"/>
  <c r="T85" i="4" s="1"/>
  <c r="H85" i="4"/>
  <c r="I85" i="4" s="1"/>
  <c r="J85" i="4" s="1" a="1"/>
  <c r="J85" i="4" s="1"/>
  <c r="AG146" i="1" l="1" a="1"/>
  <c r="AG146" i="1" s="1"/>
  <c r="AH146" i="1" a="1"/>
  <c r="AH146" i="1" s="1"/>
  <c r="AY107" i="4" a="1"/>
  <c r="AY107" i="4" s="1"/>
  <c r="AX109" i="1" s="1" a="1"/>
  <c r="AX109" i="1" s="1"/>
  <c r="AT106" i="4" a="1"/>
  <c r="AT106" i="4" s="1"/>
  <c r="AS108" i="1" s="1" a="1"/>
  <c r="AS108" i="1" s="1"/>
  <c r="AO107" i="4" a="1"/>
  <c r="AO107" i="4" s="1"/>
  <c r="AN109" i="1" s="1" a="1"/>
  <c r="AN109" i="1" s="1"/>
  <c r="AB106" i="1" a="1"/>
  <c r="AB106" i="1" s="1"/>
  <c r="AC106" i="1" a="1"/>
  <c r="AC106" i="1" s="1"/>
  <c r="AJ144" i="4" a="1"/>
  <c r="AJ144" i="4" s="1"/>
  <c r="AI146" i="1" s="1" a="1"/>
  <c r="AI146" i="1" s="1"/>
  <c r="AE104" i="4" a="1"/>
  <c r="AE104" i="4" s="1"/>
  <c r="AD106" i="1" s="1" a="1"/>
  <c r="AD106" i="1" s="1"/>
  <c r="W87" i="1" a="1"/>
  <c r="W87" i="1" s="1"/>
  <c r="X87" i="1" a="1"/>
  <c r="X87" i="1" s="1"/>
  <c r="U85" i="4" a="1"/>
  <c r="U85" i="4" s="1"/>
  <c r="T87" i="1" s="1" a="1"/>
  <c r="T87" i="1" s="1"/>
  <c r="P85" i="4" a="1"/>
  <c r="P85" i="4" s="1"/>
  <c r="O87" i="1" s="1" a="1"/>
  <c r="O87" i="1" s="1"/>
  <c r="K85" i="4" a="1"/>
  <c r="K85" i="4" s="1"/>
  <c r="J87" i="1" s="1" a="1"/>
  <c r="J87" i="1" s="1"/>
  <c r="W85" i="4"/>
  <c r="X85" i="4" s="1"/>
  <c r="AQ107" i="4"/>
  <c r="AB105" i="4"/>
  <c r="AV110" i="1" l="1" a="1"/>
  <c r="AV110" i="1" s="1"/>
  <c r="AW110" i="1" a="1"/>
  <c r="AW110" i="1" s="1"/>
  <c r="AL110" i="1" a="1"/>
  <c r="AL110" i="1" s="1"/>
  <c r="AQ109" i="1" a="1"/>
  <c r="AQ109" i="1" s="1"/>
  <c r="AR109" i="1" a="1"/>
  <c r="AR109" i="1" s="1"/>
  <c r="AM110" i="1" a="1"/>
  <c r="AM110" i="1" s="1"/>
  <c r="AC107" i="1" a="1"/>
  <c r="AC107" i="1" s="1"/>
  <c r="AG147" i="1" a="1"/>
  <c r="AG147" i="1" s="1"/>
  <c r="AH147" i="1" a="1"/>
  <c r="AH147" i="1" s="1"/>
  <c r="M88" i="1" a="1"/>
  <c r="M88" i="1" s="1"/>
  <c r="AB107" i="1" a="1"/>
  <c r="AB107" i="1" s="1"/>
  <c r="H88" i="1" a="1"/>
  <c r="H88" i="1" s="1"/>
  <c r="N88" i="1" a="1"/>
  <c r="N88" i="1" s="1"/>
  <c r="I88" i="1" a="1"/>
  <c r="I88" i="1" s="1"/>
  <c r="S88" i="1" a="1"/>
  <c r="S88" i="1" s="1"/>
  <c r="R88" i="1" a="1"/>
  <c r="R88" i="1" s="1"/>
  <c r="Y85" i="4" a="1"/>
  <c r="Y85" i="4" s="1"/>
  <c r="AV108" i="4"/>
  <c r="AW108" i="4" s="1"/>
  <c r="AX108" i="4" s="1" a="1"/>
  <c r="AX108" i="4" s="1"/>
  <c r="AL108" i="4"/>
  <c r="AM108" i="4" s="1"/>
  <c r="AN108" i="4" s="1" a="1"/>
  <c r="AN108" i="4" s="1"/>
  <c r="AR107" i="4"/>
  <c r="AS107" i="4" s="1" a="1"/>
  <c r="AS107" i="4" s="1"/>
  <c r="AG145" i="4"/>
  <c r="AH145" i="4" s="1"/>
  <c r="AI145" i="4" s="1" a="1"/>
  <c r="AI145" i="4" s="1"/>
  <c r="AC105" i="4"/>
  <c r="AD105" i="4" s="1" a="1"/>
  <c r="AD105" i="4" s="1"/>
  <c r="AY108" i="4" l="1" a="1"/>
  <c r="AY108" i="4" s="1"/>
  <c r="AX110" i="1" s="1" a="1"/>
  <c r="AX110" i="1" s="1"/>
  <c r="AT107" i="4" a="1"/>
  <c r="AT107" i="4" s="1"/>
  <c r="AS109" i="1" s="1" a="1"/>
  <c r="AS109" i="1" s="1"/>
  <c r="AO108" i="4" a="1"/>
  <c r="AO108" i="4" s="1"/>
  <c r="AN110" i="1" s="1" a="1"/>
  <c r="AN110" i="1" s="1"/>
  <c r="AJ145" i="4" a="1"/>
  <c r="AJ145" i="4" s="1"/>
  <c r="AI147" i="1" s="1" a="1"/>
  <c r="AI147" i="1" s="1"/>
  <c r="AE105" i="4" a="1"/>
  <c r="AE105" i="4" s="1"/>
  <c r="AD107" i="1" s="1" a="1"/>
  <c r="AD107" i="1" s="1"/>
  <c r="Z85" i="4" a="1"/>
  <c r="Z85" i="4" s="1"/>
  <c r="Y87" i="1" s="1" a="1"/>
  <c r="Y87" i="1" s="1"/>
  <c r="AV109" i="4"/>
  <c r="AL109" i="4"/>
  <c r="AG146" i="4"/>
  <c r="R86" i="4"/>
  <c r="S86" i="4" s="1"/>
  <c r="T86" i="4" s="1" a="1"/>
  <c r="T86" i="4" s="1"/>
  <c r="H86" i="4"/>
  <c r="W86" i="4"/>
  <c r="X86" i="4" s="1"/>
  <c r="Y86" i="4" s="1" a="1"/>
  <c r="Y86" i="4" s="1"/>
  <c r="AQ110" i="1" l="1" a="1"/>
  <c r="AQ110" i="1" s="1"/>
  <c r="AV111" i="1" a="1"/>
  <c r="AV111" i="1" s="1"/>
  <c r="AW111" i="1" a="1"/>
  <c r="AW111" i="1" s="1"/>
  <c r="AL111" i="1" a="1"/>
  <c r="AL111" i="1" s="1"/>
  <c r="AR110" i="1" a="1"/>
  <c r="AR110" i="1" s="1"/>
  <c r="AG148" i="1" a="1"/>
  <c r="AG148" i="1" s="1"/>
  <c r="AM111" i="1" a="1"/>
  <c r="AM111" i="1" s="1"/>
  <c r="AH148" i="1" a="1"/>
  <c r="AH148" i="1" s="1"/>
  <c r="AC108" i="1" a="1"/>
  <c r="AC108" i="1" s="1"/>
  <c r="AB108" i="1" a="1"/>
  <c r="AB108" i="1" s="1"/>
  <c r="W88" i="1" a="1"/>
  <c r="W88" i="1" s="1"/>
  <c r="Z86" i="4" a="1"/>
  <c r="Z86" i="4" s="1"/>
  <c r="Y88" i="1" s="1" a="1"/>
  <c r="Y88" i="1" s="1"/>
  <c r="X88" i="1" a="1"/>
  <c r="X88" i="1" s="1"/>
  <c r="U86" i="4" a="1"/>
  <c r="U86" i="4" s="1"/>
  <c r="T88" i="1" s="1" a="1"/>
  <c r="T88" i="1" s="1"/>
  <c r="AQ108" i="4"/>
  <c r="AR108" i="4" s="1"/>
  <c r="AS108" i="4" s="1" a="1"/>
  <c r="AS108" i="4" s="1"/>
  <c r="AB106" i="4"/>
  <c r="AC106" i="4" s="1"/>
  <c r="AD106" i="4" s="1" a="1"/>
  <c r="AD106" i="4" s="1"/>
  <c r="AW109" i="4"/>
  <c r="AX109" i="4" s="1" a="1"/>
  <c r="AX109" i="4" s="1"/>
  <c r="AM109" i="4"/>
  <c r="AN109" i="4" s="1" a="1"/>
  <c r="AN109" i="4" s="1"/>
  <c r="AH146" i="4"/>
  <c r="AI146" i="4" s="1" a="1"/>
  <c r="AI146" i="4" s="1"/>
  <c r="I86" i="4"/>
  <c r="J86" i="4" s="1" a="1"/>
  <c r="J86" i="4" s="1"/>
  <c r="M86" i="4"/>
  <c r="N86" i="4" s="1"/>
  <c r="O86" i="4" s="1" a="1"/>
  <c r="O86" i="4" s="1"/>
  <c r="AY109" i="4" l="1" a="1"/>
  <c r="AY109" i="4" s="1"/>
  <c r="AX111" i="1" s="1" a="1"/>
  <c r="AX111" i="1" s="1"/>
  <c r="AT108" i="4" a="1"/>
  <c r="AT108" i="4" s="1"/>
  <c r="AS110" i="1" s="1" a="1"/>
  <c r="AS110" i="1" s="1"/>
  <c r="AO109" i="4" a="1"/>
  <c r="AO109" i="4" s="1"/>
  <c r="AN111" i="1" s="1" a="1"/>
  <c r="AN111" i="1" s="1"/>
  <c r="AJ146" i="4" a="1"/>
  <c r="AJ146" i="4" s="1"/>
  <c r="AI148" i="1" s="1" a="1"/>
  <c r="AI148" i="1" s="1"/>
  <c r="AE106" i="4" a="1"/>
  <c r="AE106" i="4" s="1"/>
  <c r="AD108" i="1" s="1" a="1"/>
  <c r="AD108" i="1" s="1"/>
  <c r="W89" i="1" a="1"/>
  <c r="W89" i="1" s="1"/>
  <c r="X89" i="1" a="1"/>
  <c r="X89" i="1" s="1"/>
  <c r="R89" i="1" a="1"/>
  <c r="R89" i="1" s="1"/>
  <c r="S89" i="1" a="1"/>
  <c r="S89" i="1" s="1"/>
  <c r="P86" i="4" a="1"/>
  <c r="P86" i="4" s="1"/>
  <c r="O88" i="1" s="1" a="1"/>
  <c r="O88" i="1" s="1"/>
  <c r="K86" i="4" a="1"/>
  <c r="K86" i="4" s="1"/>
  <c r="J88" i="1" s="1" a="1"/>
  <c r="J88" i="1" s="1"/>
  <c r="AQ109" i="4"/>
  <c r="AB107" i="4"/>
  <c r="AV112" i="1" l="1" a="1"/>
  <c r="AV112" i="1" s="1"/>
  <c r="AW112" i="1" a="1"/>
  <c r="AW112" i="1" s="1"/>
  <c r="AQ111" i="1" a="1"/>
  <c r="AQ111" i="1" s="1"/>
  <c r="AG149" i="1" a="1"/>
  <c r="AG149" i="1" s="1"/>
  <c r="H89" i="1" a="1"/>
  <c r="H89" i="1" s="1"/>
  <c r="AR111" i="1" a="1"/>
  <c r="AR111" i="1" s="1"/>
  <c r="AH149" i="1" a="1"/>
  <c r="AH149" i="1" s="1"/>
  <c r="AL112" i="1" a="1"/>
  <c r="AL112" i="1" s="1"/>
  <c r="AM112" i="1" a="1"/>
  <c r="AM112" i="1" s="1"/>
  <c r="N89" i="1" a="1"/>
  <c r="N89" i="1" s="1"/>
  <c r="M89" i="1" a="1"/>
  <c r="M89" i="1" s="1"/>
  <c r="AC109" i="1" a="1"/>
  <c r="AC109" i="1" s="1"/>
  <c r="AB109" i="1" a="1"/>
  <c r="AB109" i="1" s="1"/>
  <c r="I89" i="1" a="1"/>
  <c r="I89" i="1" s="1"/>
  <c r="AV110" i="4"/>
  <c r="AR109" i="4"/>
  <c r="AS109" i="4" s="1" a="1"/>
  <c r="AS109" i="4" s="1"/>
  <c r="AL110" i="4"/>
  <c r="AG147" i="4"/>
  <c r="AH147" i="4" s="1"/>
  <c r="AI147" i="4" s="1" a="1"/>
  <c r="AI147" i="4" s="1"/>
  <c r="AC107" i="4"/>
  <c r="AD107" i="4" s="1" a="1"/>
  <c r="AD107" i="4" s="1"/>
  <c r="M87" i="4"/>
  <c r="N87" i="4" s="1"/>
  <c r="O87" i="4" s="1" a="1"/>
  <c r="O87" i="4" s="1"/>
  <c r="R87" i="4"/>
  <c r="S87" i="4" s="1"/>
  <c r="T87" i="4" s="1" a="1"/>
  <c r="T87" i="4" s="1"/>
  <c r="H87" i="4"/>
  <c r="AT109" i="4" l="1" a="1"/>
  <c r="AT109" i="4" s="1"/>
  <c r="AS111" i="1" s="1" a="1"/>
  <c r="AS111" i="1" s="1"/>
  <c r="AJ147" i="4" a="1"/>
  <c r="AJ147" i="4" s="1"/>
  <c r="AI149" i="1" s="1" a="1"/>
  <c r="AI149" i="1" s="1"/>
  <c r="AE107" i="4" a="1"/>
  <c r="AE107" i="4" s="1"/>
  <c r="AD109" i="1" s="1" a="1"/>
  <c r="AD109" i="1" s="1"/>
  <c r="U87" i="4" a="1"/>
  <c r="U87" i="4" s="1"/>
  <c r="T89" i="1" s="1" a="1"/>
  <c r="T89" i="1" s="1"/>
  <c r="P87" i="4" a="1"/>
  <c r="P87" i="4" s="1"/>
  <c r="O89" i="1" s="1" a="1"/>
  <c r="O89" i="1" s="1"/>
  <c r="AW110" i="4"/>
  <c r="AX110" i="4" s="1" a="1"/>
  <c r="AX110" i="4" s="1"/>
  <c r="AM110" i="4"/>
  <c r="AN110" i="4" s="1" a="1"/>
  <c r="AN110" i="4" s="1"/>
  <c r="AG148" i="4"/>
  <c r="I87" i="4"/>
  <c r="J87" i="4" s="1" a="1"/>
  <c r="J87" i="4" s="1"/>
  <c r="AY110" i="4" l="1" a="1"/>
  <c r="AY110" i="4" s="1"/>
  <c r="AX112" i="1" s="1" a="1"/>
  <c r="AX112" i="1" s="1"/>
  <c r="AQ112" i="1" a="1"/>
  <c r="AQ112" i="1" s="1"/>
  <c r="AR112" i="1" a="1"/>
  <c r="AR112" i="1" s="1"/>
  <c r="AO110" i="4" a="1"/>
  <c r="AO110" i="4" s="1"/>
  <c r="AN112" i="1" s="1" a="1"/>
  <c r="AN112" i="1" s="1"/>
  <c r="AG150" i="1" a="1"/>
  <c r="AG150" i="1" s="1"/>
  <c r="AH150" i="1" a="1"/>
  <c r="AH150" i="1" s="1"/>
  <c r="AC110" i="1" a="1"/>
  <c r="AC110" i="1" s="1"/>
  <c r="AB110" i="1" a="1"/>
  <c r="AB110" i="1" s="1"/>
  <c r="M90" i="1" a="1"/>
  <c r="M90" i="1" s="1"/>
  <c r="N90" i="1" a="1"/>
  <c r="N90" i="1" s="1"/>
  <c r="R90" i="1" a="1"/>
  <c r="R90" i="1" s="1"/>
  <c r="S90" i="1" a="1"/>
  <c r="S90" i="1" s="1"/>
  <c r="K87" i="4" a="1"/>
  <c r="K87" i="4" s="1"/>
  <c r="J89" i="1" s="1" a="1"/>
  <c r="J89" i="1" s="1"/>
  <c r="AB108" i="4"/>
  <c r="AC108" i="4" s="1"/>
  <c r="AD108" i="4" s="1" a="1"/>
  <c r="AD108" i="4" s="1"/>
  <c r="AQ110" i="4"/>
  <c r="AH148" i="4"/>
  <c r="AI148" i="4" s="1" a="1"/>
  <c r="AI148" i="4" s="1"/>
  <c r="W87" i="4"/>
  <c r="H88" i="4"/>
  <c r="I88" i="4" s="1"/>
  <c r="J88" i="4" s="1" a="1"/>
  <c r="J88" i="4" s="1"/>
  <c r="AW113" i="1" l="1" a="1"/>
  <c r="AW113" i="1" s="1"/>
  <c r="AV113" i="1" a="1"/>
  <c r="AV113" i="1" s="1"/>
  <c r="AM113" i="1" a="1"/>
  <c r="AM113" i="1" s="1"/>
  <c r="AL113" i="1" a="1"/>
  <c r="AL113" i="1" s="1"/>
  <c r="AJ148" i="4" a="1"/>
  <c r="AJ148" i="4" s="1"/>
  <c r="AI150" i="1" s="1" a="1"/>
  <c r="AI150" i="1" s="1"/>
  <c r="AE108" i="4" a="1"/>
  <c r="AE108" i="4" s="1"/>
  <c r="AD110" i="1" s="1" a="1"/>
  <c r="AD110" i="1" s="1"/>
  <c r="H90" i="1" a="1"/>
  <c r="H90" i="1" s="1"/>
  <c r="I90" i="1" a="1"/>
  <c r="I90" i="1" s="1"/>
  <c r="K88" i="4" a="1"/>
  <c r="K88" i="4" s="1"/>
  <c r="J90" i="1" s="1" a="1"/>
  <c r="J90" i="1" s="1"/>
  <c r="AV111" i="4"/>
  <c r="AR110" i="4"/>
  <c r="AS110" i="4" s="1" a="1"/>
  <c r="AS110" i="4" s="1"/>
  <c r="AL111" i="4"/>
  <c r="AB109" i="4"/>
  <c r="AG149" i="4"/>
  <c r="AH149" i="4" s="1"/>
  <c r="AI149" i="4" s="1" a="1"/>
  <c r="AI149" i="4" s="1"/>
  <c r="X87" i="4"/>
  <c r="Y87" i="4" s="1" a="1"/>
  <c r="Y87" i="4" s="1"/>
  <c r="R88" i="4"/>
  <c r="S88" i="4" s="1"/>
  <c r="T88" i="4" s="1" a="1"/>
  <c r="T88" i="4" s="1"/>
  <c r="AT110" i="4" l="1" a="1"/>
  <c r="AT110" i="4" s="1"/>
  <c r="AS112" i="1" s="1" a="1"/>
  <c r="AS112" i="1" s="1"/>
  <c r="H91" i="1" a="1"/>
  <c r="H91" i="1" s="1"/>
  <c r="I91" i="1" a="1"/>
  <c r="I91" i="1" s="1"/>
  <c r="AG151" i="1" a="1"/>
  <c r="AG151" i="1" s="1"/>
  <c r="AH151" i="1" a="1"/>
  <c r="AH151" i="1" s="1"/>
  <c r="AJ149" i="4" a="1"/>
  <c r="AJ149" i="4" s="1"/>
  <c r="AI151" i="1" s="1" a="1"/>
  <c r="AI151" i="1" s="1"/>
  <c r="AB111" i="1" a="1"/>
  <c r="AB111" i="1" s="1"/>
  <c r="AC111" i="1" a="1"/>
  <c r="AC111" i="1" s="1"/>
  <c r="Z87" i="4" a="1"/>
  <c r="Z87" i="4" s="1"/>
  <c r="Y89" i="1" s="1" a="1"/>
  <c r="Y89" i="1" s="1"/>
  <c r="U88" i="4" a="1"/>
  <c r="U88" i="4" s="1"/>
  <c r="T90" i="1" s="1" a="1"/>
  <c r="T90" i="1" s="1"/>
  <c r="AW111" i="4"/>
  <c r="AX111" i="4" s="1" a="1"/>
  <c r="AX111" i="4" s="1"/>
  <c r="AM111" i="4"/>
  <c r="AN111" i="4" s="1" a="1"/>
  <c r="AN111" i="4" s="1"/>
  <c r="AC109" i="4"/>
  <c r="AD109" i="4" s="1" a="1"/>
  <c r="AD109" i="4" s="1"/>
  <c r="AG150" i="4"/>
  <c r="M88" i="4"/>
  <c r="AR113" i="1" l="1" a="1"/>
  <c r="AR113" i="1" s="1"/>
  <c r="AQ113" i="1" a="1"/>
  <c r="AQ113" i="1" s="1"/>
  <c r="AY111" i="4" a="1"/>
  <c r="AY111" i="4" s="1"/>
  <c r="AX113" i="1" s="1" a="1"/>
  <c r="AX113" i="1" s="1"/>
  <c r="AG152" i="1" a="1"/>
  <c r="AG152" i="1" s="1"/>
  <c r="AH152" i="1" a="1"/>
  <c r="AH152" i="1" s="1"/>
  <c r="AO111" i="4" a="1"/>
  <c r="AO111" i="4" s="1"/>
  <c r="AN113" i="1" s="1" a="1"/>
  <c r="AN113" i="1" s="1"/>
  <c r="X90" i="1" a="1"/>
  <c r="X90" i="1" s="1"/>
  <c r="AE109" i="4" a="1"/>
  <c r="AE109" i="4" s="1"/>
  <c r="AD111" i="1" s="1" a="1"/>
  <c r="AD111" i="1" s="1"/>
  <c r="R91" i="1" a="1"/>
  <c r="R91" i="1" s="1"/>
  <c r="W90" i="1" a="1"/>
  <c r="W90" i="1" s="1"/>
  <c r="S91" i="1" a="1"/>
  <c r="S91" i="1" s="1"/>
  <c r="W88" i="4"/>
  <c r="X88" i="4" s="1"/>
  <c r="Y88" i="4" s="1" a="1"/>
  <c r="Y88" i="4" s="1"/>
  <c r="AQ111" i="4"/>
  <c r="AH150" i="4"/>
  <c r="AI150" i="4" s="1" a="1"/>
  <c r="AI150" i="4" s="1"/>
  <c r="N88" i="4"/>
  <c r="O88" i="4" s="1" a="1"/>
  <c r="O88" i="4" s="1"/>
  <c r="R89" i="4"/>
  <c r="S89" i="4" s="1"/>
  <c r="T89" i="4" s="1" a="1"/>
  <c r="T89" i="4" s="1"/>
  <c r="H89" i="4"/>
  <c r="I89" i="4" s="1"/>
  <c r="J89" i="4" s="1" a="1"/>
  <c r="J89" i="4" s="1"/>
  <c r="AV114" i="1" l="1" a="1"/>
  <c r="AV114" i="1" s="1"/>
  <c r="AL114" i="1" a="1"/>
  <c r="AL114" i="1" s="1"/>
  <c r="AW114" i="1" a="1"/>
  <c r="AW114" i="1" s="1"/>
  <c r="AM114" i="1" a="1"/>
  <c r="AM114" i="1" s="1"/>
  <c r="AJ150" i="4" a="1"/>
  <c r="AJ150" i="4" s="1"/>
  <c r="AI152" i="1" s="1" a="1"/>
  <c r="AI152" i="1" s="1"/>
  <c r="AB112" i="1" a="1"/>
  <c r="AB112" i="1" s="1"/>
  <c r="AC112" i="1" a="1"/>
  <c r="AC112" i="1" s="1"/>
  <c r="Z88" i="4" a="1"/>
  <c r="Z88" i="4" s="1"/>
  <c r="Y90" i="1" s="1" a="1"/>
  <c r="Y90" i="1" s="1"/>
  <c r="U89" i="4" a="1"/>
  <c r="U89" i="4" s="1"/>
  <c r="T91" i="1" s="1" a="1"/>
  <c r="T91" i="1" s="1"/>
  <c r="P88" i="4" a="1"/>
  <c r="P88" i="4" s="1"/>
  <c r="O90" i="1" s="1" a="1"/>
  <c r="O90" i="1" s="1"/>
  <c r="K89" i="4" a="1"/>
  <c r="K89" i="4" s="1"/>
  <c r="J91" i="1" s="1" a="1"/>
  <c r="J91" i="1" s="1"/>
  <c r="AV112" i="4"/>
  <c r="AR111" i="4"/>
  <c r="AS111" i="4" s="1" a="1"/>
  <c r="AS111" i="4" s="1"/>
  <c r="AL112" i="4"/>
  <c r="AB110" i="4"/>
  <c r="AG151" i="4"/>
  <c r="AH151" i="4" s="1"/>
  <c r="AI151" i="4" s="1" a="1"/>
  <c r="AI151" i="4" s="1"/>
  <c r="M89" i="4"/>
  <c r="N89" i="4" s="1"/>
  <c r="O89" i="4" s="1" a="1"/>
  <c r="O89" i="4" s="1"/>
  <c r="AT111" i="4" l="1" a="1"/>
  <c r="AT111" i="4" s="1"/>
  <c r="AS113" i="1" s="1" a="1"/>
  <c r="AS113" i="1" s="1"/>
  <c r="AG153" i="1" a="1"/>
  <c r="AG153" i="1" s="1"/>
  <c r="AH153" i="1" a="1"/>
  <c r="AH153" i="1" s="1"/>
  <c r="AJ151" i="4" a="1"/>
  <c r="AJ151" i="4" s="1"/>
  <c r="AI153" i="1" s="1" a="1"/>
  <c r="AI153" i="1" s="1"/>
  <c r="H92" i="1" a="1"/>
  <c r="H92" i="1" s="1"/>
  <c r="I92" i="1" a="1"/>
  <c r="I92" i="1" s="1"/>
  <c r="R92" i="1" a="1"/>
  <c r="R92" i="1" s="1"/>
  <c r="W91" i="1" a="1"/>
  <c r="W91" i="1" s="1"/>
  <c r="X91" i="1" a="1"/>
  <c r="X91" i="1" s="1"/>
  <c r="M91" i="1" a="1"/>
  <c r="M91" i="1" s="1"/>
  <c r="N91" i="1" a="1"/>
  <c r="N91" i="1" s="1"/>
  <c r="S92" i="1" a="1"/>
  <c r="S92" i="1" s="1"/>
  <c r="P89" i="4" a="1"/>
  <c r="P89" i="4" s="1"/>
  <c r="O91" i="1" s="1" a="1"/>
  <c r="O91" i="1" s="1"/>
  <c r="W89" i="4"/>
  <c r="X89" i="4" s="1"/>
  <c r="Y89" i="4" s="1" a="1"/>
  <c r="Y89" i="4" s="1"/>
  <c r="AW112" i="4"/>
  <c r="AX112" i="4" s="1" a="1"/>
  <c r="AX112" i="4" s="1"/>
  <c r="AM112" i="4"/>
  <c r="AN112" i="4" s="1" a="1"/>
  <c r="AN112" i="4" s="1"/>
  <c r="AC110" i="4"/>
  <c r="AD110" i="4" s="1" a="1"/>
  <c r="AD110" i="4" s="1"/>
  <c r="AG154" i="1" l="1" a="1"/>
  <c r="AG154" i="1" s="1"/>
  <c r="AY112" i="4" a="1"/>
  <c r="AY112" i="4" s="1"/>
  <c r="AX114" i="1" s="1" a="1"/>
  <c r="AX114" i="1" s="1"/>
  <c r="AQ114" i="1" a="1"/>
  <c r="AQ114" i="1" s="1"/>
  <c r="AH154" i="1" a="1"/>
  <c r="AH154" i="1" s="1"/>
  <c r="AR114" i="1" a="1"/>
  <c r="AR114" i="1" s="1"/>
  <c r="AO112" i="4" a="1"/>
  <c r="AO112" i="4" s="1"/>
  <c r="AN114" i="1" s="1" a="1"/>
  <c r="AN114" i="1" s="1"/>
  <c r="AE110" i="4" a="1"/>
  <c r="AE110" i="4" s="1"/>
  <c r="AD112" i="1" s="1" a="1"/>
  <c r="AD112" i="1" s="1"/>
  <c r="N92" i="1" a="1"/>
  <c r="N92" i="1" s="1"/>
  <c r="Z89" i="4" a="1"/>
  <c r="Z89" i="4" s="1"/>
  <c r="Y91" i="1" s="1" a="1"/>
  <c r="Y91" i="1" s="1"/>
  <c r="M92" i="1" a="1"/>
  <c r="M92" i="1" s="1"/>
  <c r="AQ112" i="4"/>
  <c r="AG152" i="4"/>
  <c r="AH152" i="4" s="1"/>
  <c r="AI152" i="4" s="1" a="1"/>
  <c r="AI152" i="4" s="1"/>
  <c r="R90" i="4"/>
  <c r="S90" i="4" s="1"/>
  <c r="T90" i="4" s="1" a="1"/>
  <c r="T90" i="4" s="1"/>
  <c r="H90" i="4"/>
  <c r="I90" i="4" s="1"/>
  <c r="J90" i="4" s="1" a="1"/>
  <c r="J90" i="4" s="1"/>
  <c r="W90" i="4"/>
  <c r="X90" i="4" s="1"/>
  <c r="Y90" i="4" s="1" a="1"/>
  <c r="Y90" i="4" s="1"/>
  <c r="AV115" i="1" l="1" a="1"/>
  <c r="AV115" i="1" s="1"/>
  <c r="AB113" i="1" a="1"/>
  <c r="AB113" i="1" s="1"/>
  <c r="AW115" i="1" a="1"/>
  <c r="AW115" i="1" s="1"/>
  <c r="AL115" i="1" a="1"/>
  <c r="AL115" i="1" s="1"/>
  <c r="AM115" i="1" a="1"/>
  <c r="AM115" i="1" s="1"/>
  <c r="AJ152" i="4" a="1"/>
  <c r="AJ152" i="4" s="1"/>
  <c r="AI154" i="1" s="1" a="1"/>
  <c r="AI154" i="1" s="1"/>
  <c r="W92" i="1" a="1"/>
  <c r="W92" i="1" s="1"/>
  <c r="AC113" i="1" a="1"/>
  <c r="AC113" i="1" s="1"/>
  <c r="Z90" i="4" a="1"/>
  <c r="Z90" i="4" s="1"/>
  <c r="Y92" i="1" s="1" a="1"/>
  <c r="Y92" i="1" s="1"/>
  <c r="X92" i="1" a="1"/>
  <c r="X92" i="1" s="1"/>
  <c r="U90" i="4" a="1"/>
  <c r="U90" i="4" s="1"/>
  <c r="T92" i="1" s="1" a="1"/>
  <c r="T92" i="1" s="1"/>
  <c r="K90" i="4" a="1"/>
  <c r="K90" i="4" s="1"/>
  <c r="J92" i="1" s="1" a="1"/>
  <c r="J92" i="1" s="1"/>
  <c r="AV113" i="4"/>
  <c r="AW113" i="4" s="1"/>
  <c r="AX113" i="4" s="1" a="1"/>
  <c r="AX113" i="4" s="1"/>
  <c r="AL113" i="4"/>
  <c r="AM113" i="4" s="1"/>
  <c r="AN113" i="4" s="1" a="1"/>
  <c r="AN113" i="4" s="1"/>
  <c r="AR112" i="4"/>
  <c r="AS112" i="4" s="1" a="1"/>
  <c r="AS112" i="4" s="1"/>
  <c r="AB111" i="4"/>
  <c r="AG153" i="4"/>
  <c r="M90" i="4"/>
  <c r="AY113" i="4" l="1" a="1"/>
  <c r="AY113" i="4" s="1"/>
  <c r="AX115" i="1" s="1" a="1"/>
  <c r="AX115" i="1" s="1"/>
  <c r="AG155" i="1" a="1"/>
  <c r="AG155" i="1" s="1"/>
  <c r="AT112" i="4" a="1"/>
  <c r="AT112" i="4" s="1"/>
  <c r="AS114" i="1" s="1" a="1"/>
  <c r="AS114" i="1" s="1"/>
  <c r="AO113" i="4" a="1"/>
  <c r="AO113" i="4" s="1"/>
  <c r="AN115" i="1" s="1" a="1"/>
  <c r="AN115" i="1" s="1"/>
  <c r="AH155" i="1" a="1"/>
  <c r="AH155" i="1" s="1"/>
  <c r="R93" i="1" a="1"/>
  <c r="R93" i="1" s="1"/>
  <c r="W93" i="1" a="1"/>
  <c r="W93" i="1" s="1"/>
  <c r="X93" i="1" a="1"/>
  <c r="X93" i="1" s="1"/>
  <c r="H93" i="1" a="1"/>
  <c r="H93" i="1" s="1"/>
  <c r="S93" i="1" a="1"/>
  <c r="S93" i="1" s="1"/>
  <c r="I93" i="1" a="1"/>
  <c r="I93" i="1" s="1"/>
  <c r="AV114" i="4"/>
  <c r="AL114" i="4"/>
  <c r="AC111" i="4"/>
  <c r="AD111" i="4" s="1" a="1"/>
  <c r="AD111" i="4" s="1"/>
  <c r="AH153" i="4"/>
  <c r="AI153" i="4" s="1" a="1"/>
  <c r="AI153" i="4" s="1"/>
  <c r="N90" i="4"/>
  <c r="O90" i="4" s="1" a="1"/>
  <c r="O90" i="4" s="1"/>
  <c r="R91" i="4"/>
  <c r="S91" i="4" s="1"/>
  <c r="T91" i="4" s="1" a="1"/>
  <c r="T91" i="4" s="1"/>
  <c r="AW116" i="1" l="1" a="1"/>
  <c r="AW116" i="1" s="1"/>
  <c r="AQ115" i="1" a="1"/>
  <c r="AQ115" i="1" s="1"/>
  <c r="AV116" i="1" a="1"/>
  <c r="AV116" i="1" s="1"/>
  <c r="AR115" i="1" a="1"/>
  <c r="AR115" i="1" s="1"/>
  <c r="AL116" i="1" a="1"/>
  <c r="AL116" i="1" s="1"/>
  <c r="AM116" i="1" a="1"/>
  <c r="AM116" i="1" s="1"/>
  <c r="AJ153" i="4" a="1"/>
  <c r="AJ153" i="4" s="1"/>
  <c r="AI155" i="1" s="1" a="1"/>
  <c r="AI155" i="1" s="1"/>
  <c r="AE111" i="4" a="1"/>
  <c r="AE111" i="4" s="1"/>
  <c r="AD113" i="1" s="1" a="1"/>
  <c r="AD113" i="1" s="1"/>
  <c r="U91" i="4" a="1"/>
  <c r="U91" i="4" s="1"/>
  <c r="T93" i="1" s="1" a="1"/>
  <c r="T93" i="1" s="1"/>
  <c r="P90" i="4" a="1"/>
  <c r="P90" i="4" s="1"/>
  <c r="O92" i="1" s="1" a="1"/>
  <c r="O92" i="1" s="1"/>
  <c r="AQ113" i="4"/>
  <c r="AR113" i="4" s="1"/>
  <c r="AS113" i="4" s="1" a="1"/>
  <c r="AS113" i="4" s="1"/>
  <c r="AW114" i="4"/>
  <c r="AX114" i="4" s="1" a="1"/>
  <c r="AX114" i="4" s="1"/>
  <c r="AM114" i="4"/>
  <c r="AN114" i="4" s="1" a="1"/>
  <c r="AN114" i="4" s="1"/>
  <c r="AG154" i="4"/>
  <c r="AH154" i="4" s="1"/>
  <c r="AI154" i="4" s="1" a="1"/>
  <c r="AI154" i="4" s="1"/>
  <c r="H91" i="4"/>
  <c r="I91" i="4" s="1"/>
  <c r="J91" i="4" s="1" a="1"/>
  <c r="J91" i="4" s="1"/>
  <c r="AY114" i="4" l="1" a="1"/>
  <c r="AY114" i="4" s="1"/>
  <c r="AX116" i="1" s="1" a="1"/>
  <c r="AX116" i="1" s="1"/>
  <c r="AT113" i="4" a="1"/>
  <c r="AT113" i="4" s="1"/>
  <c r="AS115" i="1" s="1" a="1"/>
  <c r="AS115" i="1" s="1"/>
  <c r="AB114" i="1" a="1"/>
  <c r="AB114" i="1" s="1"/>
  <c r="AG156" i="1" a="1"/>
  <c r="AG156" i="1" s="1"/>
  <c r="AH156" i="1" a="1"/>
  <c r="AH156" i="1" s="1"/>
  <c r="AO114" i="4" a="1"/>
  <c r="AO114" i="4" s="1"/>
  <c r="AN116" i="1" s="1" a="1"/>
  <c r="AN116" i="1" s="1"/>
  <c r="AC114" i="1" a="1"/>
  <c r="AC114" i="1" s="1"/>
  <c r="AJ154" i="4" a="1"/>
  <c r="AJ154" i="4" s="1"/>
  <c r="AI156" i="1" s="1" a="1"/>
  <c r="AI156" i="1" s="1"/>
  <c r="S94" i="1" a="1"/>
  <c r="S94" i="1" s="1"/>
  <c r="M93" i="1" a="1"/>
  <c r="M93" i="1" s="1"/>
  <c r="R94" i="1" a="1"/>
  <c r="R94" i="1" s="1"/>
  <c r="N93" i="1" a="1"/>
  <c r="N93" i="1" s="1"/>
  <c r="K91" i="4" a="1"/>
  <c r="K91" i="4" s="1"/>
  <c r="J93" i="1" s="1" a="1"/>
  <c r="J93" i="1" s="1"/>
  <c r="M91" i="4"/>
  <c r="N91" i="4" s="1"/>
  <c r="O91" i="4" s="1" a="1"/>
  <c r="O91" i="4" s="1"/>
  <c r="AQ114" i="4"/>
  <c r="AB112" i="4"/>
  <c r="AG155" i="4"/>
  <c r="W91" i="4"/>
  <c r="AQ116" i="1" l="1" a="1"/>
  <c r="AQ116" i="1" s="1"/>
  <c r="AV117" i="1" a="1"/>
  <c r="AV117" i="1" s="1"/>
  <c r="AW117" i="1" a="1"/>
  <c r="AW117" i="1" s="1"/>
  <c r="AR116" i="1" a="1"/>
  <c r="AR116" i="1" s="1"/>
  <c r="AM117" i="1" a="1"/>
  <c r="AM117" i="1" s="1"/>
  <c r="AG157" i="1" a="1"/>
  <c r="AG157" i="1" s="1"/>
  <c r="AL117" i="1" a="1"/>
  <c r="AL117" i="1" s="1"/>
  <c r="AH157" i="1" a="1"/>
  <c r="AH157" i="1" s="1"/>
  <c r="H94" i="1" a="1"/>
  <c r="H94" i="1" s="1"/>
  <c r="P91" i="4" a="1"/>
  <c r="P91" i="4" s="1"/>
  <c r="O93" i="1" s="1" a="1"/>
  <c r="O93" i="1" s="1"/>
  <c r="I94" i="1" a="1"/>
  <c r="I94" i="1" s="1"/>
  <c r="AV115" i="4"/>
  <c r="AW115" i="4" s="1"/>
  <c r="AX115" i="4" s="1" a="1"/>
  <c r="AX115" i="4" s="1"/>
  <c r="AL115" i="4"/>
  <c r="AM115" i="4" s="1"/>
  <c r="AN115" i="4" s="1" a="1"/>
  <c r="AN115" i="4" s="1"/>
  <c r="AR114" i="4"/>
  <c r="AS114" i="4" s="1" a="1"/>
  <c r="AS114" i="4" s="1"/>
  <c r="AC112" i="4"/>
  <c r="AD112" i="4" s="1" a="1"/>
  <c r="AD112" i="4" s="1"/>
  <c r="AH155" i="4"/>
  <c r="AI155" i="4" s="1" a="1"/>
  <c r="AI155" i="4" s="1"/>
  <c r="X91" i="4"/>
  <c r="Y91" i="4" s="1" a="1"/>
  <c r="Y91" i="4" s="1"/>
  <c r="AY115" i="4" l="1" a="1"/>
  <c r="AY115" i="4" s="1"/>
  <c r="AX117" i="1" s="1" a="1"/>
  <c r="AX117" i="1" s="1"/>
  <c r="AT114" i="4" a="1"/>
  <c r="AT114" i="4" s="1"/>
  <c r="AS116" i="1" s="1" a="1"/>
  <c r="AS116" i="1" s="1"/>
  <c r="AO115" i="4" a="1"/>
  <c r="AO115" i="4" s="1"/>
  <c r="AN117" i="1" s="1" a="1"/>
  <c r="AN117" i="1" s="1"/>
  <c r="AJ155" i="4" a="1"/>
  <c r="AJ155" i="4" s="1"/>
  <c r="AI157" i="1" s="1" a="1"/>
  <c r="AI157" i="1" s="1"/>
  <c r="AE112" i="4" a="1"/>
  <c r="AE112" i="4" s="1"/>
  <c r="AD114" i="1" s="1" a="1"/>
  <c r="AD114" i="1" s="1"/>
  <c r="Z91" i="4" a="1"/>
  <c r="Z91" i="4" s="1"/>
  <c r="Y93" i="1" s="1" a="1"/>
  <c r="Y93" i="1" s="1"/>
  <c r="M94" i="1" a="1"/>
  <c r="M94" i="1" s="1"/>
  <c r="N94" i="1" a="1"/>
  <c r="N94" i="1" s="1"/>
  <c r="AV116" i="4"/>
  <c r="AL116" i="4"/>
  <c r="AG156" i="4"/>
  <c r="AH156" i="4" s="1"/>
  <c r="AI156" i="4" s="1" a="1"/>
  <c r="AI156" i="4" s="1"/>
  <c r="R92" i="4"/>
  <c r="S92" i="4" s="1"/>
  <c r="T92" i="4" s="1" a="1"/>
  <c r="T92" i="4" s="1"/>
  <c r="H92" i="4"/>
  <c r="AQ117" i="1" l="1" a="1"/>
  <c r="AQ117" i="1" s="1"/>
  <c r="AR117" i="1" a="1"/>
  <c r="AR117" i="1" s="1"/>
  <c r="AH158" i="1" a="1"/>
  <c r="AH158" i="1" s="1"/>
  <c r="AG158" i="1" a="1"/>
  <c r="AG158" i="1" s="1"/>
  <c r="AL118" i="1" a="1"/>
  <c r="AL118" i="1" s="1"/>
  <c r="AM118" i="1" a="1"/>
  <c r="AM118" i="1" s="1"/>
  <c r="AV118" i="1" a="1"/>
  <c r="AV118" i="1" s="1"/>
  <c r="AW118" i="1" a="1"/>
  <c r="AW118" i="1" s="1"/>
  <c r="AJ156" i="4" a="1"/>
  <c r="AJ156" i="4" s="1"/>
  <c r="AI158" i="1" s="1" a="1"/>
  <c r="AI158" i="1" s="1"/>
  <c r="AB115" i="1" a="1"/>
  <c r="AB115" i="1" s="1"/>
  <c r="AC115" i="1" a="1"/>
  <c r="AC115" i="1" s="1"/>
  <c r="W94" i="1" a="1"/>
  <c r="W94" i="1" s="1"/>
  <c r="X94" i="1" a="1"/>
  <c r="X94" i="1" s="1"/>
  <c r="U92" i="4" a="1"/>
  <c r="U92" i="4" s="1"/>
  <c r="T94" i="1" s="1" a="1"/>
  <c r="T94" i="1" s="1"/>
  <c r="AQ115" i="4"/>
  <c r="AR115" i="4" s="1"/>
  <c r="AS115" i="4" s="1" a="1"/>
  <c r="AS115" i="4" s="1"/>
  <c r="AB113" i="4"/>
  <c r="AC113" i="4" s="1"/>
  <c r="AD113" i="4" s="1" a="1"/>
  <c r="AD113" i="4" s="1"/>
  <c r="W92" i="4"/>
  <c r="X92" i="4" s="1"/>
  <c r="Y92" i="4" s="1" a="1"/>
  <c r="Y92" i="4" s="1"/>
  <c r="AW116" i="4"/>
  <c r="AX116" i="4" s="1" a="1"/>
  <c r="AX116" i="4" s="1"/>
  <c r="AM116" i="4"/>
  <c r="AN116" i="4" s="1" a="1"/>
  <c r="AN116" i="4" s="1"/>
  <c r="AG157" i="4"/>
  <c r="I92" i="4"/>
  <c r="J92" i="4" s="1" a="1"/>
  <c r="J92" i="4" s="1"/>
  <c r="M92" i="4"/>
  <c r="AY116" i="4" l="1" a="1"/>
  <c r="AY116" i="4" s="1"/>
  <c r="AX118" i="1" s="1" a="1"/>
  <c r="AX118" i="1" s="1"/>
  <c r="AG159" i="1" a="1"/>
  <c r="AG159" i="1" s="1"/>
  <c r="AT115" i="4" a="1"/>
  <c r="AT115" i="4" s="1"/>
  <c r="AS117" i="1" s="1" a="1"/>
  <c r="AS117" i="1" s="1"/>
  <c r="AO116" i="4" a="1"/>
  <c r="AO116" i="4" s="1"/>
  <c r="AN118" i="1" s="1" a="1"/>
  <c r="AN118" i="1" s="1"/>
  <c r="AH159" i="1" a="1"/>
  <c r="AH159" i="1" s="1"/>
  <c r="R95" i="1" a="1"/>
  <c r="R95" i="1" s="1"/>
  <c r="AE113" i="4" a="1"/>
  <c r="AE113" i="4" s="1"/>
  <c r="AD115" i="1" s="1" a="1"/>
  <c r="AD115" i="1" s="1"/>
  <c r="S95" i="1" a="1"/>
  <c r="S95" i="1" s="1"/>
  <c r="Z92" i="4" a="1"/>
  <c r="Z92" i="4" s="1"/>
  <c r="Y94" i="1" s="1" a="1"/>
  <c r="Y94" i="1" s="1"/>
  <c r="K92" i="4" a="1"/>
  <c r="K92" i="4" s="1"/>
  <c r="J94" i="1" s="1" a="1"/>
  <c r="J94" i="1" s="1"/>
  <c r="AQ116" i="4"/>
  <c r="AB114" i="4"/>
  <c r="AH157" i="4"/>
  <c r="AI157" i="4" s="1" a="1"/>
  <c r="AI157" i="4" s="1"/>
  <c r="N92" i="4"/>
  <c r="O92" i="4" s="1" a="1"/>
  <c r="O92" i="4" s="1"/>
  <c r="AV119" i="1" l="1" a="1"/>
  <c r="AV119" i="1" s="1"/>
  <c r="AW119" i="1" a="1"/>
  <c r="AW119" i="1" s="1"/>
  <c r="AL119" i="1" a="1"/>
  <c r="AL119" i="1" s="1"/>
  <c r="AR118" i="1" a="1"/>
  <c r="AR118" i="1" s="1"/>
  <c r="AM119" i="1" a="1"/>
  <c r="AM119" i="1" s="1"/>
  <c r="AQ118" i="1" a="1"/>
  <c r="AQ118" i="1" s="1"/>
  <c r="AC116" i="1" a="1"/>
  <c r="AC116" i="1" s="1"/>
  <c r="AB116" i="1" a="1"/>
  <c r="AB116" i="1" s="1"/>
  <c r="X95" i="1" a="1"/>
  <c r="X95" i="1" s="1"/>
  <c r="AJ157" i="4" a="1"/>
  <c r="AJ157" i="4" s="1"/>
  <c r="AI159" i="1" s="1" a="1"/>
  <c r="AI159" i="1" s="1"/>
  <c r="W95" i="1" a="1"/>
  <c r="W95" i="1" s="1"/>
  <c r="H95" i="1" a="1"/>
  <c r="H95" i="1" s="1"/>
  <c r="I95" i="1" a="1"/>
  <c r="I95" i="1" s="1"/>
  <c r="P92" i="4" a="1"/>
  <c r="P92" i="4" s="1"/>
  <c r="O94" i="1" s="1" a="1"/>
  <c r="O94" i="1" s="1"/>
  <c r="AV117" i="4"/>
  <c r="AR116" i="4"/>
  <c r="AS116" i="4" s="1" a="1"/>
  <c r="AS116" i="4" s="1"/>
  <c r="AL117" i="4"/>
  <c r="AC114" i="4"/>
  <c r="AD114" i="4" s="1" a="1"/>
  <c r="AD114" i="4" s="1"/>
  <c r="R93" i="4"/>
  <c r="S93" i="4" s="1"/>
  <c r="T93" i="4" s="1" a="1"/>
  <c r="T93" i="4" s="1"/>
  <c r="H93" i="4"/>
  <c r="AT116" i="4" l="1" a="1"/>
  <c r="AT116" i="4" s="1"/>
  <c r="AS118" i="1" s="1" a="1"/>
  <c r="AS118" i="1" s="1"/>
  <c r="AH160" i="1" a="1"/>
  <c r="AH160" i="1" s="1"/>
  <c r="AG160" i="1" a="1"/>
  <c r="AG160" i="1" s="1"/>
  <c r="AE114" i="4" a="1"/>
  <c r="AE114" i="4" s="1"/>
  <c r="AD116" i="1" s="1" a="1"/>
  <c r="AD116" i="1" s="1"/>
  <c r="M95" i="1" a="1"/>
  <c r="M95" i="1" s="1"/>
  <c r="N95" i="1" a="1"/>
  <c r="N95" i="1" s="1"/>
  <c r="U93" i="4" a="1"/>
  <c r="U93" i="4" s="1"/>
  <c r="T95" i="1" s="1" a="1"/>
  <c r="T95" i="1" s="1"/>
  <c r="M93" i="4"/>
  <c r="N93" i="4" s="1"/>
  <c r="O93" i="4" s="1" a="1"/>
  <c r="O93" i="4" s="1"/>
  <c r="AW117" i="4"/>
  <c r="AX117" i="4" s="1" a="1"/>
  <c r="AX117" i="4" s="1"/>
  <c r="AM117" i="4"/>
  <c r="AN117" i="4" s="1" a="1"/>
  <c r="AN117" i="4" s="1"/>
  <c r="AG158" i="4"/>
  <c r="AH158" i="4" s="1"/>
  <c r="AI158" i="4" s="1" a="1"/>
  <c r="AI158" i="4" s="1"/>
  <c r="I93" i="4"/>
  <c r="J93" i="4" s="1" a="1"/>
  <c r="J93" i="4" s="1"/>
  <c r="AQ119" i="1" l="1" a="1"/>
  <c r="AQ119" i="1" s="1"/>
  <c r="AR119" i="1" a="1"/>
  <c r="AR119" i="1" s="1"/>
  <c r="AY117" i="4" a="1"/>
  <c r="AY117" i="4" s="1"/>
  <c r="AX119" i="1" s="1" a="1"/>
  <c r="AX119" i="1" s="1"/>
  <c r="AO117" i="4" a="1"/>
  <c r="AO117" i="4" s="1"/>
  <c r="AN119" i="1" s="1" a="1"/>
  <c r="AN119" i="1" s="1"/>
  <c r="AJ158" i="4" a="1"/>
  <c r="AJ158" i="4" s="1"/>
  <c r="AI160" i="1" s="1" a="1"/>
  <c r="AI160" i="1" s="1"/>
  <c r="AB117" i="1" a="1"/>
  <c r="AB117" i="1" s="1"/>
  <c r="AC117" i="1" a="1"/>
  <c r="AC117" i="1" s="1"/>
  <c r="R96" i="1" a="1"/>
  <c r="R96" i="1" s="1"/>
  <c r="S96" i="1" a="1"/>
  <c r="S96" i="1" s="1"/>
  <c r="P93" i="4" a="1"/>
  <c r="P93" i="4" s="1"/>
  <c r="O95" i="1" s="1" a="1"/>
  <c r="O95" i="1" s="1"/>
  <c r="K93" i="4" a="1"/>
  <c r="K93" i="4" s="1"/>
  <c r="J95" i="1" s="1" a="1"/>
  <c r="J95" i="1" s="1"/>
  <c r="AB115" i="4"/>
  <c r="AC115" i="4" s="1"/>
  <c r="AD115" i="4" s="1" a="1"/>
  <c r="AD115" i="4" s="1"/>
  <c r="AQ117" i="4"/>
  <c r="W93" i="4"/>
  <c r="X93" i="4" s="1"/>
  <c r="Y93" i="4" s="1" a="1"/>
  <c r="Y93" i="4" s="1"/>
  <c r="AV120" i="1" l="1" a="1"/>
  <c r="AV120" i="1" s="1"/>
  <c r="AW120" i="1" a="1"/>
  <c r="AW120" i="1" s="1"/>
  <c r="AH161" i="1" a="1"/>
  <c r="AH161" i="1" s="1"/>
  <c r="AL120" i="1" a="1"/>
  <c r="AL120" i="1" s="1"/>
  <c r="AG161" i="1" a="1"/>
  <c r="AG161" i="1" s="1"/>
  <c r="AM120" i="1" a="1"/>
  <c r="AM120" i="1" s="1"/>
  <c r="M96" i="1" a="1"/>
  <c r="M96" i="1" s="1"/>
  <c r="AE115" i="4" a="1"/>
  <c r="AE115" i="4" s="1"/>
  <c r="AD117" i="1" s="1" a="1"/>
  <c r="AD117" i="1" s="1"/>
  <c r="N96" i="1" a="1"/>
  <c r="N96" i="1" s="1"/>
  <c r="Z93" i="4" a="1"/>
  <c r="Z93" i="4" s="1"/>
  <c r="Y95" i="1" s="1" a="1"/>
  <c r="Y95" i="1" s="1"/>
  <c r="H96" i="1" a="1"/>
  <c r="H96" i="1" s="1"/>
  <c r="I96" i="1" a="1"/>
  <c r="I96" i="1" s="1"/>
  <c r="AL118" i="4"/>
  <c r="AM118" i="4" s="1"/>
  <c r="AN118" i="4" s="1" a="1"/>
  <c r="AN118" i="4" s="1"/>
  <c r="AV118" i="4"/>
  <c r="AW118" i="4" s="1"/>
  <c r="AX118" i="4" s="1" a="1"/>
  <c r="AX118" i="4" s="1"/>
  <c r="AR117" i="4"/>
  <c r="AS117" i="4" s="1" a="1"/>
  <c r="AS117" i="4" s="1"/>
  <c r="AG159" i="4"/>
  <c r="AH159" i="4" s="1"/>
  <c r="AI159" i="4" s="1" a="1"/>
  <c r="AI159" i="4" s="1"/>
  <c r="AB116" i="4"/>
  <c r="R94" i="4"/>
  <c r="H94" i="4"/>
  <c r="I94" i="4" s="1"/>
  <c r="J94" i="4" s="1" a="1"/>
  <c r="J94" i="4" s="1"/>
  <c r="AC118" i="1" l="1" a="1"/>
  <c r="AC118" i="1" s="1"/>
  <c r="AY118" i="4" a="1"/>
  <c r="AY118" i="4" s="1"/>
  <c r="AX120" i="1" s="1" a="1"/>
  <c r="AX120" i="1" s="1"/>
  <c r="AT117" i="4" a="1"/>
  <c r="AT117" i="4" s="1"/>
  <c r="AS119" i="1" s="1" a="1"/>
  <c r="AS119" i="1" s="1"/>
  <c r="AO118" i="4" a="1"/>
  <c r="AO118" i="4" s="1"/>
  <c r="AN120" i="1" s="1" a="1"/>
  <c r="AN120" i="1" s="1"/>
  <c r="AB118" i="1" a="1"/>
  <c r="AB118" i="1" s="1"/>
  <c r="AJ159" i="4" a="1"/>
  <c r="AJ159" i="4" s="1"/>
  <c r="AI161" i="1" s="1" a="1"/>
  <c r="AI161" i="1" s="1"/>
  <c r="W96" i="1" a="1"/>
  <c r="W96" i="1" s="1"/>
  <c r="X96" i="1" a="1"/>
  <c r="X96" i="1" s="1"/>
  <c r="K94" i="4" a="1"/>
  <c r="K94" i="4" s="1"/>
  <c r="J96" i="1" s="1" a="1"/>
  <c r="J96" i="1" s="1"/>
  <c r="W94" i="4"/>
  <c r="X94" i="4" s="1"/>
  <c r="Y94" i="4" s="1" a="1"/>
  <c r="Y94" i="4" s="1"/>
  <c r="AV119" i="4"/>
  <c r="AL119" i="4"/>
  <c r="AC116" i="4"/>
  <c r="AD116" i="4" s="1" a="1"/>
  <c r="AD116" i="4" s="1"/>
  <c r="AG160" i="4"/>
  <c r="S94" i="4"/>
  <c r="T94" i="4" s="1" a="1"/>
  <c r="T94" i="4" s="1"/>
  <c r="M94" i="4"/>
  <c r="N94" i="4" s="1"/>
  <c r="O94" i="4" s="1" a="1"/>
  <c r="O94" i="4" s="1"/>
  <c r="AL121" i="1" l="1" a="1"/>
  <c r="AL121" i="1" s="1"/>
  <c r="AW121" i="1" a="1"/>
  <c r="AW121" i="1" s="1"/>
  <c r="AV121" i="1" a="1"/>
  <c r="AV121" i="1" s="1"/>
  <c r="AG162" i="1" a="1"/>
  <c r="AG162" i="1" s="1"/>
  <c r="AQ120" i="1" a="1"/>
  <c r="AQ120" i="1" s="1"/>
  <c r="AR120" i="1" a="1"/>
  <c r="AR120" i="1" s="1"/>
  <c r="AM121" i="1" a="1"/>
  <c r="AM121" i="1" s="1"/>
  <c r="AH162" i="1" a="1"/>
  <c r="AH162" i="1" s="1"/>
  <c r="H97" i="1" a="1"/>
  <c r="H97" i="1" s="1"/>
  <c r="AE116" i="4" a="1"/>
  <c r="AE116" i="4" s="1"/>
  <c r="AD118" i="1" s="1" a="1"/>
  <c r="AD118" i="1" s="1"/>
  <c r="Z94" i="4" a="1"/>
  <c r="Z94" i="4" s="1"/>
  <c r="Y96" i="1" s="1" a="1"/>
  <c r="Y96" i="1" s="1"/>
  <c r="U94" i="4" a="1"/>
  <c r="U94" i="4" s="1"/>
  <c r="T96" i="1" s="1" a="1"/>
  <c r="T96" i="1" s="1"/>
  <c r="P94" i="4" a="1"/>
  <c r="P94" i="4" s="1"/>
  <c r="O96" i="1" s="1" a="1"/>
  <c r="O96" i="1" s="1"/>
  <c r="I97" i="1" a="1"/>
  <c r="I97" i="1" s="1"/>
  <c r="AQ118" i="4"/>
  <c r="AR118" i="4" s="1"/>
  <c r="AS118" i="4" s="1" a="1"/>
  <c r="AS118" i="4" s="1"/>
  <c r="AW119" i="4"/>
  <c r="AX119" i="4" s="1" a="1"/>
  <c r="AX119" i="4" s="1"/>
  <c r="AM119" i="4"/>
  <c r="AN119" i="4" s="1" a="1"/>
  <c r="AN119" i="4" s="1"/>
  <c r="AH160" i="4"/>
  <c r="AI160" i="4" s="1" a="1"/>
  <c r="AI160" i="4" s="1"/>
  <c r="AY119" i="4" l="1" a="1"/>
  <c r="AY119" i="4" s="1"/>
  <c r="AX121" i="1" s="1" a="1"/>
  <c r="AX121" i="1" s="1"/>
  <c r="AT118" i="4" a="1"/>
  <c r="AT118" i="4" s="1"/>
  <c r="AS120" i="1" s="1" a="1"/>
  <c r="AS120" i="1" s="1"/>
  <c r="AO119" i="4" a="1"/>
  <c r="AO119" i="4" s="1"/>
  <c r="AN121" i="1" s="1" a="1"/>
  <c r="AN121" i="1" s="1"/>
  <c r="AJ160" i="4" a="1"/>
  <c r="AJ160" i="4" s="1"/>
  <c r="AI162" i="1" s="1" a="1"/>
  <c r="AI162" i="1" s="1"/>
  <c r="AB119" i="1" a="1"/>
  <c r="AB119" i="1" s="1"/>
  <c r="AC119" i="1" a="1"/>
  <c r="AC119" i="1" s="1"/>
  <c r="M97" i="1" a="1"/>
  <c r="M97" i="1" s="1"/>
  <c r="N97" i="1" a="1"/>
  <c r="N97" i="1" s="1"/>
  <c r="S97" i="1" a="1"/>
  <c r="S97" i="1" s="1"/>
  <c r="W97" i="1" a="1"/>
  <c r="W97" i="1" s="1"/>
  <c r="X97" i="1" a="1"/>
  <c r="X97" i="1" s="1"/>
  <c r="R97" i="1" a="1"/>
  <c r="R97" i="1" s="1"/>
  <c r="AQ119" i="4"/>
  <c r="AB117" i="4"/>
  <c r="R95" i="4"/>
  <c r="S95" i="4" s="1"/>
  <c r="T95" i="4" s="1" a="1"/>
  <c r="T95" i="4" s="1"/>
  <c r="AG161" i="4"/>
  <c r="AH161" i="4" s="1"/>
  <c r="AI161" i="4" s="1" a="1"/>
  <c r="AI161" i="4" s="1"/>
  <c r="M95" i="4"/>
  <c r="N95" i="4" s="1"/>
  <c r="O95" i="4" s="1" a="1"/>
  <c r="O95" i="4" s="1"/>
  <c r="H95" i="4"/>
  <c r="I95" i="4" s="1"/>
  <c r="J95" i="4" s="1" a="1"/>
  <c r="J95" i="4" s="1"/>
  <c r="AV122" i="1" l="1" a="1"/>
  <c r="AV122" i="1" s="1"/>
  <c r="AL122" i="1" a="1"/>
  <c r="AL122" i="1" s="1"/>
  <c r="AQ121" i="1" a="1"/>
  <c r="AQ121" i="1" s="1"/>
  <c r="AW122" i="1" a="1"/>
  <c r="AW122" i="1" s="1"/>
  <c r="AG163" i="1" a="1"/>
  <c r="AG163" i="1" s="1"/>
  <c r="AR121" i="1" a="1"/>
  <c r="AR121" i="1" s="1"/>
  <c r="AH163" i="1" a="1"/>
  <c r="AH163" i="1" s="1"/>
  <c r="AM122" i="1" a="1"/>
  <c r="AM122" i="1" s="1"/>
  <c r="AJ161" i="4" a="1"/>
  <c r="AJ161" i="4" s="1"/>
  <c r="AI163" i="1" s="1" a="1"/>
  <c r="AI163" i="1" s="1"/>
  <c r="U95" i="4" a="1"/>
  <c r="U95" i="4" s="1"/>
  <c r="T97" i="1" s="1" a="1"/>
  <c r="T97" i="1" s="1"/>
  <c r="P95" i="4" a="1"/>
  <c r="P95" i="4" s="1"/>
  <c r="O97" i="1" s="1" a="1"/>
  <c r="O97" i="1" s="1"/>
  <c r="K95" i="4" a="1"/>
  <c r="K95" i="4" s="1"/>
  <c r="J97" i="1" s="1" a="1"/>
  <c r="J97" i="1" s="1"/>
  <c r="AV120" i="4"/>
  <c r="AW120" i="4" s="1"/>
  <c r="AX120" i="4" s="1" a="1"/>
  <c r="AX120" i="4" s="1"/>
  <c r="AL120" i="4"/>
  <c r="AM120" i="4" s="1"/>
  <c r="AN120" i="4" s="1" a="1"/>
  <c r="AN120" i="4" s="1"/>
  <c r="AR119" i="4"/>
  <c r="AS119" i="4" s="1" a="1"/>
  <c r="AS119" i="4" s="1"/>
  <c r="AC117" i="4"/>
  <c r="AD117" i="4" s="1" a="1"/>
  <c r="AD117" i="4" s="1"/>
  <c r="AG162" i="4"/>
  <c r="W95" i="4"/>
  <c r="X95" i="4" s="1"/>
  <c r="Y95" i="4" s="1" a="1"/>
  <c r="Y95" i="4" s="1"/>
  <c r="AG164" i="1" l="1" a="1"/>
  <c r="AG164" i="1" s="1"/>
  <c r="AY120" i="4" a="1"/>
  <c r="AY120" i="4" s="1"/>
  <c r="AX122" i="1" s="1" a="1"/>
  <c r="AX122" i="1" s="1"/>
  <c r="AH164" i="1" a="1"/>
  <c r="AH164" i="1" s="1"/>
  <c r="AT119" i="4" a="1"/>
  <c r="AT119" i="4" s="1"/>
  <c r="AS121" i="1" s="1" a="1"/>
  <c r="AS121" i="1" s="1"/>
  <c r="AO120" i="4" a="1"/>
  <c r="AO120" i="4" s="1"/>
  <c r="AN122" i="1" s="1" a="1"/>
  <c r="AN122" i="1" s="1"/>
  <c r="AE117" i="4" a="1"/>
  <c r="AE117" i="4" s="1"/>
  <c r="AD119" i="1" s="1" a="1"/>
  <c r="AD119" i="1" s="1"/>
  <c r="M98" i="1" a="1"/>
  <c r="M98" i="1" s="1"/>
  <c r="Z95" i="4" a="1"/>
  <c r="Z95" i="4" s="1"/>
  <c r="Y97" i="1" s="1" a="1"/>
  <c r="Y97" i="1" s="1"/>
  <c r="R98" i="1" a="1"/>
  <c r="R98" i="1" s="1"/>
  <c r="N98" i="1" a="1"/>
  <c r="N98" i="1" s="1"/>
  <c r="S98" i="1" a="1"/>
  <c r="S98" i="1" s="1"/>
  <c r="H98" i="1" a="1"/>
  <c r="H98" i="1" s="1"/>
  <c r="I98" i="1" a="1"/>
  <c r="I98" i="1" s="1"/>
  <c r="AV121" i="4"/>
  <c r="AL121" i="4"/>
  <c r="AH162" i="4"/>
  <c r="AI162" i="4" s="1" a="1"/>
  <c r="AI162" i="4" s="1"/>
  <c r="R96" i="4"/>
  <c r="S96" i="4" s="1"/>
  <c r="T96" i="4" s="1" a="1"/>
  <c r="T96" i="4" s="1"/>
  <c r="H96" i="4"/>
  <c r="I96" i="4" s="1"/>
  <c r="J96" i="4" s="1" a="1"/>
  <c r="J96" i="4" s="1"/>
  <c r="AQ122" i="1" l="1" a="1"/>
  <c r="AQ122" i="1" s="1"/>
  <c r="AR122" i="1" a="1"/>
  <c r="AR122" i="1" s="1"/>
  <c r="AB120" i="1" a="1"/>
  <c r="AB120" i="1" s="1"/>
  <c r="AC120" i="1" a="1"/>
  <c r="AC120" i="1" s="1"/>
  <c r="AV123" i="1" a="1"/>
  <c r="AV123" i="1" s="1"/>
  <c r="AW123" i="1" a="1"/>
  <c r="AW123" i="1" s="1"/>
  <c r="AM123" i="1" a="1"/>
  <c r="AM123" i="1" s="1"/>
  <c r="AL123" i="1" a="1"/>
  <c r="AL123" i="1" s="1"/>
  <c r="AJ162" i="4" a="1"/>
  <c r="AJ162" i="4" s="1"/>
  <c r="AI164" i="1" s="1" a="1"/>
  <c r="AI164" i="1" s="1"/>
  <c r="W98" i="1" a="1"/>
  <c r="W98" i="1" s="1"/>
  <c r="X98" i="1" a="1"/>
  <c r="X98" i="1" s="1"/>
  <c r="U96" i="4" a="1"/>
  <c r="U96" i="4" s="1"/>
  <c r="T98" i="1" s="1" a="1"/>
  <c r="T98" i="1" s="1"/>
  <c r="K96" i="4" a="1"/>
  <c r="K96" i="4" s="1"/>
  <c r="J98" i="1" s="1" a="1"/>
  <c r="J98" i="1" s="1"/>
  <c r="AQ120" i="4"/>
  <c r="AR120" i="4" s="1"/>
  <c r="AS120" i="4" s="1" a="1"/>
  <c r="AS120" i="4" s="1"/>
  <c r="AB118" i="4"/>
  <c r="AC118" i="4" s="1"/>
  <c r="AD118" i="4" s="1" a="1"/>
  <c r="AD118" i="4" s="1"/>
  <c r="W96" i="4"/>
  <c r="X96" i="4" s="1"/>
  <c r="Y96" i="4" s="1" a="1"/>
  <c r="Y96" i="4" s="1"/>
  <c r="AW121" i="4"/>
  <c r="AX121" i="4" s="1" a="1"/>
  <c r="AX121" i="4" s="1"/>
  <c r="AM121" i="4"/>
  <c r="AN121" i="4" s="1" a="1"/>
  <c r="AN121" i="4" s="1"/>
  <c r="AG163" i="4"/>
  <c r="AH163" i="4" s="1"/>
  <c r="AI163" i="4" s="1" a="1"/>
  <c r="AI163" i="4" s="1"/>
  <c r="M96" i="4"/>
  <c r="N96" i="4" s="1"/>
  <c r="O96" i="4" s="1" a="1"/>
  <c r="O96" i="4" s="1"/>
  <c r="AY121" i="4" l="1" a="1"/>
  <c r="AY121" i="4" s="1"/>
  <c r="AX123" i="1" s="1" a="1"/>
  <c r="AX123" i="1" s="1"/>
  <c r="AG165" i="1" a="1"/>
  <c r="AG165" i="1" s="1"/>
  <c r="AT120" i="4" a="1"/>
  <c r="AT120" i="4" s="1"/>
  <c r="AS122" i="1" s="1" a="1"/>
  <c r="AS122" i="1" s="1"/>
  <c r="AH165" i="1" a="1"/>
  <c r="AH165" i="1" s="1"/>
  <c r="AO121" i="4" a="1"/>
  <c r="AO121" i="4" s="1"/>
  <c r="AN123" i="1" s="1" a="1"/>
  <c r="AN123" i="1" s="1"/>
  <c r="AJ163" i="4" a="1"/>
  <c r="AJ163" i="4" s="1"/>
  <c r="AI165" i="1" s="1" a="1"/>
  <c r="AI165" i="1" s="1"/>
  <c r="AE118" i="4" a="1"/>
  <c r="AE118" i="4" s="1"/>
  <c r="AD120" i="1" s="1" a="1"/>
  <c r="AD120" i="1" s="1"/>
  <c r="Z96" i="4" a="1"/>
  <c r="Z96" i="4" s="1"/>
  <c r="Y98" i="1" s="1" a="1"/>
  <c r="Y98" i="1" s="1"/>
  <c r="R99" i="1" a="1"/>
  <c r="R99" i="1" s="1"/>
  <c r="H99" i="1" a="1"/>
  <c r="H99" i="1" s="1"/>
  <c r="S99" i="1" a="1"/>
  <c r="S99" i="1" s="1"/>
  <c r="P96" i="4" a="1"/>
  <c r="P96" i="4" s="1"/>
  <c r="O98" i="1" s="1" a="1"/>
  <c r="O98" i="1" s="1"/>
  <c r="I99" i="1" a="1"/>
  <c r="I99" i="1" s="1"/>
  <c r="AQ121" i="4"/>
  <c r="AB119" i="4"/>
  <c r="R97" i="4"/>
  <c r="S97" i="4" s="1"/>
  <c r="T97" i="4" s="1" a="1"/>
  <c r="T97" i="4" s="1"/>
  <c r="AM124" i="1" l="1" a="1"/>
  <c r="AM124" i="1" s="1"/>
  <c r="AL124" i="1" a="1"/>
  <c r="AL124" i="1" s="1"/>
  <c r="AQ123" i="1" a="1"/>
  <c r="AQ123" i="1" s="1"/>
  <c r="AW124" i="1" a="1"/>
  <c r="AW124" i="1" s="1"/>
  <c r="AV124" i="1" a="1"/>
  <c r="AV124" i="1" s="1"/>
  <c r="AH166" i="1" a="1"/>
  <c r="AH166" i="1" s="1"/>
  <c r="AR123" i="1" a="1"/>
  <c r="AR123" i="1" s="1"/>
  <c r="AB121" i="1" a="1"/>
  <c r="AB121" i="1" s="1"/>
  <c r="AG166" i="1" a="1"/>
  <c r="AG166" i="1" s="1"/>
  <c r="AC121" i="1" a="1"/>
  <c r="AC121" i="1" s="1"/>
  <c r="W99" i="1" a="1"/>
  <c r="W99" i="1" s="1"/>
  <c r="X99" i="1" a="1"/>
  <c r="X99" i="1" s="1"/>
  <c r="M99" i="1" a="1"/>
  <c r="M99" i="1" s="1"/>
  <c r="U97" i="4" a="1"/>
  <c r="U97" i="4" s="1"/>
  <c r="T99" i="1" s="1" a="1"/>
  <c r="T99" i="1" s="1"/>
  <c r="N99" i="1" a="1"/>
  <c r="N99" i="1" s="1"/>
  <c r="AV122" i="4"/>
  <c r="AR121" i="4"/>
  <c r="AS121" i="4" s="1" a="1"/>
  <c r="AS121" i="4" s="1"/>
  <c r="AL122" i="4"/>
  <c r="AG164" i="4"/>
  <c r="AH164" i="4" s="1"/>
  <c r="AI164" i="4" s="1" a="1"/>
  <c r="AI164" i="4" s="1"/>
  <c r="AC119" i="4"/>
  <c r="AD119" i="4" s="1" a="1"/>
  <c r="AD119" i="4" s="1"/>
  <c r="M97" i="4"/>
  <c r="N97" i="4" s="1"/>
  <c r="O97" i="4" s="1" a="1"/>
  <c r="O97" i="4" s="1"/>
  <c r="H97" i="4"/>
  <c r="I97" i="4" s="1"/>
  <c r="J97" i="4" s="1" a="1"/>
  <c r="J97" i="4" s="1"/>
  <c r="W97" i="4"/>
  <c r="X97" i="4" s="1"/>
  <c r="Y97" i="4" s="1" a="1"/>
  <c r="Y97" i="4" s="1"/>
  <c r="AT121" i="4" l="1" a="1"/>
  <c r="AT121" i="4" s="1"/>
  <c r="AS123" i="1" s="1" a="1"/>
  <c r="AS123" i="1" s="1"/>
  <c r="AJ164" i="4" a="1"/>
  <c r="AJ164" i="4" s="1"/>
  <c r="AI166" i="1" s="1" a="1"/>
  <c r="AI166" i="1" s="1"/>
  <c r="AE119" i="4" a="1"/>
  <c r="AE119" i="4" s="1"/>
  <c r="AD121" i="1" s="1" a="1"/>
  <c r="AD121" i="1" s="1"/>
  <c r="Z97" i="4" a="1"/>
  <c r="Z97" i="4" s="1"/>
  <c r="Y99" i="1" s="1" a="1"/>
  <c r="Y99" i="1" s="1"/>
  <c r="S100" i="1" a="1"/>
  <c r="S100" i="1" s="1"/>
  <c r="R100" i="1" a="1"/>
  <c r="R100" i="1" s="1"/>
  <c r="P97" i="4" a="1"/>
  <c r="P97" i="4" s="1"/>
  <c r="O99" i="1" s="1" a="1"/>
  <c r="O99" i="1" s="1"/>
  <c r="K97" i="4" a="1"/>
  <c r="K97" i="4" s="1"/>
  <c r="J99" i="1" s="1" a="1"/>
  <c r="J99" i="1" s="1"/>
  <c r="AW122" i="4"/>
  <c r="AX122" i="4" s="1" a="1"/>
  <c r="AX122" i="4" s="1"/>
  <c r="AM122" i="4"/>
  <c r="AN122" i="4" s="1" a="1"/>
  <c r="AN122" i="4" s="1"/>
  <c r="AG165" i="4"/>
  <c r="AY122" i="4" l="1" a="1"/>
  <c r="AY122" i="4" s="1"/>
  <c r="AX124" i="1" s="1" a="1"/>
  <c r="AX124" i="1" s="1"/>
  <c r="AQ124" i="1" a="1"/>
  <c r="AQ124" i="1" s="1"/>
  <c r="AR124" i="1" a="1"/>
  <c r="AR124" i="1" s="1"/>
  <c r="AB122" i="1" a="1"/>
  <c r="AB122" i="1" s="1"/>
  <c r="AO122" i="4" a="1"/>
  <c r="AO122" i="4" s="1"/>
  <c r="AN124" i="1" s="1" a="1"/>
  <c r="AN124" i="1" s="1"/>
  <c r="AG167" i="1" a="1"/>
  <c r="AG167" i="1" s="1"/>
  <c r="AH167" i="1" a="1"/>
  <c r="AH167" i="1" s="1"/>
  <c r="W100" i="1" a="1"/>
  <c r="W100" i="1" s="1"/>
  <c r="AC122" i="1" a="1"/>
  <c r="AC122" i="1" s="1"/>
  <c r="X100" i="1" a="1"/>
  <c r="X100" i="1" s="1"/>
  <c r="M100" i="1" a="1"/>
  <c r="M100" i="1" s="1"/>
  <c r="N100" i="1" a="1"/>
  <c r="N100" i="1" s="1"/>
  <c r="H100" i="1" a="1"/>
  <c r="H100" i="1" s="1"/>
  <c r="I100" i="1" a="1"/>
  <c r="I100" i="1" s="1"/>
  <c r="AB120" i="4"/>
  <c r="AC120" i="4" s="1"/>
  <c r="AD120" i="4" s="1" a="1"/>
  <c r="AD120" i="4" s="1"/>
  <c r="AQ122" i="4"/>
  <c r="AH165" i="4"/>
  <c r="AI165" i="4" s="1" a="1"/>
  <c r="AI165" i="4" s="1"/>
  <c r="R98" i="4"/>
  <c r="S98" i="4" s="1"/>
  <c r="T98" i="4" s="1" a="1"/>
  <c r="T98" i="4" s="1"/>
  <c r="H98" i="4"/>
  <c r="I98" i="4" s="1"/>
  <c r="J98" i="4" s="1" a="1"/>
  <c r="J98" i="4" s="1"/>
  <c r="AV125" i="1" l="1" a="1"/>
  <c r="AV125" i="1" s="1"/>
  <c r="AW125" i="1" a="1"/>
  <c r="AW125" i="1" s="1"/>
  <c r="AM125" i="1" a="1"/>
  <c r="AM125" i="1" s="1"/>
  <c r="AL125" i="1" a="1"/>
  <c r="AL125" i="1" s="1"/>
  <c r="AJ165" i="4" a="1"/>
  <c r="AJ165" i="4" s="1"/>
  <c r="AI167" i="1" s="1" a="1"/>
  <c r="AI167" i="1" s="1"/>
  <c r="AE120" i="4" a="1"/>
  <c r="AE120" i="4" s="1"/>
  <c r="AD122" i="1" s="1" a="1"/>
  <c r="AD122" i="1" s="1"/>
  <c r="U98" i="4" a="1"/>
  <c r="U98" i="4" s="1"/>
  <c r="T100" i="1" s="1" a="1"/>
  <c r="T100" i="1" s="1"/>
  <c r="K98" i="4" a="1"/>
  <c r="K98" i="4" s="1"/>
  <c r="J100" i="1" s="1" a="1"/>
  <c r="J100" i="1" s="1"/>
  <c r="AV123" i="4"/>
  <c r="AR122" i="4"/>
  <c r="AS122" i="4" s="1" a="1"/>
  <c r="AS122" i="4" s="1"/>
  <c r="AL123" i="4"/>
  <c r="AB121" i="4"/>
  <c r="AG166" i="4"/>
  <c r="AH166" i="4" s="1"/>
  <c r="AI166" i="4" s="1" a="1"/>
  <c r="AI166" i="4" s="1"/>
  <c r="W98" i="4"/>
  <c r="X98" i="4" s="1"/>
  <c r="Y98" i="4" s="1" a="1"/>
  <c r="Y98" i="4" s="1"/>
  <c r="M98" i="4"/>
  <c r="N98" i="4" s="1"/>
  <c r="O98" i="4" s="1" a="1"/>
  <c r="O98" i="4" s="1"/>
  <c r="H101" i="1" l="1" a="1"/>
  <c r="H101" i="1" s="1"/>
  <c r="AT122" i="4" a="1"/>
  <c r="AT122" i="4" s="1"/>
  <c r="AS124" i="1" s="1" a="1"/>
  <c r="AS124" i="1" s="1"/>
  <c r="I101" i="1" a="1"/>
  <c r="I101" i="1" s="1"/>
  <c r="AH168" i="1" a="1"/>
  <c r="AH168" i="1" s="1"/>
  <c r="AJ166" i="4" a="1"/>
  <c r="AJ166" i="4" s="1"/>
  <c r="AI168" i="1" s="1" a="1"/>
  <c r="AI168" i="1" s="1"/>
  <c r="AG168" i="1" a="1"/>
  <c r="AG168" i="1" s="1"/>
  <c r="AB123" i="1" a="1"/>
  <c r="AB123" i="1" s="1"/>
  <c r="AC123" i="1" a="1"/>
  <c r="AC123" i="1" s="1"/>
  <c r="Z98" i="4" a="1"/>
  <c r="Z98" i="4" s="1"/>
  <c r="Y100" i="1" s="1" a="1"/>
  <c r="Y100" i="1" s="1"/>
  <c r="R101" i="1" a="1"/>
  <c r="R101" i="1" s="1"/>
  <c r="S101" i="1" a="1"/>
  <c r="S101" i="1" s="1"/>
  <c r="P98" i="4" a="1"/>
  <c r="P98" i="4" s="1"/>
  <c r="O100" i="1" s="1" a="1"/>
  <c r="O100" i="1" s="1"/>
  <c r="AW123" i="4"/>
  <c r="AX123" i="4" s="1" a="1"/>
  <c r="AX123" i="4" s="1"/>
  <c r="AM123" i="4"/>
  <c r="AN123" i="4" s="1" a="1"/>
  <c r="AN123" i="4" s="1"/>
  <c r="AC121" i="4"/>
  <c r="AD121" i="4" s="1" a="1"/>
  <c r="AD121" i="4" s="1"/>
  <c r="AG167" i="4"/>
  <c r="AQ125" i="1" l="1" a="1"/>
  <c r="AQ125" i="1" s="1"/>
  <c r="AR125" i="1" a="1"/>
  <c r="AR125" i="1" s="1"/>
  <c r="AY123" i="4" a="1"/>
  <c r="AY123" i="4" s="1"/>
  <c r="AX125" i="1" s="1" a="1"/>
  <c r="AX125" i="1" s="1"/>
  <c r="AG169" i="1" a="1"/>
  <c r="AG169" i="1" s="1"/>
  <c r="AO123" i="4" a="1"/>
  <c r="AO123" i="4" s="1"/>
  <c r="AN125" i="1" s="1" a="1"/>
  <c r="AN125" i="1" s="1"/>
  <c r="W101" i="1" a="1"/>
  <c r="W101" i="1" s="1"/>
  <c r="AH169" i="1" a="1"/>
  <c r="AH169" i="1" s="1"/>
  <c r="AE121" i="4" a="1"/>
  <c r="AE121" i="4" s="1"/>
  <c r="AD123" i="1" s="1" a="1"/>
  <c r="AD123" i="1" s="1"/>
  <c r="X101" i="1" a="1"/>
  <c r="X101" i="1" s="1"/>
  <c r="M101" i="1" a="1"/>
  <c r="M101" i="1" s="1"/>
  <c r="N101" i="1" a="1"/>
  <c r="N101" i="1" s="1"/>
  <c r="AQ123" i="4"/>
  <c r="AH167" i="4"/>
  <c r="AI167" i="4" s="1" a="1"/>
  <c r="AI167" i="4" s="1"/>
  <c r="M99" i="4"/>
  <c r="N99" i="4" s="1"/>
  <c r="O99" i="4" s="1" a="1"/>
  <c r="O99" i="4" s="1"/>
  <c r="R99" i="4"/>
  <c r="S99" i="4" s="1"/>
  <c r="T99" i="4" s="1" a="1"/>
  <c r="T99" i="4" s="1"/>
  <c r="H99" i="4"/>
  <c r="I99" i="4" s="1"/>
  <c r="J99" i="4" s="1" a="1"/>
  <c r="J99" i="4" s="1"/>
  <c r="AV126" i="1" l="1" a="1"/>
  <c r="AV126" i="1" s="1"/>
  <c r="AW126" i="1" a="1"/>
  <c r="AW126" i="1" s="1"/>
  <c r="AL126" i="1" a="1"/>
  <c r="AL126" i="1" s="1"/>
  <c r="AB124" i="1" a="1"/>
  <c r="AB124" i="1" s="1"/>
  <c r="AM126" i="1" a="1"/>
  <c r="AM126" i="1" s="1"/>
  <c r="AJ167" i="4" a="1"/>
  <c r="AJ167" i="4" s="1"/>
  <c r="AI169" i="1" s="1" a="1"/>
  <c r="AI169" i="1" s="1"/>
  <c r="AC124" i="1" a="1"/>
  <c r="AC124" i="1" s="1"/>
  <c r="U99" i="4" a="1"/>
  <c r="U99" i="4" s="1"/>
  <c r="T101" i="1" s="1" a="1"/>
  <c r="T101" i="1" s="1"/>
  <c r="P99" i="4" a="1"/>
  <c r="P99" i="4" s="1"/>
  <c r="O101" i="1" s="1" a="1"/>
  <c r="O101" i="1" s="1"/>
  <c r="K99" i="4" a="1"/>
  <c r="K99" i="4" s="1"/>
  <c r="J101" i="1" s="1" a="1"/>
  <c r="J101" i="1" s="1"/>
  <c r="AV124" i="4"/>
  <c r="AR123" i="4"/>
  <c r="AS123" i="4" s="1" a="1"/>
  <c r="AS123" i="4" s="1"/>
  <c r="AL124" i="4"/>
  <c r="AB122" i="4"/>
  <c r="AG168" i="4"/>
  <c r="AH168" i="4" s="1"/>
  <c r="AI168" i="4" s="1" a="1"/>
  <c r="AI168" i="4" s="1"/>
  <c r="W99" i="4"/>
  <c r="X99" i="4" s="1"/>
  <c r="Y99" i="4" s="1" a="1"/>
  <c r="Y99" i="4" s="1"/>
  <c r="AT123" i="4" l="1" a="1"/>
  <c r="AT123" i="4" s="1"/>
  <c r="AS125" i="1" s="1" a="1"/>
  <c r="AS125" i="1" s="1"/>
  <c r="AH170" i="1" a="1"/>
  <c r="AH170" i="1" s="1"/>
  <c r="AG170" i="1" a="1"/>
  <c r="AG170" i="1" s="1"/>
  <c r="AJ168" i="4" a="1"/>
  <c r="AJ168" i="4" s="1"/>
  <c r="AI170" i="1" s="1" a="1"/>
  <c r="AI170" i="1" s="1"/>
  <c r="M102" i="1" a="1"/>
  <c r="M102" i="1" s="1"/>
  <c r="N102" i="1" a="1"/>
  <c r="N102" i="1" s="1"/>
  <c r="Z99" i="4" a="1"/>
  <c r="Z99" i="4" s="1"/>
  <c r="Y101" i="1" s="1" a="1"/>
  <c r="Y101" i="1" s="1"/>
  <c r="R102" i="1" a="1"/>
  <c r="R102" i="1" s="1"/>
  <c r="S102" i="1" a="1"/>
  <c r="S102" i="1" s="1"/>
  <c r="H102" i="1" a="1"/>
  <c r="H102" i="1" s="1"/>
  <c r="I102" i="1" a="1"/>
  <c r="I102" i="1" s="1"/>
  <c r="AW124" i="4"/>
  <c r="AX124" i="4" s="1" a="1"/>
  <c r="AX124" i="4" s="1"/>
  <c r="AM124" i="4"/>
  <c r="AN124" i="4" s="1" a="1"/>
  <c r="AN124" i="4" s="1"/>
  <c r="AC122" i="4"/>
  <c r="AD122" i="4" s="1" a="1"/>
  <c r="AD122" i="4" s="1"/>
  <c r="AG169" i="4"/>
  <c r="AR126" i="1" l="1" a="1"/>
  <c r="AR126" i="1" s="1"/>
  <c r="AQ126" i="1" a="1"/>
  <c r="AQ126" i="1" s="1"/>
  <c r="AY124" i="4" a="1"/>
  <c r="AY124" i="4" s="1"/>
  <c r="AX126" i="1" s="1" a="1"/>
  <c r="AX126" i="1" s="1"/>
  <c r="AG171" i="1" a="1"/>
  <c r="AG171" i="1" s="1"/>
  <c r="AH171" i="1" a="1"/>
  <c r="AH171" i="1" s="1"/>
  <c r="AO124" i="4" a="1"/>
  <c r="AO124" i="4" s="1"/>
  <c r="AN126" i="1" s="1" a="1"/>
  <c r="AN126" i="1" s="1"/>
  <c r="AE122" i="4" a="1"/>
  <c r="AE122" i="4" s="1"/>
  <c r="AD124" i="1" s="1" a="1"/>
  <c r="AD124" i="1" s="1"/>
  <c r="W102" i="1" a="1"/>
  <c r="W102" i="1" s="1"/>
  <c r="X102" i="1" a="1"/>
  <c r="X102" i="1" s="1"/>
  <c r="AQ124" i="4"/>
  <c r="AH169" i="4"/>
  <c r="AI169" i="4" s="1" a="1"/>
  <c r="AI169" i="4" s="1"/>
  <c r="R100" i="4"/>
  <c r="S100" i="4" s="1"/>
  <c r="T100" i="4" s="1" a="1"/>
  <c r="T100" i="4" s="1"/>
  <c r="H100" i="4"/>
  <c r="W100" i="4"/>
  <c r="X100" i="4" s="1"/>
  <c r="Y100" i="4" s="1" a="1"/>
  <c r="Y100" i="4" s="1"/>
  <c r="AV127" i="1" l="1" a="1"/>
  <c r="AV127" i="1" s="1"/>
  <c r="AW127" i="1" a="1"/>
  <c r="AW127" i="1" s="1"/>
  <c r="AL127" i="1" a="1"/>
  <c r="AL127" i="1" s="1"/>
  <c r="AM127" i="1" a="1"/>
  <c r="AM127" i="1" s="1"/>
  <c r="AC125" i="1" a="1"/>
  <c r="AC125" i="1" s="1"/>
  <c r="AJ169" i="4" a="1"/>
  <c r="AJ169" i="4" s="1"/>
  <c r="AI171" i="1" s="1" a="1"/>
  <c r="AI171" i="1" s="1"/>
  <c r="AB125" i="1" a="1"/>
  <c r="AB125" i="1" s="1"/>
  <c r="Z100" i="4" a="1"/>
  <c r="Z100" i="4" s="1"/>
  <c r="Y102" i="1" s="1" a="1"/>
  <c r="Y102" i="1" s="1"/>
  <c r="U100" i="4" a="1"/>
  <c r="U100" i="4" s="1"/>
  <c r="T102" i="1" s="1" a="1"/>
  <c r="T102" i="1" s="1"/>
  <c r="AV125" i="4"/>
  <c r="AW125" i="4" s="1"/>
  <c r="AX125" i="4" s="1" a="1"/>
  <c r="AX125" i="4" s="1"/>
  <c r="AL125" i="4"/>
  <c r="AM125" i="4" s="1"/>
  <c r="AN125" i="4" s="1" a="1"/>
  <c r="AN125" i="4" s="1"/>
  <c r="AR124" i="4"/>
  <c r="AS124" i="4" s="1" a="1"/>
  <c r="AS124" i="4" s="1"/>
  <c r="AB123" i="4"/>
  <c r="AG170" i="4"/>
  <c r="I100" i="4"/>
  <c r="J100" i="4" s="1" a="1"/>
  <c r="J100" i="4" s="1"/>
  <c r="M100" i="4"/>
  <c r="N100" i="4" s="1"/>
  <c r="O100" i="4" s="1" a="1"/>
  <c r="O100" i="4" s="1"/>
  <c r="AY125" i="4" l="1" a="1"/>
  <c r="AY125" i="4" s="1"/>
  <c r="AX127" i="1" s="1" a="1"/>
  <c r="AX127" i="1" s="1"/>
  <c r="AT124" i="4" a="1"/>
  <c r="AT124" i="4" s="1"/>
  <c r="AS126" i="1" s="1" a="1"/>
  <c r="AS126" i="1" s="1"/>
  <c r="AO125" i="4" a="1"/>
  <c r="AO125" i="4" s="1"/>
  <c r="AN127" i="1" s="1" a="1"/>
  <c r="AN127" i="1" s="1"/>
  <c r="AH172" i="1" a="1"/>
  <c r="AH172" i="1" s="1"/>
  <c r="AG172" i="1" a="1"/>
  <c r="AG172" i="1" s="1"/>
  <c r="W103" i="1" a="1"/>
  <c r="W103" i="1" s="1"/>
  <c r="S103" i="1" a="1"/>
  <c r="S103" i="1" s="1"/>
  <c r="X103" i="1" a="1"/>
  <c r="X103" i="1" s="1"/>
  <c r="R103" i="1" a="1"/>
  <c r="R103" i="1" s="1"/>
  <c r="P100" i="4" a="1"/>
  <c r="P100" i="4" s="1"/>
  <c r="O102" i="1" s="1" a="1"/>
  <c r="O102" i="1" s="1"/>
  <c r="K100" i="4" a="1"/>
  <c r="K100" i="4" s="1"/>
  <c r="J102" i="1" s="1" a="1"/>
  <c r="J102" i="1" s="1"/>
  <c r="AV126" i="4"/>
  <c r="AL126" i="4"/>
  <c r="AC123" i="4"/>
  <c r="AD123" i="4" s="1" a="1"/>
  <c r="AD123" i="4" s="1"/>
  <c r="AH170" i="4"/>
  <c r="AI170" i="4" s="1" a="1"/>
  <c r="AI170" i="4" s="1"/>
  <c r="R101" i="4"/>
  <c r="S101" i="4" s="1"/>
  <c r="T101" i="4" s="1" a="1"/>
  <c r="T101" i="4" s="1"/>
  <c r="H101" i="4"/>
  <c r="I101" i="4" s="1"/>
  <c r="J101" i="4" s="1" a="1"/>
  <c r="J101" i="4" s="1"/>
  <c r="AQ127" i="1" l="1" a="1"/>
  <c r="AQ127" i="1" s="1"/>
  <c r="AV128" i="1" a="1"/>
  <c r="AV128" i="1" s="1"/>
  <c r="AW128" i="1" a="1"/>
  <c r="AW128" i="1" s="1"/>
  <c r="AR127" i="1" a="1"/>
  <c r="AR127" i="1" s="1"/>
  <c r="AL128" i="1" a="1"/>
  <c r="AL128" i="1" s="1"/>
  <c r="AM128" i="1" a="1"/>
  <c r="AM128" i="1" s="1"/>
  <c r="AJ170" i="4" a="1"/>
  <c r="AJ170" i="4" s="1"/>
  <c r="AI172" i="1" s="1" a="1"/>
  <c r="AI172" i="1" s="1"/>
  <c r="AE123" i="4" a="1"/>
  <c r="AE123" i="4" s="1"/>
  <c r="AD125" i="1" s="1" a="1"/>
  <c r="AD125" i="1" s="1"/>
  <c r="I103" i="1" a="1"/>
  <c r="I103" i="1" s="1"/>
  <c r="M103" i="1" a="1"/>
  <c r="M103" i="1" s="1"/>
  <c r="U101" i="4" a="1"/>
  <c r="U101" i="4" s="1"/>
  <c r="T103" i="1" s="1" a="1"/>
  <c r="T103" i="1" s="1"/>
  <c r="N103" i="1" a="1"/>
  <c r="N103" i="1" s="1"/>
  <c r="H103" i="1" a="1"/>
  <c r="H103" i="1" s="1"/>
  <c r="K101" i="4" a="1"/>
  <c r="K101" i="4" s="1"/>
  <c r="J103" i="1" s="1" a="1"/>
  <c r="J103" i="1" s="1"/>
  <c r="AQ125" i="4"/>
  <c r="AR125" i="4" s="1"/>
  <c r="AS125" i="4" s="1" a="1"/>
  <c r="AS125" i="4" s="1"/>
  <c r="AW126" i="4"/>
  <c r="AX126" i="4" s="1" a="1"/>
  <c r="AX126" i="4" s="1"/>
  <c r="AM126" i="4"/>
  <c r="AN126" i="4" s="1" a="1"/>
  <c r="AN126" i="4" s="1"/>
  <c r="M101" i="4"/>
  <c r="N101" i="4" s="1"/>
  <c r="O101" i="4" s="1" a="1"/>
  <c r="O101" i="4" s="1"/>
  <c r="AY126" i="4" l="1" a="1"/>
  <c r="AY126" i="4" s="1"/>
  <c r="AX128" i="1" s="1" a="1"/>
  <c r="AX128" i="1" s="1"/>
  <c r="AG173" i="1" a="1"/>
  <c r="AG173" i="1" s="1"/>
  <c r="AH173" i="1" a="1"/>
  <c r="AH173" i="1" s="1"/>
  <c r="AT125" i="4" a="1"/>
  <c r="AT125" i="4" s="1"/>
  <c r="AS127" i="1" s="1" a="1"/>
  <c r="AS127" i="1" s="1"/>
  <c r="AO126" i="4" a="1"/>
  <c r="AO126" i="4" s="1"/>
  <c r="AN128" i="1" s="1" a="1"/>
  <c r="AN128" i="1" s="1"/>
  <c r="AB126" i="1" a="1"/>
  <c r="AB126" i="1" s="1"/>
  <c r="R104" i="1" a="1"/>
  <c r="R104" i="1" s="1"/>
  <c r="AC126" i="1" a="1"/>
  <c r="AC126" i="1" s="1"/>
  <c r="H104" i="1" a="1"/>
  <c r="H104" i="1" s="1"/>
  <c r="S104" i="1" a="1"/>
  <c r="S104" i="1" s="1"/>
  <c r="P101" i="4" a="1"/>
  <c r="P101" i="4" s="1"/>
  <c r="O103" i="1" s="1" a="1"/>
  <c r="O103" i="1" s="1"/>
  <c r="I104" i="1" a="1"/>
  <c r="I104" i="1" s="1"/>
  <c r="AQ126" i="4"/>
  <c r="AG171" i="4"/>
  <c r="AH171" i="4" s="1"/>
  <c r="AI171" i="4" s="1" a="1"/>
  <c r="AI171" i="4" s="1"/>
  <c r="AB124" i="4"/>
  <c r="W101" i="4"/>
  <c r="X101" i="4" s="1"/>
  <c r="Y101" i="4" s="1" a="1"/>
  <c r="Y101" i="4" s="1"/>
  <c r="C5" i="4"/>
  <c r="D5" i="4" s="1"/>
  <c r="E5" i="4" s="1" a="1"/>
  <c r="E5" i="4" s="1"/>
  <c r="AW129" i="1" l="1" a="1"/>
  <c r="AW129" i="1" s="1"/>
  <c r="AV129" i="1" a="1"/>
  <c r="AV129" i="1" s="1"/>
  <c r="AR128" i="1" a="1"/>
  <c r="AR128" i="1" s="1"/>
  <c r="AQ128" i="1" a="1"/>
  <c r="AQ128" i="1" s="1"/>
  <c r="AL129" i="1" a="1"/>
  <c r="AL129" i="1" s="1"/>
  <c r="AM129" i="1" a="1"/>
  <c r="AM129" i="1" s="1"/>
  <c r="AJ171" i="4" a="1"/>
  <c r="AJ171" i="4" s="1"/>
  <c r="AI173" i="1" s="1" a="1"/>
  <c r="AI173" i="1" s="1"/>
  <c r="M104" i="1" a="1"/>
  <c r="M104" i="1" s="1"/>
  <c r="Z101" i="4" a="1"/>
  <c r="Z101" i="4" s="1"/>
  <c r="Y103" i="1" s="1" a="1"/>
  <c r="Y103" i="1" s="1"/>
  <c r="N104" i="1" a="1"/>
  <c r="N104" i="1" s="1"/>
  <c r="F5" i="4" a="1"/>
  <c r="F5" i="4" s="1"/>
  <c r="E7" i="1" s="1" a="1"/>
  <c r="E7" i="1" s="1"/>
  <c r="AL127" i="4"/>
  <c r="AM127" i="4" s="1"/>
  <c r="AN127" i="4" s="1" a="1"/>
  <c r="AN127" i="4" s="1"/>
  <c r="AV127" i="4"/>
  <c r="AR126" i="4"/>
  <c r="AS126" i="4" s="1" a="1"/>
  <c r="AS126" i="4" s="1"/>
  <c r="AC124" i="4"/>
  <c r="AD124" i="4" s="1" a="1"/>
  <c r="AD124" i="4" s="1"/>
  <c r="R102" i="4"/>
  <c r="S102" i="4" s="1"/>
  <c r="T102" i="4" s="1" a="1"/>
  <c r="T102" i="4" s="1"/>
  <c r="H102" i="4"/>
  <c r="I102" i="4" s="1"/>
  <c r="J102" i="4" s="1" a="1"/>
  <c r="J102" i="4" s="1"/>
  <c r="AT126" i="4" l="1" a="1"/>
  <c r="AT126" i="4" s="1"/>
  <c r="AS128" i="1" s="1" a="1"/>
  <c r="AS128" i="1" s="1"/>
  <c r="AH174" i="1" a="1"/>
  <c r="AH174" i="1" s="1"/>
  <c r="AO127" i="4" a="1"/>
  <c r="AO127" i="4" s="1"/>
  <c r="AN129" i="1" s="1" a="1"/>
  <c r="AN129" i="1" s="1"/>
  <c r="W104" i="1" a="1"/>
  <c r="W104" i="1" s="1"/>
  <c r="AG174" i="1" a="1"/>
  <c r="AG174" i="1" s="1"/>
  <c r="X104" i="1" a="1"/>
  <c r="X104" i="1" s="1"/>
  <c r="AE124" i="4" a="1"/>
  <c r="AE124" i="4" s="1"/>
  <c r="AD126" i="1" s="1" a="1"/>
  <c r="AD126" i="1" s="1"/>
  <c r="U102" i="4" a="1"/>
  <c r="U102" i="4" s="1"/>
  <c r="T104" i="1" s="1" a="1"/>
  <c r="T104" i="1" s="1"/>
  <c r="K102" i="4" a="1"/>
  <c r="K102" i="4" s="1"/>
  <c r="J104" i="1" s="1" a="1"/>
  <c r="J104" i="1" s="1"/>
  <c r="C8" i="1" a="1"/>
  <c r="C8" i="1" s="1"/>
  <c r="D8" i="1" a="1"/>
  <c r="D8" i="1" s="1"/>
  <c r="W102" i="4"/>
  <c r="X102" i="4" s="1"/>
  <c r="Y102" i="4" s="1" a="1"/>
  <c r="Y102" i="4" s="1"/>
  <c r="AG172" i="4"/>
  <c r="AH172" i="4" s="1"/>
  <c r="AI172" i="4" s="1" a="1"/>
  <c r="AI172" i="4" s="1"/>
  <c r="AW127" i="4"/>
  <c r="AX127" i="4" s="1" a="1"/>
  <c r="AX127" i="4" s="1"/>
  <c r="AL128" i="4"/>
  <c r="M102" i="4"/>
  <c r="N102" i="4" s="1"/>
  <c r="O102" i="4" s="1" a="1"/>
  <c r="O102" i="4" s="1"/>
  <c r="AL130" i="1" l="1" a="1"/>
  <c r="AL130" i="1" s="1"/>
  <c r="AY127" i="4" a="1"/>
  <c r="AY127" i="4" s="1"/>
  <c r="AX129" i="1" s="1" a="1"/>
  <c r="AX129" i="1" s="1"/>
  <c r="AM130" i="1" a="1"/>
  <c r="AM130" i="1" s="1"/>
  <c r="AQ129" i="1" a="1"/>
  <c r="AQ129" i="1" s="1"/>
  <c r="AR129" i="1" a="1"/>
  <c r="AR129" i="1" s="1"/>
  <c r="I105" i="1" a="1"/>
  <c r="I105" i="1" s="1"/>
  <c r="AB127" i="1" a="1"/>
  <c r="AB127" i="1" s="1"/>
  <c r="AJ172" i="4" a="1"/>
  <c r="AJ172" i="4" s="1"/>
  <c r="AI174" i="1" s="1" a="1"/>
  <c r="AI174" i="1" s="1"/>
  <c r="AC127" i="1" a="1"/>
  <c r="AC127" i="1" s="1"/>
  <c r="Z102" i="4" a="1"/>
  <c r="Z102" i="4" s="1"/>
  <c r="Y104" i="1" s="1" a="1"/>
  <c r="Y104" i="1" s="1"/>
  <c r="H105" i="1" a="1"/>
  <c r="H105" i="1" s="1"/>
  <c r="R105" i="1" a="1"/>
  <c r="R105" i="1" s="1"/>
  <c r="S105" i="1" a="1"/>
  <c r="S105" i="1" s="1"/>
  <c r="P102" i="4" a="1"/>
  <c r="P102" i="4" s="1"/>
  <c r="O104" i="1" s="1" a="1"/>
  <c r="O104" i="1" s="1"/>
  <c r="AB125" i="4"/>
  <c r="AC125" i="4" s="1"/>
  <c r="AD125" i="4" s="1" a="1"/>
  <c r="AD125" i="4" s="1"/>
  <c r="AQ127" i="4"/>
  <c r="AR127" i="4" s="1"/>
  <c r="AS127" i="4" s="1" a="1"/>
  <c r="AS127" i="4" s="1"/>
  <c r="AM128" i="4"/>
  <c r="AN128" i="4" s="1" a="1"/>
  <c r="AN128" i="4" s="1"/>
  <c r="AG173" i="4"/>
  <c r="AH173" i="4" s="1"/>
  <c r="AI173" i="4" s="1" a="1"/>
  <c r="AI173" i="4" s="1"/>
  <c r="AV130" i="1" l="1" a="1"/>
  <c r="AV130" i="1" s="1"/>
  <c r="AW130" i="1" a="1"/>
  <c r="AW130" i="1" s="1"/>
  <c r="AT127" i="4" a="1"/>
  <c r="AT127" i="4" s="1"/>
  <c r="AS129" i="1" s="1" a="1"/>
  <c r="AS129" i="1" s="1"/>
  <c r="M105" i="1" a="1"/>
  <c r="M105" i="1" s="1"/>
  <c r="AO128" i="4" a="1"/>
  <c r="AO128" i="4" s="1"/>
  <c r="AN130" i="1" s="1" a="1"/>
  <c r="AN130" i="1" s="1"/>
  <c r="AJ173" i="4" a="1"/>
  <c r="AJ173" i="4" s="1"/>
  <c r="AI175" i="1" s="1" a="1"/>
  <c r="AI175" i="1" s="1"/>
  <c r="AH175" i="1" a="1"/>
  <c r="AH175" i="1" s="1"/>
  <c r="AG175" i="1" a="1"/>
  <c r="AG175" i="1" s="1"/>
  <c r="AE125" i="4" a="1"/>
  <c r="AE125" i="4" s="1"/>
  <c r="AD127" i="1" s="1" a="1"/>
  <c r="AD127" i="1" s="1"/>
  <c r="W105" i="1" a="1"/>
  <c r="W105" i="1" s="1"/>
  <c r="X105" i="1" a="1"/>
  <c r="X105" i="1" s="1"/>
  <c r="N105" i="1" a="1"/>
  <c r="N105" i="1" s="1"/>
  <c r="AB126" i="4"/>
  <c r="AC126" i="4" s="1"/>
  <c r="AD126" i="4" s="1" a="1"/>
  <c r="AD126" i="4" s="1"/>
  <c r="AV128" i="4"/>
  <c r="AQ128" i="4"/>
  <c r="AG174" i="4"/>
  <c r="M103" i="4"/>
  <c r="N103" i="4" s="1"/>
  <c r="O103" i="4" s="1" a="1"/>
  <c r="O103" i="4" s="1"/>
  <c r="H103" i="4"/>
  <c r="I103" i="4" s="1"/>
  <c r="J103" i="4" s="1" a="1"/>
  <c r="J103" i="4" s="1"/>
  <c r="C6" i="4"/>
  <c r="D6" i="4" s="1"/>
  <c r="E6" i="4" s="1" a="1"/>
  <c r="E6" i="4" s="1"/>
  <c r="W103" i="4"/>
  <c r="X103" i="4" s="1"/>
  <c r="Y103" i="4" s="1" a="1"/>
  <c r="Y103" i="4" s="1"/>
  <c r="AQ130" i="1" l="1" a="1"/>
  <c r="AQ130" i="1" s="1"/>
  <c r="AH176" i="1" a="1"/>
  <c r="AH176" i="1" s="1"/>
  <c r="AL131" i="1" a="1"/>
  <c r="AL131" i="1" s="1"/>
  <c r="AM131" i="1" a="1"/>
  <c r="AM131" i="1" s="1"/>
  <c r="AR130" i="1" a="1"/>
  <c r="AR130" i="1" s="1"/>
  <c r="AB128" i="1" a="1"/>
  <c r="AB128" i="1" s="1"/>
  <c r="AG176" i="1" a="1"/>
  <c r="AG176" i="1" s="1"/>
  <c r="AE126" i="4" a="1"/>
  <c r="AE126" i="4" s="1"/>
  <c r="AD128" i="1" s="1" a="1"/>
  <c r="AD128" i="1" s="1"/>
  <c r="AC128" i="1" a="1"/>
  <c r="AC128" i="1" s="1"/>
  <c r="Z103" i="4" a="1"/>
  <c r="Z103" i="4" s="1"/>
  <c r="Y105" i="1" s="1" a="1"/>
  <c r="Y105" i="1" s="1"/>
  <c r="P103" i="4" a="1"/>
  <c r="P103" i="4" s="1"/>
  <c r="O105" i="1" s="1" a="1"/>
  <c r="O105" i="1" s="1"/>
  <c r="K103" i="4" a="1"/>
  <c r="K103" i="4" s="1"/>
  <c r="J105" i="1" s="1" a="1"/>
  <c r="J105" i="1" s="1"/>
  <c r="F6" i="4" a="1"/>
  <c r="F6" i="4" s="1"/>
  <c r="E8" i="1" s="1" a="1"/>
  <c r="E8" i="1" s="1"/>
  <c r="AB127" i="4"/>
  <c r="AC127" i="4" s="1"/>
  <c r="AD127" i="4" s="1" a="1"/>
  <c r="AD127" i="4" s="1"/>
  <c r="AW128" i="4"/>
  <c r="AX128" i="4" s="1" a="1"/>
  <c r="AX128" i="4" s="1"/>
  <c r="AR128" i="4"/>
  <c r="AS128" i="4" s="1" a="1"/>
  <c r="AS128" i="4" s="1"/>
  <c r="AL129" i="4"/>
  <c r="AH174" i="4"/>
  <c r="AI174" i="4" s="1" a="1"/>
  <c r="AI174" i="4" s="1"/>
  <c r="R103" i="4"/>
  <c r="S103" i="4" s="1"/>
  <c r="T103" i="4" s="1" a="1"/>
  <c r="T103" i="4" s="1"/>
  <c r="AY128" i="4" l="1" a="1"/>
  <c r="AY128" i="4" s="1"/>
  <c r="AX130" i="1" s="1" a="1"/>
  <c r="AX130" i="1" s="1"/>
  <c r="AT128" i="4" a="1"/>
  <c r="AT128" i="4" s="1"/>
  <c r="AS130" i="1" s="1" a="1"/>
  <c r="AS130" i="1" s="1"/>
  <c r="AJ174" i="4" a="1"/>
  <c r="AJ174" i="4" s="1"/>
  <c r="AI176" i="1" s="1" a="1"/>
  <c r="AI176" i="1" s="1"/>
  <c r="AC129" i="1" a="1"/>
  <c r="AC129" i="1" s="1"/>
  <c r="AB129" i="1" a="1"/>
  <c r="AB129" i="1" s="1"/>
  <c r="AE127" i="4" a="1"/>
  <c r="AE127" i="4" s="1"/>
  <c r="AD129" i="1" s="1" a="1"/>
  <c r="AD129" i="1" s="1"/>
  <c r="X106" i="1" a="1"/>
  <c r="X106" i="1" s="1"/>
  <c r="H106" i="1" a="1"/>
  <c r="H106" i="1" s="1"/>
  <c r="W106" i="1" a="1"/>
  <c r="W106" i="1" s="1"/>
  <c r="I106" i="1" a="1"/>
  <c r="I106" i="1" s="1"/>
  <c r="U103" i="4" a="1"/>
  <c r="U103" i="4" s="1"/>
  <c r="T105" i="1" s="1" a="1"/>
  <c r="T105" i="1" s="1"/>
  <c r="N106" i="1" a="1"/>
  <c r="N106" i="1" s="1"/>
  <c r="M106" i="1" a="1"/>
  <c r="M106" i="1" s="1"/>
  <c r="C9" i="1" a="1"/>
  <c r="C9" i="1" s="1"/>
  <c r="D9" i="1" a="1"/>
  <c r="D9" i="1" s="1"/>
  <c r="AM129" i="4"/>
  <c r="AN129" i="4" s="1" a="1"/>
  <c r="AN129" i="4" s="1"/>
  <c r="AB128" i="4"/>
  <c r="AG175" i="4"/>
  <c r="AH175" i="4" s="1"/>
  <c r="AI175" i="4" s="1" a="1"/>
  <c r="AI175" i="4" s="1"/>
  <c r="C7" i="4"/>
  <c r="D7" i="4" s="1"/>
  <c r="E7" i="4" s="1" a="1"/>
  <c r="E7" i="4" s="1"/>
  <c r="AQ131" i="1" l="1" a="1"/>
  <c r="AQ131" i="1" s="1"/>
  <c r="AV131" i="1" a="1"/>
  <c r="AV131" i="1" s="1"/>
  <c r="AR131" i="1" a="1"/>
  <c r="AR131" i="1" s="1"/>
  <c r="AW131" i="1" a="1"/>
  <c r="AW131" i="1" s="1"/>
  <c r="AG177" i="1" a="1"/>
  <c r="AG177" i="1" s="1"/>
  <c r="AO129" i="4" a="1"/>
  <c r="AO129" i="4" s="1"/>
  <c r="AN131" i="1" s="1" a="1"/>
  <c r="AN131" i="1" s="1"/>
  <c r="AH177" i="1" a="1"/>
  <c r="AH177" i="1" s="1"/>
  <c r="AB130" i="1" a="1"/>
  <c r="AB130" i="1" s="1"/>
  <c r="AJ175" i="4" a="1"/>
  <c r="AJ175" i="4" s="1"/>
  <c r="AI177" i="1" s="1" a="1"/>
  <c r="AI177" i="1" s="1"/>
  <c r="AC130" i="1" a="1"/>
  <c r="AC130" i="1" s="1"/>
  <c r="R106" i="1" a="1"/>
  <c r="R106" i="1" s="1"/>
  <c r="S106" i="1" a="1"/>
  <c r="S106" i="1" s="1"/>
  <c r="F7" i="4" a="1"/>
  <c r="F7" i="4" s="1"/>
  <c r="E9" i="1" s="1" a="1"/>
  <c r="E9" i="1" s="1"/>
  <c r="AV129" i="4"/>
  <c r="AQ129" i="4"/>
  <c r="AC128" i="4"/>
  <c r="AD128" i="4" s="1" a="1"/>
  <c r="AD128" i="4" s="1"/>
  <c r="M104" i="4"/>
  <c r="N104" i="4" s="1"/>
  <c r="O104" i="4" s="1" a="1"/>
  <c r="O104" i="4" s="1"/>
  <c r="H104" i="4"/>
  <c r="I104" i="4" s="1"/>
  <c r="J104" i="4" s="1" a="1"/>
  <c r="J104" i="4" s="1"/>
  <c r="C8" i="4"/>
  <c r="D8" i="4" s="1"/>
  <c r="E8" i="4" s="1" a="1"/>
  <c r="E8" i="4" s="1"/>
  <c r="AL132" i="1" l="1" a="1"/>
  <c r="AL132" i="1" s="1"/>
  <c r="AG178" i="1" a="1"/>
  <c r="AG178" i="1" s="1"/>
  <c r="AM132" i="1" a="1"/>
  <c r="AM132" i="1" s="1"/>
  <c r="AH178" i="1" a="1"/>
  <c r="AH178" i="1" s="1"/>
  <c r="AE128" i="4" a="1"/>
  <c r="AE128" i="4" s="1"/>
  <c r="AD130" i="1" s="1" a="1"/>
  <c r="AD130" i="1" s="1"/>
  <c r="P104" i="4" a="1"/>
  <c r="P104" i="4" s="1"/>
  <c r="O106" i="1" s="1" a="1"/>
  <c r="O106" i="1" s="1"/>
  <c r="K104" i="4" a="1"/>
  <c r="K104" i="4" s="1"/>
  <c r="J106" i="1" s="1" a="1"/>
  <c r="J106" i="1" s="1"/>
  <c r="C10" i="1" a="1"/>
  <c r="C10" i="1" s="1"/>
  <c r="D10" i="1" a="1"/>
  <c r="D10" i="1" s="1"/>
  <c r="F8" i="4" a="1"/>
  <c r="F8" i="4" s="1"/>
  <c r="E10" i="1" s="1" a="1"/>
  <c r="E10" i="1" s="1"/>
  <c r="AL130" i="4"/>
  <c r="AM130" i="4" s="1"/>
  <c r="AN130" i="4" s="1" a="1"/>
  <c r="AN130" i="4" s="1"/>
  <c r="AW129" i="4"/>
  <c r="AX129" i="4" s="1" a="1"/>
  <c r="AX129" i="4" s="1"/>
  <c r="AR129" i="4"/>
  <c r="AS129" i="4" s="1" a="1"/>
  <c r="AS129" i="4" s="1"/>
  <c r="AG176" i="4"/>
  <c r="AH176" i="4" s="1"/>
  <c r="AI176" i="4" s="1" a="1"/>
  <c r="AI176" i="4" s="1"/>
  <c r="W104" i="4"/>
  <c r="X104" i="4" s="1"/>
  <c r="Y104" i="4" s="1" a="1"/>
  <c r="Y104" i="4" s="1"/>
  <c r="AY129" i="4" l="1" a="1"/>
  <c r="AY129" i="4" s="1"/>
  <c r="AX131" i="1" s="1" a="1"/>
  <c r="AX131" i="1" s="1"/>
  <c r="AB131" i="1" a="1"/>
  <c r="AB131" i="1" s="1"/>
  <c r="AT129" i="4" a="1"/>
  <c r="AT129" i="4" s="1"/>
  <c r="AS131" i="1" s="1" a="1"/>
  <c r="AS131" i="1" s="1"/>
  <c r="AO130" i="4" a="1"/>
  <c r="AO130" i="4" s="1"/>
  <c r="AN132" i="1" s="1" a="1"/>
  <c r="AN132" i="1" s="1"/>
  <c r="AC131" i="1" a="1"/>
  <c r="AC131" i="1" s="1"/>
  <c r="AJ176" i="4" a="1"/>
  <c r="AJ176" i="4" s="1"/>
  <c r="AI178" i="1" s="1" a="1"/>
  <c r="AI178" i="1" s="1"/>
  <c r="H107" i="1" a="1"/>
  <c r="H107" i="1" s="1"/>
  <c r="I107" i="1" a="1"/>
  <c r="I107" i="1" s="1"/>
  <c r="Z104" i="4" a="1"/>
  <c r="Z104" i="4" s="1"/>
  <c r="Y106" i="1" s="1" a="1"/>
  <c r="Y106" i="1" s="1"/>
  <c r="M107" i="1" a="1"/>
  <c r="M107" i="1" s="1"/>
  <c r="N107" i="1" a="1"/>
  <c r="N107" i="1" s="1"/>
  <c r="C11" i="1" a="1"/>
  <c r="C11" i="1" s="1"/>
  <c r="D11" i="1" a="1"/>
  <c r="D11" i="1" s="1"/>
  <c r="AL131" i="4"/>
  <c r="AB129" i="4"/>
  <c r="AG177" i="4"/>
  <c r="R104" i="4"/>
  <c r="S104" i="4" s="1"/>
  <c r="T104" i="4" s="1" a="1"/>
  <c r="T104" i="4" s="1"/>
  <c r="AR132" i="1" l="1" a="1"/>
  <c r="AR132" i="1" s="1"/>
  <c r="AV132" i="1" a="1"/>
  <c r="AV132" i="1" s="1"/>
  <c r="AG179" i="1" a="1"/>
  <c r="AG179" i="1" s="1"/>
  <c r="AQ132" i="1" a="1"/>
  <c r="AQ132" i="1" s="1"/>
  <c r="AW132" i="1" a="1"/>
  <c r="AW132" i="1" s="1"/>
  <c r="AL133" i="1" a="1"/>
  <c r="AL133" i="1" s="1"/>
  <c r="AM133" i="1" a="1"/>
  <c r="AM133" i="1" s="1"/>
  <c r="AH179" i="1" a="1"/>
  <c r="AH179" i="1" s="1"/>
  <c r="W107" i="1" a="1"/>
  <c r="W107" i="1" s="1"/>
  <c r="X107" i="1" a="1"/>
  <c r="X107" i="1" s="1"/>
  <c r="U104" i="4" a="1"/>
  <c r="U104" i="4" s="1"/>
  <c r="T106" i="1" s="1" a="1"/>
  <c r="T106" i="1" s="1"/>
  <c r="AV130" i="4"/>
  <c r="AW130" i="4" s="1"/>
  <c r="AX130" i="4" s="1" a="1"/>
  <c r="AX130" i="4" s="1"/>
  <c r="AQ130" i="4"/>
  <c r="AR130" i="4" s="1"/>
  <c r="AS130" i="4" s="1" a="1"/>
  <c r="AS130" i="4" s="1"/>
  <c r="AM131" i="4"/>
  <c r="AN131" i="4" s="1" a="1"/>
  <c r="AN131" i="4" s="1"/>
  <c r="AC129" i="4"/>
  <c r="AD129" i="4" s="1" a="1"/>
  <c r="AD129" i="4" s="1"/>
  <c r="AH177" i="4"/>
  <c r="AI177" i="4" s="1" a="1"/>
  <c r="AI177" i="4" s="1"/>
  <c r="M105" i="4"/>
  <c r="H105" i="4"/>
  <c r="I105" i="4" s="1"/>
  <c r="J105" i="4" s="1" a="1"/>
  <c r="J105" i="4" s="1"/>
  <c r="C9" i="4"/>
  <c r="D9" i="4" s="1"/>
  <c r="E9" i="4" s="1" a="1"/>
  <c r="E9" i="4" s="1"/>
  <c r="AY130" i="4" l="1" a="1"/>
  <c r="AY130" i="4" s="1"/>
  <c r="AX132" i="1" s="1" a="1"/>
  <c r="AX132" i="1" s="1"/>
  <c r="AT130" i="4" a="1"/>
  <c r="AT130" i="4" s="1"/>
  <c r="AS132" i="1" s="1" a="1"/>
  <c r="AS132" i="1" s="1"/>
  <c r="AO131" i="4" a="1"/>
  <c r="AO131" i="4" s="1"/>
  <c r="AN133" i="1" s="1" a="1"/>
  <c r="AN133" i="1" s="1"/>
  <c r="AJ177" i="4" a="1"/>
  <c r="AJ177" i="4" s="1"/>
  <c r="AI179" i="1" s="1" a="1"/>
  <c r="AI179" i="1" s="1"/>
  <c r="AE129" i="4" a="1"/>
  <c r="AE129" i="4" s="1"/>
  <c r="AD131" i="1" s="1" a="1"/>
  <c r="AD131" i="1" s="1"/>
  <c r="R107" i="1" a="1"/>
  <c r="R107" i="1" s="1"/>
  <c r="S107" i="1" a="1"/>
  <c r="S107" i="1" s="1"/>
  <c r="K105" i="4" a="1"/>
  <c r="K105" i="4" s="1"/>
  <c r="J107" i="1" s="1" a="1"/>
  <c r="J107" i="1" s="1"/>
  <c r="F9" i="4" a="1"/>
  <c r="F9" i="4" s="1"/>
  <c r="E11" i="1" s="1" a="1"/>
  <c r="E11" i="1" s="1"/>
  <c r="AV131" i="4"/>
  <c r="AQ131" i="4"/>
  <c r="AG178" i="4"/>
  <c r="AH178" i="4" s="1"/>
  <c r="AI178" i="4" s="1" a="1"/>
  <c r="AI178" i="4" s="1"/>
  <c r="N105" i="4"/>
  <c r="O105" i="4" s="1" a="1"/>
  <c r="O105" i="4" s="1"/>
  <c r="AQ133" i="1" l="1" a="1"/>
  <c r="AQ133" i="1" s="1"/>
  <c r="AR133" i="1" a="1"/>
  <c r="AR133" i="1" s="1"/>
  <c r="AV133" i="1" a="1"/>
  <c r="AV133" i="1" s="1"/>
  <c r="AW133" i="1" a="1"/>
  <c r="AW133" i="1" s="1"/>
  <c r="AL134" i="1" a="1"/>
  <c r="AL134" i="1" s="1"/>
  <c r="AH180" i="1" a="1"/>
  <c r="AH180" i="1" s="1"/>
  <c r="AM134" i="1" a="1"/>
  <c r="AM134" i="1" s="1"/>
  <c r="AJ178" i="4" a="1"/>
  <c r="AJ178" i="4" s="1"/>
  <c r="AI180" i="1" s="1" a="1"/>
  <c r="AI180" i="1" s="1"/>
  <c r="AC132" i="1" a="1"/>
  <c r="AC132" i="1" s="1"/>
  <c r="AG180" i="1" a="1"/>
  <c r="AG180" i="1" s="1"/>
  <c r="H108" i="1" a="1"/>
  <c r="H108" i="1" s="1"/>
  <c r="AB132" i="1" a="1"/>
  <c r="AB132" i="1" s="1"/>
  <c r="I108" i="1" a="1"/>
  <c r="I108" i="1" s="1"/>
  <c r="P105" i="4" a="1"/>
  <c r="P105" i="4" s="1"/>
  <c r="O107" i="1" s="1" a="1"/>
  <c r="O107" i="1" s="1"/>
  <c r="C12" i="1" a="1"/>
  <c r="C12" i="1" s="1"/>
  <c r="D12" i="1" a="1"/>
  <c r="D12" i="1" s="1"/>
  <c r="AB130" i="4"/>
  <c r="AC130" i="4" s="1"/>
  <c r="AD130" i="4" s="1" a="1"/>
  <c r="AD130" i="4" s="1"/>
  <c r="AL132" i="4"/>
  <c r="AM132" i="4" s="1"/>
  <c r="AN132" i="4" s="1" a="1"/>
  <c r="AN132" i="4" s="1"/>
  <c r="AW131" i="4"/>
  <c r="AX131" i="4" s="1" a="1"/>
  <c r="AX131" i="4" s="1"/>
  <c r="AR131" i="4"/>
  <c r="AS131" i="4" s="1" a="1"/>
  <c r="AS131" i="4" s="1"/>
  <c r="R105" i="4"/>
  <c r="H106" i="4"/>
  <c r="I106" i="4" s="1"/>
  <c r="J106" i="4" s="1" a="1"/>
  <c r="J106" i="4" s="1"/>
  <c r="C10" i="4"/>
  <c r="D10" i="4" s="1"/>
  <c r="E10" i="4" s="1" a="1"/>
  <c r="E10" i="4" s="1"/>
  <c r="W105" i="4"/>
  <c r="X105" i="4" s="1"/>
  <c r="Y105" i="4" s="1" a="1"/>
  <c r="Y105" i="4" s="1"/>
  <c r="AY131" i="4" l="1" a="1"/>
  <c r="AY131" i="4" s="1"/>
  <c r="AX133" i="1" s="1" a="1"/>
  <c r="AX133" i="1" s="1"/>
  <c r="AT131" i="4" a="1"/>
  <c r="AT131" i="4" s="1"/>
  <c r="AS133" i="1" s="1" a="1"/>
  <c r="AS133" i="1" s="1"/>
  <c r="AO132" i="4" a="1"/>
  <c r="AO132" i="4" s="1"/>
  <c r="AN134" i="1" s="1" a="1"/>
  <c r="AN134" i="1" s="1"/>
  <c r="AG181" i="1" a="1"/>
  <c r="AG181" i="1" s="1"/>
  <c r="AH181" i="1" a="1"/>
  <c r="AH181" i="1" s="1"/>
  <c r="AE130" i="4" a="1"/>
  <c r="AE130" i="4" s="1"/>
  <c r="AD132" i="1" s="1" a="1"/>
  <c r="AD132" i="1" s="1"/>
  <c r="Z105" i="4" a="1"/>
  <c r="Z105" i="4" s="1"/>
  <c r="Y107" i="1" s="1" a="1"/>
  <c r="Y107" i="1" s="1"/>
  <c r="M108" i="1" a="1"/>
  <c r="M108" i="1" s="1"/>
  <c r="N108" i="1" a="1"/>
  <c r="N108" i="1" s="1"/>
  <c r="K106" i="4" a="1"/>
  <c r="K106" i="4" s="1"/>
  <c r="J108" i="1" s="1" a="1"/>
  <c r="J108" i="1" s="1"/>
  <c r="F10" i="4" a="1"/>
  <c r="F10" i="4" s="1"/>
  <c r="E12" i="1" s="1" a="1"/>
  <c r="E12" i="1" s="1"/>
  <c r="M106" i="4"/>
  <c r="N106" i="4" s="1"/>
  <c r="O106" i="4" s="1" a="1"/>
  <c r="O106" i="4" s="1"/>
  <c r="AL133" i="4"/>
  <c r="AG179" i="4"/>
  <c r="AH179" i="4" s="1"/>
  <c r="AI179" i="4" s="1" a="1"/>
  <c r="AI179" i="4" s="1"/>
  <c r="AB131" i="4"/>
  <c r="S105" i="4"/>
  <c r="T105" i="4" s="1" a="1"/>
  <c r="T105" i="4" s="1"/>
  <c r="AV134" i="1" l="1" a="1"/>
  <c r="AV134" i="1" s="1"/>
  <c r="AR134" i="1" a="1"/>
  <c r="AR134" i="1" s="1"/>
  <c r="AC133" i="1" a="1"/>
  <c r="AC133" i="1" s="1"/>
  <c r="AB133" i="1" a="1"/>
  <c r="AB133" i="1" s="1"/>
  <c r="AW134" i="1" a="1"/>
  <c r="AW134" i="1" s="1"/>
  <c r="AQ134" i="1" a="1"/>
  <c r="AQ134" i="1" s="1"/>
  <c r="AL135" i="1" a="1"/>
  <c r="AL135" i="1" s="1"/>
  <c r="AM135" i="1" a="1"/>
  <c r="AM135" i="1" s="1"/>
  <c r="AJ179" i="4" a="1"/>
  <c r="AJ179" i="4" s="1"/>
  <c r="AI181" i="1" s="1" a="1"/>
  <c r="AI181" i="1" s="1"/>
  <c r="W108" i="1" a="1"/>
  <c r="W108" i="1" s="1"/>
  <c r="X108" i="1" a="1"/>
  <c r="X108" i="1" s="1"/>
  <c r="U105" i="4" a="1"/>
  <c r="U105" i="4" s="1"/>
  <c r="T107" i="1" s="1" a="1"/>
  <c r="T107" i="1" s="1"/>
  <c r="P106" i="4" a="1"/>
  <c r="P106" i="4" s="1"/>
  <c r="O108" i="1" s="1" a="1"/>
  <c r="O108" i="1" s="1"/>
  <c r="H109" i="1" a="1"/>
  <c r="H109" i="1" s="1"/>
  <c r="I109" i="1" a="1"/>
  <c r="I109" i="1" s="1"/>
  <c r="C13" i="1" a="1"/>
  <c r="C13" i="1" s="1"/>
  <c r="D13" i="1" a="1"/>
  <c r="D13" i="1" s="1"/>
  <c r="AV132" i="4"/>
  <c r="AW132" i="4" s="1"/>
  <c r="AX132" i="4" s="1" a="1"/>
  <c r="AX132" i="4" s="1"/>
  <c r="AQ132" i="4"/>
  <c r="AR132" i="4" s="1"/>
  <c r="AS132" i="4" s="1" a="1"/>
  <c r="AS132" i="4" s="1"/>
  <c r="AM133" i="4"/>
  <c r="AN133" i="4" s="1" a="1"/>
  <c r="AN133" i="4" s="1"/>
  <c r="AC131" i="4"/>
  <c r="AD131" i="4" s="1" a="1"/>
  <c r="AD131" i="4" s="1"/>
  <c r="AG180" i="4"/>
  <c r="AH180" i="4" s="1"/>
  <c r="AI180" i="4" s="1" a="1"/>
  <c r="AI180" i="4" s="1"/>
  <c r="AY132" i="4" l="1" a="1"/>
  <c r="AY132" i="4" s="1"/>
  <c r="AX134" i="1" s="1" a="1"/>
  <c r="AX134" i="1" s="1"/>
  <c r="N109" i="1" a="1"/>
  <c r="N109" i="1" s="1"/>
  <c r="AT132" i="4" a="1"/>
  <c r="AT132" i="4" s="1"/>
  <c r="AS134" i="1" s="1" a="1"/>
  <c r="AS134" i="1" s="1"/>
  <c r="AO133" i="4" a="1"/>
  <c r="AO133" i="4" s="1"/>
  <c r="AN135" i="1" s="1" a="1"/>
  <c r="AN135" i="1" s="1"/>
  <c r="AJ180" i="4" a="1"/>
  <c r="AJ180" i="4" s="1"/>
  <c r="AI182" i="1" s="1" a="1"/>
  <c r="AI182" i="1" s="1"/>
  <c r="AH182" i="1" a="1"/>
  <c r="AH182" i="1" s="1"/>
  <c r="AG182" i="1" a="1"/>
  <c r="AG182" i="1" s="1"/>
  <c r="AE131" i="4" a="1"/>
  <c r="AE131" i="4" s="1"/>
  <c r="AD133" i="1" s="1" a="1"/>
  <c r="AD133" i="1" s="1"/>
  <c r="R108" i="1" a="1"/>
  <c r="R108" i="1" s="1"/>
  <c r="M109" i="1" a="1"/>
  <c r="M109" i="1" s="1"/>
  <c r="S108" i="1" a="1"/>
  <c r="S108" i="1" s="1"/>
  <c r="R106" i="4"/>
  <c r="S106" i="4" s="1"/>
  <c r="T106" i="4" s="1" a="1"/>
  <c r="T106" i="4" s="1"/>
  <c r="AV133" i="4"/>
  <c r="AQ133" i="4"/>
  <c r="M107" i="4"/>
  <c r="H107" i="4"/>
  <c r="I107" i="4" s="1"/>
  <c r="J107" i="4" s="1" a="1"/>
  <c r="J107" i="4" s="1"/>
  <c r="W106" i="4"/>
  <c r="X106" i="4" s="1"/>
  <c r="Y106" i="4" s="1" a="1"/>
  <c r="Y106" i="4" s="1"/>
  <c r="AL136" i="1" l="1" a="1"/>
  <c r="AL136" i="1" s="1"/>
  <c r="AV135" i="1" a="1"/>
  <c r="AV135" i="1" s="1"/>
  <c r="AW135" i="1" a="1"/>
  <c r="AW135" i="1" s="1"/>
  <c r="AQ135" i="1" a="1"/>
  <c r="AQ135" i="1" s="1"/>
  <c r="AR135" i="1" a="1"/>
  <c r="AR135" i="1" s="1"/>
  <c r="AM136" i="1" a="1"/>
  <c r="AM136" i="1" s="1"/>
  <c r="AB134" i="1" a="1"/>
  <c r="AB134" i="1" s="1"/>
  <c r="AC134" i="1" a="1"/>
  <c r="AC134" i="1" s="1"/>
  <c r="AG183" i="1" a="1"/>
  <c r="AG183" i="1" s="1"/>
  <c r="AH183" i="1" a="1"/>
  <c r="AH183" i="1" s="1"/>
  <c r="Z106" i="4" a="1"/>
  <c r="Z106" i="4" s="1"/>
  <c r="Y108" i="1" s="1" a="1"/>
  <c r="Y108" i="1" s="1"/>
  <c r="U106" i="4" a="1"/>
  <c r="U106" i="4" s="1"/>
  <c r="T108" i="1" s="1" a="1"/>
  <c r="T108" i="1" s="1"/>
  <c r="K107" i="4" a="1"/>
  <c r="K107" i="4" s="1"/>
  <c r="J109" i="1" s="1" a="1"/>
  <c r="J109" i="1" s="1"/>
  <c r="AB132" i="4"/>
  <c r="AC132" i="4" s="1"/>
  <c r="AD132" i="4" s="1" a="1"/>
  <c r="AD132" i="4" s="1"/>
  <c r="AG181" i="4"/>
  <c r="AH181" i="4" s="1"/>
  <c r="AI181" i="4" s="1" a="1"/>
  <c r="AI181" i="4" s="1"/>
  <c r="AW133" i="4"/>
  <c r="AX133" i="4" s="1" a="1"/>
  <c r="AX133" i="4" s="1"/>
  <c r="AR133" i="4"/>
  <c r="AS133" i="4" s="1" a="1"/>
  <c r="AS133" i="4" s="1"/>
  <c r="AL134" i="4"/>
  <c r="N107" i="4"/>
  <c r="O107" i="4" s="1" a="1"/>
  <c r="O107" i="4" s="1"/>
  <c r="C11" i="4"/>
  <c r="D11" i="4" s="1"/>
  <c r="E11" i="4" s="1" a="1"/>
  <c r="E11" i="4" s="1"/>
  <c r="AY133" i="4" l="1" a="1"/>
  <c r="AY133" i="4" s="1"/>
  <c r="AX135" i="1" s="1" a="1"/>
  <c r="AX135" i="1" s="1"/>
  <c r="AT133" i="4" a="1"/>
  <c r="AT133" i="4" s="1"/>
  <c r="AS135" i="1" s="1" a="1"/>
  <c r="AS135" i="1" s="1"/>
  <c r="AJ181" i="4" a="1"/>
  <c r="AJ181" i="4" s="1"/>
  <c r="AI183" i="1" s="1" a="1"/>
  <c r="AI183" i="1" s="1"/>
  <c r="H110" i="1" a="1"/>
  <c r="H110" i="1" s="1"/>
  <c r="AE132" i="4" a="1"/>
  <c r="AE132" i="4" s="1"/>
  <c r="AD134" i="1" s="1" a="1"/>
  <c r="AD134" i="1" s="1"/>
  <c r="R109" i="1" a="1"/>
  <c r="R109" i="1" s="1"/>
  <c r="W109" i="1" a="1"/>
  <c r="W109" i="1" s="1"/>
  <c r="X109" i="1" a="1"/>
  <c r="X109" i="1" s="1"/>
  <c r="I110" i="1" a="1"/>
  <c r="I110" i="1" s="1"/>
  <c r="S109" i="1" a="1"/>
  <c r="S109" i="1" s="1"/>
  <c r="P107" i="4" a="1"/>
  <c r="P107" i="4" s="1"/>
  <c r="O109" i="1" s="1" a="1"/>
  <c r="O109" i="1" s="1"/>
  <c r="F11" i="4" a="1"/>
  <c r="F11" i="4" s="1"/>
  <c r="E13" i="1" s="1" a="1"/>
  <c r="E13" i="1" s="1"/>
  <c r="R107" i="4"/>
  <c r="S107" i="4" s="1"/>
  <c r="T107" i="4" s="1" a="1"/>
  <c r="T107" i="4" s="1"/>
  <c r="AM134" i="4"/>
  <c r="AN134" i="4" s="1" a="1"/>
  <c r="AN134" i="4" s="1"/>
  <c r="AB133" i="4"/>
  <c r="W107" i="4"/>
  <c r="X107" i="4" s="1"/>
  <c r="Y107" i="4" s="1" a="1"/>
  <c r="Y107" i="4" s="1"/>
  <c r="AG184" i="1" l="1" a="1"/>
  <c r="AG184" i="1" s="1"/>
  <c r="AV136" i="1" a="1"/>
  <c r="AV136" i="1" s="1"/>
  <c r="AW136" i="1" a="1"/>
  <c r="AW136" i="1" s="1"/>
  <c r="AQ136" i="1" a="1"/>
  <c r="AQ136" i="1" s="1"/>
  <c r="AR136" i="1" a="1"/>
  <c r="AR136" i="1" s="1"/>
  <c r="AO134" i="4" a="1"/>
  <c r="AO134" i="4" s="1"/>
  <c r="AN136" i="1" s="1" a="1"/>
  <c r="AN136" i="1" s="1"/>
  <c r="AB135" i="1" a="1"/>
  <c r="AB135" i="1" s="1"/>
  <c r="AH184" i="1" a="1"/>
  <c r="AH184" i="1" s="1"/>
  <c r="M110" i="1" a="1"/>
  <c r="M110" i="1" s="1"/>
  <c r="N110" i="1" a="1"/>
  <c r="N110" i="1" s="1"/>
  <c r="AC135" i="1" a="1"/>
  <c r="AC135" i="1" s="1"/>
  <c r="Z107" i="4" a="1"/>
  <c r="Z107" i="4" s="1"/>
  <c r="Y109" i="1" s="1" a="1"/>
  <c r="Y109" i="1" s="1"/>
  <c r="U107" i="4" a="1"/>
  <c r="U107" i="4" s="1"/>
  <c r="T109" i="1" s="1" a="1"/>
  <c r="T109" i="1" s="1"/>
  <c r="C14" i="1" a="1"/>
  <c r="C14" i="1" s="1"/>
  <c r="D14" i="1" a="1"/>
  <c r="D14" i="1" s="1"/>
  <c r="M108" i="4"/>
  <c r="N108" i="4" s="1"/>
  <c r="O108" i="4" s="1" a="1"/>
  <c r="O108" i="4" s="1"/>
  <c r="AG182" i="4"/>
  <c r="AH182" i="4" s="1"/>
  <c r="AI182" i="4" s="1" a="1"/>
  <c r="AI182" i="4" s="1"/>
  <c r="AV134" i="4"/>
  <c r="AQ134" i="4"/>
  <c r="AC133" i="4"/>
  <c r="AD133" i="4" s="1" a="1"/>
  <c r="AD133" i="4" s="1"/>
  <c r="H108" i="4"/>
  <c r="I108" i="4" s="1"/>
  <c r="J108" i="4" s="1" a="1"/>
  <c r="J108" i="4" s="1"/>
  <c r="C12" i="4"/>
  <c r="D12" i="4" s="1"/>
  <c r="E12" i="4" s="1" a="1"/>
  <c r="E12" i="4" s="1"/>
  <c r="AL137" i="1" l="1" a="1"/>
  <c r="AL137" i="1" s="1"/>
  <c r="AM137" i="1" a="1"/>
  <c r="AM137" i="1" s="1"/>
  <c r="AJ182" i="4" a="1"/>
  <c r="AJ182" i="4" s="1"/>
  <c r="AI184" i="1" s="1" a="1"/>
  <c r="AI184" i="1" s="1"/>
  <c r="AE133" i="4" a="1"/>
  <c r="AE133" i="4" s="1"/>
  <c r="AD135" i="1" s="1" a="1"/>
  <c r="AD135" i="1" s="1"/>
  <c r="W110" i="1" a="1"/>
  <c r="W110" i="1" s="1"/>
  <c r="X110" i="1" a="1"/>
  <c r="X110" i="1" s="1"/>
  <c r="R110" i="1" a="1"/>
  <c r="R110" i="1" s="1"/>
  <c r="S110" i="1" a="1"/>
  <c r="S110" i="1" s="1"/>
  <c r="P108" i="4" a="1"/>
  <c r="P108" i="4" s="1"/>
  <c r="O110" i="1" s="1" a="1"/>
  <c r="O110" i="1" s="1"/>
  <c r="K108" i="4" a="1"/>
  <c r="K108" i="4" s="1"/>
  <c r="J110" i="1" s="1" a="1"/>
  <c r="J110" i="1" s="1"/>
  <c r="F12" i="4" a="1"/>
  <c r="F12" i="4" s="1"/>
  <c r="E14" i="1" s="1" a="1"/>
  <c r="E14" i="1" s="1"/>
  <c r="AW134" i="4"/>
  <c r="AX134" i="4" s="1" a="1"/>
  <c r="AX134" i="4" s="1"/>
  <c r="AR134" i="4"/>
  <c r="AS134" i="4" s="1" a="1"/>
  <c r="AS134" i="4" s="1"/>
  <c r="AL135" i="4"/>
  <c r="AY134" i="4" l="1" a="1"/>
  <c r="AY134" i="4" s="1"/>
  <c r="AX136" i="1" s="1" a="1"/>
  <c r="AX136" i="1" s="1"/>
  <c r="AB136" i="1" a="1"/>
  <c r="AB136" i="1" s="1"/>
  <c r="AC136" i="1" a="1"/>
  <c r="AC136" i="1" s="1"/>
  <c r="AT134" i="4" a="1"/>
  <c r="AT134" i="4" s="1"/>
  <c r="AS136" i="1" s="1" a="1"/>
  <c r="AS136" i="1" s="1"/>
  <c r="AG185" i="1" a="1"/>
  <c r="AG185" i="1" s="1"/>
  <c r="AH185" i="1" a="1"/>
  <c r="AH185" i="1" s="1"/>
  <c r="M111" i="1" a="1"/>
  <c r="M111" i="1" s="1"/>
  <c r="N111" i="1" a="1"/>
  <c r="N111" i="1" s="1"/>
  <c r="H111" i="1" a="1"/>
  <c r="H111" i="1" s="1"/>
  <c r="D15" i="1" a="1"/>
  <c r="D15" i="1" s="1"/>
  <c r="I111" i="1" a="1"/>
  <c r="I111" i="1" s="1"/>
  <c r="C15" i="1" a="1"/>
  <c r="C15" i="1" s="1"/>
  <c r="AM135" i="4"/>
  <c r="AN135" i="4" s="1" a="1"/>
  <c r="AN135" i="4" s="1"/>
  <c r="AG183" i="4"/>
  <c r="AH183" i="4" s="1"/>
  <c r="AI183" i="4" s="1" a="1"/>
  <c r="AI183" i="4" s="1"/>
  <c r="AB134" i="4"/>
  <c r="M109" i="4"/>
  <c r="N109" i="4" s="1"/>
  <c r="O109" i="4" s="1" a="1"/>
  <c r="O109" i="4" s="1"/>
  <c r="R108" i="4"/>
  <c r="S108" i="4" s="1"/>
  <c r="T108" i="4" s="1" a="1"/>
  <c r="T108" i="4" s="1"/>
  <c r="C13" i="4"/>
  <c r="D13" i="4" s="1"/>
  <c r="E13" i="4" s="1" a="1"/>
  <c r="E13" i="4" s="1"/>
  <c r="AQ137" i="1" l="1" a="1"/>
  <c r="AQ137" i="1" s="1"/>
  <c r="AW137" i="1" a="1"/>
  <c r="AW137" i="1" s="1"/>
  <c r="AV137" i="1" a="1"/>
  <c r="AV137" i="1" s="1"/>
  <c r="AR137" i="1" a="1"/>
  <c r="AR137" i="1" s="1"/>
  <c r="AO135" i="4" a="1"/>
  <c r="AO135" i="4" s="1"/>
  <c r="AN137" i="1" s="1" a="1"/>
  <c r="AN137" i="1" s="1"/>
  <c r="AJ183" i="4" a="1"/>
  <c r="AJ183" i="4" s="1"/>
  <c r="AI185" i="1" s="1" a="1"/>
  <c r="AI185" i="1" s="1"/>
  <c r="U108" i="4" a="1"/>
  <c r="U108" i="4" s="1"/>
  <c r="T110" i="1" s="1" a="1"/>
  <c r="T110" i="1" s="1"/>
  <c r="P109" i="4" a="1"/>
  <c r="P109" i="4" s="1"/>
  <c r="O111" i="1" s="1" a="1"/>
  <c r="O111" i="1" s="1"/>
  <c r="F13" i="4" a="1"/>
  <c r="F13" i="4" s="1"/>
  <c r="E15" i="1" s="1" a="1"/>
  <c r="E15" i="1" s="1"/>
  <c r="AV135" i="4"/>
  <c r="AQ135" i="4"/>
  <c r="AC134" i="4"/>
  <c r="AD134" i="4" s="1" a="1"/>
  <c r="AD134" i="4" s="1"/>
  <c r="W108" i="4"/>
  <c r="X108" i="4" s="1"/>
  <c r="Y108" i="4" s="1" a="1"/>
  <c r="Y108" i="4" s="1"/>
  <c r="H109" i="4"/>
  <c r="I109" i="4" s="1"/>
  <c r="J109" i="4" s="1" a="1"/>
  <c r="J109" i="4" s="1"/>
  <c r="AL138" i="1" l="1" a="1"/>
  <c r="AL138" i="1" s="1"/>
  <c r="AM138" i="1" a="1"/>
  <c r="AM138" i="1" s="1"/>
  <c r="AH186" i="1" a="1"/>
  <c r="AH186" i="1" s="1"/>
  <c r="M112" i="1" a="1"/>
  <c r="M112" i="1" s="1"/>
  <c r="AG186" i="1" a="1"/>
  <c r="AG186" i="1" s="1"/>
  <c r="AE134" i="4" a="1"/>
  <c r="AE134" i="4" s="1"/>
  <c r="AD136" i="1" s="1" a="1"/>
  <c r="AD136" i="1" s="1"/>
  <c r="Z108" i="4" a="1"/>
  <c r="Z108" i="4" s="1"/>
  <c r="Y110" i="1" s="1" a="1"/>
  <c r="Y110" i="1" s="1"/>
  <c r="N112" i="1" a="1"/>
  <c r="N112" i="1" s="1"/>
  <c r="R111" i="1" a="1"/>
  <c r="R111" i="1" s="1"/>
  <c r="S111" i="1" a="1"/>
  <c r="S111" i="1" s="1"/>
  <c r="K109" i="4" a="1"/>
  <c r="K109" i="4" s="1"/>
  <c r="J111" i="1" s="1" a="1"/>
  <c r="J111" i="1" s="1"/>
  <c r="C16" i="1" a="1"/>
  <c r="C16" i="1" s="1"/>
  <c r="D16" i="1" a="1"/>
  <c r="D16" i="1" s="1"/>
  <c r="AW135" i="4"/>
  <c r="AX135" i="4" s="1" a="1"/>
  <c r="AX135" i="4" s="1"/>
  <c r="AR135" i="4"/>
  <c r="AS135" i="4" s="1" a="1"/>
  <c r="AS135" i="4" s="1"/>
  <c r="AL136" i="4"/>
  <c r="AG184" i="4"/>
  <c r="AH184" i="4" s="1"/>
  <c r="AI184" i="4" s="1" a="1"/>
  <c r="AI184" i="4" s="1"/>
  <c r="C14" i="4"/>
  <c r="D14" i="4" s="1"/>
  <c r="E14" i="4" s="1" a="1"/>
  <c r="E14" i="4" s="1"/>
  <c r="AY135" i="4" l="1" a="1"/>
  <c r="AY135" i="4" s="1"/>
  <c r="AX137" i="1" s="1" a="1"/>
  <c r="AX137" i="1" s="1"/>
  <c r="AT135" i="4" a="1"/>
  <c r="AT135" i="4" s="1"/>
  <c r="AS137" i="1" s="1" a="1"/>
  <c r="AS137" i="1" s="1"/>
  <c r="H112" i="1" a="1"/>
  <c r="H112" i="1" s="1"/>
  <c r="AJ184" i="4" a="1"/>
  <c r="AJ184" i="4" s="1"/>
  <c r="AI186" i="1" s="1" a="1"/>
  <c r="AI186" i="1" s="1"/>
  <c r="AB137" i="1" a="1"/>
  <c r="AB137" i="1" s="1"/>
  <c r="AC137" i="1" a="1"/>
  <c r="AC137" i="1" s="1"/>
  <c r="W111" i="1" a="1"/>
  <c r="W111" i="1" s="1"/>
  <c r="X111" i="1" a="1"/>
  <c r="X111" i="1" s="1"/>
  <c r="I112" i="1" a="1"/>
  <c r="I112" i="1" s="1"/>
  <c r="F14" i="4" a="1"/>
  <c r="F14" i="4" s="1"/>
  <c r="E16" i="1" s="1" a="1"/>
  <c r="E16" i="1" s="1"/>
  <c r="AM136" i="4"/>
  <c r="AN136" i="4" s="1" a="1"/>
  <c r="AN136" i="4" s="1"/>
  <c r="AB135" i="4"/>
  <c r="AG185" i="4"/>
  <c r="AH185" i="4" s="1"/>
  <c r="AI185" i="4" s="1" a="1"/>
  <c r="AI185" i="4" s="1"/>
  <c r="M110" i="4"/>
  <c r="R109" i="4"/>
  <c r="S109" i="4" s="1"/>
  <c r="T109" i="4" s="1" a="1"/>
  <c r="T109" i="4" s="1"/>
  <c r="W109" i="4"/>
  <c r="X109" i="4" s="1"/>
  <c r="Y109" i="4" s="1" a="1"/>
  <c r="Y109" i="4" s="1"/>
  <c r="AQ138" i="1" l="1" a="1"/>
  <c r="AQ138" i="1" s="1"/>
  <c r="AV138" i="1" a="1"/>
  <c r="AV138" i="1" s="1"/>
  <c r="AW138" i="1" a="1"/>
  <c r="AW138" i="1" s="1"/>
  <c r="AR138" i="1" a="1"/>
  <c r="AR138" i="1" s="1"/>
  <c r="AO136" i="4" a="1"/>
  <c r="AO136" i="4" s="1"/>
  <c r="AN138" i="1" s="1" a="1"/>
  <c r="AN138" i="1" s="1"/>
  <c r="AG187" i="1" a="1"/>
  <c r="AG187" i="1" s="1"/>
  <c r="AJ185" i="4" a="1"/>
  <c r="AJ185" i="4" s="1"/>
  <c r="AI187" i="1" s="1" a="1"/>
  <c r="AI187" i="1" s="1"/>
  <c r="AH187" i="1" a="1"/>
  <c r="AH187" i="1" s="1"/>
  <c r="Z109" i="4" a="1"/>
  <c r="Z109" i="4" s="1"/>
  <c r="Y111" i="1" s="1" a="1"/>
  <c r="Y111" i="1" s="1"/>
  <c r="U109" i="4" a="1"/>
  <c r="U109" i="4" s="1"/>
  <c r="T111" i="1" s="1" a="1"/>
  <c r="T111" i="1" s="1"/>
  <c r="C17" i="1" a="1"/>
  <c r="C17" i="1" s="1"/>
  <c r="D17" i="1" a="1"/>
  <c r="D17" i="1" s="1"/>
  <c r="AV136" i="4"/>
  <c r="AQ136" i="4"/>
  <c r="AC135" i="4"/>
  <c r="AD135" i="4" s="1" a="1"/>
  <c r="AD135" i="4" s="1"/>
  <c r="AG186" i="4"/>
  <c r="N110" i="4"/>
  <c r="O110" i="4" s="1" a="1"/>
  <c r="O110" i="4" s="1"/>
  <c r="H110" i="4"/>
  <c r="I110" i="4" s="1"/>
  <c r="J110" i="4" s="1" a="1"/>
  <c r="J110" i="4" s="1"/>
  <c r="C15" i="4"/>
  <c r="D15" i="4" s="1"/>
  <c r="E15" i="4" s="1" a="1"/>
  <c r="E15" i="4" s="1"/>
  <c r="AL139" i="1" l="1" a="1"/>
  <c r="AL139" i="1" s="1"/>
  <c r="AM139" i="1" a="1"/>
  <c r="AM139" i="1" s="1"/>
  <c r="AH188" i="1" a="1"/>
  <c r="AH188" i="1" s="1"/>
  <c r="AG188" i="1" a="1"/>
  <c r="AG188" i="1" s="1"/>
  <c r="AE135" i="4" a="1"/>
  <c r="AE135" i="4" s="1"/>
  <c r="AD137" i="1" s="1" a="1"/>
  <c r="AD137" i="1" s="1"/>
  <c r="W112" i="1" a="1"/>
  <c r="W112" i="1" s="1"/>
  <c r="X112" i="1" a="1"/>
  <c r="X112" i="1" s="1"/>
  <c r="S112" i="1" a="1"/>
  <c r="S112" i="1" s="1"/>
  <c r="R112" i="1" a="1"/>
  <c r="R112" i="1" s="1"/>
  <c r="P110" i="4" a="1"/>
  <c r="P110" i="4" s="1"/>
  <c r="O112" i="1" s="1" a="1"/>
  <c r="O112" i="1" s="1"/>
  <c r="K110" i="4" a="1"/>
  <c r="K110" i="4" s="1"/>
  <c r="J112" i="1" s="1" a="1"/>
  <c r="J112" i="1" s="1"/>
  <c r="F15" i="4" a="1"/>
  <c r="F15" i="4" s="1"/>
  <c r="E17" i="1" s="1" a="1"/>
  <c r="E17" i="1" s="1"/>
  <c r="AL137" i="4"/>
  <c r="AM137" i="4" s="1"/>
  <c r="AN137" i="4" s="1" a="1"/>
  <c r="AN137" i="4" s="1"/>
  <c r="AW136" i="4"/>
  <c r="AX136" i="4" s="1" a="1"/>
  <c r="AX136" i="4" s="1"/>
  <c r="AR136" i="4"/>
  <c r="AS136" i="4" s="1" a="1"/>
  <c r="AS136" i="4" s="1"/>
  <c r="AH186" i="4"/>
  <c r="AI186" i="4" s="1" a="1"/>
  <c r="AI186" i="4" s="1"/>
  <c r="AY136" i="4" l="1" a="1"/>
  <c r="AY136" i="4" s="1"/>
  <c r="AX138" i="1" s="1" a="1"/>
  <c r="AX138" i="1" s="1"/>
  <c r="AT136" i="4" a="1"/>
  <c r="AT136" i="4" s="1"/>
  <c r="AS138" i="1" s="1" a="1"/>
  <c r="AS138" i="1" s="1"/>
  <c r="AO137" i="4" a="1"/>
  <c r="AO137" i="4" s="1"/>
  <c r="AN139" i="1" s="1" a="1"/>
  <c r="AN139" i="1" s="1"/>
  <c r="AB138" i="1" a="1"/>
  <c r="AB138" i="1" s="1"/>
  <c r="AJ186" i="4" a="1"/>
  <c r="AJ186" i="4" s="1"/>
  <c r="AI188" i="1" s="1" a="1"/>
  <c r="AI188" i="1" s="1"/>
  <c r="AC138" i="1" a="1"/>
  <c r="AC138" i="1" s="1"/>
  <c r="H113" i="1" a="1"/>
  <c r="H113" i="1" s="1"/>
  <c r="N113" i="1" a="1"/>
  <c r="N113" i="1" s="1"/>
  <c r="I113" i="1" a="1"/>
  <c r="I113" i="1" s="1"/>
  <c r="M113" i="1" a="1"/>
  <c r="M113" i="1" s="1"/>
  <c r="C18" i="1" a="1"/>
  <c r="C18" i="1" s="1"/>
  <c r="D18" i="1" a="1"/>
  <c r="D18" i="1" s="1"/>
  <c r="M111" i="4"/>
  <c r="N111" i="4" s="1"/>
  <c r="O111" i="4" s="1" a="1"/>
  <c r="O111" i="4" s="1"/>
  <c r="AL138" i="4"/>
  <c r="AB136" i="4"/>
  <c r="AG187" i="4"/>
  <c r="AH187" i="4" s="1"/>
  <c r="AI187" i="4" s="1" a="1"/>
  <c r="AI187" i="4" s="1"/>
  <c r="C16" i="4"/>
  <c r="D16" i="4" s="1"/>
  <c r="E16" i="4" s="1" a="1"/>
  <c r="E16" i="4" s="1"/>
  <c r="R110" i="4"/>
  <c r="S110" i="4" s="1"/>
  <c r="T110" i="4" s="1" a="1"/>
  <c r="T110" i="4" s="1"/>
  <c r="W110" i="4"/>
  <c r="X110" i="4" s="1"/>
  <c r="Y110" i="4" s="1" a="1"/>
  <c r="Y110" i="4" s="1"/>
  <c r="AR139" i="1" l="1" a="1"/>
  <c r="AR139" i="1" s="1"/>
  <c r="AQ139" i="1" a="1"/>
  <c r="AQ139" i="1" s="1"/>
  <c r="AV139" i="1" a="1"/>
  <c r="AV139" i="1" s="1"/>
  <c r="AW139" i="1" a="1"/>
  <c r="AW139" i="1" s="1"/>
  <c r="AG189" i="1" a="1"/>
  <c r="AG189" i="1" s="1"/>
  <c r="AL140" i="1" a="1"/>
  <c r="AL140" i="1" s="1"/>
  <c r="AM140" i="1" a="1"/>
  <c r="AM140" i="1" s="1"/>
  <c r="AJ187" i="4" a="1"/>
  <c r="AJ187" i="4" s="1"/>
  <c r="AI189" i="1" s="1" a="1"/>
  <c r="AI189" i="1" s="1"/>
  <c r="AH189" i="1" a="1"/>
  <c r="AH189" i="1" s="1"/>
  <c r="Z110" i="4" a="1"/>
  <c r="Z110" i="4" s="1"/>
  <c r="Y112" i="1" s="1" a="1"/>
  <c r="Y112" i="1" s="1"/>
  <c r="U110" i="4" a="1"/>
  <c r="U110" i="4" s="1"/>
  <c r="T112" i="1" s="1" a="1"/>
  <c r="T112" i="1" s="1"/>
  <c r="P111" i="4" a="1"/>
  <c r="P111" i="4" s="1"/>
  <c r="O113" i="1" s="1" a="1"/>
  <c r="O113" i="1" s="1"/>
  <c r="F16" i="4" a="1"/>
  <c r="F16" i="4" s="1"/>
  <c r="E18" i="1" s="1" a="1"/>
  <c r="E18" i="1" s="1"/>
  <c r="AV137" i="4"/>
  <c r="AW137" i="4" s="1"/>
  <c r="AX137" i="4" s="1" a="1"/>
  <c r="AX137" i="4" s="1"/>
  <c r="AQ137" i="4"/>
  <c r="AR137" i="4" s="1"/>
  <c r="AS137" i="4" s="1" a="1"/>
  <c r="AS137" i="4" s="1"/>
  <c r="AM138" i="4"/>
  <c r="AN138" i="4" s="1" a="1"/>
  <c r="AN138" i="4" s="1"/>
  <c r="AC136" i="4"/>
  <c r="AD136" i="4" s="1" a="1"/>
  <c r="AD136" i="4" s="1"/>
  <c r="AG188" i="4"/>
  <c r="H111" i="4"/>
  <c r="AY137" i="4" l="1" a="1"/>
  <c r="AY137" i="4" s="1"/>
  <c r="AX139" i="1" s="1" a="1"/>
  <c r="AX139" i="1" s="1"/>
  <c r="AH190" i="1" a="1"/>
  <c r="AH190" i="1" s="1"/>
  <c r="X113" i="1" a="1"/>
  <c r="X113" i="1" s="1"/>
  <c r="AT137" i="4" a="1"/>
  <c r="AT137" i="4" s="1"/>
  <c r="AS139" i="1" s="1" a="1"/>
  <c r="AS139" i="1" s="1"/>
  <c r="AG190" i="1" a="1"/>
  <c r="AG190" i="1" s="1"/>
  <c r="AO138" i="4" a="1"/>
  <c r="AO138" i="4" s="1"/>
  <c r="AN140" i="1" s="1" a="1"/>
  <c r="AN140" i="1" s="1"/>
  <c r="W113" i="1" a="1"/>
  <c r="W113" i="1" s="1"/>
  <c r="S113" i="1" a="1"/>
  <c r="S113" i="1" s="1"/>
  <c r="AE136" i="4" a="1"/>
  <c r="AE136" i="4" s="1"/>
  <c r="AD138" i="1" s="1" a="1"/>
  <c r="AD138" i="1" s="1"/>
  <c r="M114" i="1" a="1"/>
  <c r="M114" i="1" s="1"/>
  <c r="N114" i="1" a="1"/>
  <c r="N114" i="1" s="1"/>
  <c r="R113" i="1" a="1"/>
  <c r="R113" i="1" s="1"/>
  <c r="C19" i="1" a="1"/>
  <c r="C19" i="1" s="1"/>
  <c r="D19" i="1" a="1"/>
  <c r="D19" i="1" s="1"/>
  <c r="AV138" i="4"/>
  <c r="AQ138" i="4"/>
  <c r="AH188" i="4"/>
  <c r="AI188" i="4" s="1" a="1"/>
  <c r="AI188" i="4" s="1"/>
  <c r="C17" i="4"/>
  <c r="D17" i="4" s="1"/>
  <c r="E17" i="4" s="1" a="1"/>
  <c r="E17" i="4" s="1"/>
  <c r="I111" i="4"/>
  <c r="J111" i="4" s="1" a="1"/>
  <c r="J111" i="4" s="1"/>
  <c r="M112" i="4"/>
  <c r="N112" i="4" s="1"/>
  <c r="O112" i="4" s="1" a="1"/>
  <c r="O112" i="4" s="1"/>
  <c r="AL141" i="1" l="1" a="1"/>
  <c r="AL141" i="1" s="1"/>
  <c r="AW140" i="1" a="1"/>
  <c r="AW140" i="1" s="1"/>
  <c r="AV140" i="1" a="1"/>
  <c r="AV140" i="1" s="1"/>
  <c r="AQ140" i="1" a="1"/>
  <c r="AQ140" i="1" s="1"/>
  <c r="AR140" i="1" a="1"/>
  <c r="AR140" i="1" s="1"/>
  <c r="AM141" i="1" a="1"/>
  <c r="AM141" i="1" s="1"/>
  <c r="AB139" i="1" a="1"/>
  <c r="AB139" i="1" s="1"/>
  <c r="AC139" i="1" a="1"/>
  <c r="AC139" i="1" s="1"/>
  <c r="AJ188" i="4" a="1"/>
  <c r="AJ188" i="4" s="1"/>
  <c r="AI190" i="1" s="1" a="1"/>
  <c r="AI190" i="1" s="1"/>
  <c r="P112" i="4" a="1"/>
  <c r="P112" i="4" s="1"/>
  <c r="O114" i="1" s="1" a="1"/>
  <c r="O114" i="1" s="1"/>
  <c r="K111" i="4" a="1"/>
  <c r="K111" i="4" s="1"/>
  <c r="J113" i="1" s="1" a="1"/>
  <c r="J113" i="1" s="1"/>
  <c r="F17" i="4" a="1"/>
  <c r="F17" i="4" s="1"/>
  <c r="E19" i="1" s="1" a="1"/>
  <c r="E19" i="1" s="1"/>
  <c r="AB137" i="4"/>
  <c r="AC137" i="4" s="1"/>
  <c r="AD137" i="4" s="1" a="1"/>
  <c r="AD137" i="4" s="1"/>
  <c r="AL139" i="4"/>
  <c r="AM139" i="4" s="1"/>
  <c r="AN139" i="4" s="1" a="1"/>
  <c r="AN139" i="4" s="1"/>
  <c r="AW138" i="4"/>
  <c r="AX138" i="4" s="1" a="1"/>
  <c r="AX138" i="4" s="1"/>
  <c r="AR138" i="4"/>
  <c r="AS138" i="4" s="1" a="1"/>
  <c r="AS138" i="4" s="1"/>
  <c r="R111" i="4"/>
  <c r="S111" i="4" s="1"/>
  <c r="T111" i="4" s="1" a="1"/>
  <c r="T111" i="4" s="1"/>
  <c r="H112" i="4"/>
  <c r="I112" i="4" s="1"/>
  <c r="J112" i="4" s="1" a="1"/>
  <c r="J112" i="4" s="1"/>
  <c r="W111" i="4"/>
  <c r="X111" i="4" s="1"/>
  <c r="Y111" i="4" s="1" a="1"/>
  <c r="Y111" i="4" s="1"/>
  <c r="AY138" i="4" l="1" a="1"/>
  <c r="AY138" i="4" s="1"/>
  <c r="AX140" i="1" s="1" a="1"/>
  <c r="AX140" i="1" s="1"/>
  <c r="AT138" i="4" a="1"/>
  <c r="AT138" i="4" s="1"/>
  <c r="AS140" i="1" s="1" a="1"/>
  <c r="AS140" i="1" s="1"/>
  <c r="AO139" i="4" a="1"/>
  <c r="AO139" i="4" s="1"/>
  <c r="AN141" i="1" s="1" a="1"/>
  <c r="AN141" i="1" s="1"/>
  <c r="AG191" i="1" a="1"/>
  <c r="AG191" i="1" s="1"/>
  <c r="AH191" i="1" a="1"/>
  <c r="AH191" i="1" s="1"/>
  <c r="AE137" i="4" a="1"/>
  <c r="AE137" i="4" s="1"/>
  <c r="AD139" i="1" s="1" a="1"/>
  <c r="AD139" i="1" s="1"/>
  <c r="Z111" i="4" a="1"/>
  <c r="Z111" i="4" s="1"/>
  <c r="Y113" i="1" s="1" a="1"/>
  <c r="Y113" i="1" s="1"/>
  <c r="M115" i="1" a="1"/>
  <c r="M115" i="1" s="1"/>
  <c r="U111" i="4" a="1"/>
  <c r="U111" i="4" s="1"/>
  <c r="T113" i="1" s="1" a="1"/>
  <c r="T113" i="1" s="1"/>
  <c r="N115" i="1" a="1"/>
  <c r="N115" i="1" s="1"/>
  <c r="C20" i="1" a="1"/>
  <c r="C20" i="1" s="1"/>
  <c r="H114" i="1" a="1"/>
  <c r="H114" i="1" s="1"/>
  <c r="K112" i="4" a="1"/>
  <c r="K112" i="4" s="1"/>
  <c r="J114" i="1" s="1" a="1"/>
  <c r="J114" i="1" s="1"/>
  <c r="I114" i="1" a="1"/>
  <c r="I114" i="1" s="1"/>
  <c r="D20" i="1" a="1"/>
  <c r="D20" i="1" s="1"/>
  <c r="AG189" i="4"/>
  <c r="AH189" i="4" s="1"/>
  <c r="AI189" i="4" s="1" a="1"/>
  <c r="AI189" i="4" s="1"/>
  <c r="AL140" i="4"/>
  <c r="AB138" i="4"/>
  <c r="AQ141" i="1" l="1" a="1"/>
  <c r="AQ141" i="1" s="1"/>
  <c r="AV141" i="1" a="1"/>
  <c r="AV141" i="1" s="1"/>
  <c r="AR141" i="1" a="1"/>
  <c r="AR141" i="1" s="1"/>
  <c r="AW141" i="1" a="1"/>
  <c r="AW141" i="1" s="1"/>
  <c r="AM142" i="1" a="1"/>
  <c r="AM142" i="1" s="1"/>
  <c r="AL142" i="1" a="1"/>
  <c r="AL142" i="1" s="1"/>
  <c r="AB140" i="1" a="1"/>
  <c r="AB140" i="1" s="1"/>
  <c r="AC140" i="1" a="1"/>
  <c r="AC140" i="1" s="1"/>
  <c r="AJ189" i="4" a="1"/>
  <c r="AJ189" i="4" s="1"/>
  <c r="AI191" i="1" s="1" a="1"/>
  <c r="AI191" i="1" s="1"/>
  <c r="W114" i="1" a="1"/>
  <c r="W114" i="1" s="1"/>
  <c r="S114" i="1" a="1"/>
  <c r="S114" i="1" s="1"/>
  <c r="X114" i="1" a="1"/>
  <c r="X114" i="1" s="1"/>
  <c r="R114" i="1" a="1"/>
  <c r="R114" i="1" s="1"/>
  <c r="I115" i="1" a="1"/>
  <c r="I115" i="1" s="1"/>
  <c r="H115" i="1" a="1"/>
  <c r="H115" i="1" s="1"/>
  <c r="AV139" i="4"/>
  <c r="AW139" i="4" s="1"/>
  <c r="AX139" i="4" s="1" a="1"/>
  <c r="AX139" i="4" s="1"/>
  <c r="AQ139" i="4"/>
  <c r="AR139" i="4" s="1"/>
  <c r="AS139" i="4" s="1" a="1"/>
  <c r="AS139" i="4" s="1"/>
  <c r="AM140" i="4"/>
  <c r="AN140" i="4" s="1" a="1"/>
  <c r="AN140" i="4" s="1"/>
  <c r="AC138" i="4"/>
  <c r="AD138" i="4" s="1" a="1"/>
  <c r="AD138" i="4" s="1"/>
  <c r="AG190" i="4"/>
  <c r="AH190" i="4" s="1"/>
  <c r="AI190" i="4" s="1" a="1"/>
  <c r="AI190" i="4" s="1"/>
  <c r="C18" i="4"/>
  <c r="D18" i="4" s="1"/>
  <c r="E18" i="4" s="1" a="1"/>
  <c r="E18" i="4" s="1"/>
  <c r="M113" i="4"/>
  <c r="N113" i="4" s="1"/>
  <c r="O113" i="4" s="1" a="1"/>
  <c r="O113" i="4" s="1"/>
  <c r="AY139" i="4" l="1" a="1"/>
  <c r="AY139" i="4" s="1"/>
  <c r="AX141" i="1" s="1" a="1"/>
  <c r="AX141" i="1" s="1"/>
  <c r="AT139" i="4" a="1"/>
  <c r="AT139" i="4" s="1"/>
  <c r="AS141" i="1" s="1" a="1"/>
  <c r="AS141" i="1" s="1"/>
  <c r="AH192" i="1" a="1"/>
  <c r="AH192" i="1" s="1"/>
  <c r="AO140" i="4" a="1"/>
  <c r="AO140" i="4" s="1"/>
  <c r="AN142" i="1" s="1" a="1"/>
  <c r="AN142" i="1" s="1"/>
  <c r="AJ190" i="4" a="1"/>
  <c r="AJ190" i="4" s="1"/>
  <c r="AI192" i="1" s="1" a="1"/>
  <c r="AI192" i="1" s="1"/>
  <c r="AG192" i="1" a="1"/>
  <c r="AG192" i="1" s="1"/>
  <c r="AE138" i="4" a="1"/>
  <c r="AE138" i="4" s="1"/>
  <c r="AD140" i="1" s="1" a="1"/>
  <c r="AD140" i="1" s="1"/>
  <c r="P113" i="4" a="1"/>
  <c r="P113" i="4" s="1"/>
  <c r="O115" i="1" s="1" a="1"/>
  <c r="O115" i="1" s="1"/>
  <c r="F18" i="4" a="1"/>
  <c r="F18" i="4" s="1"/>
  <c r="E20" i="1" s="1" a="1"/>
  <c r="E20" i="1" s="1"/>
  <c r="AV140" i="4"/>
  <c r="AQ140" i="4"/>
  <c r="R112" i="4"/>
  <c r="S112" i="4" s="1"/>
  <c r="T112" i="4" s="1" a="1"/>
  <c r="T112" i="4" s="1"/>
  <c r="H113" i="4"/>
  <c r="I113" i="4" s="1"/>
  <c r="J113" i="4" s="1" a="1"/>
  <c r="J113" i="4" s="1"/>
  <c r="W112" i="4"/>
  <c r="X112" i="4" s="1"/>
  <c r="Y112" i="4" s="1" a="1"/>
  <c r="Y112" i="4" s="1"/>
  <c r="AV142" i="1" l="1" a="1"/>
  <c r="AV142" i="1" s="1"/>
  <c r="AL143" i="1" a="1"/>
  <c r="AL143" i="1" s="1"/>
  <c r="AR142" i="1" a="1"/>
  <c r="AR142" i="1" s="1"/>
  <c r="AQ142" i="1" a="1"/>
  <c r="AQ142" i="1" s="1"/>
  <c r="AW142" i="1" a="1"/>
  <c r="AW142" i="1" s="1"/>
  <c r="AG193" i="1" a="1"/>
  <c r="AG193" i="1" s="1"/>
  <c r="AH193" i="1" a="1"/>
  <c r="AH193" i="1" s="1"/>
  <c r="AM143" i="1" a="1"/>
  <c r="AM143" i="1" s="1"/>
  <c r="AC141" i="1" a="1"/>
  <c r="AC141" i="1" s="1"/>
  <c r="AB141" i="1" a="1"/>
  <c r="AB141" i="1" s="1"/>
  <c r="M116" i="1" a="1"/>
  <c r="M116" i="1" s="1"/>
  <c r="N116" i="1" a="1"/>
  <c r="N116" i="1" s="1"/>
  <c r="Z112" i="4" a="1"/>
  <c r="Z112" i="4" s="1"/>
  <c r="Y114" i="1" s="1" a="1"/>
  <c r="Y114" i="1" s="1"/>
  <c r="U112" i="4" a="1"/>
  <c r="U112" i="4" s="1"/>
  <c r="T114" i="1" s="1" a="1"/>
  <c r="T114" i="1" s="1"/>
  <c r="K113" i="4" a="1"/>
  <c r="K113" i="4" s="1"/>
  <c r="J115" i="1" s="1" a="1"/>
  <c r="J115" i="1" s="1"/>
  <c r="C21" i="1" a="1"/>
  <c r="C21" i="1" s="1"/>
  <c r="D21" i="1" a="1"/>
  <c r="D21" i="1" s="1"/>
  <c r="AB139" i="4"/>
  <c r="AC139" i="4" s="1"/>
  <c r="AD139" i="4" s="1" a="1"/>
  <c r="AD139" i="4" s="1"/>
  <c r="AG191" i="4"/>
  <c r="AH191" i="4" s="1"/>
  <c r="AI191" i="4" s="1" a="1"/>
  <c r="AI191" i="4" s="1"/>
  <c r="AW140" i="4"/>
  <c r="AX140" i="4" s="1" a="1"/>
  <c r="AX140" i="4" s="1"/>
  <c r="AR140" i="4"/>
  <c r="AS140" i="4" s="1" a="1"/>
  <c r="AS140" i="4" s="1"/>
  <c r="AL141" i="4"/>
  <c r="C19" i="4"/>
  <c r="D19" i="4" s="1"/>
  <c r="E19" i="4" s="1" a="1"/>
  <c r="E19" i="4" s="1"/>
  <c r="AY140" i="4" l="1" a="1"/>
  <c r="AY140" i="4" s="1"/>
  <c r="AX142" i="1" s="1" a="1"/>
  <c r="AX142" i="1" s="1"/>
  <c r="AT140" i="4" a="1"/>
  <c r="AT140" i="4" s="1"/>
  <c r="AS142" i="1" s="1" a="1"/>
  <c r="AS142" i="1" s="1"/>
  <c r="AJ191" i="4" a="1"/>
  <c r="AJ191" i="4" s="1"/>
  <c r="AI193" i="1" s="1" a="1"/>
  <c r="AI193" i="1" s="1"/>
  <c r="W115" i="1" a="1"/>
  <c r="W115" i="1" s="1"/>
  <c r="AE139" i="4" a="1"/>
  <c r="AE139" i="4" s="1"/>
  <c r="AD141" i="1" s="1" a="1"/>
  <c r="AD141" i="1" s="1"/>
  <c r="R115" i="1" a="1"/>
  <c r="R115" i="1" s="1"/>
  <c r="X115" i="1" a="1"/>
  <c r="X115" i="1" s="1"/>
  <c r="H116" i="1" a="1"/>
  <c r="H116" i="1" s="1"/>
  <c r="S115" i="1" a="1"/>
  <c r="S115" i="1" s="1"/>
  <c r="I116" i="1" a="1"/>
  <c r="I116" i="1" s="1"/>
  <c r="F19" i="4" a="1"/>
  <c r="F19" i="4" s="1"/>
  <c r="E21" i="1" s="1" a="1"/>
  <c r="E21" i="1" s="1"/>
  <c r="AM141" i="4"/>
  <c r="AN141" i="4" s="1" a="1"/>
  <c r="AN141" i="4" s="1"/>
  <c r="AB140" i="4"/>
  <c r="AG192" i="4"/>
  <c r="AH192" i="4" s="1"/>
  <c r="AI192" i="4" s="1" a="1"/>
  <c r="AI192" i="4" s="1"/>
  <c r="M114" i="4"/>
  <c r="N114" i="4" s="1"/>
  <c r="O114" i="4" s="1" a="1"/>
  <c r="O114" i="4" s="1"/>
  <c r="W113" i="4"/>
  <c r="AQ143" i="1" l="1" a="1"/>
  <c r="AQ143" i="1" s="1"/>
  <c r="AR143" i="1" a="1"/>
  <c r="AR143" i="1" s="1"/>
  <c r="AV143" i="1" a="1"/>
  <c r="AV143" i="1" s="1"/>
  <c r="AW143" i="1" a="1"/>
  <c r="AW143" i="1" s="1"/>
  <c r="AO141" i="4" a="1"/>
  <c r="AO141" i="4" s="1"/>
  <c r="AN143" i="1" s="1" a="1"/>
  <c r="AN143" i="1" s="1"/>
  <c r="AH194" i="1" a="1"/>
  <c r="AH194" i="1" s="1"/>
  <c r="AJ192" i="4" a="1"/>
  <c r="AJ192" i="4" s="1"/>
  <c r="AI194" i="1" s="1" a="1"/>
  <c r="AI194" i="1" s="1"/>
  <c r="AB142" i="1" a="1"/>
  <c r="AB142" i="1" s="1"/>
  <c r="AC142" i="1" a="1"/>
  <c r="AC142" i="1" s="1"/>
  <c r="AG194" i="1" a="1"/>
  <c r="AG194" i="1" s="1"/>
  <c r="P114" i="4" a="1"/>
  <c r="P114" i="4" s="1"/>
  <c r="O116" i="1" s="1" a="1"/>
  <c r="O116" i="1" s="1"/>
  <c r="C22" i="1" a="1"/>
  <c r="C22" i="1" s="1"/>
  <c r="D22" i="1" a="1"/>
  <c r="D22" i="1" s="1"/>
  <c r="AV141" i="4"/>
  <c r="AQ141" i="4"/>
  <c r="AC140" i="4"/>
  <c r="AD140" i="4" s="1" a="1"/>
  <c r="AD140" i="4" s="1"/>
  <c r="AG193" i="4"/>
  <c r="X113" i="4"/>
  <c r="Y113" i="4" s="1" a="1"/>
  <c r="Y113" i="4" s="1"/>
  <c r="C20" i="4"/>
  <c r="D20" i="4" s="1"/>
  <c r="E20" i="4" s="1" a="1"/>
  <c r="E20" i="4" s="1"/>
  <c r="H114" i="4"/>
  <c r="AL144" i="1" l="1" a="1"/>
  <c r="AL144" i="1" s="1"/>
  <c r="AM144" i="1" a="1"/>
  <c r="AM144" i="1" s="1"/>
  <c r="AG195" i="1" a="1"/>
  <c r="AG195" i="1" s="1"/>
  <c r="AH195" i="1" a="1"/>
  <c r="AH195" i="1" s="1"/>
  <c r="AE140" i="4" a="1"/>
  <c r="AE140" i="4" s="1"/>
  <c r="AD142" i="1" s="1" a="1"/>
  <c r="AD142" i="1" s="1"/>
  <c r="Z113" i="4" a="1"/>
  <c r="Z113" i="4" s="1"/>
  <c r="Y115" i="1" s="1" a="1"/>
  <c r="Y115" i="1" s="1"/>
  <c r="M117" i="1" a="1"/>
  <c r="M117" i="1" s="1"/>
  <c r="N117" i="1" a="1"/>
  <c r="N117" i="1" s="1"/>
  <c r="F20" i="4" a="1"/>
  <c r="F20" i="4" s="1"/>
  <c r="E22" i="1" s="1" a="1"/>
  <c r="E22" i="1" s="1"/>
  <c r="AL142" i="4"/>
  <c r="AM142" i="4" s="1"/>
  <c r="AN142" i="4" s="1" a="1"/>
  <c r="AN142" i="4" s="1"/>
  <c r="AW141" i="4"/>
  <c r="AX141" i="4" s="1" a="1"/>
  <c r="AX141" i="4" s="1"/>
  <c r="AR141" i="4"/>
  <c r="AS141" i="4" s="1" a="1"/>
  <c r="AS141" i="4" s="1"/>
  <c r="W114" i="4"/>
  <c r="X114" i="4" s="1"/>
  <c r="Y114" i="4" s="1" a="1"/>
  <c r="Y114" i="4" s="1"/>
  <c r="AH193" i="4"/>
  <c r="AI193" i="4" s="1" a="1"/>
  <c r="AI193" i="4" s="1"/>
  <c r="I114" i="4"/>
  <c r="J114" i="4" s="1" a="1"/>
  <c r="J114" i="4" s="1"/>
  <c r="M115" i="4"/>
  <c r="N115" i="4" s="1"/>
  <c r="O115" i="4" s="1" a="1"/>
  <c r="O115" i="4" s="1"/>
  <c r="R113" i="4"/>
  <c r="AY141" i="4" l="1" a="1"/>
  <c r="AY141" i="4" s="1"/>
  <c r="AX143" i="1" s="1" a="1"/>
  <c r="AX143" i="1" s="1"/>
  <c r="AT141" i="4" a="1"/>
  <c r="AT141" i="4" s="1"/>
  <c r="AS143" i="1" s="1" a="1"/>
  <c r="AS143" i="1" s="1"/>
  <c r="AO142" i="4" a="1"/>
  <c r="AO142" i="4" s="1"/>
  <c r="AN144" i="1" s="1" a="1"/>
  <c r="AN144" i="1" s="1"/>
  <c r="AB143" i="1" a="1"/>
  <c r="AB143" i="1" s="1"/>
  <c r="AC143" i="1" a="1"/>
  <c r="AC143" i="1" s="1"/>
  <c r="AJ193" i="4" a="1"/>
  <c r="AJ193" i="4" s="1"/>
  <c r="AI195" i="1" s="1" a="1"/>
  <c r="AI195" i="1" s="1"/>
  <c r="W116" i="1" a="1"/>
  <c r="W116" i="1" s="1"/>
  <c r="Z114" i="4" a="1"/>
  <c r="Z114" i="4" s="1"/>
  <c r="Y116" i="1" s="1" a="1"/>
  <c r="Y116" i="1" s="1"/>
  <c r="X116" i="1" a="1"/>
  <c r="X116" i="1" s="1"/>
  <c r="P115" i="4" a="1"/>
  <c r="P115" i="4" s="1"/>
  <c r="O117" i="1" s="1" a="1"/>
  <c r="O117" i="1" s="1"/>
  <c r="K114" i="4" a="1"/>
  <c r="K114" i="4" s="1"/>
  <c r="J116" i="1" s="1" a="1"/>
  <c r="J116" i="1" s="1"/>
  <c r="C23" i="1" a="1"/>
  <c r="C23" i="1" s="1"/>
  <c r="D23" i="1" a="1"/>
  <c r="D23" i="1" s="1"/>
  <c r="AL143" i="4"/>
  <c r="AB141" i="4"/>
  <c r="S113" i="4"/>
  <c r="T113" i="4" s="1" a="1"/>
  <c r="T113" i="4" s="1"/>
  <c r="H115" i="4"/>
  <c r="C21" i="4"/>
  <c r="D21" i="4" s="1"/>
  <c r="E21" i="4" s="1" a="1"/>
  <c r="E21" i="4" s="1"/>
  <c r="AV144" i="1" l="1" a="1"/>
  <c r="AV144" i="1" s="1"/>
  <c r="AW144" i="1" a="1"/>
  <c r="AW144" i="1" s="1"/>
  <c r="AM145" i="1" a="1"/>
  <c r="AM145" i="1" s="1"/>
  <c r="AL145" i="1" a="1"/>
  <c r="AL145" i="1" s="1"/>
  <c r="AR144" i="1" a="1"/>
  <c r="AR144" i="1" s="1"/>
  <c r="AQ144" i="1" a="1"/>
  <c r="AQ144" i="1" s="1"/>
  <c r="AG196" i="1" a="1"/>
  <c r="AG196" i="1" s="1"/>
  <c r="AH196" i="1" a="1"/>
  <c r="AH196" i="1" s="1"/>
  <c r="W117" i="1" a="1"/>
  <c r="W117" i="1" s="1"/>
  <c r="H117" i="1" a="1"/>
  <c r="H117" i="1" s="1"/>
  <c r="X117" i="1" a="1"/>
  <c r="X117" i="1" s="1"/>
  <c r="U113" i="4" a="1"/>
  <c r="U113" i="4" s="1"/>
  <c r="T115" i="1" s="1" a="1"/>
  <c r="T115" i="1" s="1"/>
  <c r="M118" i="1" a="1"/>
  <c r="M118" i="1" s="1"/>
  <c r="N118" i="1" a="1"/>
  <c r="N118" i="1" s="1"/>
  <c r="I117" i="1" a="1"/>
  <c r="I117" i="1" s="1"/>
  <c r="F21" i="4" a="1"/>
  <c r="F21" i="4" s="1"/>
  <c r="E23" i="1" s="1" a="1"/>
  <c r="E23" i="1" s="1"/>
  <c r="AV142" i="4"/>
  <c r="AW142" i="4" s="1"/>
  <c r="AX142" i="4" s="1" a="1"/>
  <c r="AX142" i="4" s="1"/>
  <c r="AQ142" i="4"/>
  <c r="AR142" i="4" s="1"/>
  <c r="AS142" i="4" s="1" a="1"/>
  <c r="AS142" i="4" s="1"/>
  <c r="AM143" i="4"/>
  <c r="AN143" i="4" s="1" a="1"/>
  <c r="AN143" i="4" s="1"/>
  <c r="AG194" i="4"/>
  <c r="AH194" i="4" s="1"/>
  <c r="AI194" i="4" s="1" a="1"/>
  <c r="AI194" i="4" s="1"/>
  <c r="AC141" i="4"/>
  <c r="AD141" i="4" s="1" a="1"/>
  <c r="AD141" i="4" s="1"/>
  <c r="R114" i="4"/>
  <c r="S114" i="4" s="1"/>
  <c r="T114" i="4" s="1" a="1"/>
  <c r="T114" i="4" s="1"/>
  <c r="I115" i="4"/>
  <c r="J115" i="4" s="1" a="1"/>
  <c r="J115" i="4" s="1"/>
  <c r="M116" i="4"/>
  <c r="N116" i="4" s="1"/>
  <c r="O116" i="4" s="1" a="1"/>
  <c r="O116" i="4" s="1"/>
  <c r="AY142" i="4" l="1" a="1"/>
  <c r="AY142" i="4" s="1"/>
  <c r="AX144" i="1" s="1" a="1"/>
  <c r="AX144" i="1" s="1"/>
  <c r="AT142" i="4" a="1"/>
  <c r="AT142" i="4" s="1"/>
  <c r="AS144" i="1" s="1" a="1"/>
  <c r="AS144" i="1" s="1"/>
  <c r="AO143" i="4" a="1"/>
  <c r="AO143" i="4" s="1"/>
  <c r="AN145" i="1" s="1" a="1"/>
  <c r="AN145" i="1" s="1"/>
  <c r="AJ194" i="4" a="1"/>
  <c r="AJ194" i="4" s="1"/>
  <c r="AI196" i="1" s="1" a="1"/>
  <c r="AI196" i="1" s="1"/>
  <c r="AE141" i="4" a="1"/>
  <c r="AE141" i="4" s="1"/>
  <c r="AD143" i="1" s="1" a="1"/>
  <c r="AD143" i="1" s="1"/>
  <c r="U114" i="4" a="1"/>
  <c r="U114" i="4" s="1"/>
  <c r="T116" i="1" s="1" a="1"/>
  <c r="T116" i="1" s="1"/>
  <c r="S116" i="1" a="1"/>
  <c r="S116" i="1" s="1"/>
  <c r="R116" i="1" a="1"/>
  <c r="R116" i="1" s="1"/>
  <c r="P116" i="4" a="1"/>
  <c r="P116" i="4" s="1"/>
  <c r="O118" i="1" s="1" a="1"/>
  <c r="O118" i="1" s="1"/>
  <c r="K115" i="4" a="1"/>
  <c r="K115" i="4" s="1"/>
  <c r="J117" i="1" s="1" a="1"/>
  <c r="J117" i="1" s="1"/>
  <c r="C24" i="1" a="1"/>
  <c r="C24" i="1" s="1"/>
  <c r="D24" i="1" a="1"/>
  <c r="D24" i="1" s="1"/>
  <c r="AV143" i="4"/>
  <c r="AQ143" i="4"/>
  <c r="AG195" i="4"/>
  <c r="W115" i="4"/>
  <c r="X115" i="4" s="1"/>
  <c r="Y115" i="4" s="1" a="1"/>
  <c r="Y115" i="4" s="1"/>
  <c r="H116" i="4"/>
  <c r="I116" i="4" s="1"/>
  <c r="J116" i="4" s="1" a="1"/>
  <c r="J116" i="4" s="1"/>
  <c r="C22" i="4"/>
  <c r="D22" i="4" s="1"/>
  <c r="E22" i="4" s="1" a="1"/>
  <c r="E22" i="4" s="1"/>
  <c r="AW145" i="1" l="1" a="1"/>
  <c r="AW145" i="1" s="1"/>
  <c r="AQ145" i="1" a="1"/>
  <c r="AQ145" i="1" s="1"/>
  <c r="AV145" i="1" a="1"/>
  <c r="AV145" i="1" s="1"/>
  <c r="AR145" i="1" a="1"/>
  <c r="AR145" i="1" s="1"/>
  <c r="AC144" i="1" a="1"/>
  <c r="AC144" i="1" s="1"/>
  <c r="AL146" i="1" a="1"/>
  <c r="AL146" i="1" s="1"/>
  <c r="AM146" i="1" a="1"/>
  <c r="AM146" i="1" s="1"/>
  <c r="AB144" i="1" a="1"/>
  <c r="AB144" i="1" s="1"/>
  <c r="AG197" i="1" a="1"/>
  <c r="AG197" i="1" s="1"/>
  <c r="AH197" i="1" a="1"/>
  <c r="AH197" i="1" s="1"/>
  <c r="M119" i="1" a="1"/>
  <c r="M119" i="1" s="1"/>
  <c r="N119" i="1" a="1"/>
  <c r="N119" i="1" s="1"/>
  <c r="Z115" i="4" a="1"/>
  <c r="Z115" i="4" s="1"/>
  <c r="Y117" i="1" s="1" a="1"/>
  <c r="Y117" i="1" s="1"/>
  <c r="R117" i="1" a="1"/>
  <c r="R117" i="1" s="1"/>
  <c r="S117" i="1" a="1"/>
  <c r="S117" i="1" s="1"/>
  <c r="K116" i="4" a="1"/>
  <c r="K116" i="4" s="1"/>
  <c r="J118" i="1" s="1" a="1"/>
  <c r="J118" i="1" s="1"/>
  <c r="H118" i="1" a="1"/>
  <c r="H118" i="1" s="1"/>
  <c r="I118" i="1" a="1"/>
  <c r="I118" i="1" s="1"/>
  <c r="F22" i="4" a="1"/>
  <c r="F22" i="4" s="1"/>
  <c r="E24" i="1" s="1" a="1"/>
  <c r="E24" i="1" s="1"/>
  <c r="AB142" i="4"/>
  <c r="AC142" i="4" s="1"/>
  <c r="AD142" i="4" s="1" a="1"/>
  <c r="AD142" i="4" s="1"/>
  <c r="AL144" i="4"/>
  <c r="AM144" i="4" s="1"/>
  <c r="AN144" i="4" s="1" a="1"/>
  <c r="AN144" i="4" s="1"/>
  <c r="AW143" i="4"/>
  <c r="AX143" i="4" s="1" a="1"/>
  <c r="AX143" i="4" s="1"/>
  <c r="AR143" i="4"/>
  <c r="AS143" i="4" s="1" a="1"/>
  <c r="AS143" i="4" s="1"/>
  <c r="AH195" i="4"/>
  <c r="AI195" i="4" s="1" a="1"/>
  <c r="AI195" i="4" s="1"/>
  <c r="AY143" i="4" l="1" a="1"/>
  <c r="AY143" i="4" s="1"/>
  <c r="AX145" i="1" s="1" a="1"/>
  <c r="AX145" i="1" s="1"/>
  <c r="AT143" i="4" a="1"/>
  <c r="AT143" i="4" s="1"/>
  <c r="AS145" i="1" s="1" a="1"/>
  <c r="AS145" i="1" s="1"/>
  <c r="AO144" i="4" a="1"/>
  <c r="AO144" i="4" s="1"/>
  <c r="AN146" i="1" s="1" a="1"/>
  <c r="AN146" i="1" s="1"/>
  <c r="AJ195" i="4" a="1"/>
  <c r="AJ195" i="4" s="1"/>
  <c r="AI197" i="1" s="1" a="1"/>
  <c r="AI197" i="1" s="1"/>
  <c r="AE142" i="4" a="1"/>
  <c r="AE142" i="4" s="1"/>
  <c r="AD144" i="1" s="1" a="1"/>
  <c r="AD144" i="1" s="1"/>
  <c r="W118" i="1" a="1"/>
  <c r="W118" i="1" s="1"/>
  <c r="X118" i="1" a="1"/>
  <c r="X118" i="1" s="1"/>
  <c r="H119" i="1" a="1"/>
  <c r="H119" i="1" s="1"/>
  <c r="I119" i="1" a="1"/>
  <c r="I119" i="1" s="1"/>
  <c r="C25" i="1" a="1"/>
  <c r="C25" i="1" s="1"/>
  <c r="D25" i="1" a="1"/>
  <c r="D25" i="1" s="1"/>
  <c r="AL145" i="4"/>
  <c r="AB143" i="4"/>
  <c r="AG196" i="4"/>
  <c r="M117" i="4"/>
  <c r="N117" i="4" s="1"/>
  <c r="O117" i="4" s="1" a="1"/>
  <c r="O117" i="4" s="1"/>
  <c r="R115" i="4"/>
  <c r="S115" i="4" s="1"/>
  <c r="T115" i="4" s="1" a="1"/>
  <c r="T115" i="4" s="1"/>
  <c r="H117" i="4"/>
  <c r="I117" i="4" s="1"/>
  <c r="J117" i="4" s="1" a="1"/>
  <c r="J117" i="4" s="1"/>
  <c r="AV146" i="1" l="1" a="1"/>
  <c r="AV146" i="1" s="1"/>
  <c r="AW146" i="1" a="1"/>
  <c r="AW146" i="1" s="1"/>
  <c r="AQ146" i="1" a="1"/>
  <c r="AQ146" i="1" s="1"/>
  <c r="AL147" i="1" a="1"/>
  <c r="AL147" i="1" s="1"/>
  <c r="AM147" i="1" a="1"/>
  <c r="AM147" i="1" s="1"/>
  <c r="AR146" i="1" a="1"/>
  <c r="AR146" i="1" s="1"/>
  <c r="AH198" i="1" a="1"/>
  <c r="AH198" i="1" s="1"/>
  <c r="AG198" i="1" a="1"/>
  <c r="AG198" i="1" s="1"/>
  <c r="AB145" i="1" a="1"/>
  <c r="AB145" i="1" s="1"/>
  <c r="AC145" i="1" a="1"/>
  <c r="AC145" i="1" s="1"/>
  <c r="U115" i="4" a="1"/>
  <c r="U115" i="4" s="1"/>
  <c r="T117" i="1" s="1" a="1"/>
  <c r="T117" i="1" s="1"/>
  <c r="P117" i="4" a="1"/>
  <c r="P117" i="4" s="1"/>
  <c r="O119" i="1" s="1" a="1"/>
  <c r="O119" i="1" s="1"/>
  <c r="K117" i="4" a="1"/>
  <c r="K117" i="4" s="1"/>
  <c r="J119" i="1" s="1" a="1"/>
  <c r="J119" i="1" s="1"/>
  <c r="AQ144" i="4"/>
  <c r="AR144" i="4" s="1"/>
  <c r="AS144" i="4" s="1" a="1"/>
  <c r="AS144" i="4" s="1"/>
  <c r="AV144" i="4"/>
  <c r="AW144" i="4" s="1"/>
  <c r="AX144" i="4" s="1" a="1"/>
  <c r="AX144" i="4" s="1"/>
  <c r="AM145" i="4"/>
  <c r="AN145" i="4" s="1" a="1"/>
  <c r="AN145" i="4" s="1"/>
  <c r="AC143" i="4"/>
  <c r="AD143" i="4" s="1" a="1"/>
  <c r="AD143" i="4" s="1"/>
  <c r="AH196" i="4"/>
  <c r="AI196" i="4" s="1" a="1"/>
  <c r="AI196" i="4" s="1"/>
  <c r="C23" i="4"/>
  <c r="D23" i="4" s="1"/>
  <c r="E23" i="4" s="1" a="1"/>
  <c r="E23" i="4" s="1"/>
  <c r="W116" i="4"/>
  <c r="X116" i="4" s="1"/>
  <c r="Y116" i="4" s="1" a="1"/>
  <c r="Y116" i="4" s="1"/>
  <c r="AY144" i="4" l="1" a="1"/>
  <c r="AY144" i="4" s="1"/>
  <c r="AX146" i="1" s="1" a="1"/>
  <c r="AX146" i="1" s="1"/>
  <c r="AT144" i="4" a="1"/>
  <c r="AT144" i="4" s="1"/>
  <c r="AS146" i="1" s="1" a="1"/>
  <c r="AS146" i="1" s="1"/>
  <c r="AO145" i="4" a="1"/>
  <c r="AO145" i="4" s="1"/>
  <c r="AN147" i="1" s="1" a="1"/>
  <c r="AN147" i="1" s="1"/>
  <c r="AJ196" i="4" a="1"/>
  <c r="AJ196" i="4" s="1"/>
  <c r="AI198" i="1" s="1" a="1"/>
  <c r="AI198" i="1" s="1"/>
  <c r="AE143" i="4" a="1"/>
  <c r="AE143" i="4" s="1"/>
  <c r="AD145" i="1" s="1" a="1"/>
  <c r="AD145" i="1" s="1"/>
  <c r="Z116" i="4" a="1"/>
  <c r="Z116" i="4" s="1"/>
  <c r="Y118" i="1" s="1" a="1"/>
  <c r="Y118" i="1" s="1"/>
  <c r="M120" i="1" a="1"/>
  <c r="M120" i="1" s="1"/>
  <c r="S118" i="1" a="1"/>
  <c r="S118" i="1" s="1"/>
  <c r="R118" i="1" a="1"/>
  <c r="R118" i="1" s="1"/>
  <c r="N120" i="1" a="1"/>
  <c r="N120" i="1" s="1"/>
  <c r="H120" i="1" a="1"/>
  <c r="H120" i="1" s="1"/>
  <c r="I120" i="1" a="1"/>
  <c r="I120" i="1" s="1"/>
  <c r="F23" i="4" a="1"/>
  <c r="F23" i="4" s="1"/>
  <c r="E25" i="1" s="1" a="1"/>
  <c r="E25" i="1" s="1"/>
  <c r="AV145" i="4"/>
  <c r="AQ145" i="4"/>
  <c r="AG197" i="4"/>
  <c r="AH197" i="4" s="1"/>
  <c r="AI197" i="4" s="1" a="1"/>
  <c r="AI197" i="4" s="1"/>
  <c r="AQ147" i="1" l="1" a="1"/>
  <c r="AQ147" i="1" s="1"/>
  <c r="AL148" i="1" a="1"/>
  <c r="AL148" i="1" s="1"/>
  <c r="AV147" i="1" a="1"/>
  <c r="AV147" i="1" s="1"/>
  <c r="AW147" i="1" a="1"/>
  <c r="AW147" i="1" s="1"/>
  <c r="AM148" i="1" a="1"/>
  <c r="AM148" i="1" s="1"/>
  <c r="AH199" i="1" a="1"/>
  <c r="AH199" i="1" s="1"/>
  <c r="AG199" i="1" a="1"/>
  <c r="AG199" i="1" s="1"/>
  <c r="AB146" i="1" a="1"/>
  <c r="AB146" i="1" s="1"/>
  <c r="AR147" i="1" a="1"/>
  <c r="AR147" i="1" s="1"/>
  <c r="AC146" i="1" a="1"/>
  <c r="AC146" i="1" s="1"/>
  <c r="AJ197" i="4" a="1"/>
  <c r="AJ197" i="4" s="1"/>
  <c r="AI199" i="1" s="1" a="1"/>
  <c r="AI199" i="1" s="1"/>
  <c r="W119" i="1" a="1"/>
  <c r="W119" i="1" s="1"/>
  <c r="X119" i="1" a="1"/>
  <c r="X119" i="1" s="1"/>
  <c r="C26" i="1" a="1"/>
  <c r="C26" i="1" s="1"/>
  <c r="D26" i="1" a="1"/>
  <c r="D26" i="1" s="1"/>
  <c r="AB144" i="4"/>
  <c r="AC144" i="4" s="1"/>
  <c r="AD144" i="4" s="1" a="1"/>
  <c r="AD144" i="4" s="1"/>
  <c r="AW145" i="4"/>
  <c r="AX145" i="4" s="1" a="1"/>
  <c r="AX145" i="4" s="1"/>
  <c r="AR145" i="4"/>
  <c r="AS145" i="4" s="1" a="1"/>
  <c r="AS145" i="4" s="1"/>
  <c r="AL146" i="4"/>
  <c r="M118" i="4"/>
  <c r="N118" i="4" s="1"/>
  <c r="O118" i="4" s="1" a="1"/>
  <c r="O118" i="4" s="1"/>
  <c r="R116" i="4"/>
  <c r="S116" i="4" s="1"/>
  <c r="T116" i="4" s="1" a="1"/>
  <c r="T116" i="4" s="1"/>
  <c r="H118" i="4"/>
  <c r="I118" i="4" s="1"/>
  <c r="J118" i="4" s="1" a="1"/>
  <c r="J118" i="4" s="1"/>
  <c r="AH200" i="1" l="1" a="1"/>
  <c r="AH200" i="1" s="1"/>
  <c r="AY145" i="4" a="1"/>
  <c r="AY145" i="4" s="1"/>
  <c r="AX147" i="1" s="1" a="1"/>
  <c r="AX147" i="1" s="1"/>
  <c r="AT145" i="4" a="1"/>
  <c r="AT145" i="4" s="1"/>
  <c r="AS147" i="1" s="1" a="1"/>
  <c r="AS147" i="1" s="1"/>
  <c r="AG200" i="1" a="1"/>
  <c r="AG200" i="1" s="1"/>
  <c r="AE144" i="4" a="1"/>
  <c r="AE144" i="4" s="1"/>
  <c r="AD146" i="1" s="1" a="1"/>
  <c r="AD146" i="1" s="1"/>
  <c r="U116" i="4" a="1"/>
  <c r="U116" i="4" s="1"/>
  <c r="T118" i="1" s="1" a="1"/>
  <c r="T118" i="1" s="1"/>
  <c r="P118" i="4" a="1"/>
  <c r="P118" i="4" s="1"/>
  <c r="O120" i="1" s="1" a="1"/>
  <c r="O120" i="1" s="1"/>
  <c r="K118" i="4" a="1"/>
  <c r="K118" i="4" s="1"/>
  <c r="J120" i="1" s="1" a="1"/>
  <c r="J120" i="1" s="1"/>
  <c r="AM146" i="4"/>
  <c r="AN146" i="4" s="1" a="1"/>
  <c r="AN146" i="4" s="1"/>
  <c r="AG198" i="4"/>
  <c r="AH198" i="4" s="1"/>
  <c r="AI198" i="4" s="1" a="1"/>
  <c r="AI198" i="4" s="1"/>
  <c r="AB145" i="4"/>
  <c r="C24" i="4"/>
  <c r="D24" i="4" s="1"/>
  <c r="E24" i="4" s="1" a="1"/>
  <c r="E24" i="4" s="1"/>
  <c r="W117" i="4"/>
  <c r="X117" i="4" s="1"/>
  <c r="Y117" i="4" s="1" a="1"/>
  <c r="Y117" i="4" s="1"/>
  <c r="AW148" i="1" l="1" a="1"/>
  <c r="AW148" i="1" s="1"/>
  <c r="AV148" i="1" a="1"/>
  <c r="AV148" i="1" s="1"/>
  <c r="AQ148" i="1" a="1"/>
  <c r="AQ148" i="1" s="1"/>
  <c r="AB147" i="1" a="1"/>
  <c r="AB147" i="1" s="1"/>
  <c r="H121" i="1" a="1"/>
  <c r="H121" i="1" s="1"/>
  <c r="AR148" i="1" a="1"/>
  <c r="AR148" i="1" s="1"/>
  <c r="M121" i="1" a="1"/>
  <c r="M121" i="1" s="1"/>
  <c r="AO146" i="4" a="1"/>
  <c r="AO146" i="4" s="1"/>
  <c r="AN148" i="1" s="1" a="1"/>
  <c r="AN148" i="1" s="1"/>
  <c r="AJ198" i="4" a="1"/>
  <c r="AJ198" i="4" s="1"/>
  <c r="AI200" i="1" s="1" a="1"/>
  <c r="AI200" i="1" s="1"/>
  <c r="N121" i="1" a="1"/>
  <c r="N121" i="1" s="1"/>
  <c r="AC147" i="1" a="1"/>
  <c r="AC147" i="1" s="1"/>
  <c r="Z117" i="4" a="1"/>
  <c r="Z117" i="4" s="1"/>
  <c r="Y119" i="1" s="1" a="1"/>
  <c r="Y119" i="1" s="1"/>
  <c r="R119" i="1" a="1"/>
  <c r="R119" i="1" s="1"/>
  <c r="S119" i="1" a="1"/>
  <c r="S119" i="1" s="1"/>
  <c r="I121" i="1" a="1"/>
  <c r="I121" i="1" s="1"/>
  <c r="F24" i="4" a="1"/>
  <c r="F24" i="4" s="1"/>
  <c r="E26" i="1" s="1" a="1"/>
  <c r="E26" i="1" s="1"/>
  <c r="AV146" i="4"/>
  <c r="AQ146" i="4"/>
  <c r="AC145" i="4"/>
  <c r="AD145" i="4" s="1" a="1"/>
  <c r="AD145" i="4" s="1"/>
  <c r="R117" i="4"/>
  <c r="H119" i="4"/>
  <c r="AM149" i="1" l="1" a="1"/>
  <c r="AM149" i="1" s="1"/>
  <c r="AH201" i="1" a="1"/>
  <c r="AH201" i="1" s="1"/>
  <c r="AG201" i="1" a="1"/>
  <c r="AG201" i="1" s="1"/>
  <c r="AL149" i="1" a="1"/>
  <c r="AL149" i="1" s="1"/>
  <c r="W120" i="1" a="1"/>
  <c r="W120" i="1" s="1"/>
  <c r="AE145" i="4" a="1"/>
  <c r="AE145" i="4" s="1"/>
  <c r="AD147" i="1" s="1" a="1"/>
  <c r="AD147" i="1" s="1"/>
  <c r="X120" i="1" a="1"/>
  <c r="X120" i="1" s="1"/>
  <c r="C27" i="1" a="1"/>
  <c r="C27" i="1" s="1"/>
  <c r="D27" i="1" a="1"/>
  <c r="D27" i="1" s="1"/>
  <c r="AW146" i="4"/>
  <c r="AX146" i="4" s="1" a="1"/>
  <c r="AX146" i="4" s="1"/>
  <c r="AR146" i="4"/>
  <c r="AS146" i="4" s="1" a="1"/>
  <c r="AS146" i="4" s="1"/>
  <c r="AL147" i="4"/>
  <c r="S117" i="4"/>
  <c r="T117" i="4" s="1" a="1"/>
  <c r="T117" i="4" s="1"/>
  <c r="I119" i="4"/>
  <c r="J119" i="4" s="1" a="1"/>
  <c r="J119" i="4" s="1"/>
  <c r="M119" i="4"/>
  <c r="N119" i="4" s="1"/>
  <c r="O119" i="4" s="1" a="1"/>
  <c r="O119" i="4" s="1"/>
  <c r="C25" i="4"/>
  <c r="D25" i="4" s="1"/>
  <c r="E25" i="4" s="1" a="1"/>
  <c r="E25" i="4" s="1"/>
  <c r="K5" i="5"/>
  <c r="K54" i="5"/>
  <c r="K39" i="5"/>
  <c r="K32" i="5"/>
  <c r="K84" i="5"/>
  <c r="K98" i="5"/>
  <c r="K97" i="5"/>
  <c r="K46" i="5"/>
  <c r="K75" i="5"/>
  <c r="K27" i="5"/>
  <c r="K76" i="5"/>
  <c r="K20" i="5"/>
  <c r="K50" i="5"/>
  <c r="K15" i="5"/>
  <c r="K85" i="5"/>
  <c r="K67" i="5"/>
  <c r="K36" i="5"/>
  <c r="K94" i="5"/>
  <c r="K57" i="5"/>
  <c r="K48" i="5"/>
  <c r="K58" i="5"/>
  <c r="K26" i="5"/>
  <c r="K14" i="5"/>
  <c r="K4" i="5"/>
  <c r="K73" i="5"/>
  <c r="K21" i="5"/>
  <c r="K16" i="5"/>
  <c r="K47" i="5"/>
  <c r="K81" i="5"/>
  <c r="K45" i="5"/>
  <c r="K49" i="5"/>
  <c r="K42" i="5"/>
  <c r="K87" i="5"/>
  <c r="K22" i="5"/>
  <c r="K101" i="5"/>
  <c r="K34" i="5"/>
  <c r="K25" i="5"/>
  <c r="K61" i="5"/>
  <c r="K9" i="5"/>
  <c r="K93" i="5"/>
  <c r="K24" i="5"/>
  <c r="K40" i="5"/>
  <c r="K83" i="5"/>
  <c r="K92" i="5"/>
  <c r="K65" i="5"/>
  <c r="K55" i="5"/>
  <c r="K52" i="5"/>
  <c r="K19" i="5"/>
  <c r="K91" i="5"/>
  <c r="K86" i="5"/>
  <c r="K3" i="5"/>
  <c r="K70" i="5"/>
  <c r="K38" i="5"/>
  <c r="K44" i="5"/>
  <c r="K30" i="5"/>
  <c r="K23" i="5"/>
  <c r="K71" i="5"/>
  <c r="K78" i="5"/>
  <c r="K28" i="5"/>
  <c r="K31" i="5"/>
  <c r="K69" i="5"/>
  <c r="K80" i="5"/>
  <c r="K96" i="5"/>
  <c r="K2" i="5"/>
  <c r="K89" i="5"/>
  <c r="K68" i="5"/>
  <c r="K59" i="5"/>
  <c r="K35" i="5"/>
  <c r="K6" i="5"/>
  <c r="K63" i="5"/>
  <c r="K51" i="5"/>
  <c r="K11" i="5"/>
  <c r="K17" i="5"/>
  <c r="K79" i="5"/>
  <c r="K66" i="5"/>
  <c r="K13" i="5"/>
  <c r="K41" i="5"/>
  <c r="K33" i="5"/>
  <c r="K64" i="5"/>
  <c r="K8" i="5"/>
  <c r="K12" i="5"/>
  <c r="K100" i="5"/>
  <c r="K60" i="5"/>
  <c r="K18" i="5"/>
  <c r="K74" i="5"/>
  <c r="K88" i="5"/>
  <c r="K95" i="5"/>
  <c r="K37" i="5"/>
  <c r="K10" i="5"/>
  <c r="K53" i="5"/>
  <c r="K56" i="5"/>
  <c r="K72" i="5"/>
  <c r="K82" i="5"/>
  <c r="K77" i="5"/>
  <c r="K90" i="5"/>
  <c r="K7" i="5"/>
  <c r="K43" i="5"/>
  <c r="K99" i="5"/>
  <c r="K62" i="5"/>
  <c r="K29" i="5"/>
  <c r="AY146" i="4" l="1" a="1"/>
  <c r="AY146" i="4" s="1"/>
  <c r="AX148" i="1" s="1" a="1"/>
  <c r="AX148" i="1" s="1"/>
  <c r="AT146" i="4" a="1"/>
  <c r="AT146" i="4" s="1"/>
  <c r="AS148" i="1" s="1" a="1"/>
  <c r="AS148" i="1" s="1"/>
  <c r="AB148" i="1" a="1"/>
  <c r="AB148" i="1" s="1"/>
  <c r="AC148" i="1" a="1"/>
  <c r="AC148" i="1" s="1"/>
  <c r="U117" i="4" a="1"/>
  <c r="U117" i="4" s="1"/>
  <c r="T119" i="1" s="1" a="1"/>
  <c r="T119" i="1" s="1"/>
  <c r="P119" i="4" a="1"/>
  <c r="P119" i="4" s="1"/>
  <c r="O121" i="1" s="1" a="1"/>
  <c r="O121" i="1" s="1"/>
  <c r="K119" i="4" a="1"/>
  <c r="K119" i="4" s="1"/>
  <c r="J121" i="1" s="1" a="1"/>
  <c r="J121" i="1" s="1"/>
  <c r="F25" i="4" a="1"/>
  <c r="F25" i="4" s="1"/>
  <c r="E27" i="1" s="1" a="1"/>
  <c r="E27" i="1" s="1"/>
  <c r="AM147" i="4"/>
  <c r="AN147" i="4" s="1" a="1"/>
  <c r="AN147" i="4" s="1"/>
  <c r="AB146" i="4"/>
  <c r="H120" i="4"/>
  <c r="I120" i="4" s="1"/>
  <c r="J120" i="4" s="1" a="1"/>
  <c r="J120" i="4" s="1"/>
  <c r="W118" i="4"/>
  <c r="X118" i="4" s="1"/>
  <c r="Y118" i="4" s="1" a="1"/>
  <c r="Y118" i="4" s="1"/>
  <c r="AV149" i="1" l="1" a="1"/>
  <c r="AV149" i="1" s="1"/>
  <c r="AW149" i="1" a="1"/>
  <c r="AW149" i="1" s="1"/>
  <c r="AQ149" i="1" a="1"/>
  <c r="AQ149" i="1" s="1"/>
  <c r="AR149" i="1" a="1"/>
  <c r="AR149" i="1" s="1"/>
  <c r="AO147" i="4" a="1"/>
  <c r="AO147" i="4" s="1"/>
  <c r="AN149" i="1" s="1" a="1"/>
  <c r="AN149" i="1" s="1"/>
  <c r="Z118" i="4" a="1"/>
  <c r="Z118" i="4" s="1"/>
  <c r="Y120" i="1" s="1" a="1"/>
  <c r="Y120" i="1" s="1"/>
  <c r="H122" i="1" a="1"/>
  <c r="H122" i="1" s="1"/>
  <c r="I122" i="1" a="1"/>
  <c r="I122" i="1" s="1"/>
  <c r="S120" i="1" a="1"/>
  <c r="S120" i="1" s="1"/>
  <c r="R120" i="1" a="1"/>
  <c r="R120" i="1" s="1"/>
  <c r="M122" i="1" a="1"/>
  <c r="M122" i="1" s="1"/>
  <c r="N122" i="1" a="1"/>
  <c r="N122" i="1" s="1"/>
  <c r="K120" i="4" a="1"/>
  <c r="K120" i="4" s="1"/>
  <c r="J122" i="1" s="1" a="1"/>
  <c r="J122" i="1" s="1"/>
  <c r="C28" i="1" a="1"/>
  <c r="C28" i="1" s="1"/>
  <c r="D28" i="1" a="1"/>
  <c r="D28" i="1" s="1"/>
  <c r="AQ147" i="4"/>
  <c r="AR147" i="4" s="1"/>
  <c r="AS147" i="4" s="1" a="1"/>
  <c r="AS147" i="4" s="1"/>
  <c r="R118" i="4"/>
  <c r="S118" i="4" s="1"/>
  <c r="AV147" i="4"/>
  <c r="AC146" i="4"/>
  <c r="AD146" i="4" s="1" a="1"/>
  <c r="AD146" i="4" s="1"/>
  <c r="C26" i="4"/>
  <c r="D26" i="4" s="1"/>
  <c r="E26" i="4" s="1" a="1"/>
  <c r="E26" i="4" s="1"/>
  <c r="M120" i="4"/>
  <c r="N120" i="4" s="1"/>
  <c r="O120" i="4" s="1" a="1"/>
  <c r="O120" i="4" s="1"/>
  <c r="AL150" i="1" l="1" a="1"/>
  <c r="AL150" i="1" s="1"/>
  <c r="AT147" i="4" a="1"/>
  <c r="AT147" i="4" s="1"/>
  <c r="AS149" i="1" s="1" a="1"/>
  <c r="AS149" i="1" s="1"/>
  <c r="AM150" i="1" a="1"/>
  <c r="AM150" i="1" s="1"/>
  <c r="AE146" i="4" a="1"/>
  <c r="AE146" i="4" s="1"/>
  <c r="AD148" i="1" s="1" a="1"/>
  <c r="AD148" i="1" s="1"/>
  <c r="W121" i="1" a="1"/>
  <c r="W121" i="1" s="1"/>
  <c r="X121" i="1" a="1"/>
  <c r="X121" i="1" s="1"/>
  <c r="P120" i="4" a="1"/>
  <c r="P120" i="4" s="1"/>
  <c r="O122" i="1" s="1" a="1"/>
  <c r="O122" i="1" s="1"/>
  <c r="H123" i="1" a="1"/>
  <c r="H123" i="1" s="1"/>
  <c r="I123" i="1" a="1"/>
  <c r="I123" i="1" s="1"/>
  <c r="F26" i="4" a="1"/>
  <c r="F26" i="4" s="1"/>
  <c r="E28" i="1" s="1" a="1"/>
  <c r="E28" i="1" s="1"/>
  <c r="T118" i="4" a="1"/>
  <c r="T118" i="4" s="1"/>
  <c r="AW147" i="4"/>
  <c r="AX147" i="4" s="1" a="1"/>
  <c r="AX147" i="4" s="1"/>
  <c r="AQ148" i="4"/>
  <c r="AL148" i="4"/>
  <c r="H121" i="4"/>
  <c r="AQ150" i="1" l="1" a="1"/>
  <c r="AQ150" i="1" s="1"/>
  <c r="AY147" i="4" a="1"/>
  <c r="AY147" i="4" s="1"/>
  <c r="AX149" i="1" s="1" a="1"/>
  <c r="AX149" i="1" s="1"/>
  <c r="AR150" i="1" a="1"/>
  <c r="AR150" i="1" s="1"/>
  <c r="AC149" i="1" a="1"/>
  <c r="AC149" i="1" s="1"/>
  <c r="AB149" i="1" a="1"/>
  <c r="AB149" i="1" s="1"/>
  <c r="M123" i="1" a="1"/>
  <c r="M123" i="1" s="1"/>
  <c r="U118" i="4" a="1"/>
  <c r="U118" i="4" s="1"/>
  <c r="T120" i="1" s="1" a="1"/>
  <c r="T120" i="1" s="1"/>
  <c r="N123" i="1" a="1"/>
  <c r="N123" i="1" s="1"/>
  <c r="C29" i="1" a="1"/>
  <c r="C29" i="1" s="1"/>
  <c r="D29" i="1" a="1"/>
  <c r="D29" i="1" s="1"/>
  <c r="C27" i="4"/>
  <c r="D27" i="4" s="1"/>
  <c r="E27" i="4" s="1" a="1"/>
  <c r="E27" i="4" s="1"/>
  <c r="AR148" i="4"/>
  <c r="AS148" i="4" s="1" a="1"/>
  <c r="AS148" i="4" s="1"/>
  <c r="AM148" i="4"/>
  <c r="AN148" i="4" s="1" a="1"/>
  <c r="AN148" i="4" s="1"/>
  <c r="AB147" i="4"/>
  <c r="I121" i="4"/>
  <c r="J121" i="4" s="1" a="1"/>
  <c r="J121" i="4" s="1"/>
  <c r="R119" i="4"/>
  <c r="S119" i="4" s="1"/>
  <c r="T119" i="4" s="1" a="1"/>
  <c r="T119" i="4" s="1"/>
  <c r="AV150" i="1" l="1" a="1"/>
  <c r="AV150" i="1" s="1"/>
  <c r="AW150" i="1" a="1"/>
  <c r="AW150" i="1" s="1"/>
  <c r="AT148" i="4" a="1"/>
  <c r="AT148" i="4" s="1"/>
  <c r="AS150" i="1" s="1" a="1"/>
  <c r="AS150" i="1" s="1"/>
  <c r="AO148" i="4" a="1"/>
  <c r="AO148" i="4" s="1"/>
  <c r="AN150" i="1" s="1" a="1"/>
  <c r="AN150" i="1" s="1"/>
  <c r="U119" i="4" a="1"/>
  <c r="U119" i="4" s="1"/>
  <c r="T121" i="1" s="1" a="1"/>
  <c r="T121" i="1" s="1"/>
  <c r="R121" i="1" a="1"/>
  <c r="R121" i="1" s="1"/>
  <c r="S121" i="1" a="1"/>
  <c r="S121" i="1" s="1"/>
  <c r="K121" i="4" a="1"/>
  <c r="K121" i="4" s="1"/>
  <c r="J123" i="1" s="1" a="1"/>
  <c r="J123" i="1" s="1"/>
  <c r="F27" i="4" a="1"/>
  <c r="F27" i="4" s="1"/>
  <c r="E29" i="1" s="1" a="1"/>
  <c r="E29" i="1" s="1"/>
  <c r="AV148" i="4"/>
  <c r="AC147" i="4"/>
  <c r="AD147" i="4" s="1" a="1"/>
  <c r="AD147" i="4" s="1"/>
  <c r="W119" i="4"/>
  <c r="X119" i="4" s="1"/>
  <c r="Y119" i="4" s="1" a="1"/>
  <c r="Y119" i="4" s="1"/>
  <c r="H122" i="4"/>
  <c r="I122" i="4" s="1"/>
  <c r="J122" i="4" s="1" a="1"/>
  <c r="J122" i="4" s="1"/>
  <c r="M121" i="4"/>
  <c r="N121" i="4" s="1"/>
  <c r="O121" i="4" s="1" a="1"/>
  <c r="O121" i="4" s="1"/>
  <c r="AL151" i="1" l="1" a="1"/>
  <c r="AL151" i="1" s="1"/>
  <c r="AQ151" i="1" a="1"/>
  <c r="AQ151" i="1" s="1"/>
  <c r="AM151" i="1" a="1"/>
  <c r="AM151" i="1" s="1"/>
  <c r="AR151" i="1" a="1"/>
  <c r="AR151" i="1" s="1"/>
  <c r="AE147" i="4" a="1"/>
  <c r="AE147" i="4" s="1"/>
  <c r="AD149" i="1" s="1" a="1"/>
  <c r="AD149" i="1" s="1"/>
  <c r="S122" i="1" a="1"/>
  <c r="S122" i="1" s="1"/>
  <c r="R122" i="1" a="1"/>
  <c r="R122" i="1" s="1"/>
  <c r="Z119" i="4" a="1"/>
  <c r="Z119" i="4" s="1"/>
  <c r="Y121" i="1" s="1" a="1"/>
  <c r="Y121" i="1" s="1"/>
  <c r="H124" i="1" a="1"/>
  <c r="H124" i="1" s="1"/>
  <c r="P121" i="4" a="1"/>
  <c r="P121" i="4" s="1"/>
  <c r="O123" i="1" s="1" a="1"/>
  <c r="O123" i="1" s="1"/>
  <c r="I124" i="1" a="1"/>
  <c r="I124" i="1" s="1"/>
  <c r="K122" i="4" a="1"/>
  <c r="K122" i="4" s="1"/>
  <c r="J124" i="1" s="1" a="1"/>
  <c r="J124" i="1" s="1"/>
  <c r="C30" i="1" a="1"/>
  <c r="C30" i="1" s="1"/>
  <c r="D30" i="1" a="1"/>
  <c r="D30" i="1" s="1"/>
  <c r="AL149" i="4"/>
  <c r="AM149" i="4" s="1"/>
  <c r="AN149" i="4" s="1" a="1"/>
  <c r="AN149" i="4" s="1"/>
  <c r="C28" i="4"/>
  <c r="D28" i="4" s="1"/>
  <c r="E28" i="4" s="1" a="1"/>
  <c r="E28" i="4" s="1"/>
  <c r="AQ149" i="4"/>
  <c r="AR149" i="4" s="1"/>
  <c r="AS149" i="4" s="1" a="1"/>
  <c r="AS149" i="4" s="1"/>
  <c r="AW148" i="4"/>
  <c r="AX148" i="4" s="1" a="1"/>
  <c r="AX148" i="4" s="1"/>
  <c r="AY148" i="4" l="1" a="1"/>
  <c r="AY148" i="4" s="1"/>
  <c r="AX150" i="1" s="1" a="1"/>
  <c r="AX150" i="1" s="1"/>
  <c r="AT149" i="4" a="1"/>
  <c r="AT149" i="4" s="1"/>
  <c r="AS151" i="1" s="1" a="1"/>
  <c r="AS151" i="1" s="1"/>
  <c r="AO149" i="4" a="1"/>
  <c r="AO149" i="4" s="1"/>
  <c r="AN151" i="1" s="1" a="1"/>
  <c r="AN151" i="1" s="1"/>
  <c r="W122" i="1" a="1"/>
  <c r="W122" i="1" s="1"/>
  <c r="X122" i="1" a="1"/>
  <c r="X122" i="1" s="1"/>
  <c r="AB150" i="1" a="1"/>
  <c r="AB150" i="1" s="1"/>
  <c r="AC150" i="1" a="1"/>
  <c r="AC150" i="1" s="1"/>
  <c r="M124" i="1" a="1"/>
  <c r="M124" i="1" s="1"/>
  <c r="N124" i="1" a="1"/>
  <c r="N124" i="1" s="1"/>
  <c r="H125" i="1" a="1"/>
  <c r="H125" i="1" s="1"/>
  <c r="I125" i="1" a="1"/>
  <c r="I125" i="1" s="1"/>
  <c r="F28" i="4" a="1"/>
  <c r="F28" i="4" s="1"/>
  <c r="E30" i="1" s="1" a="1"/>
  <c r="E30" i="1" s="1"/>
  <c r="AQ150" i="4"/>
  <c r="AL150" i="4"/>
  <c r="AB148" i="4"/>
  <c r="H123" i="4"/>
  <c r="W120" i="4"/>
  <c r="R120" i="4"/>
  <c r="AV151" i="1" l="1" a="1"/>
  <c r="AV151" i="1" s="1"/>
  <c r="AW151" i="1" a="1"/>
  <c r="AW151" i="1" s="1"/>
  <c r="AL152" i="1" a="1"/>
  <c r="AL152" i="1" s="1"/>
  <c r="AR152" i="1" a="1"/>
  <c r="AR152" i="1" s="1"/>
  <c r="AM152" i="1" a="1"/>
  <c r="AM152" i="1" s="1"/>
  <c r="AQ152" i="1" a="1"/>
  <c r="AQ152" i="1" s="1"/>
  <c r="C31" i="1" a="1"/>
  <c r="C31" i="1" s="1"/>
  <c r="D31" i="1" a="1"/>
  <c r="D31" i="1" s="1"/>
  <c r="AV149" i="4"/>
  <c r="AW149" i="4" s="1"/>
  <c r="AX149" i="4" s="1" a="1"/>
  <c r="AX149" i="4" s="1"/>
  <c r="AR150" i="4"/>
  <c r="AS150" i="4" s="1" a="1"/>
  <c r="AS150" i="4" s="1"/>
  <c r="AM150" i="4"/>
  <c r="AN150" i="4" s="1" a="1"/>
  <c r="AN150" i="4" s="1"/>
  <c r="AC148" i="4"/>
  <c r="AD148" i="4" s="1" a="1"/>
  <c r="AD148" i="4" s="1"/>
  <c r="X120" i="4"/>
  <c r="Y120" i="4" s="1" a="1"/>
  <c r="Y120" i="4" s="1"/>
  <c r="S120" i="4"/>
  <c r="T120" i="4" s="1" a="1"/>
  <c r="T120" i="4" s="1"/>
  <c r="I123" i="4"/>
  <c r="J123" i="4" s="1" a="1"/>
  <c r="J123" i="4" s="1"/>
  <c r="C29" i="4"/>
  <c r="D29" i="4" s="1"/>
  <c r="E29" i="4" s="1" a="1"/>
  <c r="E29" i="4" s="1"/>
  <c r="M122" i="4"/>
  <c r="N122" i="4" s="1"/>
  <c r="O122" i="4" s="1" a="1"/>
  <c r="O122" i="4" s="1"/>
  <c r="AY149" i="4" l="1" a="1"/>
  <c r="AY149" i="4" s="1"/>
  <c r="AX151" i="1" s="1" a="1"/>
  <c r="AX151" i="1" s="1"/>
  <c r="AT150" i="4" a="1"/>
  <c r="AT150" i="4" s="1"/>
  <c r="AS152" i="1" s="1" a="1"/>
  <c r="AS152" i="1" s="1"/>
  <c r="AO150" i="4" a="1"/>
  <c r="AO150" i="4" s="1"/>
  <c r="AN152" i="1" s="1" a="1"/>
  <c r="AN152" i="1" s="1"/>
  <c r="AE148" i="4" a="1"/>
  <c r="AE148" i="4" s="1"/>
  <c r="AD150" i="1" s="1" a="1"/>
  <c r="AD150" i="1" s="1"/>
  <c r="Z120" i="4" a="1"/>
  <c r="Z120" i="4" s="1"/>
  <c r="Y122" i="1" s="1" a="1"/>
  <c r="Y122" i="1" s="1"/>
  <c r="U120" i="4" a="1"/>
  <c r="U120" i="4" s="1"/>
  <c r="T122" i="1" s="1" a="1"/>
  <c r="T122" i="1" s="1"/>
  <c r="P122" i="4" a="1"/>
  <c r="P122" i="4" s="1"/>
  <c r="O124" i="1" s="1" a="1"/>
  <c r="O124" i="1" s="1"/>
  <c r="K123" i="4" a="1"/>
  <c r="K123" i="4" s="1"/>
  <c r="J125" i="1" s="1" a="1"/>
  <c r="J125" i="1" s="1"/>
  <c r="F29" i="4" a="1"/>
  <c r="F29" i="4" s="1"/>
  <c r="E31" i="1" s="1" a="1"/>
  <c r="E31" i="1" s="1"/>
  <c r="AV150" i="4"/>
  <c r="W121" i="4"/>
  <c r="X121" i="4" s="1"/>
  <c r="Y121" i="4" s="1" a="1"/>
  <c r="Y121" i="4" s="1"/>
  <c r="R121" i="4"/>
  <c r="S121" i="4" s="1"/>
  <c r="T121" i="4" s="1" a="1"/>
  <c r="T121" i="4" s="1"/>
  <c r="H124" i="4"/>
  <c r="I124" i="4" s="1"/>
  <c r="J124" i="4" s="1" a="1"/>
  <c r="J124" i="4" s="1"/>
  <c r="AQ153" i="1" l="1" a="1"/>
  <c r="AQ153" i="1" s="1"/>
  <c r="AR153" i="1" a="1"/>
  <c r="AR153" i="1" s="1"/>
  <c r="AV152" i="1" a="1"/>
  <c r="AV152" i="1" s="1"/>
  <c r="AW152" i="1" a="1"/>
  <c r="AW152" i="1" s="1"/>
  <c r="AL153" i="1" a="1"/>
  <c r="AL153" i="1" s="1"/>
  <c r="AB151" i="1" a="1"/>
  <c r="AB151" i="1" s="1"/>
  <c r="AC151" i="1" a="1"/>
  <c r="AC151" i="1" s="1"/>
  <c r="AM153" i="1" a="1"/>
  <c r="AM153" i="1" s="1"/>
  <c r="R123" i="1" a="1"/>
  <c r="R123" i="1" s="1"/>
  <c r="S123" i="1" a="1"/>
  <c r="S123" i="1" s="1"/>
  <c r="M125" i="1" a="1"/>
  <c r="M125" i="1" s="1"/>
  <c r="W123" i="1" a="1"/>
  <c r="W123" i="1" s="1"/>
  <c r="Z121" i="4" a="1"/>
  <c r="Z121" i="4" s="1"/>
  <c r="Y123" i="1" s="1" a="1"/>
  <c r="Y123" i="1" s="1"/>
  <c r="X123" i="1" a="1"/>
  <c r="X123" i="1" s="1"/>
  <c r="U121" i="4" a="1"/>
  <c r="U121" i="4" s="1"/>
  <c r="T123" i="1" s="1" a="1"/>
  <c r="T123" i="1" s="1"/>
  <c r="H126" i="1" a="1"/>
  <c r="H126" i="1" s="1"/>
  <c r="I126" i="1" a="1"/>
  <c r="I126" i="1" s="1"/>
  <c r="N125" i="1" a="1"/>
  <c r="N125" i="1" s="1"/>
  <c r="K124" i="4" a="1"/>
  <c r="K124" i="4" s="1"/>
  <c r="J126" i="1" s="1" a="1"/>
  <c r="J126" i="1" s="1"/>
  <c r="C32" i="1" a="1"/>
  <c r="C32" i="1" s="1"/>
  <c r="D32" i="1" a="1"/>
  <c r="D32" i="1" s="1"/>
  <c r="AB149" i="4"/>
  <c r="AC149" i="4" s="1"/>
  <c r="AD149" i="4" s="1" a="1"/>
  <c r="AD149" i="4" s="1"/>
  <c r="AQ151" i="4"/>
  <c r="AR151" i="4" s="1"/>
  <c r="AS151" i="4" s="1" a="1"/>
  <c r="AS151" i="4" s="1"/>
  <c r="AL151" i="4"/>
  <c r="AM151" i="4" s="1"/>
  <c r="AN151" i="4" s="1" a="1"/>
  <c r="AN151" i="4" s="1"/>
  <c r="AW150" i="4"/>
  <c r="AX150" i="4" s="1" a="1"/>
  <c r="AX150" i="4" s="1"/>
  <c r="AY150" i="4" l="1" a="1"/>
  <c r="AY150" i="4" s="1"/>
  <c r="AX152" i="1" s="1" a="1"/>
  <c r="AX152" i="1" s="1"/>
  <c r="AT151" i="4" a="1"/>
  <c r="AT151" i="4" s="1"/>
  <c r="AS153" i="1" s="1" a="1"/>
  <c r="AS153" i="1" s="1"/>
  <c r="AO151" i="4" a="1"/>
  <c r="AO151" i="4" s="1"/>
  <c r="AN153" i="1" s="1" a="1"/>
  <c r="AN153" i="1" s="1"/>
  <c r="AE149" i="4" a="1"/>
  <c r="AE149" i="4" s="1"/>
  <c r="AD151" i="1" s="1" a="1"/>
  <c r="AD151" i="1" s="1"/>
  <c r="W124" i="1" a="1"/>
  <c r="W124" i="1" s="1"/>
  <c r="X124" i="1" a="1"/>
  <c r="X124" i="1" s="1"/>
  <c r="H127" i="1" a="1"/>
  <c r="H127" i="1" s="1"/>
  <c r="S124" i="1" a="1"/>
  <c r="S124" i="1" s="1"/>
  <c r="R124" i="1" a="1"/>
  <c r="R124" i="1" s="1"/>
  <c r="I127" i="1" a="1"/>
  <c r="I127" i="1" s="1"/>
  <c r="AQ152" i="4"/>
  <c r="AL152" i="4"/>
  <c r="AB150" i="4"/>
  <c r="W122" i="4"/>
  <c r="X122" i="4" s="1"/>
  <c r="Y122" i="4" s="1" a="1"/>
  <c r="Y122" i="4" s="1"/>
  <c r="C30" i="4"/>
  <c r="D30" i="4" s="1"/>
  <c r="E30" i="4" s="1" a="1"/>
  <c r="E30" i="4" s="1"/>
  <c r="M123" i="4"/>
  <c r="N123" i="4" s="1"/>
  <c r="O123" i="4" s="1" a="1"/>
  <c r="O123" i="4" s="1"/>
  <c r="R122" i="4"/>
  <c r="S122" i="4" s="1"/>
  <c r="T122" i="4" s="1" a="1"/>
  <c r="T122" i="4" s="1"/>
  <c r="AW153" i="1" l="1" a="1"/>
  <c r="AW153" i="1" s="1"/>
  <c r="AQ154" i="1" a="1"/>
  <c r="AQ154" i="1" s="1"/>
  <c r="AV153" i="1" a="1"/>
  <c r="AV153" i="1" s="1"/>
  <c r="AL154" i="1" a="1"/>
  <c r="AL154" i="1" s="1"/>
  <c r="AM154" i="1" a="1"/>
  <c r="AM154" i="1" s="1"/>
  <c r="AR154" i="1" a="1"/>
  <c r="AR154" i="1" s="1"/>
  <c r="AB152" i="1" a="1"/>
  <c r="AB152" i="1" s="1"/>
  <c r="AC152" i="1" a="1"/>
  <c r="AC152" i="1" s="1"/>
  <c r="Z122" i="4" a="1"/>
  <c r="Z122" i="4" s="1"/>
  <c r="Y124" i="1" s="1" a="1"/>
  <c r="Y124" i="1" s="1"/>
  <c r="U122" i="4" a="1"/>
  <c r="U122" i="4" s="1"/>
  <c r="T124" i="1" s="1" a="1"/>
  <c r="T124" i="1" s="1"/>
  <c r="P123" i="4" a="1"/>
  <c r="P123" i="4" s="1"/>
  <c r="O125" i="1" s="1" a="1"/>
  <c r="O125" i="1" s="1"/>
  <c r="F30" i="4" a="1"/>
  <c r="F30" i="4" s="1"/>
  <c r="E32" i="1" s="1" a="1"/>
  <c r="E32" i="1" s="1"/>
  <c r="AV151" i="4"/>
  <c r="AW151" i="4" s="1"/>
  <c r="AX151" i="4" s="1" a="1"/>
  <c r="AX151" i="4" s="1"/>
  <c r="AR152" i="4"/>
  <c r="AS152" i="4" s="1" a="1"/>
  <c r="AS152" i="4" s="1"/>
  <c r="AM152" i="4"/>
  <c r="AN152" i="4" s="1" a="1"/>
  <c r="AN152" i="4" s="1"/>
  <c r="AC150" i="4"/>
  <c r="AD150" i="4" s="1" a="1"/>
  <c r="AD150" i="4" s="1"/>
  <c r="H125" i="4"/>
  <c r="I125" i="4" s="1"/>
  <c r="J125" i="4" s="1" a="1"/>
  <c r="J125" i="4" s="1"/>
  <c r="AY151" i="4" l="1" a="1"/>
  <c r="AY151" i="4" s="1"/>
  <c r="AX153" i="1" s="1" a="1"/>
  <c r="AX153" i="1" s="1"/>
  <c r="AT152" i="4" a="1"/>
  <c r="AT152" i="4" s="1"/>
  <c r="AS154" i="1" s="1" a="1"/>
  <c r="AS154" i="1" s="1"/>
  <c r="AO152" i="4" a="1"/>
  <c r="AO152" i="4" s="1"/>
  <c r="AN154" i="1" s="1" a="1"/>
  <c r="AN154" i="1" s="1"/>
  <c r="AE150" i="4" a="1"/>
  <c r="AE150" i="4" s="1"/>
  <c r="AD152" i="1" s="1" a="1"/>
  <c r="AD152" i="1" s="1"/>
  <c r="W125" i="1" a="1"/>
  <c r="W125" i="1" s="1"/>
  <c r="M126" i="1" a="1"/>
  <c r="M126" i="1" s="1"/>
  <c r="N126" i="1" a="1"/>
  <c r="N126" i="1" s="1"/>
  <c r="X125" i="1" a="1"/>
  <c r="X125" i="1" s="1"/>
  <c r="R125" i="1" a="1"/>
  <c r="R125" i="1" s="1"/>
  <c r="S125" i="1" a="1"/>
  <c r="S125" i="1" s="1"/>
  <c r="K125" i="4" a="1"/>
  <c r="K125" i="4" s="1"/>
  <c r="J127" i="1" s="1" a="1"/>
  <c r="J127" i="1" s="1"/>
  <c r="C33" i="1" a="1"/>
  <c r="C33" i="1" s="1"/>
  <c r="D33" i="1" a="1"/>
  <c r="D33" i="1" s="1"/>
  <c r="AV152" i="4"/>
  <c r="C31" i="4"/>
  <c r="D31" i="4" s="1"/>
  <c r="E31" i="4" s="1" a="1"/>
  <c r="E31" i="4" s="1"/>
  <c r="W123" i="4"/>
  <c r="X123" i="4" s="1"/>
  <c r="Y123" i="4" s="1" a="1"/>
  <c r="Y123" i="4" s="1"/>
  <c r="AV154" i="1" l="1" a="1"/>
  <c r="AV154" i="1" s="1"/>
  <c r="AQ155" i="1" a="1"/>
  <c r="AQ155" i="1" s="1"/>
  <c r="AW154" i="1" a="1"/>
  <c r="AW154" i="1" s="1"/>
  <c r="AC153" i="1" a="1"/>
  <c r="AC153" i="1" s="1"/>
  <c r="AR155" i="1" a="1"/>
  <c r="AR155" i="1" s="1"/>
  <c r="AL155" i="1" a="1"/>
  <c r="AL155" i="1" s="1"/>
  <c r="AM155" i="1" a="1"/>
  <c r="AM155" i="1" s="1"/>
  <c r="H128" i="1" a="1"/>
  <c r="H128" i="1" s="1"/>
  <c r="AB153" i="1" a="1"/>
  <c r="AB153" i="1" s="1"/>
  <c r="Z123" i="4" a="1"/>
  <c r="Z123" i="4" s="1"/>
  <c r="Y125" i="1" s="1" a="1"/>
  <c r="Y125" i="1" s="1"/>
  <c r="I128" i="1" a="1"/>
  <c r="I128" i="1" s="1"/>
  <c r="F31" i="4" a="1"/>
  <c r="F31" i="4" s="1"/>
  <c r="E33" i="1" s="1" a="1"/>
  <c r="E33" i="1" s="1"/>
  <c r="AB151" i="4"/>
  <c r="AC151" i="4" s="1"/>
  <c r="AD151" i="4" s="1" a="1"/>
  <c r="AD151" i="4" s="1"/>
  <c r="AW152" i="4"/>
  <c r="AX152" i="4" s="1" a="1"/>
  <c r="AX152" i="4" s="1"/>
  <c r="AQ153" i="4"/>
  <c r="AL153" i="4"/>
  <c r="M124" i="4"/>
  <c r="N124" i="4" s="1"/>
  <c r="O124" i="4" s="1" a="1"/>
  <c r="O124" i="4" s="1"/>
  <c r="H126" i="4"/>
  <c r="I126" i="4" s="1"/>
  <c r="J126" i="4" s="1" a="1"/>
  <c r="J126" i="4" s="1"/>
  <c r="R123" i="4"/>
  <c r="AY152" i="4" l="1" a="1"/>
  <c r="AY152" i="4" s="1"/>
  <c r="AX154" i="1" s="1" a="1"/>
  <c r="AX154" i="1" s="1"/>
  <c r="AE151" i="4" a="1"/>
  <c r="AE151" i="4" s="1"/>
  <c r="AD153" i="1" s="1" a="1"/>
  <c r="AD153" i="1" s="1"/>
  <c r="W126" i="1" a="1"/>
  <c r="W126" i="1" s="1"/>
  <c r="X126" i="1" a="1"/>
  <c r="X126" i="1" s="1"/>
  <c r="P124" i="4" a="1"/>
  <c r="P124" i="4" s="1"/>
  <c r="O126" i="1" s="1" a="1"/>
  <c r="O126" i="1" s="1"/>
  <c r="K126" i="4" a="1"/>
  <c r="K126" i="4" s="1"/>
  <c r="J128" i="1" s="1" a="1"/>
  <c r="J128" i="1" s="1"/>
  <c r="C34" i="1" a="1"/>
  <c r="C34" i="1" s="1"/>
  <c r="D34" i="1" a="1"/>
  <c r="D34" i="1" s="1"/>
  <c r="AR153" i="4"/>
  <c r="AS153" i="4" s="1" a="1"/>
  <c r="AS153" i="4" s="1"/>
  <c r="AM153" i="4"/>
  <c r="AN153" i="4" s="1" a="1"/>
  <c r="AN153" i="4" s="1"/>
  <c r="AB152" i="4"/>
  <c r="C32" i="4"/>
  <c r="D32" i="4" s="1"/>
  <c r="E32" i="4" s="1" a="1"/>
  <c r="E32" i="4" s="1"/>
  <c r="S123" i="4"/>
  <c r="T123" i="4" s="1" a="1"/>
  <c r="T123" i="4" s="1"/>
  <c r="AV155" i="1" l="1" a="1"/>
  <c r="AV155" i="1" s="1"/>
  <c r="AW155" i="1" a="1"/>
  <c r="AW155" i="1" s="1"/>
  <c r="AT153" i="4" a="1"/>
  <c r="AT153" i="4" s="1"/>
  <c r="AS155" i="1" s="1" a="1"/>
  <c r="AS155" i="1" s="1"/>
  <c r="AO153" i="4" a="1"/>
  <c r="AO153" i="4" s="1"/>
  <c r="AN155" i="1" s="1" a="1"/>
  <c r="AN155" i="1" s="1"/>
  <c r="H129" i="1" a="1"/>
  <c r="H129" i="1" s="1"/>
  <c r="AB154" i="1" a="1"/>
  <c r="AB154" i="1" s="1"/>
  <c r="AC154" i="1" a="1"/>
  <c r="AC154" i="1" s="1"/>
  <c r="U123" i="4" a="1"/>
  <c r="U123" i="4" s="1"/>
  <c r="T125" i="1" s="1" a="1"/>
  <c r="T125" i="1" s="1"/>
  <c r="M127" i="1" a="1"/>
  <c r="M127" i="1" s="1"/>
  <c r="N127" i="1" a="1"/>
  <c r="N127" i="1" s="1"/>
  <c r="I129" i="1" a="1"/>
  <c r="I129" i="1" s="1"/>
  <c r="F32" i="4" a="1"/>
  <c r="F32" i="4" s="1"/>
  <c r="E34" i="1" s="1" a="1"/>
  <c r="E34" i="1" s="1"/>
  <c r="AV153" i="4"/>
  <c r="AC152" i="4"/>
  <c r="AD152" i="4" s="1" a="1"/>
  <c r="AD152" i="4" s="1"/>
  <c r="H127" i="4"/>
  <c r="I127" i="4" s="1"/>
  <c r="J127" i="4" s="1" a="1"/>
  <c r="J127" i="4" s="1"/>
  <c r="M125" i="4"/>
  <c r="R124" i="4"/>
  <c r="S124" i="4" s="1"/>
  <c r="T124" i="4" s="1" a="1"/>
  <c r="T124" i="4" s="1"/>
  <c r="W124" i="4"/>
  <c r="AQ156" i="1" l="1" a="1"/>
  <c r="AQ156" i="1" s="1"/>
  <c r="AL156" i="1" a="1"/>
  <c r="AL156" i="1" s="1"/>
  <c r="AR156" i="1" a="1"/>
  <c r="AR156" i="1" s="1"/>
  <c r="AM156" i="1" a="1"/>
  <c r="AM156" i="1" s="1"/>
  <c r="AE152" i="4" a="1"/>
  <c r="AE152" i="4" s="1"/>
  <c r="AD154" i="1" s="1" a="1"/>
  <c r="AD154" i="1" s="1"/>
  <c r="S126" i="1" a="1"/>
  <c r="S126" i="1" s="1"/>
  <c r="U124" i="4" a="1"/>
  <c r="U124" i="4" s="1"/>
  <c r="T126" i="1" s="1" a="1"/>
  <c r="T126" i="1" s="1"/>
  <c r="R126" i="1" a="1"/>
  <c r="R126" i="1" s="1"/>
  <c r="K127" i="4" a="1"/>
  <c r="K127" i="4" s="1"/>
  <c r="J129" i="1" s="1" a="1"/>
  <c r="J129" i="1" s="1"/>
  <c r="C35" i="1" a="1"/>
  <c r="C35" i="1" s="1"/>
  <c r="D35" i="1" a="1"/>
  <c r="D35" i="1" s="1"/>
  <c r="AQ154" i="4"/>
  <c r="AR154" i="4" s="1"/>
  <c r="AS154" i="4" s="1" a="1"/>
  <c r="AS154" i="4" s="1"/>
  <c r="AL154" i="4"/>
  <c r="AM154" i="4" s="1"/>
  <c r="AN154" i="4" s="1" a="1"/>
  <c r="AN154" i="4" s="1"/>
  <c r="AW153" i="4"/>
  <c r="AX153" i="4" s="1" a="1"/>
  <c r="AX153" i="4" s="1"/>
  <c r="X124" i="4"/>
  <c r="Y124" i="4" s="1" a="1"/>
  <c r="Y124" i="4" s="1"/>
  <c r="N125" i="4"/>
  <c r="O125" i="4" s="1" a="1"/>
  <c r="O125" i="4" s="1"/>
  <c r="H128" i="4"/>
  <c r="I128" i="4" s="1"/>
  <c r="J128" i="4" s="1" a="1"/>
  <c r="J128" i="4" s="1"/>
  <c r="AY153" i="4" l="1" a="1"/>
  <c r="AY153" i="4" s="1"/>
  <c r="AX155" i="1" s="1" a="1"/>
  <c r="AX155" i="1" s="1"/>
  <c r="AT154" i="4" a="1"/>
  <c r="AT154" i="4" s="1"/>
  <c r="AS156" i="1" s="1" a="1"/>
  <c r="AS156" i="1" s="1"/>
  <c r="AO154" i="4" a="1"/>
  <c r="AO154" i="4" s="1"/>
  <c r="AN156" i="1" s="1" a="1"/>
  <c r="AN156" i="1" s="1"/>
  <c r="AB155" i="1" a="1"/>
  <c r="AB155" i="1" s="1"/>
  <c r="H130" i="1" a="1"/>
  <c r="H130" i="1" s="1"/>
  <c r="AC155" i="1" a="1"/>
  <c r="AC155" i="1" s="1"/>
  <c r="Z124" i="4" a="1"/>
  <c r="Z124" i="4" s="1"/>
  <c r="Y126" i="1" s="1" a="1"/>
  <c r="Y126" i="1" s="1"/>
  <c r="I130" i="1" a="1"/>
  <c r="I130" i="1" s="1"/>
  <c r="R127" i="1" a="1"/>
  <c r="R127" i="1" s="1"/>
  <c r="S127" i="1" a="1"/>
  <c r="S127" i="1" s="1"/>
  <c r="P125" i="4" a="1"/>
  <c r="P125" i="4" s="1"/>
  <c r="O127" i="1" s="1" a="1"/>
  <c r="O127" i="1" s="1"/>
  <c r="K128" i="4" a="1"/>
  <c r="K128" i="4" s="1"/>
  <c r="J130" i="1" s="1" a="1"/>
  <c r="J130" i="1" s="1"/>
  <c r="AQ155" i="4"/>
  <c r="AL155" i="4"/>
  <c r="AB153" i="4"/>
  <c r="M126" i="4"/>
  <c r="N126" i="4" s="1"/>
  <c r="O126" i="4" s="1" a="1"/>
  <c r="O126" i="4" s="1"/>
  <c r="C33" i="4"/>
  <c r="D33" i="4" s="1"/>
  <c r="E33" i="4" s="1" a="1"/>
  <c r="E33" i="4" s="1"/>
  <c r="AL157" i="1" l="1" a="1"/>
  <c r="AL157" i="1" s="1"/>
  <c r="AM157" i="1" a="1"/>
  <c r="AM157" i="1" s="1"/>
  <c r="AW156" i="1" a="1"/>
  <c r="AW156" i="1" s="1"/>
  <c r="AQ157" i="1" a="1"/>
  <c r="AQ157" i="1" s="1"/>
  <c r="AR157" i="1" a="1"/>
  <c r="AR157" i="1" s="1"/>
  <c r="AV156" i="1" a="1"/>
  <c r="AV156" i="1" s="1"/>
  <c r="M128" i="1" a="1"/>
  <c r="M128" i="1" s="1"/>
  <c r="N128" i="1" a="1"/>
  <c r="N128" i="1" s="1"/>
  <c r="W127" i="1" a="1"/>
  <c r="W127" i="1" s="1"/>
  <c r="X127" i="1" a="1"/>
  <c r="X127" i="1" s="1"/>
  <c r="P126" i="4" a="1"/>
  <c r="P126" i="4" s="1"/>
  <c r="O128" i="1" s="1" a="1"/>
  <c r="O128" i="1" s="1"/>
  <c r="H131" i="1" a="1"/>
  <c r="H131" i="1" s="1"/>
  <c r="I131" i="1" a="1"/>
  <c r="I131" i="1" s="1"/>
  <c r="F33" i="4" a="1"/>
  <c r="F33" i="4" s="1"/>
  <c r="E35" i="1" s="1" a="1"/>
  <c r="E35" i="1" s="1"/>
  <c r="AV154" i="4"/>
  <c r="AW154" i="4" s="1"/>
  <c r="AX154" i="4" s="1" a="1"/>
  <c r="AX154" i="4" s="1"/>
  <c r="W125" i="4"/>
  <c r="X125" i="4" s="1"/>
  <c r="AR155" i="4"/>
  <c r="AS155" i="4" s="1" a="1"/>
  <c r="AS155" i="4" s="1"/>
  <c r="AM155" i="4"/>
  <c r="AN155" i="4" s="1" a="1"/>
  <c r="AN155" i="4" s="1"/>
  <c r="AC153" i="4"/>
  <c r="AD153" i="4" s="1" a="1"/>
  <c r="AD153" i="4" s="1"/>
  <c r="AY154" i="4" l="1" a="1"/>
  <c r="AY154" i="4" s="1"/>
  <c r="AX156" i="1" s="1" a="1"/>
  <c r="AX156" i="1" s="1"/>
  <c r="AT155" i="4" a="1"/>
  <c r="AT155" i="4" s="1"/>
  <c r="AS157" i="1" s="1" a="1"/>
  <c r="AS157" i="1" s="1"/>
  <c r="AO155" i="4" a="1"/>
  <c r="AO155" i="4" s="1"/>
  <c r="AN157" i="1" s="1" a="1"/>
  <c r="AN157" i="1" s="1"/>
  <c r="AE153" i="4" a="1"/>
  <c r="AE153" i="4" s="1"/>
  <c r="AD155" i="1" s="1" a="1"/>
  <c r="AD155" i="1" s="1"/>
  <c r="M129" i="1" a="1"/>
  <c r="M129" i="1" s="1"/>
  <c r="N129" i="1" a="1"/>
  <c r="N129" i="1" s="1"/>
  <c r="C36" i="1" a="1"/>
  <c r="C36" i="1" s="1"/>
  <c r="D36" i="1" a="1"/>
  <c r="D36" i="1" s="1"/>
  <c r="Y125" i="4" a="1"/>
  <c r="Y125" i="4" s="1"/>
  <c r="AV155" i="4"/>
  <c r="M127" i="4"/>
  <c r="R125" i="4"/>
  <c r="H129" i="4"/>
  <c r="I129" i="4" s="1"/>
  <c r="J129" i="4" s="1" a="1"/>
  <c r="J129" i="4" s="1"/>
  <c r="AV157" i="1" l="1" a="1"/>
  <c r="AV157" i="1" s="1"/>
  <c r="AW157" i="1" a="1"/>
  <c r="AW157" i="1" s="1"/>
  <c r="AL158" i="1" a="1"/>
  <c r="AL158" i="1" s="1"/>
  <c r="AR158" i="1" a="1"/>
  <c r="AR158" i="1" s="1"/>
  <c r="AQ158" i="1" a="1"/>
  <c r="AQ158" i="1" s="1"/>
  <c r="AB156" i="1" a="1"/>
  <c r="AB156" i="1" s="1"/>
  <c r="AC156" i="1" a="1"/>
  <c r="AC156" i="1" s="1"/>
  <c r="AM158" i="1" a="1"/>
  <c r="AM158" i="1" s="1"/>
  <c r="Z125" i="4" a="1"/>
  <c r="Z125" i="4" s="1"/>
  <c r="Y127" i="1" s="1" a="1"/>
  <c r="Y127" i="1" s="1"/>
  <c r="K129" i="4" a="1"/>
  <c r="K129" i="4" s="1"/>
  <c r="J131" i="1" s="1" a="1"/>
  <c r="J131" i="1" s="1"/>
  <c r="W126" i="4"/>
  <c r="X126" i="4" s="1"/>
  <c r="Y126" i="4" s="1" a="1"/>
  <c r="Y126" i="4" s="1"/>
  <c r="AL156" i="4"/>
  <c r="AM156" i="4" s="1"/>
  <c r="AN156" i="4" s="1" a="1"/>
  <c r="AN156" i="4" s="1"/>
  <c r="AB154" i="4"/>
  <c r="AC154" i="4" s="1"/>
  <c r="AD154" i="4" s="1" a="1"/>
  <c r="AD154" i="4" s="1"/>
  <c r="AQ156" i="4"/>
  <c r="AR156" i="4" s="1"/>
  <c r="AS156" i="4" s="1" a="1"/>
  <c r="AS156" i="4" s="1"/>
  <c r="AW155" i="4"/>
  <c r="AX155" i="4" s="1" a="1"/>
  <c r="AX155" i="4" s="1"/>
  <c r="S125" i="4"/>
  <c r="T125" i="4" s="1" a="1"/>
  <c r="T125" i="4" s="1"/>
  <c r="N127" i="4"/>
  <c r="O127" i="4" s="1" a="1"/>
  <c r="O127" i="4" s="1"/>
  <c r="C34" i="4"/>
  <c r="D34" i="4" s="1"/>
  <c r="E34" i="4" s="1" a="1"/>
  <c r="E34" i="4" s="1"/>
  <c r="AY155" i="4" l="1" a="1"/>
  <c r="AY155" i="4" s="1"/>
  <c r="AX157" i="1" s="1" a="1"/>
  <c r="AX157" i="1" s="1"/>
  <c r="AT156" i="4" a="1"/>
  <c r="AT156" i="4" s="1"/>
  <c r="AS158" i="1" s="1" a="1"/>
  <c r="AS158" i="1" s="1"/>
  <c r="AO156" i="4" a="1"/>
  <c r="AO156" i="4" s="1"/>
  <c r="AN158" i="1" s="1" a="1"/>
  <c r="AN158" i="1" s="1"/>
  <c r="AE154" i="4" a="1"/>
  <c r="AE154" i="4" s="1"/>
  <c r="AD156" i="1" s="1" a="1"/>
  <c r="AD156" i="1" s="1"/>
  <c r="W128" i="1" a="1"/>
  <c r="W128" i="1" s="1"/>
  <c r="X128" i="1" a="1"/>
  <c r="X128" i="1" s="1"/>
  <c r="Z126" i="4" a="1"/>
  <c r="Z126" i="4" s="1"/>
  <c r="Y128" i="1" s="1" a="1"/>
  <c r="Y128" i="1" s="1"/>
  <c r="U125" i="4" a="1"/>
  <c r="U125" i="4" s="1"/>
  <c r="T127" i="1" s="1" a="1"/>
  <c r="T127" i="1" s="1"/>
  <c r="P127" i="4" a="1"/>
  <c r="P127" i="4" s="1"/>
  <c r="O129" i="1" s="1" a="1"/>
  <c r="O129" i="1" s="1"/>
  <c r="H132" i="1" a="1"/>
  <c r="H132" i="1" s="1"/>
  <c r="I132" i="1" a="1"/>
  <c r="I132" i="1" s="1"/>
  <c r="F34" i="4" a="1"/>
  <c r="F34" i="4" s="1"/>
  <c r="E36" i="1" s="1" a="1"/>
  <c r="E36" i="1" s="1"/>
  <c r="AQ157" i="4"/>
  <c r="AL157" i="4"/>
  <c r="AB155" i="4"/>
  <c r="M128" i="4"/>
  <c r="N128" i="4" s="1"/>
  <c r="O128" i="4" s="1" a="1"/>
  <c r="O128" i="4" s="1"/>
  <c r="AV158" i="1" l="1" a="1"/>
  <c r="AV158" i="1" s="1"/>
  <c r="AQ159" i="1" a="1"/>
  <c r="AQ159" i="1" s="1"/>
  <c r="AR159" i="1" a="1"/>
  <c r="AR159" i="1" s="1"/>
  <c r="AL159" i="1" a="1"/>
  <c r="AL159" i="1" s="1"/>
  <c r="AW158" i="1" a="1"/>
  <c r="AW158" i="1" s="1"/>
  <c r="AC157" i="1" a="1"/>
  <c r="AC157" i="1" s="1"/>
  <c r="N130" i="1" a="1"/>
  <c r="N130" i="1" s="1"/>
  <c r="AB157" i="1" a="1"/>
  <c r="AB157" i="1" s="1"/>
  <c r="AM159" i="1" a="1"/>
  <c r="AM159" i="1" s="1"/>
  <c r="M130" i="1" a="1"/>
  <c r="M130" i="1" s="1"/>
  <c r="W129" i="1" a="1"/>
  <c r="W129" i="1" s="1"/>
  <c r="X129" i="1" a="1"/>
  <c r="X129" i="1" s="1"/>
  <c r="S128" i="1" a="1"/>
  <c r="S128" i="1" s="1"/>
  <c r="R128" i="1" a="1"/>
  <c r="R128" i="1" s="1"/>
  <c r="P128" i="4" a="1"/>
  <c r="P128" i="4" s="1"/>
  <c r="O130" i="1" s="1" a="1"/>
  <c r="O130" i="1" s="1"/>
  <c r="C37" i="1" a="1"/>
  <c r="C37" i="1" s="1"/>
  <c r="D37" i="1" a="1"/>
  <c r="D37" i="1" s="1"/>
  <c r="AV156" i="4"/>
  <c r="AW156" i="4" s="1"/>
  <c r="AX156" i="4" s="1" a="1"/>
  <c r="AX156" i="4" s="1"/>
  <c r="R126" i="4"/>
  <c r="S126" i="4" s="1"/>
  <c r="AR157" i="4"/>
  <c r="AS157" i="4" s="1" a="1"/>
  <c r="AS157" i="4" s="1"/>
  <c r="AM157" i="4"/>
  <c r="AN157" i="4" s="1" a="1"/>
  <c r="AN157" i="4" s="1"/>
  <c r="AC155" i="4"/>
  <c r="AD155" i="4" s="1" a="1"/>
  <c r="AD155" i="4" s="1"/>
  <c r="C35" i="4"/>
  <c r="D35" i="4" s="1"/>
  <c r="E35" i="4" s="1" a="1"/>
  <c r="E35" i="4" s="1"/>
  <c r="H130" i="4"/>
  <c r="I130" i="4" s="1"/>
  <c r="J130" i="4" s="1" a="1"/>
  <c r="J130" i="4" s="1"/>
  <c r="W127" i="4"/>
  <c r="X127" i="4" s="1"/>
  <c r="Y127" i="4" s="1" a="1"/>
  <c r="Y127" i="4" s="1"/>
  <c r="AY156" i="4" l="1" a="1"/>
  <c r="AY156" i="4" s="1"/>
  <c r="AX158" i="1" s="1" a="1"/>
  <c r="AX158" i="1" s="1"/>
  <c r="AT157" i="4" a="1"/>
  <c r="AT157" i="4" s="1"/>
  <c r="AS159" i="1" s="1" a="1"/>
  <c r="AS159" i="1" s="1"/>
  <c r="AO157" i="4" a="1"/>
  <c r="AO157" i="4" s="1"/>
  <c r="AN159" i="1" s="1" a="1"/>
  <c r="AN159" i="1" s="1"/>
  <c r="AE155" i="4" a="1"/>
  <c r="AE155" i="4" s="1"/>
  <c r="AD157" i="1" s="1" a="1"/>
  <c r="AD157" i="1" s="1"/>
  <c r="M131" i="1" a="1"/>
  <c r="M131" i="1" s="1"/>
  <c r="Z127" i="4" a="1"/>
  <c r="Z127" i="4" s="1"/>
  <c r="Y129" i="1" s="1" a="1"/>
  <c r="Y129" i="1" s="1"/>
  <c r="N131" i="1" a="1"/>
  <c r="N131" i="1" s="1"/>
  <c r="K130" i="4" a="1"/>
  <c r="K130" i="4" s="1"/>
  <c r="J132" i="1" s="1" a="1"/>
  <c r="J132" i="1" s="1"/>
  <c r="F35" i="4" a="1"/>
  <c r="F35" i="4" s="1"/>
  <c r="E37" i="1" s="1" a="1"/>
  <c r="E37" i="1" s="1"/>
  <c r="T126" i="4" a="1"/>
  <c r="T126" i="4" s="1"/>
  <c r="AV157" i="4"/>
  <c r="M129" i="4"/>
  <c r="N129" i="4" s="1"/>
  <c r="O129" i="4" s="1" a="1"/>
  <c r="O129" i="4" s="1"/>
  <c r="AR160" i="1" l="1" a="1"/>
  <c r="AR160" i="1" s="1"/>
  <c r="AV159" i="1" a="1"/>
  <c r="AV159" i="1" s="1"/>
  <c r="AQ160" i="1" a="1"/>
  <c r="AQ160" i="1" s="1"/>
  <c r="AL160" i="1" a="1"/>
  <c r="AL160" i="1" s="1"/>
  <c r="AW159" i="1" a="1"/>
  <c r="AW159" i="1" s="1"/>
  <c r="AM160" i="1" a="1"/>
  <c r="AM160" i="1" s="1"/>
  <c r="AB158" i="1" a="1"/>
  <c r="AB158" i="1" s="1"/>
  <c r="AC158" i="1" a="1"/>
  <c r="AC158" i="1" s="1"/>
  <c r="H133" i="1" a="1"/>
  <c r="H133" i="1" s="1"/>
  <c r="X130" i="1" a="1"/>
  <c r="X130" i="1" s="1"/>
  <c r="W130" i="1" a="1"/>
  <c r="W130" i="1" s="1"/>
  <c r="U126" i="4" a="1"/>
  <c r="U126" i="4" s="1"/>
  <c r="T128" i="1" s="1" a="1"/>
  <c r="T128" i="1" s="1"/>
  <c r="P129" i="4" a="1"/>
  <c r="P129" i="4" s="1"/>
  <c r="O131" i="1" s="1" a="1"/>
  <c r="O131" i="1" s="1"/>
  <c r="I133" i="1" a="1"/>
  <c r="I133" i="1" s="1"/>
  <c r="D38" i="1" a="1"/>
  <c r="D38" i="1" s="1"/>
  <c r="C38" i="1" a="1"/>
  <c r="C38" i="1" s="1"/>
  <c r="AB156" i="4"/>
  <c r="AC156" i="4" s="1"/>
  <c r="AD156" i="4" s="1" a="1"/>
  <c r="AD156" i="4" s="1"/>
  <c r="C36" i="4"/>
  <c r="D36" i="4" s="1"/>
  <c r="E36" i="4" s="1" a="1"/>
  <c r="E36" i="4" s="1"/>
  <c r="AW157" i="4"/>
  <c r="AX157" i="4" s="1" a="1"/>
  <c r="AX157" i="4" s="1"/>
  <c r="AQ158" i="4"/>
  <c r="AL158" i="4"/>
  <c r="R127" i="4"/>
  <c r="S127" i="4" s="1"/>
  <c r="T127" i="4" s="1" a="1"/>
  <c r="T127" i="4" s="1"/>
  <c r="AY157" i="4" l="1" a="1"/>
  <c r="AY157" i="4" s="1"/>
  <c r="AX159" i="1" s="1" a="1"/>
  <c r="AX159" i="1" s="1"/>
  <c r="AE156" i="4" a="1"/>
  <c r="AE156" i="4" s="1"/>
  <c r="AD158" i="1" s="1" a="1"/>
  <c r="AD158" i="1" s="1"/>
  <c r="M132" i="1" a="1"/>
  <c r="M132" i="1" s="1"/>
  <c r="R129" i="1" a="1"/>
  <c r="R129" i="1" s="1"/>
  <c r="U127" i="4" a="1"/>
  <c r="U127" i="4" s="1"/>
  <c r="T129" i="1" s="1" a="1"/>
  <c r="T129" i="1" s="1"/>
  <c r="S129" i="1" a="1"/>
  <c r="S129" i="1" s="1"/>
  <c r="N132" i="1" a="1"/>
  <c r="N132" i="1" s="1"/>
  <c r="F36" i="4" a="1"/>
  <c r="F36" i="4" s="1"/>
  <c r="E38" i="1" s="1" a="1"/>
  <c r="E38" i="1" s="1"/>
  <c r="AR158" i="4"/>
  <c r="AS158" i="4" s="1" a="1"/>
  <c r="AS158" i="4" s="1"/>
  <c r="AM158" i="4"/>
  <c r="AN158" i="4" s="1" a="1"/>
  <c r="AN158" i="4" s="1"/>
  <c r="AB157" i="4"/>
  <c r="C37" i="4"/>
  <c r="D37" i="4" s="1"/>
  <c r="E37" i="4" s="1" a="1"/>
  <c r="E37" i="4" s="1"/>
  <c r="H131" i="4"/>
  <c r="I131" i="4" s="1"/>
  <c r="J131" i="4" s="1" a="1"/>
  <c r="J131" i="4" s="1"/>
  <c r="W128" i="4"/>
  <c r="X128" i="4" s="1"/>
  <c r="Y128" i="4" s="1" a="1"/>
  <c r="Y128" i="4" s="1"/>
  <c r="AV160" i="1" l="1" a="1"/>
  <c r="AV160" i="1" s="1"/>
  <c r="AW160" i="1" a="1"/>
  <c r="AW160" i="1" s="1"/>
  <c r="AT158" i="4" a="1"/>
  <c r="AT158" i="4" s="1"/>
  <c r="AS160" i="1" s="1" a="1"/>
  <c r="AS160" i="1" s="1"/>
  <c r="AO158" i="4" a="1"/>
  <c r="AO158" i="4" s="1"/>
  <c r="AN160" i="1" s="1" a="1"/>
  <c r="AN160" i="1" s="1"/>
  <c r="AB159" i="1" a="1"/>
  <c r="AB159" i="1" s="1"/>
  <c r="AC159" i="1" a="1"/>
  <c r="AC159" i="1" s="1"/>
  <c r="Z128" i="4" a="1"/>
  <c r="Z128" i="4" s="1"/>
  <c r="Y130" i="1" s="1" a="1"/>
  <c r="Y130" i="1" s="1"/>
  <c r="S130" i="1" a="1"/>
  <c r="S130" i="1" s="1"/>
  <c r="R130" i="1" a="1"/>
  <c r="R130" i="1" s="1"/>
  <c r="K131" i="4" a="1"/>
  <c r="K131" i="4" s="1"/>
  <c r="J133" i="1" s="1" a="1"/>
  <c r="J133" i="1" s="1"/>
  <c r="D39" i="1" a="1"/>
  <c r="D39" i="1" s="1"/>
  <c r="C39" i="1" a="1"/>
  <c r="C39" i="1" s="1"/>
  <c r="F37" i="4" a="1"/>
  <c r="F37" i="4" s="1"/>
  <c r="E39" i="1" s="1" a="1"/>
  <c r="E39" i="1" s="1"/>
  <c r="AV158" i="4"/>
  <c r="AC157" i="4"/>
  <c r="AD157" i="4" s="1" a="1"/>
  <c r="AD157" i="4" s="1"/>
  <c r="M130" i="4"/>
  <c r="N130" i="4" s="1"/>
  <c r="O130" i="4" s="1" a="1"/>
  <c r="O130" i="4" s="1"/>
  <c r="AQ161" i="1" l="1" a="1"/>
  <c r="AQ161" i="1" s="1"/>
  <c r="AR161" i="1" a="1"/>
  <c r="AR161" i="1" s="1"/>
  <c r="AL161" i="1" a="1"/>
  <c r="AL161" i="1" s="1"/>
  <c r="AM161" i="1" a="1"/>
  <c r="AM161" i="1" s="1"/>
  <c r="I134" i="1" a="1"/>
  <c r="I134" i="1" s="1"/>
  <c r="H134" i="1" a="1"/>
  <c r="H134" i="1" s="1"/>
  <c r="AE157" i="4" a="1"/>
  <c r="AE157" i="4" s="1"/>
  <c r="AD159" i="1" s="1" a="1"/>
  <c r="AD159" i="1" s="1"/>
  <c r="W131" i="1" a="1"/>
  <c r="W131" i="1" s="1"/>
  <c r="X131" i="1" a="1"/>
  <c r="X131" i="1" s="1"/>
  <c r="P130" i="4" a="1"/>
  <c r="P130" i="4" s="1"/>
  <c r="O132" i="1" s="1" a="1"/>
  <c r="O132" i="1" s="1"/>
  <c r="C40" i="1" a="1"/>
  <c r="C40" i="1" s="1"/>
  <c r="D40" i="1" a="1"/>
  <c r="D40" i="1" s="1"/>
  <c r="AW158" i="4"/>
  <c r="AX158" i="4" s="1" a="1"/>
  <c r="AX158" i="4" s="1"/>
  <c r="AQ159" i="4"/>
  <c r="AL159" i="4"/>
  <c r="C38" i="4"/>
  <c r="D38" i="4" s="1"/>
  <c r="E38" i="4" s="1" a="1"/>
  <c r="E38" i="4" s="1"/>
  <c r="R128" i="4"/>
  <c r="S128" i="4" s="1"/>
  <c r="T128" i="4" s="1" a="1"/>
  <c r="T128" i="4" s="1"/>
  <c r="H132" i="4"/>
  <c r="I132" i="4" s="1"/>
  <c r="J132" i="4" s="1" a="1"/>
  <c r="J132" i="4" s="1"/>
  <c r="AY158" i="4" l="1" a="1"/>
  <c r="AY158" i="4" s="1"/>
  <c r="AX160" i="1" s="1" a="1"/>
  <c r="AX160" i="1" s="1"/>
  <c r="AC160" i="1" a="1"/>
  <c r="AC160" i="1" s="1"/>
  <c r="AB160" i="1" a="1"/>
  <c r="AB160" i="1" s="1"/>
  <c r="M133" i="1" a="1"/>
  <c r="M133" i="1" s="1"/>
  <c r="N133" i="1" a="1"/>
  <c r="N133" i="1" s="1"/>
  <c r="U128" i="4" a="1"/>
  <c r="U128" i="4" s="1"/>
  <c r="T130" i="1" s="1" a="1"/>
  <c r="T130" i="1" s="1"/>
  <c r="K132" i="4" a="1"/>
  <c r="K132" i="4" s="1"/>
  <c r="J134" i="1" s="1" a="1"/>
  <c r="J134" i="1" s="1"/>
  <c r="F38" i="4" a="1"/>
  <c r="F38" i="4" s="1"/>
  <c r="E40" i="1" s="1" a="1"/>
  <c r="E40" i="1" s="1"/>
  <c r="AR159" i="4"/>
  <c r="AS159" i="4" s="1" a="1"/>
  <c r="AS159" i="4" s="1"/>
  <c r="AM159" i="4"/>
  <c r="AN159" i="4" s="1" a="1"/>
  <c r="AN159" i="4" s="1"/>
  <c r="AB158" i="4"/>
  <c r="W129" i="4"/>
  <c r="X129" i="4" s="1"/>
  <c r="Y129" i="4" s="1" a="1"/>
  <c r="Y129" i="4" s="1"/>
  <c r="AW161" i="1" l="1" a="1"/>
  <c r="AW161" i="1" s="1"/>
  <c r="AV161" i="1" a="1"/>
  <c r="AV161" i="1" s="1"/>
  <c r="AT159" i="4" a="1"/>
  <c r="AT159" i="4" s="1"/>
  <c r="AS161" i="1" s="1" a="1"/>
  <c r="AS161" i="1" s="1"/>
  <c r="AO159" i="4" a="1"/>
  <c r="AO159" i="4" s="1"/>
  <c r="AN161" i="1" s="1" a="1"/>
  <c r="AN161" i="1" s="1"/>
  <c r="R131" i="1" a="1"/>
  <c r="R131" i="1" s="1"/>
  <c r="H135" i="1" a="1"/>
  <c r="H135" i="1" s="1"/>
  <c r="S131" i="1" a="1"/>
  <c r="S131" i="1" s="1"/>
  <c r="Z129" i="4" a="1"/>
  <c r="Z129" i="4" s="1"/>
  <c r="Y131" i="1" s="1" a="1"/>
  <c r="Y131" i="1" s="1"/>
  <c r="I135" i="1" a="1"/>
  <c r="I135" i="1" s="1"/>
  <c r="D41" i="1" a="1"/>
  <c r="D41" i="1" s="1"/>
  <c r="C41" i="1" a="1"/>
  <c r="C41" i="1" s="1"/>
  <c r="AV159" i="4"/>
  <c r="AC158" i="4"/>
  <c r="AD158" i="4" s="1" a="1"/>
  <c r="AD158" i="4" s="1"/>
  <c r="M131" i="4"/>
  <c r="N131" i="4" s="1"/>
  <c r="O131" i="4" s="1" a="1"/>
  <c r="O131" i="4" s="1"/>
  <c r="R129" i="4"/>
  <c r="S129" i="4" s="1"/>
  <c r="T129" i="4" s="1" a="1"/>
  <c r="T129" i="4" s="1"/>
  <c r="AR162" i="1" l="1" a="1"/>
  <c r="AR162" i="1" s="1"/>
  <c r="AQ162" i="1" a="1"/>
  <c r="AQ162" i="1" s="1"/>
  <c r="AM162" i="1" a="1"/>
  <c r="AM162" i="1" s="1"/>
  <c r="AL162" i="1" a="1"/>
  <c r="AL162" i="1" s="1"/>
  <c r="AE158" i="4" a="1"/>
  <c r="AE158" i="4" s="1"/>
  <c r="AD160" i="1" s="1" a="1"/>
  <c r="AD160" i="1" s="1"/>
  <c r="W132" i="1" a="1"/>
  <c r="W132" i="1" s="1"/>
  <c r="X132" i="1" a="1"/>
  <c r="X132" i="1" s="1"/>
  <c r="U129" i="4" a="1"/>
  <c r="U129" i="4" s="1"/>
  <c r="T131" i="1" s="1" a="1"/>
  <c r="T131" i="1" s="1"/>
  <c r="P131" i="4" a="1"/>
  <c r="P131" i="4" s="1"/>
  <c r="O133" i="1" s="1" a="1"/>
  <c r="O133" i="1" s="1"/>
  <c r="AW159" i="4"/>
  <c r="AX159" i="4" s="1" a="1"/>
  <c r="AX159" i="4" s="1"/>
  <c r="AQ160" i="4"/>
  <c r="AL160" i="4"/>
  <c r="C39" i="4"/>
  <c r="D39" i="4" s="1"/>
  <c r="E39" i="4" s="1" a="1"/>
  <c r="E39" i="4" s="1"/>
  <c r="H133" i="4"/>
  <c r="I133" i="4" s="1"/>
  <c r="J133" i="4" s="1" a="1"/>
  <c r="J133" i="4" s="1"/>
  <c r="AY159" i="4" l="1" a="1"/>
  <c r="AY159" i="4" s="1"/>
  <c r="AX161" i="1" s="1" a="1"/>
  <c r="AX161" i="1" s="1"/>
  <c r="M134" i="1" a="1"/>
  <c r="M134" i="1" s="1"/>
  <c r="AC161" i="1" a="1"/>
  <c r="AC161" i="1" s="1"/>
  <c r="AB161" i="1" a="1"/>
  <c r="AB161" i="1" s="1"/>
  <c r="S132" i="1" a="1"/>
  <c r="S132" i="1" s="1"/>
  <c r="R132" i="1" a="1"/>
  <c r="R132" i="1" s="1"/>
  <c r="N134" i="1" a="1"/>
  <c r="N134" i="1" s="1"/>
  <c r="K133" i="4" a="1"/>
  <c r="K133" i="4" s="1"/>
  <c r="J135" i="1" s="1" a="1"/>
  <c r="J135" i="1" s="1"/>
  <c r="F39" i="4" a="1"/>
  <c r="F39" i="4" s="1"/>
  <c r="E41" i="1" s="1" a="1"/>
  <c r="E41" i="1" s="1"/>
  <c r="AR160" i="4"/>
  <c r="AS160" i="4" s="1" a="1"/>
  <c r="AS160" i="4" s="1"/>
  <c r="AM160" i="4"/>
  <c r="AN160" i="4" s="1" a="1"/>
  <c r="AN160" i="4" s="1"/>
  <c r="AB159" i="4"/>
  <c r="W130" i="4"/>
  <c r="AV162" i="1" l="1" a="1"/>
  <c r="AV162" i="1" s="1"/>
  <c r="AW162" i="1" a="1"/>
  <c r="AW162" i="1" s="1"/>
  <c r="AT160" i="4" a="1"/>
  <c r="AT160" i="4" s="1"/>
  <c r="AS162" i="1" s="1" a="1"/>
  <c r="AS162" i="1" s="1"/>
  <c r="AO160" i="4" a="1"/>
  <c r="AO160" i="4" s="1"/>
  <c r="AN162" i="1" s="1" a="1"/>
  <c r="AN162" i="1" s="1"/>
  <c r="I136" i="1" a="1"/>
  <c r="I136" i="1" s="1"/>
  <c r="H136" i="1" a="1"/>
  <c r="H136" i="1" s="1"/>
  <c r="C42" i="1" a="1"/>
  <c r="C42" i="1" s="1"/>
  <c r="D42" i="1" a="1"/>
  <c r="D42" i="1" s="1"/>
  <c r="AV160" i="4"/>
  <c r="AC159" i="4"/>
  <c r="AD159" i="4" s="1" a="1"/>
  <c r="AD159" i="4" s="1"/>
  <c r="X130" i="4"/>
  <c r="Y130" i="4" s="1" a="1"/>
  <c r="Y130" i="4" s="1"/>
  <c r="M132" i="4"/>
  <c r="N132" i="4" s="1"/>
  <c r="O132" i="4" s="1" a="1"/>
  <c r="O132" i="4" s="1"/>
  <c r="R130" i="4"/>
  <c r="S130" i="4" s="1"/>
  <c r="T130" i="4" s="1" a="1"/>
  <c r="T130" i="4" s="1"/>
  <c r="C40" i="4"/>
  <c r="D40" i="4" s="1"/>
  <c r="E40" i="4" s="1" a="1"/>
  <c r="E40" i="4" s="1"/>
  <c r="AQ163" i="1" l="1" a="1"/>
  <c r="AQ163" i="1" s="1"/>
  <c r="AR163" i="1" a="1"/>
  <c r="AR163" i="1" s="1"/>
  <c r="AL163" i="1" a="1"/>
  <c r="AL163" i="1" s="1"/>
  <c r="AM163" i="1" a="1"/>
  <c r="AM163" i="1" s="1"/>
  <c r="AE159" i="4" a="1"/>
  <c r="AE159" i="4" s="1"/>
  <c r="AD161" i="1" s="1" a="1"/>
  <c r="AD161" i="1" s="1"/>
  <c r="Z130" i="4" a="1"/>
  <c r="Z130" i="4" s="1"/>
  <c r="Y132" i="1" s="1" a="1"/>
  <c r="Y132" i="1" s="1"/>
  <c r="U130" i="4" a="1"/>
  <c r="U130" i="4" s="1"/>
  <c r="T132" i="1" s="1" a="1"/>
  <c r="T132" i="1" s="1"/>
  <c r="P132" i="4" a="1"/>
  <c r="P132" i="4" s="1"/>
  <c r="O134" i="1" s="1" a="1"/>
  <c r="O134" i="1" s="1"/>
  <c r="F40" i="4" a="1"/>
  <c r="F40" i="4" s="1"/>
  <c r="E42" i="1" s="1" a="1"/>
  <c r="E42" i="1" s="1"/>
  <c r="AQ161" i="4"/>
  <c r="AR161" i="4" s="1"/>
  <c r="AS161" i="4" s="1" a="1"/>
  <c r="AS161" i="4" s="1"/>
  <c r="AL161" i="4"/>
  <c r="AM161" i="4" s="1"/>
  <c r="AN161" i="4" s="1" a="1"/>
  <c r="AN161" i="4" s="1"/>
  <c r="AW160" i="4"/>
  <c r="AX160" i="4" s="1" a="1"/>
  <c r="AX160" i="4" s="1"/>
  <c r="H134" i="4"/>
  <c r="AY160" i="4" l="1" a="1"/>
  <c r="AY160" i="4" s="1"/>
  <c r="AX162" i="1" s="1" a="1"/>
  <c r="AX162" i="1" s="1"/>
  <c r="AT161" i="4" a="1"/>
  <c r="AT161" i="4" s="1"/>
  <c r="AS163" i="1" s="1" a="1"/>
  <c r="AS163" i="1" s="1"/>
  <c r="AO161" i="4" a="1"/>
  <c r="AO161" i="4" s="1"/>
  <c r="AN163" i="1" s="1" a="1"/>
  <c r="AN163" i="1" s="1"/>
  <c r="AC162" i="1" a="1"/>
  <c r="AC162" i="1" s="1"/>
  <c r="AB162" i="1" a="1"/>
  <c r="AB162" i="1" s="1"/>
  <c r="M135" i="1" a="1"/>
  <c r="M135" i="1" s="1"/>
  <c r="N135" i="1" a="1"/>
  <c r="N135" i="1" s="1"/>
  <c r="R133" i="1" a="1"/>
  <c r="R133" i="1" s="1"/>
  <c r="S133" i="1" a="1"/>
  <c r="S133" i="1" s="1"/>
  <c r="W133" i="1" a="1"/>
  <c r="W133" i="1" s="1"/>
  <c r="X133" i="1" a="1"/>
  <c r="X133" i="1" s="1"/>
  <c r="C43" i="1" a="1"/>
  <c r="C43" i="1" s="1"/>
  <c r="D43" i="1" a="1"/>
  <c r="D43" i="1" s="1"/>
  <c r="W131" i="4"/>
  <c r="X131" i="4" s="1"/>
  <c r="Y131" i="4" s="1" a="1"/>
  <c r="Y131" i="4" s="1"/>
  <c r="AQ162" i="4"/>
  <c r="AL162" i="4"/>
  <c r="AB160" i="4"/>
  <c r="C41" i="4"/>
  <c r="D41" i="4" s="1"/>
  <c r="E41" i="4" s="1" a="1"/>
  <c r="E41" i="4" s="1"/>
  <c r="I134" i="4"/>
  <c r="J134" i="4" s="1" a="1"/>
  <c r="J134" i="4" s="1"/>
  <c r="AQ164" i="1" l="1" a="1"/>
  <c r="AQ164" i="1" s="1"/>
  <c r="AV163" i="1" a="1"/>
  <c r="AV163" i="1" s="1"/>
  <c r="AR164" i="1" a="1"/>
  <c r="AR164" i="1" s="1"/>
  <c r="AW163" i="1" a="1"/>
  <c r="AW163" i="1" s="1"/>
  <c r="AL164" i="1" a="1"/>
  <c r="AL164" i="1" s="1"/>
  <c r="AM164" i="1" a="1"/>
  <c r="AM164" i="1" s="1"/>
  <c r="Z131" i="4" a="1"/>
  <c r="Z131" i="4" s="1"/>
  <c r="Y133" i="1" s="1" a="1"/>
  <c r="Y133" i="1" s="1"/>
  <c r="K134" i="4" a="1"/>
  <c r="K134" i="4" s="1"/>
  <c r="J136" i="1" s="1" a="1"/>
  <c r="J136" i="1" s="1"/>
  <c r="F41" i="4" a="1"/>
  <c r="F41" i="4" s="1"/>
  <c r="E43" i="1" s="1" a="1"/>
  <c r="E43" i="1" s="1"/>
  <c r="AV161" i="4"/>
  <c r="AW161" i="4" s="1"/>
  <c r="AX161" i="4" s="1" a="1"/>
  <c r="AX161" i="4" s="1"/>
  <c r="AR162" i="4"/>
  <c r="AS162" i="4" s="1" a="1"/>
  <c r="AS162" i="4" s="1"/>
  <c r="AM162" i="4"/>
  <c r="AN162" i="4" s="1" a="1"/>
  <c r="AN162" i="4" s="1"/>
  <c r="AC160" i="4"/>
  <c r="AD160" i="4" s="1" a="1"/>
  <c r="AD160" i="4" s="1"/>
  <c r="H135" i="4"/>
  <c r="I135" i="4" s="1"/>
  <c r="J135" i="4" s="1" a="1"/>
  <c r="J135" i="4" s="1"/>
  <c r="M133" i="4"/>
  <c r="N133" i="4" s="1"/>
  <c r="O133" i="4" s="1" a="1"/>
  <c r="O133" i="4" s="1"/>
  <c r="R131" i="4"/>
  <c r="AY161" i="4" l="1" a="1"/>
  <c r="AY161" i="4" s="1"/>
  <c r="AX163" i="1" s="1" a="1"/>
  <c r="AX163" i="1" s="1"/>
  <c r="AT162" i="4" a="1"/>
  <c r="AT162" i="4" s="1"/>
  <c r="AS164" i="1" s="1" a="1"/>
  <c r="AS164" i="1" s="1"/>
  <c r="AO162" i="4" a="1"/>
  <c r="AO162" i="4" s="1"/>
  <c r="AN164" i="1" s="1" a="1"/>
  <c r="AN164" i="1" s="1"/>
  <c r="AE160" i="4" a="1"/>
  <c r="AE160" i="4" s="1"/>
  <c r="AD162" i="1" s="1" a="1"/>
  <c r="AD162" i="1" s="1"/>
  <c r="W134" i="1" a="1"/>
  <c r="W134" i="1" s="1"/>
  <c r="X134" i="1" a="1"/>
  <c r="X134" i="1" s="1"/>
  <c r="H137" i="1" a="1"/>
  <c r="H137" i="1" s="1"/>
  <c r="P133" i="4" a="1"/>
  <c r="P133" i="4" s="1"/>
  <c r="O135" i="1" s="1" a="1"/>
  <c r="O135" i="1" s="1"/>
  <c r="K135" i="4" a="1"/>
  <c r="K135" i="4" s="1"/>
  <c r="J137" i="1" s="1" a="1"/>
  <c r="J137" i="1" s="1"/>
  <c r="I137" i="1" a="1"/>
  <c r="I137" i="1" s="1"/>
  <c r="C44" i="1" a="1"/>
  <c r="C44" i="1" s="1"/>
  <c r="D44" i="1" a="1"/>
  <c r="D44" i="1" s="1"/>
  <c r="AV162" i="4"/>
  <c r="S131" i="4"/>
  <c r="T131" i="4" s="1" a="1"/>
  <c r="T131" i="4" s="1"/>
  <c r="H136" i="4"/>
  <c r="I136" i="4" s="1"/>
  <c r="J136" i="4" s="1" a="1"/>
  <c r="J136" i="4" s="1"/>
  <c r="W132" i="4"/>
  <c r="X132" i="4" s="1"/>
  <c r="Y132" i="4" s="1" a="1"/>
  <c r="Y132" i="4" s="1"/>
  <c r="AW164" i="1" l="1" a="1"/>
  <c r="AW164" i="1" s="1"/>
  <c r="AR165" i="1" a="1"/>
  <c r="AR165" i="1" s="1"/>
  <c r="AQ165" i="1" a="1"/>
  <c r="AQ165" i="1" s="1"/>
  <c r="AV164" i="1" a="1"/>
  <c r="AV164" i="1" s="1"/>
  <c r="AL165" i="1" a="1"/>
  <c r="AL165" i="1" s="1"/>
  <c r="AM165" i="1" a="1"/>
  <c r="AM165" i="1" s="1"/>
  <c r="AB163" i="1" a="1"/>
  <c r="AB163" i="1" s="1"/>
  <c r="AC163" i="1" a="1"/>
  <c r="AC163" i="1" s="1"/>
  <c r="M136" i="1" a="1"/>
  <c r="M136" i="1" s="1"/>
  <c r="Z132" i="4" a="1"/>
  <c r="Z132" i="4" s="1"/>
  <c r="Y134" i="1" s="1" a="1"/>
  <c r="Y134" i="1" s="1"/>
  <c r="U131" i="4" a="1"/>
  <c r="U131" i="4" s="1"/>
  <c r="T133" i="1" s="1" a="1"/>
  <c r="T133" i="1" s="1"/>
  <c r="N136" i="1" a="1"/>
  <c r="N136" i="1" s="1"/>
  <c r="I138" i="1" a="1"/>
  <c r="I138" i="1" s="1"/>
  <c r="K136" i="4" a="1"/>
  <c r="K136" i="4" s="1"/>
  <c r="J138" i="1" s="1" a="1"/>
  <c r="J138" i="1" s="1"/>
  <c r="H138" i="1" a="1"/>
  <c r="H138" i="1" s="1"/>
  <c r="AL163" i="4"/>
  <c r="AM163" i="4" s="1"/>
  <c r="AN163" i="4" s="1" a="1"/>
  <c r="AN163" i="4" s="1"/>
  <c r="AB161" i="4"/>
  <c r="AC161" i="4" s="1"/>
  <c r="AD161" i="4" s="1" a="1"/>
  <c r="AD161" i="4" s="1"/>
  <c r="AQ163" i="4"/>
  <c r="AR163" i="4" s="1"/>
  <c r="AS163" i="4" s="1" a="1"/>
  <c r="AS163" i="4" s="1"/>
  <c r="AW162" i="4"/>
  <c r="AX162" i="4" s="1" a="1"/>
  <c r="AX162" i="4" s="1"/>
  <c r="C42" i="4"/>
  <c r="D42" i="4" s="1"/>
  <c r="E42" i="4" s="1" a="1"/>
  <c r="E42" i="4" s="1"/>
  <c r="AY162" i="4" l="1" a="1"/>
  <c r="AY162" i="4" s="1"/>
  <c r="AX164" i="1" s="1" a="1"/>
  <c r="AX164" i="1" s="1"/>
  <c r="AT163" i="4" a="1"/>
  <c r="AT163" i="4" s="1"/>
  <c r="AS165" i="1" s="1" a="1"/>
  <c r="AS165" i="1" s="1"/>
  <c r="AO163" i="4" a="1"/>
  <c r="AO163" i="4" s="1"/>
  <c r="AN165" i="1" s="1" a="1"/>
  <c r="AN165" i="1" s="1"/>
  <c r="AE161" i="4" a="1"/>
  <c r="AE161" i="4" s="1"/>
  <c r="AD163" i="1" s="1" a="1"/>
  <c r="AD163" i="1" s="1"/>
  <c r="R134" i="1" a="1"/>
  <c r="R134" i="1" s="1"/>
  <c r="W135" i="1" a="1"/>
  <c r="W135" i="1" s="1"/>
  <c r="H139" i="1" a="1"/>
  <c r="H139" i="1" s="1"/>
  <c r="S134" i="1" a="1"/>
  <c r="S134" i="1" s="1"/>
  <c r="X135" i="1" a="1"/>
  <c r="X135" i="1" s="1"/>
  <c r="I139" i="1" a="1"/>
  <c r="I139" i="1" s="1"/>
  <c r="F42" i="4" a="1"/>
  <c r="F42" i="4" s="1"/>
  <c r="E44" i="1" s="1" a="1"/>
  <c r="E44" i="1" s="1"/>
  <c r="R132" i="4"/>
  <c r="S132" i="4" s="1"/>
  <c r="T132" i="4" s="1" a="1"/>
  <c r="T132" i="4" s="1"/>
  <c r="AQ164" i="4"/>
  <c r="AL164" i="4"/>
  <c r="AB162" i="4"/>
  <c r="M134" i="4"/>
  <c r="N134" i="4" s="1"/>
  <c r="O134" i="4" s="1" a="1"/>
  <c r="O134" i="4" s="1"/>
  <c r="AQ166" i="1" l="1" a="1"/>
  <c r="AQ166" i="1" s="1"/>
  <c r="AR166" i="1" a="1"/>
  <c r="AR166" i="1" s="1"/>
  <c r="AV165" i="1" a="1"/>
  <c r="AV165" i="1" s="1"/>
  <c r="AM166" i="1" a="1"/>
  <c r="AM166" i="1" s="1"/>
  <c r="AW165" i="1" a="1"/>
  <c r="AW165" i="1" s="1"/>
  <c r="AL166" i="1" a="1"/>
  <c r="AL166" i="1" s="1"/>
  <c r="AC164" i="1" a="1"/>
  <c r="AC164" i="1" s="1"/>
  <c r="AB164" i="1" a="1"/>
  <c r="AB164" i="1" s="1"/>
  <c r="U132" i="4" a="1"/>
  <c r="U132" i="4" s="1"/>
  <c r="T134" i="1" s="1" a="1"/>
  <c r="T134" i="1" s="1"/>
  <c r="P134" i="4" a="1"/>
  <c r="P134" i="4" s="1"/>
  <c r="O136" i="1" s="1" a="1"/>
  <c r="O136" i="1" s="1"/>
  <c r="C45" i="1" a="1"/>
  <c r="C45" i="1" s="1"/>
  <c r="D45" i="1" a="1"/>
  <c r="D45" i="1" s="1"/>
  <c r="AV163" i="4"/>
  <c r="AW163" i="4" s="1"/>
  <c r="AX163" i="4" s="1" a="1"/>
  <c r="AX163" i="4" s="1"/>
  <c r="AR164" i="4"/>
  <c r="AS164" i="4" s="1" a="1"/>
  <c r="AS164" i="4" s="1"/>
  <c r="AM164" i="4"/>
  <c r="AN164" i="4" s="1" a="1"/>
  <c r="AN164" i="4" s="1"/>
  <c r="AC162" i="4"/>
  <c r="AD162" i="4" s="1" a="1"/>
  <c r="AD162" i="4" s="1"/>
  <c r="W133" i="4"/>
  <c r="X133" i="4" s="1"/>
  <c r="Y133" i="4" s="1" a="1"/>
  <c r="Y133" i="4" s="1"/>
  <c r="AY163" i="4" l="1" a="1"/>
  <c r="AY163" i="4" s="1"/>
  <c r="AX165" i="1" s="1" a="1"/>
  <c r="AX165" i="1" s="1"/>
  <c r="AT164" i="4" a="1"/>
  <c r="AT164" i="4" s="1"/>
  <c r="AS166" i="1" s="1" a="1"/>
  <c r="AS166" i="1" s="1"/>
  <c r="AO164" i="4" a="1"/>
  <c r="AO164" i="4" s="1"/>
  <c r="AN166" i="1" s="1" a="1"/>
  <c r="AN166" i="1" s="1"/>
  <c r="AE162" i="4" a="1"/>
  <c r="AE162" i="4" s="1"/>
  <c r="AD164" i="1" s="1" a="1"/>
  <c r="AD164" i="1" s="1"/>
  <c r="Z133" i="4" a="1"/>
  <c r="Z133" i="4" s="1"/>
  <c r="Y135" i="1" s="1" a="1"/>
  <c r="Y135" i="1" s="1"/>
  <c r="N137" i="1" a="1"/>
  <c r="N137" i="1" s="1"/>
  <c r="M137" i="1" a="1"/>
  <c r="M137" i="1" s="1"/>
  <c r="R135" i="1" a="1"/>
  <c r="R135" i="1" s="1"/>
  <c r="S135" i="1" a="1"/>
  <c r="S135" i="1" s="1"/>
  <c r="R133" i="4"/>
  <c r="S133" i="4" s="1"/>
  <c r="AV164" i="4"/>
  <c r="C43" i="4"/>
  <c r="D43" i="4" s="1"/>
  <c r="E43" i="4" s="1" a="1"/>
  <c r="E43" i="4" s="1"/>
  <c r="H137" i="4"/>
  <c r="I137" i="4" s="1"/>
  <c r="J137" i="4" s="1" a="1"/>
  <c r="J137" i="4" s="1"/>
  <c r="AQ167" i="1" l="1" a="1"/>
  <c r="AQ167" i="1" s="1"/>
  <c r="AR167" i="1" a="1"/>
  <c r="AR167" i="1" s="1"/>
  <c r="AL167" i="1" a="1"/>
  <c r="AL167" i="1" s="1"/>
  <c r="AM167" i="1" a="1"/>
  <c r="AM167" i="1" s="1"/>
  <c r="AV166" i="1" a="1"/>
  <c r="AV166" i="1" s="1"/>
  <c r="AW166" i="1" a="1"/>
  <c r="AW166" i="1" s="1"/>
  <c r="AC165" i="1" a="1"/>
  <c r="AC165" i="1" s="1"/>
  <c r="AB165" i="1" a="1"/>
  <c r="AB165" i="1" s="1"/>
  <c r="W136" i="1" a="1"/>
  <c r="W136" i="1" s="1"/>
  <c r="X136" i="1" a="1"/>
  <c r="X136" i="1" s="1"/>
  <c r="K137" i="4" a="1"/>
  <c r="K137" i="4" s="1"/>
  <c r="J139" i="1" s="1" a="1"/>
  <c r="J139" i="1" s="1"/>
  <c r="F43" i="4" a="1"/>
  <c r="F43" i="4" s="1"/>
  <c r="E45" i="1" s="1" a="1"/>
  <c r="E45" i="1" s="1"/>
  <c r="T133" i="4" a="1"/>
  <c r="T133" i="4" s="1"/>
  <c r="AB163" i="4"/>
  <c r="AC163" i="4" s="1"/>
  <c r="AD163" i="4" s="1" a="1"/>
  <c r="AD163" i="4" s="1"/>
  <c r="AW164" i="4"/>
  <c r="AX164" i="4" s="1" a="1"/>
  <c r="AX164" i="4" s="1"/>
  <c r="AQ165" i="4"/>
  <c r="AL165" i="4"/>
  <c r="M135" i="4"/>
  <c r="N135" i="4" s="1"/>
  <c r="O135" i="4" s="1" a="1"/>
  <c r="O135" i="4" s="1"/>
  <c r="AY164" i="4" l="1" a="1"/>
  <c r="AY164" i="4" s="1"/>
  <c r="AX166" i="1" s="1" a="1"/>
  <c r="AX166" i="1" s="1"/>
  <c r="AE163" i="4" a="1"/>
  <c r="AE163" i="4" s="1"/>
  <c r="AD165" i="1" s="1" a="1"/>
  <c r="AD165" i="1" s="1"/>
  <c r="U133" i="4" a="1"/>
  <c r="U133" i="4" s="1"/>
  <c r="T135" i="1" s="1" a="1"/>
  <c r="T135" i="1" s="1"/>
  <c r="P135" i="4" a="1"/>
  <c r="P135" i="4" s="1"/>
  <c r="O137" i="1" s="1" a="1"/>
  <c r="O137" i="1" s="1"/>
  <c r="I140" i="1" a="1"/>
  <c r="I140" i="1" s="1"/>
  <c r="H140" i="1" a="1"/>
  <c r="H140" i="1" s="1"/>
  <c r="D46" i="1" a="1"/>
  <c r="D46" i="1" s="1"/>
  <c r="C46" i="1" a="1"/>
  <c r="C46" i="1" s="1"/>
  <c r="AR165" i="4"/>
  <c r="AS165" i="4" s="1" a="1"/>
  <c r="AS165" i="4" s="1"/>
  <c r="AM165" i="4"/>
  <c r="AN165" i="4" s="1" a="1"/>
  <c r="AN165" i="4" s="1"/>
  <c r="AB164" i="4"/>
  <c r="R134" i="4"/>
  <c r="S134" i="4" s="1"/>
  <c r="T134" i="4" s="1" a="1"/>
  <c r="T134" i="4" s="1"/>
  <c r="H138" i="4"/>
  <c r="I138" i="4" s="1"/>
  <c r="J138" i="4" s="1" a="1"/>
  <c r="J138" i="4" s="1"/>
  <c r="C44" i="4"/>
  <c r="D44" i="4" s="1"/>
  <c r="E44" i="4" s="1" a="1"/>
  <c r="E44" i="4" s="1"/>
  <c r="W134" i="4"/>
  <c r="X134" i="4" s="1"/>
  <c r="Y134" i="4" s="1" a="1"/>
  <c r="Y134" i="4" s="1"/>
  <c r="AV167" i="1" l="1" a="1"/>
  <c r="AV167" i="1" s="1"/>
  <c r="AW167" i="1" a="1"/>
  <c r="AW167" i="1" s="1"/>
  <c r="AT165" i="4" a="1"/>
  <c r="AT165" i="4" s="1"/>
  <c r="AS167" i="1" s="1" a="1"/>
  <c r="AS167" i="1" s="1"/>
  <c r="AO165" i="4" a="1"/>
  <c r="AO165" i="4" s="1"/>
  <c r="AN167" i="1" s="1" a="1"/>
  <c r="AN167" i="1" s="1"/>
  <c r="AB166" i="1" a="1"/>
  <c r="AB166" i="1" s="1"/>
  <c r="AC166" i="1" a="1"/>
  <c r="AC166" i="1" s="1"/>
  <c r="Z134" i="4" a="1"/>
  <c r="Z134" i="4" s="1"/>
  <c r="Y136" i="1" s="1" a="1"/>
  <c r="Y136" i="1" s="1"/>
  <c r="N138" i="1" a="1"/>
  <c r="N138" i="1" s="1"/>
  <c r="S136" i="1" a="1"/>
  <c r="S136" i="1" s="1"/>
  <c r="U134" i="4" a="1"/>
  <c r="U134" i="4" s="1"/>
  <c r="T136" i="1" s="1" a="1"/>
  <c r="T136" i="1" s="1"/>
  <c r="R136" i="1" a="1"/>
  <c r="R136" i="1" s="1"/>
  <c r="M138" i="1" a="1"/>
  <c r="M138" i="1" s="1"/>
  <c r="K138" i="4" a="1"/>
  <c r="K138" i="4" s="1"/>
  <c r="J140" i="1" s="1" a="1"/>
  <c r="J140" i="1" s="1"/>
  <c r="F44" i="4" a="1"/>
  <c r="F44" i="4" s="1"/>
  <c r="E46" i="1" s="1" a="1"/>
  <c r="E46" i="1" s="1"/>
  <c r="AV165" i="4"/>
  <c r="AC164" i="4"/>
  <c r="AD164" i="4" s="1" a="1"/>
  <c r="AD164" i="4" s="1"/>
  <c r="AM168" i="1" l="1" a="1"/>
  <c r="AM168" i="1" s="1"/>
  <c r="AQ168" i="1" a="1"/>
  <c r="AQ168" i="1" s="1"/>
  <c r="AL168" i="1" a="1"/>
  <c r="AL168" i="1" s="1"/>
  <c r="AR168" i="1" a="1"/>
  <c r="AR168" i="1" s="1"/>
  <c r="AE164" i="4" a="1"/>
  <c r="AE164" i="4" s="1"/>
  <c r="AD166" i="1" s="1" a="1"/>
  <c r="AD166" i="1" s="1"/>
  <c r="W137" i="1" a="1"/>
  <c r="W137" i="1" s="1"/>
  <c r="X137" i="1" a="1"/>
  <c r="X137" i="1" s="1"/>
  <c r="R137" i="1" a="1"/>
  <c r="R137" i="1" s="1"/>
  <c r="S137" i="1" a="1"/>
  <c r="S137" i="1" s="1"/>
  <c r="H141" i="1" a="1"/>
  <c r="H141" i="1" s="1"/>
  <c r="I141" i="1" a="1"/>
  <c r="I141" i="1" s="1"/>
  <c r="C47" i="1" a="1"/>
  <c r="C47" i="1" s="1"/>
  <c r="D47" i="1" a="1"/>
  <c r="D47" i="1" s="1"/>
  <c r="AQ166" i="4"/>
  <c r="AR166" i="4" s="1"/>
  <c r="AS166" i="4" s="1" a="1"/>
  <c r="AS166" i="4" s="1"/>
  <c r="AL166" i="4"/>
  <c r="AM166" i="4" s="1"/>
  <c r="AN166" i="4" s="1" a="1"/>
  <c r="AN166" i="4" s="1"/>
  <c r="AW165" i="4"/>
  <c r="AX165" i="4" s="1" a="1"/>
  <c r="AX165" i="4" s="1"/>
  <c r="M136" i="4"/>
  <c r="N136" i="4" s="1"/>
  <c r="O136" i="4" s="1" a="1"/>
  <c r="O136" i="4" s="1"/>
  <c r="C45" i="4"/>
  <c r="D45" i="4" s="1"/>
  <c r="E45" i="4" s="1" a="1"/>
  <c r="E45" i="4" s="1"/>
  <c r="AY165" i="4" l="1" a="1"/>
  <c r="AY165" i="4" s="1"/>
  <c r="AX167" i="1" s="1" a="1"/>
  <c r="AX167" i="1" s="1"/>
  <c r="AT166" i="4" a="1"/>
  <c r="AT166" i="4" s="1"/>
  <c r="AS168" i="1" s="1" a="1"/>
  <c r="AS168" i="1" s="1"/>
  <c r="AO166" i="4" a="1"/>
  <c r="AO166" i="4" s="1"/>
  <c r="AN168" i="1" s="1" a="1"/>
  <c r="AN168" i="1" s="1"/>
  <c r="AB167" i="1" a="1"/>
  <c r="AB167" i="1" s="1"/>
  <c r="AC167" i="1" a="1"/>
  <c r="AC167" i="1" s="1"/>
  <c r="P136" i="4" a="1"/>
  <c r="P136" i="4" s="1"/>
  <c r="O138" i="1" s="1" a="1"/>
  <c r="O138" i="1" s="1"/>
  <c r="F45" i="4" a="1"/>
  <c r="F45" i="4" s="1"/>
  <c r="E47" i="1" s="1" a="1"/>
  <c r="E47" i="1" s="1"/>
  <c r="AQ167" i="4"/>
  <c r="AL167" i="4"/>
  <c r="AB165" i="4"/>
  <c r="R135" i="4"/>
  <c r="S135" i="4" s="1"/>
  <c r="T135" i="4" s="1" a="1"/>
  <c r="T135" i="4" s="1"/>
  <c r="H139" i="4"/>
  <c r="I139" i="4" s="1"/>
  <c r="J139" i="4" s="1" a="1"/>
  <c r="J139" i="4" s="1"/>
  <c r="AV168" i="1" l="1" a="1"/>
  <c r="AV168" i="1" s="1"/>
  <c r="AW168" i="1" a="1"/>
  <c r="AW168" i="1" s="1"/>
  <c r="AQ169" i="1" a="1"/>
  <c r="AQ169" i="1" s="1"/>
  <c r="AM169" i="1" a="1"/>
  <c r="AM169" i="1" s="1"/>
  <c r="AR169" i="1" a="1"/>
  <c r="AR169" i="1" s="1"/>
  <c r="AL169" i="1" a="1"/>
  <c r="AL169" i="1" s="1"/>
  <c r="U135" i="4" a="1"/>
  <c r="U135" i="4" s="1"/>
  <c r="T137" i="1" s="1" a="1"/>
  <c r="T137" i="1" s="1"/>
  <c r="M139" i="1" a="1"/>
  <c r="M139" i="1" s="1"/>
  <c r="N139" i="1" a="1"/>
  <c r="N139" i="1" s="1"/>
  <c r="K139" i="4" a="1"/>
  <c r="K139" i="4" s="1"/>
  <c r="J141" i="1" s="1" a="1"/>
  <c r="J141" i="1" s="1"/>
  <c r="C48" i="1" a="1"/>
  <c r="C48" i="1" s="1"/>
  <c r="D48" i="1" a="1"/>
  <c r="D48" i="1" s="1"/>
  <c r="AV166" i="4"/>
  <c r="AW166" i="4" s="1"/>
  <c r="AX166" i="4" s="1" a="1"/>
  <c r="AX166" i="4" s="1"/>
  <c r="AR167" i="4"/>
  <c r="AS167" i="4" s="1" a="1"/>
  <c r="AS167" i="4" s="1"/>
  <c r="AM167" i="4"/>
  <c r="AN167" i="4" s="1" a="1"/>
  <c r="AN167" i="4" s="1"/>
  <c r="AC165" i="4"/>
  <c r="AD165" i="4" s="1" a="1"/>
  <c r="AD165" i="4" s="1"/>
  <c r="C46" i="4"/>
  <c r="D46" i="4" s="1"/>
  <c r="E46" i="4" s="1" a="1"/>
  <c r="E46" i="4" s="1"/>
  <c r="AY166" i="4" l="1" a="1"/>
  <c r="AY166" i="4" s="1"/>
  <c r="AX168" i="1" s="1" a="1"/>
  <c r="AX168" i="1" s="1"/>
  <c r="AT167" i="4" a="1"/>
  <c r="AT167" i="4" s="1"/>
  <c r="AS169" i="1" s="1" a="1"/>
  <c r="AS169" i="1" s="1"/>
  <c r="AO167" i="4" a="1"/>
  <c r="AO167" i="4" s="1"/>
  <c r="AN169" i="1" s="1" a="1"/>
  <c r="AN169" i="1" s="1"/>
  <c r="AE165" i="4" a="1"/>
  <c r="AE165" i="4" s="1"/>
  <c r="AD167" i="1" s="1" a="1"/>
  <c r="AD167" i="1" s="1"/>
  <c r="I142" i="1" a="1"/>
  <c r="I142" i="1" s="1"/>
  <c r="S138" i="1" a="1"/>
  <c r="S138" i="1" s="1"/>
  <c r="R138" i="1" a="1"/>
  <c r="R138" i="1" s="1"/>
  <c r="H142" i="1" a="1"/>
  <c r="H142" i="1" s="1"/>
  <c r="F46" i="4" a="1"/>
  <c r="F46" i="4" s="1"/>
  <c r="E48" i="1" s="1" a="1"/>
  <c r="E48" i="1" s="1"/>
  <c r="AV167" i="4"/>
  <c r="W135" i="4"/>
  <c r="X135" i="4" s="1"/>
  <c r="Y135" i="4" s="1" a="1"/>
  <c r="Y135" i="4" s="1"/>
  <c r="M137" i="4"/>
  <c r="N137" i="4" s="1"/>
  <c r="O137" i="4" s="1" a="1"/>
  <c r="O137" i="4" s="1"/>
  <c r="R136" i="4"/>
  <c r="S136" i="4" s="1"/>
  <c r="T136" i="4" s="1" a="1"/>
  <c r="T136" i="4" s="1"/>
  <c r="AL170" i="1" l="1" a="1"/>
  <c r="AL170" i="1" s="1"/>
  <c r="AW169" i="1" a="1"/>
  <c r="AW169" i="1" s="1"/>
  <c r="AM170" i="1" a="1"/>
  <c r="AM170" i="1" s="1"/>
  <c r="AV169" i="1" a="1"/>
  <c r="AV169" i="1" s="1"/>
  <c r="AQ170" i="1" a="1"/>
  <c r="AQ170" i="1" s="1"/>
  <c r="AR170" i="1" a="1"/>
  <c r="AR170" i="1" s="1"/>
  <c r="AC168" i="1" a="1"/>
  <c r="AC168" i="1" s="1"/>
  <c r="AB168" i="1" a="1"/>
  <c r="AB168" i="1" s="1"/>
  <c r="Z135" i="4" a="1"/>
  <c r="Z135" i="4" s="1"/>
  <c r="Y137" i="1" s="1" a="1"/>
  <c r="Y137" i="1" s="1"/>
  <c r="U136" i="4" a="1"/>
  <c r="U136" i="4" s="1"/>
  <c r="T138" i="1" s="1" a="1"/>
  <c r="T138" i="1" s="1"/>
  <c r="P137" i="4" a="1"/>
  <c r="P137" i="4" s="1"/>
  <c r="O139" i="1" s="1" a="1"/>
  <c r="O139" i="1" s="1"/>
  <c r="D49" i="1" a="1"/>
  <c r="D49" i="1" s="1"/>
  <c r="C49" i="1" a="1"/>
  <c r="C49" i="1" s="1"/>
  <c r="AL168" i="4"/>
  <c r="AM168" i="4" s="1"/>
  <c r="AN168" i="4" s="1" a="1"/>
  <c r="AN168" i="4" s="1"/>
  <c r="AB166" i="4"/>
  <c r="AC166" i="4" s="1"/>
  <c r="AD166" i="4" s="1" a="1"/>
  <c r="AD166" i="4" s="1"/>
  <c r="AQ168" i="4"/>
  <c r="AR168" i="4" s="1"/>
  <c r="AS168" i="4" s="1" a="1"/>
  <c r="AS168" i="4" s="1"/>
  <c r="AW167" i="4"/>
  <c r="AX167" i="4" s="1" a="1"/>
  <c r="AX167" i="4" s="1"/>
  <c r="W136" i="4"/>
  <c r="X136" i="4" s="1"/>
  <c r="Y136" i="4" s="1" a="1"/>
  <c r="Y136" i="4" s="1"/>
  <c r="C47" i="4"/>
  <c r="D47" i="4" s="1"/>
  <c r="E47" i="4" s="1" a="1"/>
  <c r="E47" i="4" s="1"/>
  <c r="H140" i="4"/>
  <c r="I140" i="4" s="1"/>
  <c r="J140" i="4" s="1" a="1"/>
  <c r="J140" i="4" s="1"/>
  <c r="AY167" i="4" l="1" a="1"/>
  <c r="AY167" i="4" s="1"/>
  <c r="AX169" i="1" s="1" a="1"/>
  <c r="AX169" i="1" s="1"/>
  <c r="AT168" i="4" a="1"/>
  <c r="AT168" i="4" s="1"/>
  <c r="AS170" i="1" s="1" a="1"/>
  <c r="AS170" i="1" s="1"/>
  <c r="AO168" i="4" a="1"/>
  <c r="AO168" i="4" s="1"/>
  <c r="AN170" i="1" s="1" a="1"/>
  <c r="AN170" i="1" s="1"/>
  <c r="M140" i="1" a="1"/>
  <c r="M140" i="1" s="1"/>
  <c r="N140" i="1" a="1"/>
  <c r="N140" i="1" s="1"/>
  <c r="AE166" i="4" a="1"/>
  <c r="AE166" i="4" s="1"/>
  <c r="AD168" i="1" s="1" a="1"/>
  <c r="AD168" i="1" s="1"/>
  <c r="W138" i="1" a="1"/>
  <c r="W138" i="1" s="1"/>
  <c r="Z136" i="4" a="1"/>
  <c r="Z136" i="4" s="1"/>
  <c r="Y138" i="1" s="1" a="1"/>
  <c r="Y138" i="1" s="1"/>
  <c r="X138" i="1" a="1"/>
  <c r="X138" i="1" s="1"/>
  <c r="R139" i="1" a="1"/>
  <c r="R139" i="1" s="1"/>
  <c r="S139" i="1" a="1"/>
  <c r="S139" i="1" s="1"/>
  <c r="K140" i="4" a="1"/>
  <c r="K140" i="4" s="1"/>
  <c r="J142" i="1" s="1" a="1"/>
  <c r="J142" i="1" s="1"/>
  <c r="F47" i="4" a="1"/>
  <c r="F47" i="4" s="1"/>
  <c r="E49" i="1" s="1" a="1"/>
  <c r="E49" i="1" s="1"/>
  <c r="AQ169" i="4"/>
  <c r="AL169" i="4"/>
  <c r="AB167" i="4"/>
  <c r="AW170" i="1" l="1" a="1"/>
  <c r="AW170" i="1" s="1"/>
  <c r="AL171" i="1" a="1"/>
  <c r="AL171" i="1" s="1"/>
  <c r="AQ171" i="1" a="1"/>
  <c r="AQ171" i="1" s="1"/>
  <c r="AR171" i="1" a="1"/>
  <c r="AR171" i="1" s="1"/>
  <c r="AV170" i="1" a="1"/>
  <c r="AV170" i="1" s="1"/>
  <c r="AM171" i="1" a="1"/>
  <c r="AM171" i="1" s="1"/>
  <c r="AC169" i="1" a="1"/>
  <c r="AC169" i="1" s="1"/>
  <c r="AB169" i="1" a="1"/>
  <c r="AB169" i="1" s="1"/>
  <c r="H143" i="1" a="1"/>
  <c r="H143" i="1" s="1"/>
  <c r="W139" i="1" a="1"/>
  <c r="W139" i="1" s="1"/>
  <c r="X139" i="1" a="1"/>
  <c r="X139" i="1" s="1"/>
  <c r="I143" i="1" a="1"/>
  <c r="I143" i="1" s="1"/>
  <c r="C50" i="1" a="1"/>
  <c r="C50" i="1" s="1"/>
  <c r="D50" i="1" a="1"/>
  <c r="D50" i="1" s="1"/>
  <c r="AV168" i="4"/>
  <c r="AW168" i="4" s="1"/>
  <c r="AX168" i="4" s="1" a="1"/>
  <c r="AX168" i="4" s="1"/>
  <c r="AR169" i="4"/>
  <c r="AS169" i="4" s="1" a="1"/>
  <c r="AS169" i="4" s="1"/>
  <c r="AM169" i="4"/>
  <c r="AN169" i="4" s="1" a="1"/>
  <c r="AN169" i="4" s="1"/>
  <c r="AC167" i="4"/>
  <c r="AD167" i="4" s="1" a="1"/>
  <c r="AD167" i="4" s="1"/>
  <c r="M138" i="4"/>
  <c r="N138" i="4" s="1"/>
  <c r="O138" i="4" s="1" a="1"/>
  <c r="O138" i="4" s="1"/>
  <c r="R137" i="4"/>
  <c r="C48" i="4"/>
  <c r="D48" i="4" s="1"/>
  <c r="E48" i="4" s="1" a="1"/>
  <c r="E48" i="4" s="1"/>
  <c r="AY168" i="4" l="1" a="1"/>
  <c r="AY168" i="4" s="1"/>
  <c r="AX170" i="1" s="1" a="1"/>
  <c r="AX170" i="1" s="1"/>
  <c r="AT169" i="4" a="1"/>
  <c r="AT169" i="4" s="1"/>
  <c r="AS171" i="1" s="1" a="1"/>
  <c r="AS171" i="1" s="1"/>
  <c r="AO169" i="4" a="1"/>
  <c r="AO169" i="4" s="1"/>
  <c r="AN171" i="1" s="1" a="1"/>
  <c r="AN171" i="1" s="1"/>
  <c r="AE167" i="4" a="1"/>
  <c r="AE167" i="4" s="1"/>
  <c r="AD169" i="1" s="1" a="1"/>
  <c r="AD169" i="1" s="1"/>
  <c r="P138" i="4" a="1"/>
  <c r="P138" i="4" s="1"/>
  <c r="O140" i="1" s="1" a="1"/>
  <c r="O140" i="1" s="1"/>
  <c r="F48" i="4" a="1"/>
  <c r="F48" i="4" s="1"/>
  <c r="E50" i="1" s="1" a="1"/>
  <c r="E50" i="1" s="1"/>
  <c r="AV169" i="4"/>
  <c r="S137" i="4"/>
  <c r="T137" i="4" s="1" a="1"/>
  <c r="T137" i="4" s="1"/>
  <c r="W137" i="4"/>
  <c r="X137" i="4" s="1"/>
  <c r="Y137" i="4" s="1" a="1"/>
  <c r="Y137" i="4" s="1"/>
  <c r="H141" i="4"/>
  <c r="I141" i="4" s="1"/>
  <c r="J141" i="4" s="1" a="1"/>
  <c r="J141" i="4" s="1"/>
  <c r="AV171" i="1" l="1" a="1"/>
  <c r="AV171" i="1" s="1"/>
  <c r="AL172" i="1" a="1"/>
  <c r="AL172" i="1" s="1"/>
  <c r="AQ172" i="1" a="1"/>
  <c r="AQ172" i="1" s="1"/>
  <c r="AW171" i="1" a="1"/>
  <c r="AW171" i="1" s="1"/>
  <c r="AM172" i="1" a="1"/>
  <c r="AM172" i="1" s="1"/>
  <c r="AB170" i="1" a="1"/>
  <c r="AB170" i="1" s="1"/>
  <c r="AR172" i="1" a="1"/>
  <c r="AR172" i="1" s="1"/>
  <c r="AC170" i="1" a="1"/>
  <c r="AC170" i="1" s="1"/>
  <c r="Z137" i="4" a="1"/>
  <c r="Z137" i="4" s="1"/>
  <c r="Y139" i="1" s="1" a="1"/>
  <c r="Y139" i="1" s="1"/>
  <c r="U137" i="4" a="1"/>
  <c r="U137" i="4" s="1"/>
  <c r="T139" i="1" s="1" a="1"/>
  <c r="T139" i="1" s="1"/>
  <c r="M141" i="1" a="1"/>
  <c r="M141" i="1" s="1"/>
  <c r="N141" i="1" a="1"/>
  <c r="N141" i="1" s="1"/>
  <c r="K141" i="4" a="1"/>
  <c r="K141" i="4" s="1"/>
  <c r="J143" i="1" s="1" a="1"/>
  <c r="J143" i="1" s="1"/>
  <c r="C51" i="1" a="1"/>
  <c r="C51" i="1" s="1"/>
  <c r="D51" i="1" a="1"/>
  <c r="D51" i="1" s="1"/>
  <c r="AB168" i="4"/>
  <c r="AC168" i="4" s="1"/>
  <c r="AD168" i="4" s="1" a="1"/>
  <c r="AD168" i="4" s="1"/>
  <c r="AW169" i="4"/>
  <c r="AX169" i="4" s="1" a="1"/>
  <c r="AX169" i="4" s="1"/>
  <c r="AQ170" i="4"/>
  <c r="AL170" i="4"/>
  <c r="R138" i="4"/>
  <c r="S138" i="4" s="1"/>
  <c r="T138" i="4" s="1" a="1"/>
  <c r="T138" i="4" s="1"/>
  <c r="C49" i="4"/>
  <c r="D49" i="4" s="1"/>
  <c r="E49" i="4" s="1" a="1"/>
  <c r="E49" i="4" s="1"/>
  <c r="R140" i="1" l="1" a="1"/>
  <c r="R140" i="1" s="1"/>
  <c r="AY169" i="4" a="1"/>
  <c r="AY169" i="4" s="1"/>
  <c r="AX171" i="1" s="1" a="1"/>
  <c r="AX171" i="1" s="1"/>
  <c r="I144" i="1" a="1"/>
  <c r="I144" i="1" s="1"/>
  <c r="W140" i="1" a="1"/>
  <c r="W140" i="1" s="1"/>
  <c r="H144" i="1" a="1"/>
  <c r="H144" i="1" s="1"/>
  <c r="X140" i="1" a="1"/>
  <c r="X140" i="1" s="1"/>
  <c r="AE168" i="4" a="1"/>
  <c r="AE168" i="4" s="1"/>
  <c r="AD170" i="1" s="1" a="1"/>
  <c r="AD170" i="1" s="1"/>
  <c r="S140" i="1" a="1"/>
  <c r="S140" i="1" s="1"/>
  <c r="U138" i="4" a="1"/>
  <c r="U138" i="4" s="1"/>
  <c r="T140" i="1" s="1" a="1"/>
  <c r="T140" i="1" s="1"/>
  <c r="F49" i="4" a="1"/>
  <c r="F49" i="4" s="1"/>
  <c r="E51" i="1" s="1" a="1"/>
  <c r="E51" i="1" s="1"/>
  <c r="AR170" i="4"/>
  <c r="AS170" i="4" s="1" a="1"/>
  <c r="AS170" i="4" s="1"/>
  <c r="AM170" i="4"/>
  <c r="AN170" i="4" s="1" a="1"/>
  <c r="AN170" i="4" s="1"/>
  <c r="AB169" i="4"/>
  <c r="M139" i="4"/>
  <c r="N139" i="4" s="1"/>
  <c r="O139" i="4" s="1" a="1"/>
  <c r="O139" i="4" s="1"/>
  <c r="AV172" i="1" l="1" a="1"/>
  <c r="AV172" i="1" s="1"/>
  <c r="AW172" i="1" a="1"/>
  <c r="AW172" i="1" s="1"/>
  <c r="AT170" i="4" a="1"/>
  <c r="AT170" i="4" s="1"/>
  <c r="AS172" i="1" s="1" a="1"/>
  <c r="AS172" i="1" s="1"/>
  <c r="AO170" i="4" a="1"/>
  <c r="AO170" i="4" s="1"/>
  <c r="AN172" i="1" s="1" a="1"/>
  <c r="AN172" i="1" s="1"/>
  <c r="AB171" i="1" a="1"/>
  <c r="AB171" i="1" s="1"/>
  <c r="AC171" i="1" a="1"/>
  <c r="AC171" i="1" s="1"/>
  <c r="R141" i="1" a="1"/>
  <c r="R141" i="1" s="1"/>
  <c r="S141" i="1" a="1"/>
  <c r="S141" i="1" s="1"/>
  <c r="P139" i="4" a="1"/>
  <c r="P139" i="4" s="1"/>
  <c r="O141" i="1" s="1" a="1"/>
  <c r="O141" i="1" s="1"/>
  <c r="C52" i="1" a="1"/>
  <c r="C52" i="1" s="1"/>
  <c r="D52" i="1" a="1"/>
  <c r="D52" i="1" s="1"/>
  <c r="AV170" i="4"/>
  <c r="AC169" i="4"/>
  <c r="AD169" i="4" s="1" a="1"/>
  <c r="AD169" i="4" s="1"/>
  <c r="C50" i="4"/>
  <c r="D50" i="4" s="1"/>
  <c r="E50" i="4" s="1" a="1"/>
  <c r="E50" i="4" s="1"/>
  <c r="W138" i="4"/>
  <c r="X138" i="4" s="1"/>
  <c r="Y138" i="4" s="1" a="1"/>
  <c r="Y138" i="4" s="1"/>
  <c r="H142" i="4"/>
  <c r="I142" i="4" s="1"/>
  <c r="J142" i="4" s="1" a="1"/>
  <c r="J142" i="4" s="1"/>
  <c r="AQ173" i="1" l="1" a="1"/>
  <c r="AQ173" i="1" s="1"/>
  <c r="AR173" i="1" a="1"/>
  <c r="AR173" i="1" s="1"/>
  <c r="AL173" i="1" a="1"/>
  <c r="AL173" i="1" s="1"/>
  <c r="AM173" i="1" a="1"/>
  <c r="AM173" i="1" s="1"/>
  <c r="N142" i="1" a="1"/>
  <c r="N142" i="1" s="1"/>
  <c r="AE169" i="4" a="1"/>
  <c r="AE169" i="4" s="1"/>
  <c r="AD171" i="1" s="1" a="1"/>
  <c r="AD171" i="1" s="1"/>
  <c r="Z138" i="4" a="1"/>
  <c r="Z138" i="4" s="1"/>
  <c r="Y140" i="1" s="1" a="1"/>
  <c r="Y140" i="1" s="1"/>
  <c r="M142" i="1" a="1"/>
  <c r="M142" i="1" s="1"/>
  <c r="K142" i="4" a="1"/>
  <c r="K142" i="4" s="1"/>
  <c r="J144" i="1" s="1" a="1"/>
  <c r="J144" i="1" s="1"/>
  <c r="F50" i="4" a="1"/>
  <c r="F50" i="4" s="1"/>
  <c r="E52" i="1" s="1" a="1"/>
  <c r="E52" i="1" s="1"/>
  <c r="AW170" i="4"/>
  <c r="AX170" i="4" s="1" a="1"/>
  <c r="AX170" i="4" s="1"/>
  <c r="AQ171" i="4"/>
  <c r="AL171" i="4"/>
  <c r="M140" i="4"/>
  <c r="N140" i="4" s="1"/>
  <c r="O140" i="4" s="1" a="1"/>
  <c r="O140" i="4" s="1"/>
  <c r="R139" i="4"/>
  <c r="S139" i="4" s="1"/>
  <c r="T139" i="4" s="1" a="1"/>
  <c r="T139" i="4" s="1"/>
  <c r="AY170" i="4" l="1" a="1"/>
  <c r="AY170" i="4" s="1"/>
  <c r="AX172" i="1" s="1" a="1"/>
  <c r="AX172" i="1" s="1"/>
  <c r="AB172" i="1" a="1"/>
  <c r="AB172" i="1" s="1"/>
  <c r="AC172" i="1" a="1"/>
  <c r="AC172" i="1" s="1"/>
  <c r="I145" i="1" a="1"/>
  <c r="I145" i="1" s="1"/>
  <c r="H145" i="1" a="1"/>
  <c r="H145" i="1" s="1"/>
  <c r="W141" i="1" a="1"/>
  <c r="W141" i="1" s="1"/>
  <c r="X141" i="1" a="1"/>
  <c r="X141" i="1" s="1"/>
  <c r="U139" i="4" a="1"/>
  <c r="U139" i="4" s="1"/>
  <c r="T141" i="1" s="1" a="1"/>
  <c r="T141" i="1" s="1"/>
  <c r="P140" i="4" a="1"/>
  <c r="P140" i="4" s="1"/>
  <c r="O142" i="1" s="1" a="1"/>
  <c r="O142" i="1" s="1"/>
  <c r="D53" i="1" a="1"/>
  <c r="D53" i="1" s="1"/>
  <c r="C53" i="1" a="1"/>
  <c r="C53" i="1" s="1"/>
  <c r="W139" i="4"/>
  <c r="X139" i="4" s="1"/>
  <c r="Y139" i="4" s="1" a="1"/>
  <c r="Y139" i="4" s="1"/>
  <c r="AR171" i="4"/>
  <c r="AS171" i="4" s="1" a="1"/>
  <c r="AS171" i="4" s="1"/>
  <c r="AM171" i="4"/>
  <c r="AN171" i="4" s="1" a="1"/>
  <c r="AN171" i="4" s="1"/>
  <c r="AB170" i="4"/>
  <c r="C51" i="4"/>
  <c r="D51" i="4" s="1"/>
  <c r="E51" i="4" s="1" a="1"/>
  <c r="E51" i="4" s="1"/>
  <c r="AV173" i="1" l="1" a="1"/>
  <c r="AV173" i="1" s="1"/>
  <c r="AW173" i="1" a="1"/>
  <c r="AW173" i="1" s="1"/>
  <c r="AT171" i="4" a="1"/>
  <c r="AT171" i="4" s="1"/>
  <c r="AS173" i="1" s="1" a="1"/>
  <c r="AS173" i="1" s="1"/>
  <c r="AO171" i="4" a="1"/>
  <c r="AO171" i="4" s="1"/>
  <c r="AN173" i="1" s="1" a="1"/>
  <c r="AN173" i="1" s="1"/>
  <c r="S142" i="1" a="1"/>
  <c r="S142" i="1" s="1"/>
  <c r="Z139" i="4" a="1"/>
  <c r="Z139" i="4" s="1"/>
  <c r="Y141" i="1" s="1" a="1"/>
  <c r="Y141" i="1" s="1"/>
  <c r="M143" i="1" a="1"/>
  <c r="M143" i="1" s="1"/>
  <c r="N143" i="1" a="1"/>
  <c r="N143" i="1" s="1"/>
  <c r="R142" i="1" a="1"/>
  <c r="R142" i="1" s="1"/>
  <c r="F51" i="4" a="1"/>
  <c r="F51" i="4" s="1"/>
  <c r="E53" i="1" s="1" a="1"/>
  <c r="E53" i="1" s="1"/>
  <c r="AV171" i="4"/>
  <c r="AC170" i="4"/>
  <c r="AD170" i="4" s="1" a="1"/>
  <c r="AD170" i="4" s="1"/>
  <c r="H143" i="4"/>
  <c r="I143" i="4" s="1"/>
  <c r="J143" i="4" s="1" a="1"/>
  <c r="J143" i="4" s="1"/>
  <c r="AQ174" i="1" l="1" a="1"/>
  <c r="AQ174" i="1" s="1"/>
  <c r="AR174" i="1" a="1"/>
  <c r="AR174" i="1" s="1"/>
  <c r="AM174" i="1" a="1"/>
  <c r="AM174" i="1" s="1"/>
  <c r="AL174" i="1" a="1"/>
  <c r="AL174" i="1" s="1"/>
  <c r="AE170" i="4" a="1"/>
  <c r="AE170" i="4" s="1"/>
  <c r="AD172" i="1" s="1" a="1"/>
  <c r="AD172" i="1" s="1"/>
  <c r="W142" i="1" a="1"/>
  <c r="W142" i="1" s="1"/>
  <c r="X142" i="1" a="1"/>
  <c r="X142" i="1" s="1"/>
  <c r="K143" i="4" a="1"/>
  <c r="K143" i="4" s="1"/>
  <c r="J145" i="1" s="1" a="1"/>
  <c r="J145" i="1" s="1"/>
  <c r="D54" i="1" a="1"/>
  <c r="D54" i="1" s="1"/>
  <c r="C54" i="1" a="1"/>
  <c r="C54" i="1" s="1"/>
  <c r="AW171" i="4"/>
  <c r="AX171" i="4" s="1" a="1"/>
  <c r="AX171" i="4" s="1"/>
  <c r="AQ172" i="4"/>
  <c r="AL172" i="4"/>
  <c r="W140" i="4"/>
  <c r="X140" i="4" s="1"/>
  <c r="Y140" i="4" s="1" a="1"/>
  <c r="Y140" i="4" s="1"/>
  <c r="M141" i="4"/>
  <c r="N141" i="4" s="1"/>
  <c r="O141" i="4" s="1" a="1"/>
  <c r="O141" i="4" s="1"/>
  <c r="R140" i="4"/>
  <c r="S140" i="4" s="1"/>
  <c r="T140" i="4" s="1" a="1"/>
  <c r="T140" i="4" s="1"/>
  <c r="C52" i="4"/>
  <c r="D52" i="4" s="1"/>
  <c r="E52" i="4" s="1" a="1"/>
  <c r="E52" i="4" s="1"/>
  <c r="AY171" i="4" l="1" a="1"/>
  <c r="AY171" i="4" s="1"/>
  <c r="AX173" i="1" s="1" a="1"/>
  <c r="AX173" i="1" s="1"/>
  <c r="AB173" i="1" a="1"/>
  <c r="AB173" i="1" s="1"/>
  <c r="AC173" i="1" a="1"/>
  <c r="AC173" i="1" s="1"/>
  <c r="Z140" i="4" a="1"/>
  <c r="Z140" i="4" s="1"/>
  <c r="Y142" i="1" s="1" a="1"/>
  <c r="Y142" i="1" s="1"/>
  <c r="U140" i="4" a="1"/>
  <c r="U140" i="4" s="1"/>
  <c r="T142" i="1" s="1" a="1"/>
  <c r="T142" i="1" s="1"/>
  <c r="P141" i="4" a="1"/>
  <c r="P141" i="4" s="1"/>
  <c r="O143" i="1" s="1" a="1"/>
  <c r="O143" i="1" s="1"/>
  <c r="H146" i="1" a="1"/>
  <c r="H146" i="1" s="1"/>
  <c r="I146" i="1" a="1"/>
  <c r="I146" i="1" s="1"/>
  <c r="F52" i="4" a="1"/>
  <c r="F52" i="4" s="1"/>
  <c r="E54" i="1" s="1" a="1"/>
  <c r="E54" i="1" s="1"/>
  <c r="AR172" i="4"/>
  <c r="AS172" i="4" s="1" a="1"/>
  <c r="AS172" i="4" s="1"/>
  <c r="AM172" i="4"/>
  <c r="AN172" i="4" s="1" a="1"/>
  <c r="AN172" i="4" s="1"/>
  <c r="AB171" i="4"/>
  <c r="AV174" i="1" l="1" a="1"/>
  <c r="AV174" i="1" s="1"/>
  <c r="AW174" i="1" a="1"/>
  <c r="AW174" i="1" s="1"/>
  <c r="M144" i="1" a="1"/>
  <c r="M144" i="1" s="1"/>
  <c r="AT172" i="4" a="1"/>
  <c r="AT172" i="4" s="1"/>
  <c r="AS174" i="1" s="1" a="1"/>
  <c r="AS174" i="1" s="1"/>
  <c r="AO172" i="4" a="1"/>
  <c r="AO172" i="4" s="1"/>
  <c r="AN174" i="1" s="1" a="1"/>
  <c r="AN174" i="1" s="1"/>
  <c r="N144" i="1" a="1"/>
  <c r="N144" i="1" s="1"/>
  <c r="R143" i="1" a="1"/>
  <c r="R143" i="1" s="1"/>
  <c r="S143" i="1" a="1"/>
  <c r="S143" i="1" s="1"/>
  <c r="W143" i="1" a="1"/>
  <c r="W143" i="1" s="1"/>
  <c r="X143" i="1" a="1"/>
  <c r="X143" i="1" s="1"/>
  <c r="C55" i="1" a="1"/>
  <c r="C55" i="1" s="1"/>
  <c r="D55" i="1" a="1"/>
  <c r="D55" i="1" s="1"/>
  <c r="AV172" i="4"/>
  <c r="AC171" i="4"/>
  <c r="AD171" i="4" s="1" a="1"/>
  <c r="AD171" i="4" s="1"/>
  <c r="M142" i="4"/>
  <c r="N142" i="4" s="1"/>
  <c r="O142" i="4" s="1" a="1"/>
  <c r="O142" i="4" s="1"/>
  <c r="R141" i="4"/>
  <c r="H144" i="4"/>
  <c r="I144" i="4" s="1"/>
  <c r="J144" i="4" s="1" a="1"/>
  <c r="J144" i="4" s="1"/>
  <c r="C53" i="4"/>
  <c r="D53" i="4" s="1"/>
  <c r="E53" i="4" s="1" a="1"/>
  <c r="E53" i="4" s="1"/>
  <c r="AL175" i="1" l="1" a="1"/>
  <c r="AL175" i="1" s="1"/>
  <c r="AM175" i="1" a="1"/>
  <c r="AM175" i="1" s="1"/>
  <c r="AR175" i="1" a="1"/>
  <c r="AR175" i="1" s="1"/>
  <c r="AQ175" i="1" a="1"/>
  <c r="AQ175" i="1" s="1"/>
  <c r="AE171" i="4" a="1"/>
  <c r="AE171" i="4" s="1"/>
  <c r="AD173" i="1" s="1" a="1"/>
  <c r="AD173" i="1" s="1"/>
  <c r="P142" i="4" a="1"/>
  <c r="P142" i="4" s="1"/>
  <c r="O144" i="1" s="1" a="1"/>
  <c r="O144" i="1" s="1"/>
  <c r="K144" i="4" a="1"/>
  <c r="K144" i="4" s="1"/>
  <c r="J146" i="1" s="1" a="1"/>
  <c r="J146" i="1" s="1"/>
  <c r="F53" i="4" a="1"/>
  <c r="F53" i="4" s="1"/>
  <c r="E55" i="1" s="1" a="1"/>
  <c r="E55" i="1" s="1"/>
  <c r="AQ173" i="4"/>
  <c r="AR173" i="4" s="1"/>
  <c r="AS173" i="4" s="1" a="1"/>
  <c r="AS173" i="4" s="1"/>
  <c r="AL173" i="4"/>
  <c r="AM173" i="4" s="1"/>
  <c r="AN173" i="4" s="1" a="1"/>
  <c r="AN173" i="4" s="1"/>
  <c r="AW172" i="4"/>
  <c r="AX172" i="4" s="1" a="1"/>
  <c r="AX172" i="4" s="1"/>
  <c r="S141" i="4"/>
  <c r="T141" i="4" s="1" a="1"/>
  <c r="T141" i="4" s="1"/>
  <c r="W141" i="4"/>
  <c r="X141" i="4" s="1"/>
  <c r="Y141" i="4" s="1" a="1"/>
  <c r="Y141" i="4" s="1"/>
  <c r="AB174" i="1" l="1" a="1"/>
  <c r="AB174" i="1" s="1"/>
  <c r="AY172" i="4" a="1"/>
  <c r="AY172" i="4" s="1"/>
  <c r="AX174" i="1" s="1" a="1"/>
  <c r="AX174" i="1" s="1"/>
  <c r="AT173" i="4" a="1"/>
  <c r="AT173" i="4" s="1"/>
  <c r="AS175" i="1" s="1" a="1"/>
  <c r="AS175" i="1" s="1"/>
  <c r="AO173" i="4" a="1"/>
  <c r="AO173" i="4" s="1"/>
  <c r="AN175" i="1" s="1" a="1"/>
  <c r="AN175" i="1" s="1"/>
  <c r="AC174" i="1" a="1"/>
  <c r="AC174" i="1" s="1"/>
  <c r="N145" i="1" a="1"/>
  <c r="N145" i="1" s="1"/>
  <c r="M145" i="1" a="1"/>
  <c r="M145" i="1" s="1"/>
  <c r="Z141" i="4" a="1"/>
  <c r="Z141" i="4" s="1"/>
  <c r="Y143" i="1" s="1" a="1"/>
  <c r="Y143" i="1" s="1"/>
  <c r="H147" i="1" a="1"/>
  <c r="H147" i="1" s="1"/>
  <c r="U141" i="4" a="1"/>
  <c r="U141" i="4" s="1"/>
  <c r="T143" i="1" s="1" a="1"/>
  <c r="T143" i="1" s="1"/>
  <c r="I147" i="1" a="1"/>
  <c r="I147" i="1" s="1"/>
  <c r="C56" i="1" a="1"/>
  <c r="C56" i="1" s="1"/>
  <c r="D56" i="1" a="1"/>
  <c r="D56" i="1" s="1"/>
  <c r="AQ174" i="4"/>
  <c r="AL174" i="4"/>
  <c r="AB172" i="4"/>
  <c r="C54" i="4"/>
  <c r="D54" i="4" s="1"/>
  <c r="E54" i="4" s="1" a="1"/>
  <c r="E54" i="4" s="1"/>
  <c r="M143" i="4"/>
  <c r="AQ176" i="1" l="1" a="1"/>
  <c r="AQ176" i="1" s="1"/>
  <c r="AR176" i="1" a="1"/>
  <c r="AR176" i="1" s="1"/>
  <c r="AL176" i="1" a="1"/>
  <c r="AL176" i="1" s="1"/>
  <c r="AV175" i="1" a="1"/>
  <c r="AV175" i="1" s="1"/>
  <c r="AW175" i="1" a="1"/>
  <c r="AW175" i="1" s="1"/>
  <c r="AM176" i="1" a="1"/>
  <c r="AM176" i="1" s="1"/>
  <c r="W144" i="1" a="1"/>
  <c r="W144" i="1" s="1"/>
  <c r="S144" i="1" a="1"/>
  <c r="S144" i="1" s="1"/>
  <c r="X144" i="1" a="1"/>
  <c r="X144" i="1" s="1"/>
  <c r="R144" i="1" a="1"/>
  <c r="R144" i="1" s="1"/>
  <c r="F54" i="4" a="1"/>
  <c r="F54" i="4" s="1"/>
  <c r="E56" i="1" s="1" a="1"/>
  <c r="E56" i="1" s="1"/>
  <c r="AV173" i="4"/>
  <c r="AW173" i="4" s="1"/>
  <c r="AX173" i="4" s="1" a="1"/>
  <c r="AX173" i="4" s="1"/>
  <c r="R142" i="4"/>
  <c r="S142" i="4" s="1"/>
  <c r="T142" i="4" s="1" a="1"/>
  <c r="T142" i="4" s="1"/>
  <c r="AR174" i="4"/>
  <c r="AS174" i="4" s="1" a="1"/>
  <c r="AS174" i="4" s="1"/>
  <c r="AM174" i="4"/>
  <c r="AN174" i="4" s="1" a="1"/>
  <c r="AN174" i="4" s="1"/>
  <c r="AC172" i="4"/>
  <c r="AD172" i="4" s="1" a="1"/>
  <c r="AD172" i="4" s="1"/>
  <c r="N143" i="4"/>
  <c r="O143" i="4" s="1" a="1"/>
  <c r="O143" i="4" s="1"/>
  <c r="H145" i="4"/>
  <c r="I145" i="4" s="1"/>
  <c r="J145" i="4" s="1" a="1"/>
  <c r="J145" i="4" s="1"/>
  <c r="AY173" i="4" l="1" a="1"/>
  <c r="AY173" i="4" s="1"/>
  <c r="AX175" i="1" s="1" a="1"/>
  <c r="AX175" i="1" s="1"/>
  <c r="AT174" i="4" a="1"/>
  <c r="AT174" i="4" s="1"/>
  <c r="AS176" i="1" s="1" a="1"/>
  <c r="AS176" i="1" s="1"/>
  <c r="AO174" i="4" a="1"/>
  <c r="AO174" i="4" s="1"/>
  <c r="AN176" i="1" s="1" a="1"/>
  <c r="AN176" i="1" s="1"/>
  <c r="AE172" i="4" a="1"/>
  <c r="AE172" i="4" s="1"/>
  <c r="AD174" i="1" s="1" a="1"/>
  <c r="AD174" i="1" s="1"/>
  <c r="U142" i="4" a="1"/>
  <c r="U142" i="4" s="1"/>
  <c r="T144" i="1" s="1" a="1"/>
  <c r="T144" i="1" s="1"/>
  <c r="P143" i="4" a="1"/>
  <c r="P143" i="4" s="1"/>
  <c r="O145" i="1" s="1" a="1"/>
  <c r="O145" i="1" s="1"/>
  <c r="K145" i="4" a="1"/>
  <c r="K145" i="4" s="1"/>
  <c r="J147" i="1" s="1" a="1"/>
  <c r="J147" i="1" s="1"/>
  <c r="C57" i="1" a="1"/>
  <c r="C57" i="1" s="1"/>
  <c r="D57" i="1" a="1"/>
  <c r="D57" i="1" s="1"/>
  <c r="AV174" i="4"/>
  <c r="C55" i="4"/>
  <c r="D55" i="4" s="1"/>
  <c r="E55" i="4" s="1" a="1"/>
  <c r="E55" i="4" s="1"/>
  <c r="M144" i="4"/>
  <c r="N144" i="4" s="1"/>
  <c r="O144" i="4" s="1" a="1"/>
  <c r="O144" i="4" s="1"/>
  <c r="AV176" i="1" l="1" a="1"/>
  <c r="AV176" i="1" s="1"/>
  <c r="AW176" i="1" a="1"/>
  <c r="AW176" i="1" s="1"/>
  <c r="AQ177" i="1" a="1"/>
  <c r="AQ177" i="1" s="1"/>
  <c r="AL177" i="1" a="1"/>
  <c r="AL177" i="1" s="1"/>
  <c r="AR177" i="1" a="1"/>
  <c r="AR177" i="1" s="1"/>
  <c r="AM177" i="1" a="1"/>
  <c r="AM177" i="1" s="1"/>
  <c r="AB175" i="1" a="1"/>
  <c r="AB175" i="1" s="1"/>
  <c r="AC175" i="1" a="1"/>
  <c r="AC175" i="1" s="1"/>
  <c r="N146" i="1" a="1"/>
  <c r="N146" i="1" s="1"/>
  <c r="R145" i="1" a="1"/>
  <c r="R145" i="1" s="1"/>
  <c r="S145" i="1" a="1"/>
  <c r="S145" i="1" s="1"/>
  <c r="I148" i="1" a="1"/>
  <c r="I148" i="1" s="1"/>
  <c r="M146" i="1" a="1"/>
  <c r="M146" i="1" s="1"/>
  <c r="P144" i="4" a="1"/>
  <c r="P144" i="4" s="1"/>
  <c r="O146" i="1" s="1" a="1"/>
  <c r="O146" i="1" s="1"/>
  <c r="H148" i="1" a="1"/>
  <c r="H148" i="1" s="1"/>
  <c r="F55" i="4" a="1"/>
  <c r="F55" i="4" s="1"/>
  <c r="E57" i="1" s="1" a="1"/>
  <c r="E57" i="1" s="1"/>
  <c r="AB173" i="4"/>
  <c r="AC173" i="4" s="1"/>
  <c r="AD173" i="4" s="1" a="1"/>
  <c r="AD173" i="4" s="1"/>
  <c r="AL175" i="4"/>
  <c r="AM175" i="4" s="1"/>
  <c r="AN175" i="4" s="1" a="1"/>
  <c r="AN175" i="4" s="1"/>
  <c r="AQ175" i="4"/>
  <c r="AR175" i="4" s="1"/>
  <c r="AS175" i="4" s="1" a="1"/>
  <c r="AS175" i="4" s="1"/>
  <c r="AW174" i="4"/>
  <c r="AX174" i="4" s="1" a="1"/>
  <c r="AX174" i="4" s="1"/>
  <c r="W142" i="4"/>
  <c r="X142" i="4" s="1"/>
  <c r="Y142" i="4" s="1" a="1"/>
  <c r="Y142" i="4" s="1"/>
  <c r="R143" i="4"/>
  <c r="S143" i="4" s="1"/>
  <c r="T143" i="4" s="1" a="1"/>
  <c r="T143" i="4" s="1"/>
  <c r="AY174" i="4" l="1" a="1"/>
  <c r="AY174" i="4" s="1"/>
  <c r="AX176" i="1" s="1" a="1"/>
  <c r="AX176" i="1" s="1"/>
  <c r="AT175" i="4" a="1"/>
  <c r="AT175" i="4" s="1"/>
  <c r="AS177" i="1" s="1" a="1"/>
  <c r="AS177" i="1" s="1"/>
  <c r="AO175" i="4" a="1"/>
  <c r="AO175" i="4" s="1"/>
  <c r="AN177" i="1" s="1" a="1"/>
  <c r="AN177" i="1" s="1"/>
  <c r="AE173" i="4" a="1"/>
  <c r="AE173" i="4" s="1"/>
  <c r="AD175" i="1" s="1" a="1"/>
  <c r="AD175" i="1" s="1"/>
  <c r="Z142" i="4" a="1"/>
  <c r="Z142" i="4" s="1"/>
  <c r="Y144" i="1" s="1" a="1"/>
  <c r="Y144" i="1" s="1"/>
  <c r="U143" i="4" a="1"/>
  <c r="U143" i="4" s="1"/>
  <c r="T145" i="1" s="1" a="1"/>
  <c r="T145" i="1" s="1"/>
  <c r="M147" i="1" a="1"/>
  <c r="M147" i="1" s="1"/>
  <c r="N147" i="1" a="1"/>
  <c r="N147" i="1" s="1"/>
  <c r="C58" i="1" a="1"/>
  <c r="C58" i="1" s="1"/>
  <c r="D58" i="1" a="1"/>
  <c r="D58" i="1" s="1"/>
  <c r="AQ176" i="4"/>
  <c r="AL176" i="4"/>
  <c r="AB174" i="4"/>
  <c r="H146" i="4"/>
  <c r="I146" i="4" s="1"/>
  <c r="J146" i="4" s="1" a="1"/>
  <c r="J146" i="4" s="1"/>
  <c r="C56" i="4"/>
  <c r="D56" i="4" s="1"/>
  <c r="E56" i="4" s="1" a="1"/>
  <c r="E56" i="4" s="1"/>
  <c r="AV177" i="1" l="1" a="1"/>
  <c r="AV177" i="1" s="1"/>
  <c r="AQ178" i="1" a="1"/>
  <c r="AQ178" i="1" s="1"/>
  <c r="AW177" i="1" a="1"/>
  <c r="AW177" i="1" s="1"/>
  <c r="AM178" i="1" a="1"/>
  <c r="AM178" i="1" s="1"/>
  <c r="AR178" i="1" a="1"/>
  <c r="AR178" i="1" s="1"/>
  <c r="AL178" i="1" a="1"/>
  <c r="AL178" i="1" s="1"/>
  <c r="AC176" i="1" a="1"/>
  <c r="AC176" i="1" s="1"/>
  <c r="AB176" i="1" a="1"/>
  <c r="AB176" i="1" s="1"/>
  <c r="X145" i="1" a="1"/>
  <c r="X145" i="1" s="1"/>
  <c r="W145" i="1" a="1"/>
  <c r="W145" i="1" s="1"/>
  <c r="S146" i="1" a="1"/>
  <c r="S146" i="1" s="1"/>
  <c r="R146" i="1" a="1"/>
  <c r="R146" i="1" s="1"/>
  <c r="K146" i="4" a="1"/>
  <c r="K146" i="4" s="1"/>
  <c r="J148" i="1" s="1" a="1"/>
  <c r="J148" i="1" s="1"/>
  <c r="F56" i="4" a="1"/>
  <c r="F56" i="4" s="1"/>
  <c r="E58" i="1" s="1" a="1"/>
  <c r="E58" i="1" s="1"/>
  <c r="AV175" i="4"/>
  <c r="AW175" i="4" s="1"/>
  <c r="AX175" i="4" s="1" a="1"/>
  <c r="AX175" i="4" s="1"/>
  <c r="AR176" i="4"/>
  <c r="AS176" i="4" s="1" a="1"/>
  <c r="AS176" i="4" s="1"/>
  <c r="AM176" i="4"/>
  <c r="AN176" i="4" s="1" a="1"/>
  <c r="AN176" i="4" s="1"/>
  <c r="AC174" i="4"/>
  <c r="AD174" i="4" s="1" a="1"/>
  <c r="AD174" i="4" s="1"/>
  <c r="M145" i="4"/>
  <c r="N145" i="4" s="1"/>
  <c r="O145" i="4" s="1" a="1"/>
  <c r="O145" i="4" s="1"/>
  <c r="AY175" i="4" l="1" a="1"/>
  <c r="AY175" i="4" s="1"/>
  <c r="AX177" i="1" s="1" a="1"/>
  <c r="AX177" i="1" s="1"/>
  <c r="AT176" i="4" a="1"/>
  <c r="AT176" i="4" s="1"/>
  <c r="AS178" i="1" s="1" a="1"/>
  <c r="AS178" i="1" s="1"/>
  <c r="AO176" i="4" a="1"/>
  <c r="AO176" i="4" s="1"/>
  <c r="AN178" i="1" s="1" a="1"/>
  <c r="AN178" i="1" s="1"/>
  <c r="AE174" i="4" a="1"/>
  <c r="AE174" i="4" s="1"/>
  <c r="AD176" i="1" s="1" a="1"/>
  <c r="AD176" i="1" s="1"/>
  <c r="P145" i="4" a="1"/>
  <c r="P145" i="4" s="1"/>
  <c r="O147" i="1" s="1" a="1"/>
  <c r="O147" i="1" s="1"/>
  <c r="H149" i="1" a="1"/>
  <c r="H149" i="1" s="1"/>
  <c r="I149" i="1" a="1"/>
  <c r="I149" i="1" s="1"/>
  <c r="C59" i="1" a="1"/>
  <c r="C59" i="1" s="1"/>
  <c r="D59" i="1" a="1"/>
  <c r="D59" i="1" s="1"/>
  <c r="AV176" i="4"/>
  <c r="W143" i="4"/>
  <c r="X143" i="4" s="1"/>
  <c r="Y143" i="4" s="1" a="1"/>
  <c r="Y143" i="4" s="1"/>
  <c r="R144" i="4"/>
  <c r="S144" i="4" s="1"/>
  <c r="T144" i="4" s="1" a="1"/>
  <c r="T144" i="4" s="1"/>
  <c r="AQ179" i="1" l="1" a="1"/>
  <c r="AQ179" i="1" s="1"/>
  <c r="AV178" i="1" a="1"/>
  <c r="AV178" i="1" s="1"/>
  <c r="AW178" i="1" a="1"/>
  <c r="AW178" i="1" s="1"/>
  <c r="AL179" i="1" a="1"/>
  <c r="AL179" i="1" s="1"/>
  <c r="AR179" i="1" a="1"/>
  <c r="AR179" i="1" s="1"/>
  <c r="AM179" i="1" a="1"/>
  <c r="AM179" i="1" s="1"/>
  <c r="AB177" i="1" a="1"/>
  <c r="AB177" i="1" s="1"/>
  <c r="AC177" i="1" a="1"/>
  <c r="AC177" i="1" s="1"/>
  <c r="Z143" i="4" a="1"/>
  <c r="Z143" i="4" s="1"/>
  <c r="Y145" i="1" s="1" a="1"/>
  <c r="Y145" i="1" s="1"/>
  <c r="U144" i="4" a="1"/>
  <c r="U144" i="4" s="1"/>
  <c r="T146" i="1" s="1" a="1"/>
  <c r="T146" i="1" s="1"/>
  <c r="N148" i="1" a="1"/>
  <c r="N148" i="1" s="1"/>
  <c r="M148" i="1" a="1"/>
  <c r="M148" i="1" s="1"/>
  <c r="AB175" i="4"/>
  <c r="AC175" i="4" s="1"/>
  <c r="AD175" i="4" s="1" a="1"/>
  <c r="AD175" i="4" s="1"/>
  <c r="AW176" i="4"/>
  <c r="AX176" i="4" s="1" a="1"/>
  <c r="AX176" i="4" s="1"/>
  <c r="AQ177" i="4"/>
  <c r="AL177" i="4"/>
  <c r="H147" i="4"/>
  <c r="I147" i="4" s="1"/>
  <c r="J147" i="4" s="1" a="1"/>
  <c r="J147" i="4" s="1"/>
  <c r="C57" i="4"/>
  <c r="D57" i="4" s="1"/>
  <c r="E57" i="4" s="1" a="1"/>
  <c r="E57" i="4" s="1"/>
  <c r="AY176" i="4" l="1" a="1"/>
  <c r="AY176" i="4" s="1"/>
  <c r="AX178" i="1" s="1" a="1"/>
  <c r="AX178" i="1" s="1"/>
  <c r="AE175" i="4" a="1"/>
  <c r="AE175" i="4" s="1"/>
  <c r="AD177" i="1" s="1" a="1"/>
  <c r="AD177" i="1" s="1"/>
  <c r="R147" i="1" a="1"/>
  <c r="R147" i="1" s="1"/>
  <c r="W146" i="1" a="1"/>
  <c r="W146" i="1" s="1"/>
  <c r="X146" i="1" a="1"/>
  <c r="X146" i="1" s="1"/>
  <c r="S147" i="1" a="1"/>
  <c r="S147" i="1" s="1"/>
  <c r="K147" i="4" a="1"/>
  <c r="K147" i="4" s="1"/>
  <c r="J149" i="1" s="1" a="1"/>
  <c r="J149" i="1" s="1"/>
  <c r="F57" i="4" a="1"/>
  <c r="F57" i="4" s="1"/>
  <c r="E59" i="1" s="1" a="1"/>
  <c r="E59" i="1" s="1"/>
  <c r="AR177" i="4"/>
  <c r="AS177" i="4" s="1" a="1"/>
  <c r="AS177" i="4" s="1"/>
  <c r="AM177" i="4"/>
  <c r="AN177" i="4" s="1" a="1"/>
  <c r="AN177" i="4" s="1"/>
  <c r="AB176" i="4"/>
  <c r="W144" i="4"/>
  <c r="X144" i="4" s="1"/>
  <c r="Y144" i="4" s="1" a="1"/>
  <c r="Y144" i="4" s="1"/>
  <c r="M146" i="4"/>
  <c r="N146" i="4" s="1"/>
  <c r="O146" i="4" s="1" a="1"/>
  <c r="O146" i="4" s="1"/>
  <c r="AV179" i="1" l="1" a="1"/>
  <c r="AV179" i="1" s="1"/>
  <c r="AW179" i="1" a="1"/>
  <c r="AW179" i="1" s="1"/>
  <c r="AT177" i="4" a="1"/>
  <c r="AT177" i="4" s="1"/>
  <c r="AS179" i="1" s="1" a="1"/>
  <c r="AS179" i="1" s="1"/>
  <c r="AO177" i="4" a="1"/>
  <c r="AO177" i="4" s="1"/>
  <c r="AN179" i="1" s="1" a="1"/>
  <c r="AN179" i="1" s="1"/>
  <c r="AB178" i="1" a="1"/>
  <c r="AB178" i="1" s="1"/>
  <c r="AC178" i="1" a="1"/>
  <c r="AC178" i="1" s="1"/>
  <c r="Z144" i="4" a="1"/>
  <c r="Z144" i="4" s="1"/>
  <c r="Y146" i="1" s="1" a="1"/>
  <c r="Y146" i="1" s="1"/>
  <c r="I150" i="1" a="1"/>
  <c r="I150" i="1" s="1"/>
  <c r="P146" i="4" a="1"/>
  <c r="P146" i="4" s="1"/>
  <c r="O148" i="1" s="1" a="1"/>
  <c r="O148" i="1" s="1"/>
  <c r="H150" i="1" a="1"/>
  <c r="H150" i="1" s="1"/>
  <c r="C60" i="1" a="1"/>
  <c r="C60" i="1" s="1"/>
  <c r="D60" i="1" a="1"/>
  <c r="D60" i="1" s="1"/>
  <c r="AV177" i="4"/>
  <c r="AC176" i="4"/>
  <c r="AD176" i="4" s="1" a="1"/>
  <c r="AD176" i="4" s="1"/>
  <c r="R145" i="4"/>
  <c r="S145" i="4" s="1"/>
  <c r="T145" i="4" s="1" a="1"/>
  <c r="T145" i="4" s="1"/>
  <c r="AR180" i="1" l="1" a="1"/>
  <c r="AR180" i="1" s="1"/>
  <c r="AQ180" i="1" a="1"/>
  <c r="AQ180" i="1" s="1"/>
  <c r="AM180" i="1" a="1"/>
  <c r="AM180" i="1" s="1"/>
  <c r="AL180" i="1" a="1"/>
  <c r="AL180" i="1" s="1"/>
  <c r="M149" i="1" a="1"/>
  <c r="M149" i="1" s="1"/>
  <c r="AE176" i="4" a="1"/>
  <c r="AE176" i="4" s="1"/>
  <c r="AD178" i="1" s="1" a="1"/>
  <c r="AD178" i="1" s="1"/>
  <c r="W147" i="1" a="1"/>
  <c r="W147" i="1" s="1"/>
  <c r="X147" i="1" a="1"/>
  <c r="X147" i="1" s="1"/>
  <c r="N149" i="1" a="1"/>
  <c r="N149" i="1" s="1"/>
  <c r="U145" i="4" a="1"/>
  <c r="U145" i="4" s="1"/>
  <c r="T147" i="1" s="1" a="1"/>
  <c r="T147" i="1" s="1"/>
  <c r="AQ178" i="4"/>
  <c r="AR178" i="4" s="1"/>
  <c r="AS178" i="4" s="1" a="1"/>
  <c r="AS178" i="4" s="1"/>
  <c r="AL178" i="4"/>
  <c r="AM178" i="4" s="1"/>
  <c r="AN178" i="4" s="1" a="1"/>
  <c r="AN178" i="4" s="1"/>
  <c r="AW177" i="4"/>
  <c r="AX177" i="4" s="1" a="1"/>
  <c r="AX177" i="4" s="1"/>
  <c r="C58" i="4"/>
  <c r="D58" i="4" s="1"/>
  <c r="E58" i="4" s="1" a="1"/>
  <c r="E58" i="4" s="1"/>
  <c r="H148" i="4"/>
  <c r="I148" i="4" s="1"/>
  <c r="J148" i="4" s="1" a="1"/>
  <c r="J148" i="4" s="1"/>
  <c r="AY177" i="4" l="1" a="1"/>
  <c r="AY177" i="4" s="1"/>
  <c r="AX179" i="1" s="1" a="1"/>
  <c r="AX179" i="1" s="1"/>
  <c r="AT178" i="4" a="1"/>
  <c r="AT178" i="4" s="1"/>
  <c r="AS180" i="1" s="1" a="1"/>
  <c r="AS180" i="1" s="1"/>
  <c r="AB179" i="1" a="1"/>
  <c r="AB179" i="1" s="1"/>
  <c r="AO178" i="4" a="1"/>
  <c r="AO178" i="4" s="1"/>
  <c r="AN180" i="1" s="1" a="1"/>
  <c r="AN180" i="1" s="1"/>
  <c r="AC179" i="1" a="1"/>
  <c r="AC179" i="1" s="1"/>
  <c r="S148" i="1" a="1"/>
  <c r="S148" i="1" s="1"/>
  <c r="R148" i="1" a="1"/>
  <c r="R148" i="1" s="1"/>
  <c r="K148" i="4" a="1"/>
  <c r="K148" i="4" s="1"/>
  <c r="J150" i="1" s="1" a="1"/>
  <c r="J150" i="1" s="1"/>
  <c r="F58" i="4" a="1"/>
  <c r="F58" i="4" s="1"/>
  <c r="E60" i="1" s="1" a="1"/>
  <c r="E60" i="1" s="1"/>
  <c r="AQ179" i="4"/>
  <c r="AL179" i="4"/>
  <c r="AB177" i="4"/>
  <c r="W145" i="4"/>
  <c r="X145" i="4" s="1"/>
  <c r="Y145" i="4" s="1" a="1"/>
  <c r="Y145" i="4" s="1"/>
  <c r="C59" i="4"/>
  <c r="D59" i="4" s="1"/>
  <c r="E59" i="4" s="1" a="1"/>
  <c r="E59" i="4" s="1"/>
  <c r="M147" i="4"/>
  <c r="N147" i="4" s="1"/>
  <c r="O147" i="4" s="1" a="1"/>
  <c r="O147" i="4" s="1"/>
  <c r="AV180" i="1" l="1" a="1"/>
  <c r="AV180" i="1" s="1"/>
  <c r="AW180" i="1" a="1"/>
  <c r="AW180" i="1" s="1"/>
  <c r="AR181" i="1" a="1"/>
  <c r="AR181" i="1" s="1"/>
  <c r="AQ181" i="1" a="1"/>
  <c r="AQ181" i="1" s="1"/>
  <c r="AM181" i="1" a="1"/>
  <c r="AM181" i="1" s="1"/>
  <c r="H151" i="1" a="1"/>
  <c r="H151" i="1" s="1"/>
  <c r="AL181" i="1" a="1"/>
  <c r="AL181" i="1" s="1"/>
  <c r="Z145" i="4" a="1"/>
  <c r="Z145" i="4" s="1"/>
  <c r="Y147" i="1" s="1" a="1"/>
  <c r="Y147" i="1" s="1"/>
  <c r="P147" i="4" a="1"/>
  <c r="P147" i="4" s="1"/>
  <c r="O149" i="1" s="1" a="1"/>
  <c r="O149" i="1" s="1"/>
  <c r="I151" i="1" a="1"/>
  <c r="I151" i="1" s="1"/>
  <c r="C61" i="1" a="1"/>
  <c r="C61" i="1" s="1"/>
  <c r="D61" i="1" a="1"/>
  <c r="D61" i="1" s="1"/>
  <c r="F59" i="4" a="1"/>
  <c r="F59" i="4" s="1"/>
  <c r="E61" i="1" s="1" a="1"/>
  <c r="E61" i="1" s="1"/>
  <c r="AV178" i="4"/>
  <c r="AW178" i="4" s="1"/>
  <c r="AX178" i="4" s="1" a="1"/>
  <c r="AX178" i="4" s="1"/>
  <c r="AR179" i="4"/>
  <c r="AS179" i="4" s="1" a="1"/>
  <c r="AS179" i="4" s="1"/>
  <c r="AM179" i="4"/>
  <c r="AN179" i="4" s="1" a="1"/>
  <c r="AN179" i="4" s="1"/>
  <c r="AC177" i="4"/>
  <c r="AD177" i="4" s="1" a="1"/>
  <c r="AD177" i="4" s="1"/>
  <c r="R146" i="4"/>
  <c r="S146" i="4" s="1"/>
  <c r="T146" i="4" s="1" a="1"/>
  <c r="T146" i="4" s="1"/>
  <c r="AY178" i="4" l="1" a="1"/>
  <c r="AY178" i="4" s="1"/>
  <c r="AX180" i="1" s="1" a="1"/>
  <c r="AX180" i="1" s="1"/>
  <c r="AT179" i="4" a="1"/>
  <c r="AT179" i="4" s="1"/>
  <c r="AS181" i="1" s="1" a="1"/>
  <c r="AS181" i="1" s="1"/>
  <c r="AO179" i="4" a="1"/>
  <c r="AO179" i="4" s="1"/>
  <c r="AN181" i="1" s="1" a="1"/>
  <c r="AN181" i="1" s="1"/>
  <c r="AE177" i="4" a="1"/>
  <c r="AE177" i="4" s="1"/>
  <c r="AD179" i="1" s="1" a="1"/>
  <c r="AD179" i="1" s="1"/>
  <c r="N150" i="1" a="1"/>
  <c r="N150" i="1" s="1"/>
  <c r="W148" i="1" a="1"/>
  <c r="W148" i="1" s="1"/>
  <c r="X148" i="1" a="1"/>
  <c r="X148" i="1" s="1"/>
  <c r="U146" i="4" a="1"/>
  <c r="U146" i="4" s="1"/>
  <c r="T148" i="1" s="1" a="1"/>
  <c r="T148" i="1" s="1"/>
  <c r="M150" i="1" a="1"/>
  <c r="M150" i="1" s="1"/>
  <c r="D62" i="1" a="1"/>
  <c r="D62" i="1" s="1"/>
  <c r="C62" i="1" a="1"/>
  <c r="C62" i="1" s="1"/>
  <c r="AV179" i="4"/>
  <c r="C60" i="4"/>
  <c r="D60" i="4" s="1"/>
  <c r="E60" i="4" s="1" a="1"/>
  <c r="E60" i="4" s="1"/>
  <c r="H149" i="4"/>
  <c r="I149" i="4" s="1"/>
  <c r="J149" i="4" s="1" a="1"/>
  <c r="J149" i="4" s="1"/>
  <c r="AQ182" i="1" l="1" a="1"/>
  <c r="AQ182" i="1" s="1"/>
  <c r="AL182" i="1" a="1"/>
  <c r="AL182" i="1" s="1"/>
  <c r="AV181" i="1" a="1"/>
  <c r="AV181" i="1" s="1"/>
  <c r="AW181" i="1" a="1"/>
  <c r="AW181" i="1" s="1"/>
  <c r="AM182" i="1" a="1"/>
  <c r="AM182" i="1" s="1"/>
  <c r="AB180" i="1" a="1"/>
  <c r="AB180" i="1" s="1"/>
  <c r="AR182" i="1" a="1"/>
  <c r="AR182" i="1" s="1"/>
  <c r="AC180" i="1" a="1"/>
  <c r="AC180" i="1" s="1"/>
  <c r="R149" i="1" a="1"/>
  <c r="R149" i="1" s="1"/>
  <c r="S149" i="1" a="1"/>
  <c r="S149" i="1" s="1"/>
  <c r="K149" i="4" a="1"/>
  <c r="K149" i="4" s="1"/>
  <c r="J151" i="1" s="1" a="1"/>
  <c r="J151" i="1" s="1"/>
  <c r="F60" i="4" a="1"/>
  <c r="F60" i="4" s="1"/>
  <c r="E62" i="1" s="1" a="1"/>
  <c r="E62" i="1" s="1"/>
  <c r="AB178" i="4"/>
  <c r="AC178" i="4" s="1"/>
  <c r="AD178" i="4" s="1" a="1"/>
  <c r="AD178" i="4" s="1"/>
  <c r="AL180" i="4"/>
  <c r="AM180" i="4" s="1"/>
  <c r="AN180" i="4" s="1" a="1"/>
  <c r="AN180" i="4" s="1"/>
  <c r="AQ180" i="4"/>
  <c r="AR180" i="4" s="1"/>
  <c r="AS180" i="4" s="1" a="1"/>
  <c r="AS180" i="4" s="1"/>
  <c r="AW179" i="4"/>
  <c r="AX179" i="4" s="1" a="1"/>
  <c r="AX179" i="4" s="1"/>
  <c r="W146" i="4"/>
  <c r="X146" i="4" s="1"/>
  <c r="Y146" i="4" s="1" a="1"/>
  <c r="Y146" i="4" s="1"/>
  <c r="C61" i="4"/>
  <c r="D61" i="4" s="1"/>
  <c r="E61" i="4" s="1" a="1"/>
  <c r="E61" i="4" s="1"/>
  <c r="M148" i="4"/>
  <c r="N148" i="4" s="1"/>
  <c r="O148" i="4" s="1" a="1"/>
  <c r="O148" i="4" s="1"/>
  <c r="AY179" i="4" l="1" a="1"/>
  <c r="AY179" i="4" s="1"/>
  <c r="AX181" i="1" s="1" a="1"/>
  <c r="AX181" i="1" s="1"/>
  <c r="AT180" i="4" a="1"/>
  <c r="AT180" i="4" s="1"/>
  <c r="AS182" i="1" s="1" a="1"/>
  <c r="AS182" i="1" s="1"/>
  <c r="AO180" i="4" a="1"/>
  <c r="AO180" i="4" s="1"/>
  <c r="AN182" i="1" s="1" a="1"/>
  <c r="AN182" i="1" s="1"/>
  <c r="AE178" i="4" a="1"/>
  <c r="AE178" i="4" s="1"/>
  <c r="AD180" i="1" s="1" a="1"/>
  <c r="AD180" i="1" s="1"/>
  <c r="I152" i="1" a="1"/>
  <c r="I152" i="1" s="1"/>
  <c r="Z146" i="4" a="1"/>
  <c r="Z146" i="4" s="1"/>
  <c r="Y148" i="1" s="1" a="1"/>
  <c r="Y148" i="1" s="1"/>
  <c r="H152" i="1" a="1"/>
  <c r="H152" i="1" s="1"/>
  <c r="P148" i="4" a="1"/>
  <c r="P148" i="4" s="1"/>
  <c r="O150" i="1" s="1" a="1"/>
  <c r="O150" i="1" s="1"/>
  <c r="C63" i="1" a="1"/>
  <c r="C63" i="1" s="1"/>
  <c r="D63" i="1" a="1"/>
  <c r="D63" i="1" s="1"/>
  <c r="F61" i="4" a="1"/>
  <c r="F61" i="4" s="1"/>
  <c r="E63" i="1" s="1" a="1"/>
  <c r="E63" i="1" s="1"/>
  <c r="AQ181" i="4"/>
  <c r="AL181" i="4"/>
  <c r="AB179" i="4"/>
  <c r="R147" i="4"/>
  <c r="S147" i="4" s="1"/>
  <c r="T147" i="4" s="1" a="1"/>
  <c r="T147" i="4" s="1"/>
  <c r="AL183" i="1" l="1" a="1"/>
  <c r="AL183" i="1" s="1"/>
  <c r="AV182" i="1" a="1"/>
  <c r="AV182" i="1" s="1"/>
  <c r="AW182" i="1" a="1"/>
  <c r="AW182" i="1" s="1"/>
  <c r="AM183" i="1" a="1"/>
  <c r="AM183" i="1" s="1"/>
  <c r="AB181" i="1" a="1"/>
  <c r="AB181" i="1" s="1"/>
  <c r="AQ183" i="1" a="1"/>
  <c r="AQ183" i="1" s="1"/>
  <c r="AR183" i="1" a="1"/>
  <c r="AR183" i="1" s="1"/>
  <c r="AC181" i="1" a="1"/>
  <c r="AC181" i="1" s="1"/>
  <c r="W149" i="1" a="1"/>
  <c r="W149" i="1" s="1"/>
  <c r="X149" i="1" a="1"/>
  <c r="X149" i="1" s="1"/>
  <c r="U147" i="4" a="1"/>
  <c r="U147" i="4" s="1"/>
  <c r="T149" i="1" s="1" a="1"/>
  <c r="T149" i="1" s="1"/>
  <c r="M151" i="1" a="1"/>
  <c r="M151" i="1" s="1"/>
  <c r="N151" i="1" a="1"/>
  <c r="N151" i="1" s="1"/>
  <c r="C64" i="1" a="1"/>
  <c r="C64" i="1" s="1"/>
  <c r="D64" i="1" a="1"/>
  <c r="D64" i="1" s="1"/>
  <c r="AV180" i="4"/>
  <c r="AW180" i="4" s="1"/>
  <c r="AX180" i="4" s="1" a="1"/>
  <c r="AX180" i="4" s="1"/>
  <c r="AR181" i="4"/>
  <c r="AS181" i="4" s="1" a="1"/>
  <c r="AS181" i="4" s="1"/>
  <c r="AM181" i="4"/>
  <c r="AN181" i="4" s="1" a="1"/>
  <c r="AN181" i="4" s="1"/>
  <c r="AC179" i="4"/>
  <c r="AD179" i="4" s="1" a="1"/>
  <c r="AD179" i="4" s="1"/>
  <c r="C62" i="4"/>
  <c r="D62" i="4" s="1"/>
  <c r="E62" i="4" s="1" a="1"/>
  <c r="E62" i="4" s="1"/>
  <c r="H150" i="4"/>
  <c r="I150" i="4" s="1"/>
  <c r="J150" i="4" s="1" a="1"/>
  <c r="J150" i="4" s="1"/>
  <c r="AY180" i="4" l="1" a="1"/>
  <c r="AY180" i="4" s="1"/>
  <c r="AX182" i="1" s="1" a="1"/>
  <c r="AX182" i="1" s="1"/>
  <c r="AT181" i="4" a="1"/>
  <c r="AT181" i="4" s="1"/>
  <c r="AS183" i="1" s="1" a="1"/>
  <c r="AS183" i="1" s="1"/>
  <c r="AO181" i="4" a="1"/>
  <c r="AO181" i="4" s="1"/>
  <c r="AN183" i="1" s="1" a="1"/>
  <c r="AN183" i="1" s="1"/>
  <c r="AE179" i="4" a="1"/>
  <c r="AE179" i="4" s="1"/>
  <c r="AD181" i="1" s="1" a="1"/>
  <c r="AD181" i="1" s="1"/>
  <c r="S150" i="1" a="1"/>
  <c r="S150" i="1" s="1"/>
  <c r="R150" i="1" a="1"/>
  <c r="R150" i="1" s="1"/>
  <c r="K150" i="4" a="1"/>
  <c r="K150" i="4" s="1"/>
  <c r="J152" i="1" s="1" a="1"/>
  <c r="J152" i="1" s="1"/>
  <c r="F62" i="4" a="1"/>
  <c r="F62" i="4" s="1"/>
  <c r="E64" i="1" s="1" a="1"/>
  <c r="E64" i="1" s="1"/>
  <c r="AB180" i="4"/>
  <c r="AC180" i="4" s="1"/>
  <c r="AD180" i="4" s="1" a="1"/>
  <c r="AD180" i="4" s="1"/>
  <c r="AV181" i="4"/>
  <c r="W147" i="4"/>
  <c r="X147" i="4" s="1"/>
  <c r="Y147" i="4" s="1" a="1"/>
  <c r="Y147" i="4" s="1"/>
  <c r="M149" i="4"/>
  <c r="AV183" i="1" l="1" a="1"/>
  <c r="AV183" i="1" s="1"/>
  <c r="AW183" i="1" a="1"/>
  <c r="AW183" i="1" s="1"/>
  <c r="AR184" i="1" a="1"/>
  <c r="AR184" i="1" s="1"/>
  <c r="AQ184" i="1" a="1"/>
  <c r="AQ184" i="1" s="1"/>
  <c r="AL184" i="1" a="1"/>
  <c r="AL184" i="1" s="1"/>
  <c r="AM184" i="1" a="1"/>
  <c r="AM184" i="1" s="1"/>
  <c r="AB182" i="1" a="1"/>
  <c r="AB182" i="1" s="1"/>
  <c r="AC182" i="1" a="1"/>
  <c r="AC182" i="1" s="1"/>
  <c r="AE180" i="4" a="1"/>
  <c r="AE180" i="4" s="1"/>
  <c r="AD182" i="1" s="1" a="1"/>
  <c r="AD182" i="1" s="1"/>
  <c r="Z147" i="4" a="1"/>
  <c r="Z147" i="4" s="1"/>
  <c r="Y149" i="1" s="1" a="1"/>
  <c r="Y149" i="1" s="1"/>
  <c r="H153" i="1" a="1"/>
  <c r="H153" i="1" s="1"/>
  <c r="I153" i="1" a="1"/>
  <c r="I153" i="1" s="1"/>
  <c r="C65" i="1" a="1"/>
  <c r="C65" i="1" s="1"/>
  <c r="D65" i="1" a="1"/>
  <c r="D65" i="1" s="1"/>
  <c r="AW181" i="4"/>
  <c r="AX181" i="4" s="1" a="1"/>
  <c r="AX181" i="4" s="1"/>
  <c r="AQ182" i="4"/>
  <c r="AL182" i="4"/>
  <c r="N149" i="4"/>
  <c r="O149" i="4" s="1" a="1"/>
  <c r="O149" i="4" s="1"/>
  <c r="C63" i="4"/>
  <c r="D63" i="4" s="1"/>
  <c r="E63" i="4" s="1" a="1"/>
  <c r="E63" i="4" s="1"/>
  <c r="R148" i="4"/>
  <c r="S148" i="4" s="1"/>
  <c r="T148" i="4" s="1" a="1"/>
  <c r="T148" i="4" s="1"/>
  <c r="AB183" i="1" l="1" a="1"/>
  <c r="AB183" i="1" s="1"/>
  <c r="AY181" i="4" a="1"/>
  <c r="AY181" i="4" s="1"/>
  <c r="AX183" i="1" s="1" a="1"/>
  <c r="AX183" i="1" s="1"/>
  <c r="AC183" i="1" a="1"/>
  <c r="AC183" i="1" s="1"/>
  <c r="W150" i="1" a="1"/>
  <c r="W150" i="1" s="1"/>
  <c r="X150" i="1" a="1"/>
  <c r="X150" i="1" s="1"/>
  <c r="U148" i="4" a="1"/>
  <c r="U148" i="4" s="1"/>
  <c r="T150" i="1" s="1" a="1"/>
  <c r="T150" i="1" s="1"/>
  <c r="P149" i="4" a="1"/>
  <c r="P149" i="4" s="1"/>
  <c r="O151" i="1" s="1" a="1"/>
  <c r="O151" i="1" s="1"/>
  <c r="F63" i="4" a="1"/>
  <c r="F63" i="4" s="1"/>
  <c r="E65" i="1" s="1" a="1"/>
  <c r="E65" i="1" s="1"/>
  <c r="AR182" i="4"/>
  <c r="AS182" i="4" s="1" a="1"/>
  <c r="AS182" i="4" s="1"/>
  <c r="AM182" i="4"/>
  <c r="AN182" i="4" s="1" a="1"/>
  <c r="AN182" i="4" s="1"/>
  <c r="AB181" i="4"/>
  <c r="H151" i="4"/>
  <c r="I151" i="4" s="1"/>
  <c r="J151" i="4" s="1" a="1"/>
  <c r="J151" i="4" s="1"/>
  <c r="AV184" i="1" l="1" a="1"/>
  <c r="AV184" i="1" s="1"/>
  <c r="AW184" i="1" a="1"/>
  <c r="AW184" i="1" s="1"/>
  <c r="AT182" i="4" a="1"/>
  <c r="AT182" i="4" s="1"/>
  <c r="AS184" i="1" s="1" a="1"/>
  <c r="AS184" i="1" s="1"/>
  <c r="AO182" i="4" a="1"/>
  <c r="AO182" i="4" s="1"/>
  <c r="AN184" i="1" s="1" a="1"/>
  <c r="AN184" i="1" s="1"/>
  <c r="N152" i="1" a="1"/>
  <c r="N152" i="1" s="1"/>
  <c r="M152" i="1" a="1"/>
  <c r="M152" i="1" s="1"/>
  <c r="R151" i="1" a="1"/>
  <c r="R151" i="1" s="1"/>
  <c r="S151" i="1" a="1"/>
  <c r="S151" i="1" s="1"/>
  <c r="K151" i="4" a="1"/>
  <c r="K151" i="4" s="1"/>
  <c r="J153" i="1" s="1" a="1"/>
  <c r="J153" i="1" s="1"/>
  <c r="C66" i="1" a="1"/>
  <c r="C66" i="1" s="1"/>
  <c r="D66" i="1" a="1"/>
  <c r="D66" i="1" s="1"/>
  <c r="M150" i="4"/>
  <c r="N150" i="4" s="1"/>
  <c r="O150" i="4" s="1" a="1"/>
  <c r="O150" i="4" s="1"/>
  <c r="AV182" i="4"/>
  <c r="AC181" i="4"/>
  <c r="AD181" i="4" s="1" a="1"/>
  <c r="AD181" i="4" s="1"/>
  <c r="W148" i="4"/>
  <c r="X148" i="4" s="1"/>
  <c r="Y148" i="4" s="1" a="1"/>
  <c r="Y148" i="4" s="1"/>
  <c r="C64" i="4"/>
  <c r="D64" i="4" s="1"/>
  <c r="E64" i="4" s="1" a="1"/>
  <c r="E64" i="4" s="1"/>
  <c r="AL185" i="1" l="1" a="1"/>
  <c r="AL185" i="1" s="1"/>
  <c r="AQ185" i="1" a="1"/>
  <c r="AQ185" i="1" s="1"/>
  <c r="AR185" i="1" a="1"/>
  <c r="AR185" i="1" s="1"/>
  <c r="AM185" i="1" a="1"/>
  <c r="AM185" i="1" s="1"/>
  <c r="AE181" i="4" a="1"/>
  <c r="AE181" i="4" s="1"/>
  <c r="AD183" i="1" s="1" a="1"/>
  <c r="AD183" i="1" s="1"/>
  <c r="Z148" i="4" a="1"/>
  <c r="Z148" i="4" s="1"/>
  <c r="Y150" i="1" s="1" a="1"/>
  <c r="Y150" i="1" s="1"/>
  <c r="I154" i="1" a="1"/>
  <c r="I154" i="1" s="1"/>
  <c r="H154" i="1" a="1"/>
  <c r="H154" i="1" s="1"/>
  <c r="P150" i="4" a="1"/>
  <c r="P150" i="4" s="1"/>
  <c r="O152" i="1" s="1" a="1"/>
  <c r="O152" i="1" s="1"/>
  <c r="F64" i="4" a="1"/>
  <c r="F64" i="4" s="1"/>
  <c r="E66" i="1" s="1" a="1"/>
  <c r="E66" i="1" s="1"/>
  <c r="AW182" i="4"/>
  <c r="AX182" i="4" s="1" a="1"/>
  <c r="AX182" i="4" s="1"/>
  <c r="AQ183" i="4"/>
  <c r="AL183" i="4"/>
  <c r="M151" i="4"/>
  <c r="N151" i="4" s="1"/>
  <c r="O151" i="4" s="1" a="1"/>
  <c r="O151" i="4" s="1"/>
  <c r="R149" i="4"/>
  <c r="S149" i="4" s="1"/>
  <c r="T149" i="4" s="1" a="1"/>
  <c r="T149" i="4" s="1"/>
  <c r="AY182" i="4" l="1" a="1"/>
  <c r="AY182" i="4" s="1"/>
  <c r="AX184" i="1" s="1" a="1"/>
  <c r="AX184" i="1" s="1"/>
  <c r="AB184" i="1" a="1"/>
  <c r="AB184" i="1" s="1"/>
  <c r="AC184" i="1" a="1"/>
  <c r="AC184" i="1" s="1"/>
  <c r="M153" i="1" a="1"/>
  <c r="M153" i="1" s="1"/>
  <c r="N153" i="1" a="1"/>
  <c r="N153" i="1" s="1"/>
  <c r="W151" i="1" a="1"/>
  <c r="W151" i="1" s="1"/>
  <c r="X151" i="1" a="1"/>
  <c r="X151" i="1" s="1"/>
  <c r="U149" i="4" a="1"/>
  <c r="U149" i="4" s="1"/>
  <c r="T151" i="1" s="1" a="1"/>
  <c r="T151" i="1" s="1"/>
  <c r="P151" i="4" a="1"/>
  <c r="P151" i="4" s="1"/>
  <c r="O153" i="1" s="1" a="1"/>
  <c r="O153" i="1" s="1"/>
  <c r="C67" i="1" a="1"/>
  <c r="C67" i="1" s="1"/>
  <c r="D67" i="1" a="1"/>
  <c r="D67" i="1" s="1"/>
  <c r="AR183" i="4"/>
  <c r="AS183" i="4" s="1" a="1"/>
  <c r="AS183" i="4" s="1"/>
  <c r="AM183" i="4"/>
  <c r="AN183" i="4" s="1" a="1"/>
  <c r="AN183" i="4" s="1"/>
  <c r="AB182" i="4"/>
  <c r="W149" i="4"/>
  <c r="X149" i="4" s="1"/>
  <c r="Y149" i="4" s="1" a="1"/>
  <c r="Y149" i="4" s="1"/>
  <c r="H152" i="4"/>
  <c r="I152" i="4" s="1"/>
  <c r="J152" i="4" s="1" a="1"/>
  <c r="J152" i="4" s="1"/>
  <c r="C65" i="4"/>
  <c r="D65" i="4" s="1"/>
  <c r="E65" i="4" s="1" a="1"/>
  <c r="E65" i="4" s="1"/>
  <c r="AV185" i="1" l="1" a="1"/>
  <c r="AV185" i="1" s="1"/>
  <c r="AW185" i="1" a="1"/>
  <c r="AW185" i="1" s="1"/>
  <c r="AT183" i="4" a="1"/>
  <c r="AT183" i="4" s="1"/>
  <c r="AS185" i="1" s="1" a="1"/>
  <c r="AS185" i="1" s="1"/>
  <c r="AO183" i="4" a="1"/>
  <c r="AO183" i="4" s="1"/>
  <c r="AN185" i="1" s="1" a="1"/>
  <c r="AN185" i="1" s="1"/>
  <c r="N154" i="1" a="1"/>
  <c r="N154" i="1" s="1"/>
  <c r="M154" i="1" a="1"/>
  <c r="M154" i="1" s="1"/>
  <c r="Z149" i="4" a="1"/>
  <c r="Z149" i="4" s="1"/>
  <c r="Y151" i="1" s="1" a="1"/>
  <c r="Y151" i="1" s="1"/>
  <c r="S152" i="1" a="1"/>
  <c r="S152" i="1" s="1"/>
  <c r="R152" i="1" a="1"/>
  <c r="R152" i="1" s="1"/>
  <c r="K152" i="4" a="1"/>
  <c r="K152" i="4" s="1"/>
  <c r="J154" i="1" s="1" a="1"/>
  <c r="J154" i="1" s="1"/>
  <c r="F65" i="4" a="1"/>
  <c r="F65" i="4" s="1"/>
  <c r="E67" i="1" s="1" a="1"/>
  <c r="E67" i="1" s="1"/>
  <c r="AV183" i="4"/>
  <c r="AC182" i="4"/>
  <c r="AD182" i="4" s="1" a="1"/>
  <c r="AD182" i="4" s="1"/>
  <c r="AQ186" i="1" l="1" a="1"/>
  <c r="AQ186" i="1" s="1"/>
  <c r="AR186" i="1" a="1"/>
  <c r="AR186" i="1" s="1"/>
  <c r="AL186" i="1" a="1"/>
  <c r="AL186" i="1" s="1"/>
  <c r="AM186" i="1" a="1"/>
  <c r="AM186" i="1" s="1"/>
  <c r="AE182" i="4" a="1"/>
  <c r="AE182" i="4" s="1"/>
  <c r="AD184" i="1" s="1" a="1"/>
  <c r="AD184" i="1" s="1"/>
  <c r="H155" i="1" a="1"/>
  <c r="H155" i="1" s="1"/>
  <c r="X152" i="1" a="1"/>
  <c r="X152" i="1" s="1"/>
  <c r="W152" i="1" a="1"/>
  <c r="W152" i="1" s="1"/>
  <c r="I155" i="1" a="1"/>
  <c r="I155" i="1" s="1"/>
  <c r="C68" i="1" a="1"/>
  <c r="C68" i="1" s="1"/>
  <c r="D68" i="1" a="1"/>
  <c r="D68" i="1" s="1"/>
  <c r="AW183" i="4"/>
  <c r="AX183" i="4" s="1" a="1"/>
  <c r="AX183" i="4" s="1"/>
  <c r="AQ184" i="4"/>
  <c r="AL184" i="4"/>
  <c r="W150" i="4"/>
  <c r="X150" i="4" s="1"/>
  <c r="Y150" i="4" s="1" a="1"/>
  <c r="Y150" i="4" s="1"/>
  <c r="C66" i="4"/>
  <c r="D66" i="4" s="1"/>
  <c r="E66" i="4" s="1" a="1"/>
  <c r="E66" i="4" s="1"/>
  <c r="AY183" i="4" l="1" a="1"/>
  <c r="AY183" i="4" s="1"/>
  <c r="AX185" i="1" s="1" a="1"/>
  <c r="AX185" i="1" s="1"/>
  <c r="AB185" i="1" a="1"/>
  <c r="AB185" i="1" s="1"/>
  <c r="AC185" i="1" a="1"/>
  <c r="AC185" i="1" s="1"/>
  <c r="Z150" i="4" a="1"/>
  <c r="Z150" i="4" s="1"/>
  <c r="Y152" i="1" s="1" a="1"/>
  <c r="Y152" i="1" s="1"/>
  <c r="F66" i="4" a="1"/>
  <c r="F66" i="4" s="1"/>
  <c r="E68" i="1" s="1" a="1"/>
  <c r="E68" i="1" s="1"/>
  <c r="AR184" i="4"/>
  <c r="AS184" i="4" s="1" a="1"/>
  <c r="AS184" i="4" s="1"/>
  <c r="AM184" i="4"/>
  <c r="AN184" i="4" s="1" a="1"/>
  <c r="AN184" i="4" s="1"/>
  <c r="AB183" i="4"/>
  <c r="M152" i="4"/>
  <c r="N152" i="4" s="1"/>
  <c r="O152" i="4" s="1" a="1"/>
  <c r="O152" i="4" s="1"/>
  <c r="R150" i="4"/>
  <c r="S150" i="4" s="1"/>
  <c r="T150" i="4" s="1" a="1"/>
  <c r="T150" i="4" s="1"/>
  <c r="H153" i="4"/>
  <c r="I153" i="4" s="1"/>
  <c r="J153" i="4" s="1" a="1"/>
  <c r="J153" i="4" s="1"/>
  <c r="AV186" i="1" l="1" a="1"/>
  <c r="AV186" i="1" s="1"/>
  <c r="AW186" i="1" a="1"/>
  <c r="AW186" i="1" s="1"/>
  <c r="AT184" i="4" a="1"/>
  <c r="AT184" i="4" s="1"/>
  <c r="AS186" i="1" s="1" a="1"/>
  <c r="AS186" i="1" s="1"/>
  <c r="AO184" i="4" a="1"/>
  <c r="AO184" i="4" s="1"/>
  <c r="AN186" i="1" s="1" a="1"/>
  <c r="AN186" i="1" s="1"/>
  <c r="W153" i="1" a="1"/>
  <c r="W153" i="1" s="1"/>
  <c r="X153" i="1" a="1"/>
  <c r="X153" i="1" s="1"/>
  <c r="U150" i="4" a="1"/>
  <c r="U150" i="4" s="1"/>
  <c r="T152" i="1" s="1" a="1"/>
  <c r="T152" i="1" s="1"/>
  <c r="P152" i="4" a="1"/>
  <c r="P152" i="4" s="1"/>
  <c r="O154" i="1" s="1" a="1"/>
  <c r="O154" i="1" s="1"/>
  <c r="K153" i="4" a="1"/>
  <c r="K153" i="4" s="1"/>
  <c r="J155" i="1" s="1" a="1"/>
  <c r="J155" i="1" s="1"/>
  <c r="C69" i="1" a="1"/>
  <c r="C69" i="1" s="1"/>
  <c r="D69" i="1" a="1"/>
  <c r="D69" i="1" s="1"/>
  <c r="AV184" i="4"/>
  <c r="AW184" i="4" s="1"/>
  <c r="AX184" i="4" s="1" a="1"/>
  <c r="AX184" i="4" s="1"/>
  <c r="AC183" i="4"/>
  <c r="AD183" i="4" s="1" a="1"/>
  <c r="AD183" i="4" s="1"/>
  <c r="C67" i="4"/>
  <c r="D67" i="4" s="1"/>
  <c r="E67" i="4" s="1" a="1"/>
  <c r="E67" i="4" s="1"/>
  <c r="AQ187" i="1" l="1" a="1"/>
  <c r="AQ187" i="1" s="1"/>
  <c r="AR187" i="1" a="1"/>
  <c r="AR187" i="1" s="1"/>
  <c r="AY184" i="4" a="1"/>
  <c r="AY184" i="4" s="1"/>
  <c r="AX186" i="1" s="1" a="1"/>
  <c r="AX186" i="1" s="1"/>
  <c r="AM187" i="1" a="1"/>
  <c r="AM187" i="1" s="1"/>
  <c r="AL187" i="1" a="1"/>
  <c r="AL187" i="1" s="1"/>
  <c r="M155" i="1" a="1"/>
  <c r="M155" i="1" s="1"/>
  <c r="I156" i="1" a="1"/>
  <c r="I156" i="1" s="1"/>
  <c r="AE183" i="4" a="1"/>
  <c r="AE183" i="4" s="1"/>
  <c r="AD185" i="1" s="1" a="1"/>
  <c r="AD185" i="1" s="1"/>
  <c r="R153" i="1" a="1"/>
  <c r="R153" i="1" s="1"/>
  <c r="S153" i="1" a="1"/>
  <c r="S153" i="1" s="1"/>
  <c r="H156" i="1" a="1"/>
  <c r="H156" i="1" s="1"/>
  <c r="N155" i="1" a="1"/>
  <c r="N155" i="1" s="1"/>
  <c r="F67" i="4" a="1"/>
  <c r="F67" i="4" s="1"/>
  <c r="E69" i="1" s="1" a="1"/>
  <c r="E69" i="1" s="1"/>
  <c r="AV185" i="4"/>
  <c r="AW185" i="4" s="1"/>
  <c r="AX185" i="4" s="1" a="1"/>
  <c r="AX185" i="4" s="1"/>
  <c r="AL185" i="4"/>
  <c r="AM185" i="4" s="1"/>
  <c r="AN185" i="4" s="1" a="1"/>
  <c r="AN185" i="4" s="1"/>
  <c r="AQ185" i="4"/>
  <c r="AR185" i="4" s="1"/>
  <c r="AS185" i="4" s="1" a="1"/>
  <c r="AS185" i="4" s="1"/>
  <c r="W151" i="4"/>
  <c r="X151" i="4" s="1"/>
  <c r="Y151" i="4" s="1" a="1"/>
  <c r="Y151" i="4" s="1"/>
  <c r="AV187" i="1" l="1" a="1"/>
  <c r="AV187" i="1" s="1"/>
  <c r="AW187" i="1" a="1"/>
  <c r="AW187" i="1" s="1"/>
  <c r="AY185" i="4" a="1"/>
  <c r="AY185" i="4" s="1"/>
  <c r="AX187" i="1" s="1" a="1"/>
  <c r="AX187" i="1" s="1"/>
  <c r="AT185" i="4" a="1"/>
  <c r="AT185" i="4" s="1"/>
  <c r="AS187" i="1" s="1" a="1"/>
  <c r="AS187" i="1" s="1"/>
  <c r="AO185" i="4" a="1"/>
  <c r="AO185" i="4" s="1"/>
  <c r="AN187" i="1" s="1" a="1"/>
  <c r="AN187" i="1" s="1"/>
  <c r="AB186" i="1" a="1"/>
  <c r="AB186" i="1" s="1"/>
  <c r="AC186" i="1" a="1"/>
  <c r="AC186" i="1" s="1"/>
  <c r="Z151" i="4" a="1"/>
  <c r="Z151" i="4" s="1"/>
  <c r="Y153" i="1" s="1" a="1"/>
  <c r="Y153" i="1" s="1"/>
  <c r="D70" i="1" a="1"/>
  <c r="D70" i="1" s="1"/>
  <c r="C70" i="1" a="1"/>
  <c r="C70" i="1" s="1"/>
  <c r="AV186" i="4"/>
  <c r="AQ186" i="4"/>
  <c r="AL186" i="4"/>
  <c r="AB184" i="4"/>
  <c r="M153" i="4"/>
  <c r="N153" i="4" s="1"/>
  <c r="O153" i="4" s="1" a="1"/>
  <c r="O153" i="4" s="1"/>
  <c r="R151" i="4"/>
  <c r="S151" i="4" s="1"/>
  <c r="T151" i="4" s="1" a="1"/>
  <c r="T151" i="4" s="1"/>
  <c r="H154" i="4"/>
  <c r="I154" i="4" s="1"/>
  <c r="J154" i="4" s="1" a="1"/>
  <c r="J154" i="4" s="1"/>
  <c r="C68" i="4"/>
  <c r="D68" i="4" s="1"/>
  <c r="E68" i="4" s="1" a="1"/>
  <c r="E68" i="4" s="1"/>
  <c r="AV188" i="1" l="1" a="1"/>
  <c r="AV188" i="1" s="1"/>
  <c r="AW188" i="1" a="1"/>
  <c r="AW188" i="1" s="1"/>
  <c r="AQ188" i="1" a="1"/>
  <c r="AQ188" i="1" s="1"/>
  <c r="AL188" i="1" a="1"/>
  <c r="AL188" i="1" s="1"/>
  <c r="AR188" i="1" a="1"/>
  <c r="AR188" i="1" s="1"/>
  <c r="AM188" i="1" a="1"/>
  <c r="AM188" i="1" s="1"/>
  <c r="W154" i="1" a="1"/>
  <c r="W154" i="1" s="1"/>
  <c r="X154" i="1" a="1"/>
  <c r="X154" i="1" s="1"/>
  <c r="U151" i="4" a="1"/>
  <c r="U151" i="4" s="1"/>
  <c r="T153" i="1" s="1" a="1"/>
  <c r="T153" i="1" s="1"/>
  <c r="P153" i="4" a="1"/>
  <c r="P153" i="4" s="1"/>
  <c r="O155" i="1" s="1" a="1"/>
  <c r="O155" i="1" s="1"/>
  <c r="K154" i="4" a="1"/>
  <c r="K154" i="4" s="1"/>
  <c r="J156" i="1" s="1" a="1"/>
  <c r="J156" i="1" s="1"/>
  <c r="F68" i="4" a="1"/>
  <c r="F68" i="4" s="1"/>
  <c r="E70" i="1" s="1" a="1"/>
  <c r="E70" i="1" s="1"/>
  <c r="AW186" i="4"/>
  <c r="AX186" i="4" s="1" a="1"/>
  <c r="AX186" i="4" s="1"/>
  <c r="AR186" i="4"/>
  <c r="AS186" i="4" s="1" a="1"/>
  <c r="AS186" i="4" s="1"/>
  <c r="AM186" i="4"/>
  <c r="AN186" i="4" s="1" a="1"/>
  <c r="AN186" i="4" s="1"/>
  <c r="AC184" i="4"/>
  <c r="AD184" i="4" s="1" a="1"/>
  <c r="AD184" i="4" s="1"/>
  <c r="AY186" i="4" l="1" a="1"/>
  <c r="AY186" i="4" s="1"/>
  <c r="AX188" i="1" s="1" a="1"/>
  <c r="AX188" i="1" s="1"/>
  <c r="AT186" i="4" a="1"/>
  <c r="AT186" i="4" s="1"/>
  <c r="AS188" i="1" s="1" a="1"/>
  <c r="AS188" i="1" s="1"/>
  <c r="AO186" i="4" a="1"/>
  <c r="AO186" i="4" s="1"/>
  <c r="AN188" i="1" s="1" a="1"/>
  <c r="AN188" i="1" s="1"/>
  <c r="AE184" i="4" a="1"/>
  <c r="AE184" i="4" s="1"/>
  <c r="AD186" i="1" s="1" a="1"/>
  <c r="AD186" i="1" s="1"/>
  <c r="N156" i="1" a="1"/>
  <c r="N156" i="1" s="1"/>
  <c r="M156" i="1" a="1"/>
  <c r="M156" i="1" s="1"/>
  <c r="S154" i="1" a="1"/>
  <c r="S154" i="1" s="1"/>
  <c r="H157" i="1" a="1"/>
  <c r="H157" i="1" s="1"/>
  <c r="R154" i="1" a="1"/>
  <c r="R154" i="1" s="1"/>
  <c r="I157" i="1" a="1"/>
  <c r="I157" i="1" s="1"/>
  <c r="C71" i="1" a="1"/>
  <c r="C71" i="1" s="1"/>
  <c r="D71" i="1" a="1"/>
  <c r="D71" i="1" s="1"/>
  <c r="C69" i="4"/>
  <c r="D69" i="4" s="1"/>
  <c r="E69" i="4" s="1" a="1"/>
  <c r="E69" i="4" s="1"/>
  <c r="AV189" i="1" l="1" a="1"/>
  <c r="AV189" i="1" s="1"/>
  <c r="AQ189" i="1" a="1"/>
  <c r="AQ189" i="1" s="1"/>
  <c r="AW189" i="1" a="1"/>
  <c r="AW189" i="1" s="1"/>
  <c r="AR189" i="1" a="1"/>
  <c r="AR189" i="1" s="1"/>
  <c r="AL189" i="1" a="1"/>
  <c r="AL189" i="1" s="1"/>
  <c r="AM189" i="1" a="1"/>
  <c r="AM189" i="1" s="1"/>
  <c r="AB187" i="1" a="1"/>
  <c r="AB187" i="1" s="1"/>
  <c r="AC187" i="1" a="1"/>
  <c r="AC187" i="1" s="1"/>
  <c r="F69" i="4" a="1"/>
  <c r="F69" i="4" s="1"/>
  <c r="E71" i="1" s="1" a="1"/>
  <c r="E71" i="1" s="1"/>
  <c r="AV187" i="4"/>
  <c r="AW187" i="4" s="1"/>
  <c r="AX187" i="4" s="1" a="1"/>
  <c r="AX187" i="4" s="1"/>
  <c r="AL187" i="4"/>
  <c r="AM187" i="4" s="1"/>
  <c r="AN187" i="4" s="1" a="1"/>
  <c r="AN187" i="4" s="1"/>
  <c r="AB185" i="4"/>
  <c r="AC185" i="4" s="1"/>
  <c r="AD185" i="4" s="1" a="1"/>
  <c r="AD185" i="4" s="1"/>
  <c r="AQ187" i="4"/>
  <c r="AR187" i="4" s="1"/>
  <c r="AS187" i="4" s="1" a="1"/>
  <c r="AS187" i="4" s="1"/>
  <c r="W152" i="4"/>
  <c r="M154" i="4"/>
  <c r="N154" i="4" s="1"/>
  <c r="O154" i="4" s="1" a="1"/>
  <c r="O154" i="4" s="1"/>
  <c r="R152" i="4"/>
  <c r="S152" i="4" s="1"/>
  <c r="T152" i="4" s="1" a="1"/>
  <c r="T152" i="4" s="1"/>
  <c r="H155" i="4"/>
  <c r="I155" i="4" s="1"/>
  <c r="J155" i="4" s="1" a="1"/>
  <c r="J155" i="4" s="1"/>
  <c r="AY187" i="4" l="1" a="1"/>
  <c r="AY187" i="4" s="1"/>
  <c r="AX189" i="1" s="1" a="1"/>
  <c r="AX189" i="1" s="1"/>
  <c r="AT187" i="4" a="1"/>
  <c r="AT187" i="4" s="1"/>
  <c r="AS189" i="1" s="1" a="1"/>
  <c r="AS189" i="1" s="1"/>
  <c r="AO187" i="4" a="1"/>
  <c r="AO187" i="4" s="1"/>
  <c r="AN189" i="1" s="1" a="1"/>
  <c r="AN189" i="1" s="1"/>
  <c r="AE185" i="4" a="1"/>
  <c r="AE185" i="4" s="1"/>
  <c r="AD187" i="1" s="1" a="1"/>
  <c r="AD187" i="1" s="1"/>
  <c r="U152" i="4" a="1"/>
  <c r="U152" i="4" s="1"/>
  <c r="T154" i="1" s="1" a="1"/>
  <c r="T154" i="1" s="1"/>
  <c r="P154" i="4" a="1"/>
  <c r="P154" i="4" s="1"/>
  <c r="O156" i="1" s="1" a="1"/>
  <c r="O156" i="1" s="1"/>
  <c r="K155" i="4" a="1"/>
  <c r="K155" i="4" s="1"/>
  <c r="J157" i="1" s="1" a="1"/>
  <c r="J157" i="1" s="1"/>
  <c r="C72" i="1" a="1"/>
  <c r="C72" i="1" s="1"/>
  <c r="D72" i="1" a="1"/>
  <c r="D72" i="1" s="1"/>
  <c r="AV188" i="4"/>
  <c r="AQ188" i="4"/>
  <c r="AL188" i="4"/>
  <c r="AB186" i="4"/>
  <c r="X152" i="4"/>
  <c r="Y152" i="4" s="1" a="1"/>
  <c r="Y152" i="4" s="1"/>
  <c r="C70" i="4"/>
  <c r="D70" i="4" s="1"/>
  <c r="E70" i="4" s="1" a="1"/>
  <c r="E70" i="4" s="1"/>
  <c r="AL190" i="1" l="1" a="1"/>
  <c r="AL190" i="1" s="1"/>
  <c r="AM190" i="1" a="1"/>
  <c r="AM190" i="1" s="1"/>
  <c r="AV190" i="1" a="1"/>
  <c r="AV190" i="1" s="1"/>
  <c r="AW190" i="1" a="1"/>
  <c r="AW190" i="1" s="1"/>
  <c r="M157" i="1" a="1"/>
  <c r="M157" i="1" s="1"/>
  <c r="AQ190" i="1" a="1"/>
  <c r="AQ190" i="1" s="1"/>
  <c r="AB188" i="1" a="1"/>
  <c r="AB188" i="1" s="1"/>
  <c r="AR190" i="1" a="1"/>
  <c r="AR190" i="1" s="1"/>
  <c r="AC188" i="1" a="1"/>
  <c r="AC188" i="1" s="1"/>
  <c r="I158" i="1" a="1"/>
  <c r="I158" i="1" s="1"/>
  <c r="H158" i="1" a="1"/>
  <c r="H158" i="1" s="1"/>
  <c r="Z152" i="4" a="1"/>
  <c r="Z152" i="4" s="1"/>
  <c r="Y154" i="1" s="1" a="1"/>
  <c r="Y154" i="1" s="1"/>
  <c r="R155" i="1" a="1"/>
  <c r="R155" i="1" s="1"/>
  <c r="N157" i="1" a="1"/>
  <c r="N157" i="1" s="1"/>
  <c r="S155" i="1" a="1"/>
  <c r="S155" i="1" s="1"/>
  <c r="F70" i="4" a="1"/>
  <c r="F70" i="4" s="1"/>
  <c r="E72" i="1" s="1" a="1"/>
  <c r="E72" i="1" s="1"/>
  <c r="AW188" i="4"/>
  <c r="AX188" i="4" s="1" a="1"/>
  <c r="AX188" i="4" s="1"/>
  <c r="AR188" i="4"/>
  <c r="AS188" i="4" s="1" a="1"/>
  <c r="AS188" i="4" s="1"/>
  <c r="AM188" i="4"/>
  <c r="AN188" i="4" s="1" a="1"/>
  <c r="AN188" i="4" s="1"/>
  <c r="AC186" i="4"/>
  <c r="AD186" i="4" s="1" a="1"/>
  <c r="AD186" i="4" s="1"/>
  <c r="AY188" i="4" l="1" a="1"/>
  <c r="AY188" i="4" s="1"/>
  <c r="AX190" i="1" s="1" a="1"/>
  <c r="AX190" i="1" s="1"/>
  <c r="AT188" i="4" a="1"/>
  <c r="AT188" i="4" s="1"/>
  <c r="AS190" i="1" s="1" a="1"/>
  <c r="AS190" i="1" s="1"/>
  <c r="AO188" i="4" a="1"/>
  <c r="AO188" i="4" s="1"/>
  <c r="AN190" i="1" s="1" a="1"/>
  <c r="AN190" i="1" s="1"/>
  <c r="AE186" i="4" a="1"/>
  <c r="AE186" i="4" s="1"/>
  <c r="AD188" i="1" s="1" a="1"/>
  <c r="AD188" i="1" s="1"/>
  <c r="W155" i="1" a="1"/>
  <c r="W155" i="1" s="1"/>
  <c r="X155" i="1" a="1"/>
  <c r="X155" i="1" s="1"/>
  <c r="C73" i="1" a="1"/>
  <c r="C73" i="1" s="1"/>
  <c r="D73" i="1" a="1"/>
  <c r="D73" i="1" s="1"/>
  <c r="W153" i="4"/>
  <c r="X153" i="4" s="1"/>
  <c r="Y153" i="4" s="1" a="1"/>
  <c r="Y153" i="4" s="1"/>
  <c r="M155" i="4"/>
  <c r="N155" i="4" s="1"/>
  <c r="O155" i="4" s="1" a="1"/>
  <c r="O155" i="4" s="1"/>
  <c r="R153" i="4"/>
  <c r="S153" i="4" s="1"/>
  <c r="T153" i="4" s="1" a="1"/>
  <c r="T153" i="4" s="1"/>
  <c r="H156" i="4"/>
  <c r="I156" i="4" s="1"/>
  <c r="J156" i="4" s="1" a="1"/>
  <c r="J156" i="4" s="1"/>
  <c r="C71" i="4"/>
  <c r="D71" i="4" s="1"/>
  <c r="E71" i="4" s="1" a="1"/>
  <c r="E71" i="4" s="1"/>
  <c r="AQ191" i="1" l="1" a="1"/>
  <c r="AQ191" i="1" s="1"/>
  <c r="AR191" i="1" a="1"/>
  <c r="AR191" i="1" s="1"/>
  <c r="AV191" i="1" a="1"/>
  <c r="AV191" i="1" s="1"/>
  <c r="AW191" i="1" a="1"/>
  <c r="AW191" i="1" s="1"/>
  <c r="AM191" i="1" a="1"/>
  <c r="AM191" i="1" s="1"/>
  <c r="AL191" i="1" a="1"/>
  <c r="AL191" i="1" s="1"/>
  <c r="AB189" i="1" a="1"/>
  <c r="AB189" i="1" s="1"/>
  <c r="AC189" i="1" a="1"/>
  <c r="AC189" i="1" s="1"/>
  <c r="Z153" i="4" a="1"/>
  <c r="Z153" i="4" s="1"/>
  <c r="Y155" i="1" s="1" a="1"/>
  <c r="Y155" i="1" s="1"/>
  <c r="U153" i="4" a="1"/>
  <c r="U153" i="4" s="1"/>
  <c r="T155" i="1" s="1" a="1"/>
  <c r="T155" i="1" s="1"/>
  <c r="P155" i="4" a="1"/>
  <c r="P155" i="4" s="1"/>
  <c r="O157" i="1" s="1" a="1"/>
  <c r="O157" i="1" s="1"/>
  <c r="K156" i="4" a="1"/>
  <c r="K156" i="4" s="1"/>
  <c r="J158" i="1" s="1" a="1"/>
  <c r="J158" i="1" s="1"/>
  <c r="F71" i="4" a="1"/>
  <c r="F71" i="4" s="1"/>
  <c r="E73" i="1" s="1" a="1"/>
  <c r="E73" i="1" s="1"/>
  <c r="AB187" i="4"/>
  <c r="AC187" i="4" s="1"/>
  <c r="AD187" i="4" s="1" a="1"/>
  <c r="AD187" i="4" s="1"/>
  <c r="AV189" i="4"/>
  <c r="AQ189" i="4"/>
  <c r="AL189" i="4"/>
  <c r="AE187" i="4" l="1" a="1"/>
  <c r="AE187" i="4" s="1"/>
  <c r="AD189" i="1" s="1" a="1"/>
  <c r="AD189" i="1" s="1"/>
  <c r="W156" i="1" a="1"/>
  <c r="W156" i="1" s="1"/>
  <c r="X156" i="1" a="1"/>
  <c r="X156" i="1" s="1"/>
  <c r="N158" i="1" a="1"/>
  <c r="N158" i="1" s="1"/>
  <c r="M158" i="1" a="1"/>
  <c r="M158" i="1" s="1"/>
  <c r="S156" i="1" a="1"/>
  <c r="S156" i="1" s="1"/>
  <c r="R156" i="1" a="1"/>
  <c r="R156" i="1" s="1"/>
  <c r="H159" i="1" a="1"/>
  <c r="H159" i="1" s="1"/>
  <c r="D74" i="1" a="1"/>
  <c r="D74" i="1" s="1"/>
  <c r="I159" i="1" a="1"/>
  <c r="I159" i="1" s="1"/>
  <c r="C74" i="1" a="1"/>
  <c r="C74" i="1" s="1"/>
  <c r="AW189" i="4"/>
  <c r="AX189" i="4" s="1" a="1"/>
  <c r="AX189" i="4" s="1"/>
  <c r="AR189" i="4"/>
  <c r="AS189" i="4" s="1" a="1"/>
  <c r="AS189" i="4" s="1"/>
  <c r="AM189" i="4"/>
  <c r="AN189" i="4" s="1" a="1"/>
  <c r="AN189" i="4" s="1"/>
  <c r="AB188" i="4"/>
  <c r="W154" i="4"/>
  <c r="X154" i="4" s="1"/>
  <c r="Y154" i="4" s="1" a="1"/>
  <c r="Y154" i="4" s="1"/>
  <c r="C72" i="4"/>
  <c r="D72" i="4" s="1"/>
  <c r="E72" i="4" s="1" a="1"/>
  <c r="E72" i="4" s="1"/>
  <c r="AB190" i="1" l="1" a="1"/>
  <c r="AB190" i="1" s="1"/>
  <c r="AY189" i="4" a="1"/>
  <c r="AY189" i="4" s="1"/>
  <c r="AX191" i="1" s="1" a="1"/>
  <c r="AX191" i="1" s="1"/>
  <c r="AC190" i="1" a="1"/>
  <c r="AC190" i="1" s="1"/>
  <c r="AT189" i="4" a="1"/>
  <c r="AT189" i="4" s="1"/>
  <c r="AS191" i="1" s="1" a="1"/>
  <c r="AS191" i="1" s="1"/>
  <c r="AO189" i="4" a="1"/>
  <c r="AO189" i="4" s="1"/>
  <c r="AN191" i="1" s="1" a="1"/>
  <c r="AN191" i="1" s="1"/>
  <c r="Z154" i="4" a="1"/>
  <c r="Z154" i="4" s="1"/>
  <c r="Y156" i="1" s="1" a="1"/>
  <c r="Y156" i="1" s="1"/>
  <c r="F72" i="4" a="1"/>
  <c r="F72" i="4" s="1"/>
  <c r="E74" i="1" s="1" a="1"/>
  <c r="E74" i="1" s="1"/>
  <c r="AC188" i="4"/>
  <c r="AD188" i="4" s="1" a="1"/>
  <c r="AD188" i="4" s="1"/>
  <c r="M156" i="4"/>
  <c r="N156" i="4" s="1"/>
  <c r="O156" i="4" s="1" a="1"/>
  <c r="O156" i="4" s="1"/>
  <c r="R154" i="4"/>
  <c r="S154" i="4" s="1"/>
  <c r="T154" i="4" s="1" a="1"/>
  <c r="T154" i="4" s="1"/>
  <c r="H157" i="4"/>
  <c r="I157" i="4" s="1"/>
  <c r="J157" i="4" s="1" a="1"/>
  <c r="J157" i="4" s="1"/>
  <c r="AV192" i="1" l="1" a="1"/>
  <c r="AV192" i="1" s="1"/>
  <c r="AW192" i="1" a="1"/>
  <c r="AW192" i="1" s="1"/>
  <c r="AQ192" i="1" a="1"/>
  <c r="AQ192" i="1" s="1"/>
  <c r="AR192" i="1" a="1"/>
  <c r="AR192" i="1" s="1"/>
  <c r="AL192" i="1" a="1"/>
  <c r="AL192" i="1" s="1"/>
  <c r="AM192" i="1" a="1"/>
  <c r="AM192" i="1" s="1"/>
  <c r="AE188" i="4" a="1"/>
  <c r="AE188" i="4" s="1"/>
  <c r="AD190" i="1" s="1" a="1"/>
  <c r="AD190" i="1" s="1"/>
  <c r="W157" i="1" a="1"/>
  <c r="W157" i="1" s="1"/>
  <c r="X157" i="1" a="1"/>
  <c r="X157" i="1" s="1"/>
  <c r="U154" i="4" a="1"/>
  <c r="U154" i="4" s="1"/>
  <c r="T156" i="1" s="1" a="1"/>
  <c r="T156" i="1" s="1"/>
  <c r="P156" i="4" a="1"/>
  <c r="P156" i="4" s="1"/>
  <c r="O158" i="1" s="1" a="1"/>
  <c r="O158" i="1" s="1"/>
  <c r="K157" i="4" a="1"/>
  <c r="K157" i="4" s="1"/>
  <c r="J159" i="1" s="1" a="1"/>
  <c r="J159" i="1" s="1"/>
  <c r="C75" i="1" a="1"/>
  <c r="C75" i="1" s="1"/>
  <c r="D75" i="1" a="1"/>
  <c r="D75" i="1" s="1"/>
  <c r="AV190" i="4"/>
  <c r="AW190" i="4" s="1"/>
  <c r="AX190" i="4" s="1" a="1"/>
  <c r="AX190" i="4" s="1"/>
  <c r="AL190" i="4"/>
  <c r="AM190" i="4" s="1"/>
  <c r="AN190" i="4" s="1" a="1"/>
  <c r="AN190" i="4" s="1"/>
  <c r="AQ190" i="4"/>
  <c r="AR190" i="4" s="1"/>
  <c r="AS190" i="4" s="1" a="1"/>
  <c r="AS190" i="4" s="1"/>
  <c r="C73" i="4"/>
  <c r="D73" i="4" s="1"/>
  <c r="E73" i="4" s="1" a="1"/>
  <c r="E73" i="4" s="1"/>
  <c r="AY190" i="4" l="1" a="1"/>
  <c r="AY190" i="4" s="1"/>
  <c r="AX192" i="1" s="1" a="1"/>
  <c r="AX192" i="1" s="1"/>
  <c r="AT190" i="4" a="1"/>
  <c r="AT190" i="4" s="1"/>
  <c r="AS192" i="1" s="1" a="1"/>
  <c r="AS192" i="1" s="1"/>
  <c r="AO190" i="4" a="1"/>
  <c r="AO190" i="4" s="1"/>
  <c r="AN192" i="1" s="1" a="1"/>
  <c r="AN192" i="1" s="1"/>
  <c r="AB191" i="1" a="1"/>
  <c r="AB191" i="1" s="1"/>
  <c r="AC191" i="1" a="1"/>
  <c r="AC191" i="1" s="1"/>
  <c r="I160" i="1" a="1"/>
  <c r="I160" i="1" s="1"/>
  <c r="R157" i="1" a="1"/>
  <c r="R157" i="1" s="1"/>
  <c r="H160" i="1" a="1"/>
  <c r="H160" i="1" s="1"/>
  <c r="M159" i="1" a="1"/>
  <c r="M159" i="1" s="1"/>
  <c r="S157" i="1" a="1"/>
  <c r="S157" i="1" s="1"/>
  <c r="N159" i="1" a="1"/>
  <c r="N159" i="1" s="1"/>
  <c r="F73" i="4" a="1"/>
  <c r="F73" i="4" s="1"/>
  <c r="E75" i="1" s="1" a="1"/>
  <c r="E75" i="1" s="1"/>
  <c r="AV191" i="4"/>
  <c r="AQ191" i="4"/>
  <c r="AL191" i="4"/>
  <c r="AB189" i="4"/>
  <c r="W155" i="4"/>
  <c r="X155" i="4" s="1"/>
  <c r="Y155" i="4" s="1" a="1"/>
  <c r="Y155" i="4" s="1"/>
  <c r="AV193" i="1" l="1" a="1"/>
  <c r="AV193" i="1" s="1"/>
  <c r="AQ193" i="1" a="1"/>
  <c r="AQ193" i="1" s="1"/>
  <c r="AW193" i="1" a="1"/>
  <c r="AW193" i="1" s="1"/>
  <c r="AR193" i="1" a="1"/>
  <c r="AR193" i="1" s="1"/>
  <c r="AL193" i="1" a="1"/>
  <c r="AL193" i="1" s="1"/>
  <c r="AM193" i="1" a="1"/>
  <c r="AM193" i="1" s="1"/>
  <c r="Z155" i="4" a="1"/>
  <c r="Z155" i="4" s="1"/>
  <c r="Y157" i="1" s="1" a="1"/>
  <c r="Y157" i="1" s="1"/>
  <c r="C76" i="1" a="1"/>
  <c r="C76" i="1" s="1"/>
  <c r="D76" i="1" a="1"/>
  <c r="D76" i="1" s="1"/>
  <c r="AW191" i="4"/>
  <c r="AX191" i="4" s="1" a="1"/>
  <c r="AX191" i="4" s="1"/>
  <c r="AR191" i="4"/>
  <c r="AS191" i="4" s="1" a="1"/>
  <c r="AS191" i="4" s="1"/>
  <c r="AM191" i="4"/>
  <c r="AN191" i="4" s="1" a="1"/>
  <c r="AN191" i="4" s="1"/>
  <c r="AC189" i="4"/>
  <c r="AD189" i="4" s="1" a="1"/>
  <c r="AD189" i="4" s="1"/>
  <c r="M157" i="4"/>
  <c r="N157" i="4" s="1"/>
  <c r="O157" i="4" s="1" a="1"/>
  <c r="O157" i="4" s="1"/>
  <c r="R155" i="4"/>
  <c r="S155" i="4" s="1"/>
  <c r="T155" i="4" s="1" a="1"/>
  <c r="T155" i="4" s="1"/>
  <c r="H158" i="4"/>
  <c r="I158" i="4" s="1"/>
  <c r="J158" i="4" s="1" a="1"/>
  <c r="J158" i="4" s="1"/>
  <c r="AY191" i="4" l="1" a="1"/>
  <c r="AY191" i="4" s="1"/>
  <c r="AX193" i="1" s="1" a="1"/>
  <c r="AX193" i="1" s="1"/>
  <c r="AT191" i="4" a="1"/>
  <c r="AT191" i="4" s="1"/>
  <c r="AS193" i="1" s="1" a="1"/>
  <c r="AS193" i="1" s="1"/>
  <c r="AO191" i="4" a="1"/>
  <c r="AO191" i="4" s="1"/>
  <c r="AN193" i="1" s="1" a="1"/>
  <c r="AN193" i="1" s="1"/>
  <c r="AE189" i="4" a="1"/>
  <c r="AE189" i="4" s="1"/>
  <c r="AD191" i="1" s="1" a="1"/>
  <c r="AD191" i="1" s="1"/>
  <c r="W158" i="1" a="1"/>
  <c r="W158" i="1" s="1"/>
  <c r="X158" i="1" a="1"/>
  <c r="X158" i="1" s="1"/>
  <c r="U155" i="4" a="1"/>
  <c r="U155" i="4" s="1"/>
  <c r="T157" i="1" s="1" a="1"/>
  <c r="T157" i="1" s="1"/>
  <c r="P157" i="4" a="1"/>
  <c r="P157" i="4" s="1"/>
  <c r="O159" i="1" s="1" a="1"/>
  <c r="O159" i="1" s="1"/>
  <c r="K158" i="4" a="1"/>
  <c r="K158" i="4" s="1"/>
  <c r="J160" i="1" s="1" a="1"/>
  <c r="J160" i="1" s="1"/>
  <c r="C74" i="4"/>
  <c r="D74" i="4" s="1"/>
  <c r="E74" i="4" s="1" a="1"/>
  <c r="E74" i="4" s="1"/>
  <c r="AV194" i="1" l="1" a="1"/>
  <c r="AV194" i="1" s="1"/>
  <c r="AW194" i="1" a="1"/>
  <c r="AW194" i="1" s="1"/>
  <c r="AR194" i="1" a="1"/>
  <c r="AR194" i="1" s="1"/>
  <c r="AQ194" i="1" a="1"/>
  <c r="AQ194" i="1" s="1"/>
  <c r="AM194" i="1" a="1"/>
  <c r="AM194" i="1" s="1"/>
  <c r="AL194" i="1" a="1"/>
  <c r="AL194" i="1" s="1"/>
  <c r="AB192" i="1" a="1"/>
  <c r="AB192" i="1" s="1"/>
  <c r="AC192" i="1" a="1"/>
  <c r="AC192" i="1" s="1"/>
  <c r="R158" i="1" a="1"/>
  <c r="R158" i="1" s="1"/>
  <c r="S158" i="1" a="1"/>
  <c r="S158" i="1" s="1"/>
  <c r="M160" i="1" a="1"/>
  <c r="M160" i="1" s="1"/>
  <c r="N160" i="1" a="1"/>
  <c r="N160" i="1" s="1"/>
  <c r="H161" i="1" a="1"/>
  <c r="H161" i="1" s="1"/>
  <c r="I161" i="1" a="1"/>
  <c r="I161" i="1" s="1"/>
  <c r="F74" i="4" a="1"/>
  <c r="F74" i="4" s="1"/>
  <c r="E76" i="1" s="1" a="1"/>
  <c r="E76" i="1" s="1"/>
  <c r="AV192" i="4"/>
  <c r="AW192" i="4" s="1"/>
  <c r="AX192" i="4" s="1" a="1"/>
  <c r="AX192" i="4" s="1"/>
  <c r="AB190" i="4"/>
  <c r="AC190" i="4" s="1"/>
  <c r="AD190" i="4" s="1" a="1"/>
  <c r="AD190" i="4" s="1"/>
  <c r="AQ192" i="4"/>
  <c r="AR192" i="4" s="1"/>
  <c r="AS192" i="4" s="1" a="1"/>
  <c r="AS192" i="4" s="1"/>
  <c r="AL192" i="4"/>
  <c r="AM192" i="4" s="1"/>
  <c r="AN192" i="4" s="1" a="1"/>
  <c r="AN192" i="4" s="1"/>
  <c r="W156" i="4"/>
  <c r="X156" i="4" s="1"/>
  <c r="Y156" i="4" s="1" a="1"/>
  <c r="Y156" i="4" s="1"/>
  <c r="AY192" i="4" l="1" a="1"/>
  <c r="AY192" i="4" s="1"/>
  <c r="AX194" i="1" s="1" a="1"/>
  <c r="AX194" i="1" s="1"/>
  <c r="AT192" i="4" a="1"/>
  <c r="AT192" i="4" s="1"/>
  <c r="AS194" i="1" s="1" a="1"/>
  <c r="AS194" i="1" s="1"/>
  <c r="AO192" i="4" a="1"/>
  <c r="AO192" i="4" s="1"/>
  <c r="AN194" i="1" s="1" a="1"/>
  <c r="AN194" i="1" s="1"/>
  <c r="AE190" i="4" a="1"/>
  <c r="AE190" i="4" s="1"/>
  <c r="AD192" i="1" s="1" a="1"/>
  <c r="AD192" i="1" s="1"/>
  <c r="Z156" i="4" a="1"/>
  <c r="Z156" i="4" s="1"/>
  <c r="Y158" i="1" s="1" a="1"/>
  <c r="Y158" i="1" s="1"/>
  <c r="C77" i="1" a="1"/>
  <c r="C77" i="1" s="1"/>
  <c r="D77" i="1" a="1"/>
  <c r="D77" i="1" s="1"/>
  <c r="AV193" i="4"/>
  <c r="AQ193" i="4"/>
  <c r="AL193" i="4"/>
  <c r="AB191" i="4"/>
  <c r="C75" i="4"/>
  <c r="D75" i="4" s="1"/>
  <c r="E75" i="4" s="1" a="1"/>
  <c r="E75" i="4" s="1"/>
  <c r="M158" i="4"/>
  <c r="N158" i="4" s="1"/>
  <c r="O158" i="4" s="1" a="1"/>
  <c r="O158" i="4" s="1"/>
  <c r="R156" i="4"/>
  <c r="S156" i="4" s="1"/>
  <c r="T156" i="4" s="1" a="1"/>
  <c r="T156" i="4" s="1"/>
  <c r="H159" i="4"/>
  <c r="I159" i="4" s="1"/>
  <c r="J159" i="4" s="1" a="1"/>
  <c r="J159" i="4" s="1"/>
  <c r="AQ195" i="1" l="1" a="1"/>
  <c r="AQ195" i="1" s="1"/>
  <c r="AR195" i="1" a="1"/>
  <c r="AR195" i="1" s="1"/>
  <c r="AV195" i="1" a="1"/>
  <c r="AV195" i="1" s="1"/>
  <c r="AW195" i="1" a="1"/>
  <c r="AW195" i="1" s="1"/>
  <c r="AL195" i="1" a="1"/>
  <c r="AL195" i="1" s="1"/>
  <c r="AM195" i="1" a="1"/>
  <c r="AM195" i="1" s="1"/>
  <c r="W159" i="1" a="1"/>
  <c r="W159" i="1" s="1"/>
  <c r="AB193" i="1" a="1"/>
  <c r="AB193" i="1" s="1"/>
  <c r="AC193" i="1" a="1"/>
  <c r="AC193" i="1" s="1"/>
  <c r="X159" i="1" a="1"/>
  <c r="X159" i="1" s="1"/>
  <c r="U156" i="4" a="1"/>
  <c r="U156" i="4" s="1"/>
  <c r="T158" i="1" s="1" a="1"/>
  <c r="T158" i="1" s="1"/>
  <c r="P158" i="4" a="1"/>
  <c r="P158" i="4" s="1"/>
  <c r="O160" i="1" s="1" a="1"/>
  <c r="O160" i="1" s="1"/>
  <c r="K159" i="4" a="1"/>
  <c r="K159" i="4" s="1"/>
  <c r="J161" i="1" s="1" a="1"/>
  <c r="J161" i="1" s="1"/>
  <c r="F75" i="4" a="1"/>
  <c r="F75" i="4" s="1"/>
  <c r="E77" i="1" s="1" a="1"/>
  <c r="E77" i="1" s="1"/>
  <c r="AW193" i="4"/>
  <c r="AX193" i="4" s="1" a="1"/>
  <c r="AX193" i="4" s="1"/>
  <c r="AR193" i="4"/>
  <c r="AS193" i="4" s="1" a="1"/>
  <c r="AS193" i="4" s="1"/>
  <c r="AM193" i="4"/>
  <c r="AN193" i="4" s="1" a="1"/>
  <c r="AN193" i="4" s="1"/>
  <c r="AC191" i="4"/>
  <c r="AD191" i="4" s="1" a="1"/>
  <c r="AD191" i="4" s="1"/>
  <c r="AY193" i="4" l="1" a="1"/>
  <c r="AY193" i="4" s="1"/>
  <c r="AX195" i="1" s="1" a="1"/>
  <c r="AX195" i="1" s="1"/>
  <c r="AT193" i="4" a="1"/>
  <c r="AT193" i="4" s="1"/>
  <c r="AS195" i="1" s="1" a="1"/>
  <c r="AS195" i="1" s="1"/>
  <c r="AO193" i="4" a="1"/>
  <c r="AO193" i="4" s="1"/>
  <c r="AN195" i="1" s="1" a="1"/>
  <c r="AN195" i="1" s="1"/>
  <c r="AE191" i="4" a="1"/>
  <c r="AE191" i="4" s="1"/>
  <c r="AD193" i="1" s="1" a="1"/>
  <c r="AD193" i="1" s="1"/>
  <c r="I162" i="1" a="1"/>
  <c r="I162" i="1" s="1"/>
  <c r="M161" i="1" a="1"/>
  <c r="M161" i="1" s="1"/>
  <c r="N161" i="1" a="1"/>
  <c r="N161" i="1" s="1"/>
  <c r="R159" i="1" a="1"/>
  <c r="R159" i="1" s="1"/>
  <c r="S159" i="1" a="1"/>
  <c r="S159" i="1" s="1"/>
  <c r="H162" i="1" a="1"/>
  <c r="H162" i="1" s="1"/>
  <c r="D78" i="1" a="1"/>
  <c r="D78" i="1" s="1"/>
  <c r="C78" i="1" a="1"/>
  <c r="C78" i="1" s="1"/>
  <c r="W157" i="4"/>
  <c r="X157" i="4" s="1"/>
  <c r="Y157" i="4" s="1" a="1"/>
  <c r="Y157" i="4" s="1"/>
  <c r="C76" i="4"/>
  <c r="D76" i="4" s="1"/>
  <c r="E76" i="4" s="1" a="1"/>
  <c r="E76" i="4" s="1"/>
  <c r="AV196" i="1" l="1" a="1"/>
  <c r="AV196" i="1" s="1"/>
  <c r="AW196" i="1" a="1"/>
  <c r="AW196" i="1" s="1"/>
  <c r="AQ196" i="1" a="1"/>
  <c r="AQ196" i="1" s="1"/>
  <c r="AR196" i="1" a="1"/>
  <c r="AR196" i="1" s="1"/>
  <c r="AL196" i="1" a="1"/>
  <c r="AL196" i="1" s="1"/>
  <c r="AM196" i="1" a="1"/>
  <c r="AM196" i="1" s="1"/>
  <c r="AB194" i="1" a="1"/>
  <c r="AB194" i="1" s="1"/>
  <c r="AC194" i="1" a="1"/>
  <c r="AC194" i="1" s="1"/>
  <c r="Z157" i="4" a="1"/>
  <c r="Z157" i="4" s="1"/>
  <c r="Y159" i="1" s="1" a="1"/>
  <c r="Y159" i="1" s="1"/>
  <c r="F76" i="4" a="1"/>
  <c r="F76" i="4" s="1"/>
  <c r="E78" i="1" s="1" a="1"/>
  <c r="E78" i="1" s="1"/>
  <c r="AB192" i="4"/>
  <c r="AC192" i="4" s="1"/>
  <c r="AD192" i="4" s="1" a="1"/>
  <c r="AD192" i="4" s="1"/>
  <c r="AV194" i="4"/>
  <c r="AQ194" i="4"/>
  <c r="AL194" i="4"/>
  <c r="M159" i="4"/>
  <c r="H160" i="4"/>
  <c r="I160" i="4" s="1"/>
  <c r="J160" i="4" s="1" a="1"/>
  <c r="J160" i="4" s="1"/>
  <c r="AE192" i="4" l="1" a="1"/>
  <c r="AE192" i="4" s="1"/>
  <c r="AD194" i="1" s="1" a="1"/>
  <c r="AD194" i="1" s="1"/>
  <c r="W160" i="1" a="1"/>
  <c r="W160" i="1" s="1"/>
  <c r="X160" i="1" a="1"/>
  <c r="X160" i="1" s="1"/>
  <c r="K160" i="4" a="1"/>
  <c r="K160" i="4" s="1"/>
  <c r="J162" i="1" s="1" a="1"/>
  <c r="J162" i="1" s="1"/>
  <c r="C79" i="1" a="1"/>
  <c r="C79" i="1" s="1"/>
  <c r="D79" i="1" a="1"/>
  <c r="D79" i="1" s="1"/>
  <c r="AW194" i="4"/>
  <c r="AX194" i="4" s="1" a="1"/>
  <c r="AX194" i="4" s="1"/>
  <c r="AR194" i="4"/>
  <c r="AS194" i="4" s="1" a="1"/>
  <c r="AS194" i="4" s="1"/>
  <c r="AM194" i="4"/>
  <c r="AN194" i="4" s="1" a="1"/>
  <c r="AN194" i="4" s="1"/>
  <c r="AB193" i="4"/>
  <c r="W158" i="4"/>
  <c r="X158" i="4" s="1"/>
  <c r="Y158" i="4" s="1" a="1"/>
  <c r="Y158" i="4" s="1"/>
  <c r="N159" i="4"/>
  <c r="O159" i="4" s="1" a="1"/>
  <c r="O159" i="4" s="1"/>
  <c r="C77" i="4"/>
  <c r="D77" i="4" s="1"/>
  <c r="E77" i="4" s="1" a="1"/>
  <c r="E77" i="4" s="1"/>
  <c r="R157" i="4"/>
  <c r="S157" i="4" s="1"/>
  <c r="T157" i="4" s="1" a="1"/>
  <c r="T157" i="4" s="1"/>
  <c r="AY194" i="4" l="1" a="1"/>
  <c r="AY194" i="4" s="1"/>
  <c r="AX196" i="1" s="1" a="1"/>
  <c r="AX196" i="1" s="1"/>
  <c r="AT194" i="4" a="1"/>
  <c r="AT194" i="4" s="1"/>
  <c r="AS196" i="1" s="1" a="1"/>
  <c r="AS196" i="1" s="1"/>
  <c r="AO194" i="4" a="1"/>
  <c r="AO194" i="4" s="1"/>
  <c r="AN196" i="1" s="1" a="1"/>
  <c r="AN196" i="1" s="1"/>
  <c r="AB195" i="1" a="1"/>
  <c r="AB195" i="1" s="1"/>
  <c r="AC195" i="1" a="1"/>
  <c r="AC195" i="1" s="1"/>
  <c r="Z158" i="4" a="1"/>
  <c r="Z158" i="4" s="1"/>
  <c r="Y160" i="1" s="1" a="1"/>
  <c r="Y160" i="1" s="1"/>
  <c r="U157" i="4" a="1"/>
  <c r="U157" i="4" s="1"/>
  <c r="T159" i="1" s="1" a="1"/>
  <c r="T159" i="1" s="1"/>
  <c r="H163" i="1" a="1"/>
  <c r="H163" i="1" s="1"/>
  <c r="P159" i="4" a="1"/>
  <c r="P159" i="4" s="1"/>
  <c r="O161" i="1" s="1" a="1"/>
  <c r="O161" i="1" s="1"/>
  <c r="I163" i="1" a="1"/>
  <c r="I163" i="1" s="1"/>
  <c r="F77" i="4" a="1"/>
  <c r="F77" i="4" s="1"/>
  <c r="E79" i="1" s="1" a="1"/>
  <c r="E79" i="1" s="1"/>
  <c r="AC193" i="4"/>
  <c r="AD193" i="4" s="1" a="1"/>
  <c r="AD193" i="4" s="1"/>
  <c r="AV197" i="1" l="1" a="1"/>
  <c r="AV197" i="1" s="1"/>
  <c r="AW197" i="1" a="1"/>
  <c r="AW197" i="1" s="1"/>
  <c r="AQ197" i="1" a="1"/>
  <c r="AQ197" i="1" s="1"/>
  <c r="AR197" i="1" a="1"/>
  <c r="AR197" i="1" s="1"/>
  <c r="AM197" i="1" a="1"/>
  <c r="AM197" i="1" s="1"/>
  <c r="AL197" i="1" a="1"/>
  <c r="AL197" i="1" s="1"/>
  <c r="N162" i="1" a="1"/>
  <c r="N162" i="1" s="1"/>
  <c r="M162" i="1" a="1"/>
  <c r="M162" i="1" s="1"/>
  <c r="AE193" i="4" a="1"/>
  <c r="AE193" i="4" s="1"/>
  <c r="AD195" i="1" s="1" a="1"/>
  <c r="AD195" i="1" s="1"/>
  <c r="S160" i="1" a="1"/>
  <c r="S160" i="1" s="1"/>
  <c r="W161" i="1" a="1"/>
  <c r="W161" i="1" s="1"/>
  <c r="X161" i="1" a="1"/>
  <c r="X161" i="1" s="1"/>
  <c r="R160" i="1" a="1"/>
  <c r="R160" i="1" s="1"/>
  <c r="C80" i="1" a="1"/>
  <c r="C80" i="1" s="1"/>
  <c r="D80" i="1" a="1"/>
  <c r="D80" i="1" s="1"/>
  <c r="M160" i="4"/>
  <c r="N160" i="4" s="1"/>
  <c r="O160" i="4" s="1" a="1"/>
  <c r="O160" i="4" s="1"/>
  <c r="AV195" i="4"/>
  <c r="AQ195" i="4"/>
  <c r="AL195" i="4"/>
  <c r="C78" i="4"/>
  <c r="D78" i="4" s="1"/>
  <c r="E78" i="4" s="1" a="1"/>
  <c r="E78" i="4" s="1"/>
  <c r="H161" i="4"/>
  <c r="I161" i="4" s="1"/>
  <c r="J161" i="4" s="1" a="1"/>
  <c r="J161" i="4" s="1"/>
  <c r="W159" i="4"/>
  <c r="X159" i="4" s="1"/>
  <c r="Y159" i="4" s="1" a="1"/>
  <c r="Y159" i="4" s="1"/>
  <c r="AB196" i="1" l="1" a="1"/>
  <c r="AB196" i="1" s="1"/>
  <c r="AC196" i="1" a="1"/>
  <c r="AC196" i="1" s="1"/>
  <c r="Z159" i="4" a="1"/>
  <c r="Z159" i="4" s="1"/>
  <c r="Y161" i="1" s="1" a="1"/>
  <c r="Y161" i="1" s="1"/>
  <c r="P160" i="4" a="1"/>
  <c r="P160" i="4" s="1"/>
  <c r="O162" i="1" s="1" a="1"/>
  <c r="O162" i="1" s="1"/>
  <c r="K161" i="4" a="1"/>
  <c r="K161" i="4" s="1"/>
  <c r="J163" i="1" s="1" a="1"/>
  <c r="J163" i="1" s="1"/>
  <c r="F78" i="4" a="1"/>
  <c r="F78" i="4" s="1"/>
  <c r="E80" i="1" s="1" a="1"/>
  <c r="E80" i="1" s="1"/>
  <c r="AW195" i="4"/>
  <c r="AX195" i="4" s="1" a="1"/>
  <c r="AX195" i="4" s="1"/>
  <c r="AR195" i="4"/>
  <c r="AS195" i="4" s="1" a="1"/>
  <c r="AS195" i="4" s="1"/>
  <c r="AM195" i="4"/>
  <c r="AN195" i="4" s="1" a="1"/>
  <c r="AN195" i="4" s="1"/>
  <c r="AB194" i="4"/>
  <c r="R158" i="4"/>
  <c r="S158" i="4" s="1"/>
  <c r="T158" i="4" s="1" a="1"/>
  <c r="T158" i="4" s="1"/>
  <c r="AY195" i="4" l="1" a="1"/>
  <c r="AY195" i="4" s="1"/>
  <c r="AX197" i="1" s="1" a="1"/>
  <c r="AX197" i="1" s="1"/>
  <c r="AT195" i="4" a="1"/>
  <c r="AT195" i="4" s="1"/>
  <c r="AS197" i="1" s="1" a="1"/>
  <c r="AS197" i="1" s="1"/>
  <c r="AO195" i="4" a="1"/>
  <c r="AO195" i="4" s="1"/>
  <c r="AN197" i="1" s="1" a="1"/>
  <c r="AN197" i="1" s="1"/>
  <c r="M163" i="1" a="1"/>
  <c r="M163" i="1" s="1"/>
  <c r="X162" i="1" a="1"/>
  <c r="X162" i="1" s="1"/>
  <c r="W162" i="1" a="1"/>
  <c r="W162" i="1" s="1"/>
  <c r="U158" i="4" a="1"/>
  <c r="U158" i="4" s="1"/>
  <c r="T160" i="1" s="1" a="1"/>
  <c r="T160" i="1" s="1"/>
  <c r="N163" i="1" a="1"/>
  <c r="N163" i="1" s="1"/>
  <c r="I164" i="1" a="1"/>
  <c r="I164" i="1" s="1"/>
  <c r="H164" i="1" a="1"/>
  <c r="H164" i="1" s="1"/>
  <c r="C81" i="1" a="1"/>
  <c r="C81" i="1" s="1"/>
  <c r="D81" i="1" a="1"/>
  <c r="D81" i="1" s="1"/>
  <c r="M161" i="4"/>
  <c r="N161" i="4" s="1"/>
  <c r="O161" i="4" s="1" a="1"/>
  <c r="O161" i="4" s="1"/>
  <c r="AC194" i="4"/>
  <c r="AD194" i="4" s="1" a="1"/>
  <c r="AD194" i="4" s="1"/>
  <c r="AL198" i="1" l="1" a="1"/>
  <c r="AL198" i="1" s="1"/>
  <c r="AQ198" i="1" a="1"/>
  <c r="AQ198" i="1" s="1"/>
  <c r="AV198" i="1" a="1"/>
  <c r="AV198" i="1" s="1"/>
  <c r="AW198" i="1" a="1"/>
  <c r="AW198" i="1" s="1"/>
  <c r="AR198" i="1" a="1"/>
  <c r="AR198" i="1" s="1"/>
  <c r="AM198" i="1" a="1"/>
  <c r="AM198" i="1" s="1"/>
  <c r="AE194" i="4" a="1"/>
  <c r="AE194" i="4" s="1"/>
  <c r="AD196" i="1" s="1" a="1"/>
  <c r="AD196" i="1" s="1"/>
  <c r="R161" i="1" a="1"/>
  <c r="R161" i="1" s="1"/>
  <c r="S161" i="1" a="1"/>
  <c r="S161" i="1" s="1"/>
  <c r="P161" i="4" a="1"/>
  <c r="P161" i="4" s="1"/>
  <c r="O163" i="1" s="1" a="1"/>
  <c r="O163" i="1" s="1"/>
  <c r="AV196" i="4"/>
  <c r="AW196" i="4" s="1"/>
  <c r="AX196" i="4" s="1" a="1"/>
  <c r="AX196" i="4" s="1"/>
  <c r="AQ196" i="4"/>
  <c r="AL196" i="4"/>
  <c r="C79" i="4"/>
  <c r="D79" i="4" s="1"/>
  <c r="E79" i="4" s="1" a="1"/>
  <c r="E79" i="4" s="1"/>
  <c r="H162" i="4"/>
  <c r="I162" i="4" s="1"/>
  <c r="J162" i="4" s="1" a="1"/>
  <c r="J162" i="4" s="1"/>
  <c r="AY196" i="4" l="1" a="1"/>
  <c r="AY196" i="4" s="1"/>
  <c r="AX198" i="1" s="1" a="1"/>
  <c r="AX198" i="1" s="1"/>
  <c r="AB197" i="1" a="1"/>
  <c r="AB197" i="1" s="1"/>
  <c r="AC197" i="1" a="1"/>
  <c r="AC197" i="1" s="1"/>
  <c r="N164" i="1" a="1"/>
  <c r="N164" i="1" s="1"/>
  <c r="M164" i="1" a="1"/>
  <c r="M164" i="1" s="1"/>
  <c r="K162" i="4" a="1"/>
  <c r="K162" i="4" s="1"/>
  <c r="J164" i="1" s="1" a="1"/>
  <c r="J164" i="1" s="1"/>
  <c r="F79" i="4" a="1"/>
  <c r="F79" i="4" s="1"/>
  <c r="E81" i="1" s="1" a="1"/>
  <c r="E81" i="1" s="1"/>
  <c r="M162" i="4"/>
  <c r="N162" i="4" s="1"/>
  <c r="O162" i="4" s="1" a="1"/>
  <c r="O162" i="4" s="1"/>
  <c r="AV197" i="4"/>
  <c r="AR196" i="4"/>
  <c r="AS196" i="4" s="1" a="1"/>
  <c r="AS196" i="4" s="1"/>
  <c r="AM196" i="4"/>
  <c r="AN196" i="4" s="1" a="1"/>
  <c r="AN196" i="4" s="1"/>
  <c r="AB195" i="4"/>
  <c r="W160" i="4"/>
  <c r="X160" i="4" s="1"/>
  <c r="Y160" i="4" s="1" a="1"/>
  <c r="Y160" i="4" s="1"/>
  <c r="AV199" i="1" l="1" a="1"/>
  <c r="AV199" i="1" s="1"/>
  <c r="AW199" i="1" a="1"/>
  <c r="AW199" i="1" s="1"/>
  <c r="AT196" i="4" a="1"/>
  <c r="AT196" i="4" s="1"/>
  <c r="AS198" i="1" s="1" a="1"/>
  <c r="AS198" i="1" s="1"/>
  <c r="AO196" i="4" a="1"/>
  <c r="AO196" i="4" s="1"/>
  <c r="AN198" i="1" s="1" a="1"/>
  <c r="AN198" i="1" s="1"/>
  <c r="I165" i="1" a="1"/>
  <c r="I165" i="1" s="1"/>
  <c r="Z160" i="4" a="1"/>
  <c r="Z160" i="4" s="1"/>
  <c r="Y162" i="1" s="1" a="1"/>
  <c r="Y162" i="1" s="1"/>
  <c r="P162" i="4" a="1"/>
  <c r="P162" i="4" s="1"/>
  <c r="O164" i="1" s="1" a="1"/>
  <c r="O164" i="1" s="1"/>
  <c r="H165" i="1" a="1"/>
  <c r="H165" i="1" s="1"/>
  <c r="C82" i="1" a="1"/>
  <c r="C82" i="1" s="1"/>
  <c r="D82" i="1" a="1"/>
  <c r="D82" i="1" s="1"/>
  <c r="M163" i="4"/>
  <c r="N163" i="4" s="1"/>
  <c r="O163" i="4" s="1" a="1"/>
  <c r="O163" i="4" s="1"/>
  <c r="AW197" i="4"/>
  <c r="AX197" i="4" s="1" a="1"/>
  <c r="AX197" i="4" s="1"/>
  <c r="AC195" i="4"/>
  <c r="AD195" i="4" s="1" a="1"/>
  <c r="AD195" i="4" s="1"/>
  <c r="R159" i="4"/>
  <c r="S159" i="4" s="1"/>
  <c r="T159" i="4" s="1" a="1"/>
  <c r="T159" i="4" s="1"/>
  <c r="AQ199" i="1" l="1" a="1"/>
  <c r="AQ199" i="1" s="1"/>
  <c r="AR199" i="1" a="1"/>
  <c r="AR199" i="1" s="1"/>
  <c r="AL199" i="1" a="1"/>
  <c r="AL199" i="1" s="1"/>
  <c r="AM199" i="1" a="1"/>
  <c r="AM199" i="1" s="1"/>
  <c r="AY197" i="4" a="1"/>
  <c r="AY197" i="4" s="1"/>
  <c r="AX199" i="1" s="1" a="1"/>
  <c r="AX199" i="1" s="1"/>
  <c r="AE195" i="4" a="1"/>
  <c r="AE195" i="4" s="1"/>
  <c r="AD197" i="1" s="1" a="1"/>
  <c r="AD197" i="1" s="1"/>
  <c r="W163" i="1" a="1"/>
  <c r="W163" i="1" s="1"/>
  <c r="X163" i="1" a="1"/>
  <c r="X163" i="1" s="1"/>
  <c r="U159" i="4" a="1"/>
  <c r="U159" i="4" s="1"/>
  <c r="T161" i="1" s="1" a="1"/>
  <c r="T161" i="1" s="1"/>
  <c r="P163" i="4" a="1"/>
  <c r="P163" i="4" s="1"/>
  <c r="O165" i="1" s="1" a="1"/>
  <c r="O165" i="1" s="1"/>
  <c r="M165" i="1" a="1"/>
  <c r="M165" i="1" s="1"/>
  <c r="N165" i="1" a="1"/>
  <c r="N165" i="1" s="1"/>
  <c r="AQ197" i="4"/>
  <c r="AR197" i="4" s="1"/>
  <c r="AS197" i="4" s="1" a="1"/>
  <c r="AS197" i="4" s="1"/>
  <c r="AL197" i="4"/>
  <c r="AM197" i="4" s="1"/>
  <c r="AN197" i="4" s="1" a="1"/>
  <c r="AN197" i="4" s="1"/>
  <c r="C80" i="4"/>
  <c r="D80" i="4" s="1"/>
  <c r="E80" i="4" s="1" a="1"/>
  <c r="E80" i="4" s="1"/>
  <c r="H163" i="4"/>
  <c r="I163" i="4" s="1"/>
  <c r="J163" i="4" s="1" a="1"/>
  <c r="J163" i="4" s="1"/>
  <c r="AV200" i="1" l="1" a="1"/>
  <c r="AV200" i="1" s="1"/>
  <c r="AW200" i="1" a="1"/>
  <c r="AW200" i="1" s="1"/>
  <c r="AB198" i="1" a="1"/>
  <c r="AB198" i="1" s="1"/>
  <c r="AT197" i="4" a="1"/>
  <c r="AT197" i="4" s="1"/>
  <c r="AS199" i="1" s="1" a="1"/>
  <c r="AS199" i="1" s="1"/>
  <c r="AO197" i="4" a="1"/>
  <c r="AO197" i="4" s="1"/>
  <c r="AN199" i="1" s="1" a="1"/>
  <c r="AN199" i="1" s="1"/>
  <c r="N166" i="1" a="1"/>
  <c r="N166" i="1" s="1"/>
  <c r="AC198" i="1" a="1"/>
  <c r="AC198" i="1" s="1"/>
  <c r="S162" i="1" a="1"/>
  <c r="S162" i="1" s="1"/>
  <c r="R162" i="1" a="1"/>
  <c r="R162" i="1" s="1"/>
  <c r="M166" i="1" a="1"/>
  <c r="M166" i="1" s="1"/>
  <c r="K163" i="4" a="1"/>
  <c r="K163" i="4" s="1"/>
  <c r="J165" i="1" s="1" a="1"/>
  <c r="J165" i="1" s="1"/>
  <c r="F80" i="4" a="1"/>
  <c r="F80" i="4" s="1"/>
  <c r="E82" i="1" s="1" a="1"/>
  <c r="E82" i="1" s="1"/>
  <c r="AV198" i="4"/>
  <c r="AW198" i="4" s="1"/>
  <c r="AX198" i="4" s="1" a="1"/>
  <c r="AX198" i="4" s="1"/>
  <c r="AQ198" i="4"/>
  <c r="AR198" i="4" s="1"/>
  <c r="AS198" i="4" s="1" a="1"/>
  <c r="AS198" i="4" s="1"/>
  <c r="AL198" i="4"/>
  <c r="AM198" i="4" s="1"/>
  <c r="AN198" i="4" s="1" a="1"/>
  <c r="AN198" i="4" s="1"/>
  <c r="AB196" i="4"/>
  <c r="M164" i="4"/>
  <c r="N164" i="4" s="1"/>
  <c r="O164" i="4" s="1" a="1"/>
  <c r="O164" i="4" s="1"/>
  <c r="AQ200" i="1" l="1" a="1"/>
  <c r="AQ200" i="1" s="1"/>
  <c r="AR200" i="1" a="1"/>
  <c r="AR200" i="1" s="1"/>
  <c r="AY198" i="4" a="1"/>
  <c r="AY198" i="4" s="1"/>
  <c r="AX200" i="1" s="1" a="1"/>
  <c r="AX200" i="1" s="1"/>
  <c r="AL200" i="1" a="1"/>
  <c r="AL200" i="1" s="1"/>
  <c r="AT198" i="4" a="1"/>
  <c r="AT198" i="4" s="1"/>
  <c r="AS200" i="1" s="1" a="1"/>
  <c r="AS200" i="1" s="1"/>
  <c r="I166" i="1" a="1"/>
  <c r="I166" i="1" s="1"/>
  <c r="AO198" i="4" a="1"/>
  <c r="AO198" i="4" s="1"/>
  <c r="AN200" i="1" s="1" a="1"/>
  <c r="AN200" i="1" s="1"/>
  <c r="AM200" i="1" a="1"/>
  <c r="AM200" i="1" s="1"/>
  <c r="P164" i="4" a="1"/>
  <c r="P164" i="4" s="1"/>
  <c r="O166" i="1" s="1" a="1"/>
  <c r="O166" i="1" s="1"/>
  <c r="H166" i="1" a="1"/>
  <c r="H166" i="1" s="1"/>
  <c r="C83" i="1" a="1"/>
  <c r="C83" i="1" s="1"/>
  <c r="D83" i="1" a="1"/>
  <c r="D83" i="1" s="1"/>
  <c r="AC196" i="4"/>
  <c r="AD196" i="4" s="1" a="1"/>
  <c r="AD196" i="4" s="1"/>
  <c r="W161" i="4"/>
  <c r="X161" i="4" s="1"/>
  <c r="Y161" i="4" s="1" a="1"/>
  <c r="Y161" i="4" s="1"/>
  <c r="C81" i="4"/>
  <c r="D81" i="4" s="1"/>
  <c r="E81" i="4" s="1" a="1"/>
  <c r="E81" i="4" s="1"/>
  <c r="AV201" i="1" l="1" a="1"/>
  <c r="AV201" i="1" s="1"/>
  <c r="AL201" i="1" a="1"/>
  <c r="AL201" i="1" s="1"/>
  <c r="AW201" i="1" a="1"/>
  <c r="AW201" i="1" s="1"/>
  <c r="AQ201" i="1" a="1"/>
  <c r="AQ201" i="1" s="1"/>
  <c r="AR201" i="1" a="1"/>
  <c r="AR201" i="1" s="1"/>
  <c r="AM201" i="1" a="1"/>
  <c r="AM201" i="1" s="1"/>
  <c r="AE196" i="4" a="1"/>
  <c r="AE196" i="4" s="1"/>
  <c r="AD198" i="1" s="1" a="1"/>
  <c r="AD198" i="1" s="1"/>
  <c r="Z161" i="4" a="1"/>
  <c r="Z161" i="4" s="1"/>
  <c r="Y163" i="1" s="1" a="1"/>
  <c r="Y163" i="1" s="1"/>
  <c r="M167" i="1" a="1"/>
  <c r="M167" i="1" s="1"/>
  <c r="N167" i="1" a="1"/>
  <c r="N167" i="1" s="1"/>
  <c r="F81" i="4" a="1"/>
  <c r="F81" i="4" s="1"/>
  <c r="E83" i="1" s="1" a="1"/>
  <c r="E83" i="1" s="1"/>
  <c r="R160" i="4"/>
  <c r="S160" i="4" s="1"/>
  <c r="T160" i="4" s="1" a="1"/>
  <c r="T160" i="4" s="1"/>
  <c r="H164" i="4"/>
  <c r="I164" i="4" s="1"/>
  <c r="J164" i="4" s="1" a="1"/>
  <c r="J164" i="4" s="1"/>
  <c r="L91" i="5"/>
  <c r="M97" i="5"/>
  <c r="N47" i="5"/>
  <c r="N75" i="5"/>
  <c r="M23" i="5"/>
  <c r="L13" i="5"/>
  <c r="N5" i="5"/>
  <c r="M37" i="5"/>
  <c r="N4" i="5"/>
  <c r="M32" i="5"/>
  <c r="M44" i="5"/>
  <c r="L60" i="5"/>
  <c r="L101" i="5"/>
  <c r="L84" i="5"/>
  <c r="N2" i="5"/>
  <c r="M60" i="5"/>
  <c r="N72" i="5"/>
  <c r="L87" i="5"/>
  <c r="N70" i="5"/>
  <c r="L18" i="5"/>
  <c r="N48" i="5"/>
  <c r="M85" i="5"/>
  <c r="L99" i="5"/>
  <c r="M58" i="5"/>
  <c r="M53" i="5"/>
  <c r="N82" i="5"/>
  <c r="M35" i="5"/>
  <c r="N15" i="5"/>
  <c r="M6" i="5"/>
  <c r="N13" i="5"/>
  <c r="N67" i="5"/>
  <c r="L76" i="5"/>
  <c r="M36" i="5"/>
  <c r="L29" i="5"/>
  <c r="N77" i="5"/>
  <c r="N84" i="5"/>
  <c r="N38" i="5"/>
  <c r="N41" i="5"/>
  <c r="M7" i="5"/>
  <c r="M21" i="5"/>
  <c r="L63" i="5"/>
  <c r="L15" i="5"/>
  <c r="M28" i="5"/>
  <c r="N36" i="5"/>
  <c r="N45" i="5"/>
  <c r="L44" i="5"/>
  <c r="M99" i="5"/>
  <c r="L96" i="5"/>
  <c r="L26" i="5"/>
  <c r="N53" i="5"/>
  <c r="M17" i="5"/>
  <c r="M66" i="5"/>
  <c r="L88" i="5"/>
  <c r="L47" i="5"/>
  <c r="N14" i="5"/>
  <c r="M11" i="5"/>
  <c r="M101" i="5"/>
  <c r="M93" i="5"/>
  <c r="N11" i="5"/>
  <c r="M64" i="5"/>
  <c r="N97" i="5"/>
  <c r="L80" i="5"/>
  <c r="N86" i="5"/>
  <c r="L35" i="5"/>
  <c r="L42" i="5"/>
  <c r="L61" i="5"/>
  <c r="L16" i="5"/>
  <c r="N34" i="5"/>
  <c r="M92" i="5"/>
  <c r="N64" i="5"/>
  <c r="L8" i="5"/>
  <c r="L7" i="5"/>
  <c r="N24" i="5"/>
  <c r="L10" i="5"/>
  <c r="M8" i="5"/>
  <c r="M48" i="5"/>
  <c r="M77" i="5"/>
  <c r="L53" i="5"/>
  <c r="L52" i="5"/>
  <c r="M72" i="5"/>
  <c r="L24" i="5"/>
  <c r="M3" i="5"/>
  <c r="L37" i="5"/>
  <c r="N6" i="5"/>
  <c r="M87" i="5"/>
  <c r="M40" i="5"/>
  <c r="M41" i="5"/>
  <c r="N71" i="5"/>
  <c r="N39" i="5"/>
  <c r="M54" i="5"/>
  <c r="N87" i="5"/>
  <c r="M9" i="5"/>
  <c r="L22" i="5"/>
  <c r="M91" i="5"/>
  <c r="M5" i="5"/>
  <c r="L95" i="5"/>
  <c r="N16" i="5"/>
  <c r="L71" i="5"/>
  <c r="M33" i="5"/>
  <c r="N30" i="5"/>
  <c r="L86" i="5"/>
  <c r="L36" i="5"/>
  <c r="N78" i="5"/>
  <c r="L62" i="5"/>
  <c r="N46" i="5"/>
  <c r="N51" i="5"/>
  <c r="M98" i="5"/>
  <c r="M26" i="5"/>
  <c r="N35" i="5"/>
  <c r="M76" i="5"/>
  <c r="L30" i="5"/>
  <c r="N62" i="5"/>
  <c r="N52" i="5"/>
  <c r="L93" i="5"/>
  <c r="L50" i="5"/>
  <c r="M83" i="5"/>
  <c r="M49" i="5"/>
  <c r="N49" i="5"/>
  <c r="N26" i="5"/>
  <c r="L45" i="5"/>
  <c r="N73" i="5"/>
  <c r="M74" i="5"/>
  <c r="L33" i="5"/>
  <c r="L72" i="5"/>
  <c r="L48" i="5"/>
  <c r="M29" i="5"/>
  <c r="L64" i="5"/>
  <c r="L2" i="5"/>
  <c r="N28" i="5"/>
  <c r="N58" i="5"/>
  <c r="N83" i="5"/>
  <c r="N88" i="5"/>
  <c r="L21" i="5"/>
  <c r="M16" i="5"/>
  <c r="M13" i="5"/>
  <c r="L41" i="5"/>
  <c r="N74" i="5"/>
  <c r="L34" i="5"/>
  <c r="L23" i="5"/>
  <c r="M59" i="5"/>
  <c r="M78" i="5"/>
  <c r="L73" i="5"/>
  <c r="L32" i="5"/>
  <c r="N65" i="5"/>
  <c r="N18" i="5"/>
  <c r="N23" i="5"/>
  <c r="N43" i="5"/>
  <c r="L19" i="5"/>
  <c r="L57" i="5"/>
  <c r="M65" i="5"/>
  <c r="L78" i="5"/>
  <c r="M68" i="5"/>
  <c r="N56" i="5"/>
  <c r="M39" i="5"/>
  <c r="N57" i="5"/>
  <c r="N60" i="5"/>
  <c r="L6" i="5"/>
  <c r="M69" i="5"/>
  <c r="N29" i="5"/>
  <c r="L20" i="5"/>
  <c r="M52" i="5"/>
  <c r="N42" i="5"/>
  <c r="M56" i="5"/>
  <c r="M61" i="5"/>
  <c r="L40" i="5"/>
  <c r="M2" i="5"/>
  <c r="N31" i="5"/>
  <c r="N17" i="5"/>
  <c r="L39" i="5"/>
  <c r="L66" i="5"/>
  <c r="N66" i="5"/>
  <c r="N37" i="5"/>
  <c r="L3" i="5"/>
  <c r="L81" i="5"/>
  <c r="M75" i="5"/>
  <c r="N96" i="5"/>
  <c r="L82" i="5"/>
  <c r="L54" i="5"/>
  <c r="L70" i="5"/>
  <c r="M82" i="5"/>
  <c r="L28" i="5"/>
  <c r="L75" i="5"/>
  <c r="M95" i="5"/>
  <c r="N81" i="5"/>
  <c r="M47" i="5"/>
  <c r="L85" i="5"/>
  <c r="L55" i="5"/>
  <c r="N63" i="5"/>
  <c r="L27" i="5"/>
  <c r="L94" i="5"/>
  <c r="M62" i="5"/>
  <c r="M38" i="5"/>
  <c r="L59" i="5"/>
  <c r="M79" i="5"/>
  <c r="N68" i="5"/>
  <c r="M88" i="5"/>
  <c r="M19" i="5"/>
  <c r="L9" i="5"/>
  <c r="N10" i="5"/>
  <c r="M24" i="5"/>
  <c r="M18" i="5"/>
  <c r="M90" i="5"/>
  <c r="M34" i="5"/>
  <c r="N89" i="5"/>
  <c r="M96" i="5"/>
  <c r="N95" i="5"/>
  <c r="N91" i="5"/>
  <c r="N12" i="5"/>
  <c r="N92" i="5"/>
  <c r="N22" i="5"/>
  <c r="L100" i="5"/>
  <c r="N98" i="5"/>
  <c r="L11" i="5"/>
  <c r="M14" i="5"/>
  <c r="L68" i="5"/>
  <c r="M73" i="5"/>
  <c r="L31" i="5"/>
  <c r="N85" i="5"/>
  <c r="L89" i="5"/>
  <c r="M31" i="5"/>
  <c r="N25" i="5"/>
  <c r="N93" i="5"/>
  <c r="L90" i="5"/>
  <c r="L38" i="5"/>
  <c r="M27" i="5"/>
  <c r="L97" i="5"/>
  <c r="L77" i="5"/>
  <c r="L43" i="5"/>
  <c r="M46" i="5"/>
  <c r="N69" i="5"/>
  <c r="M80" i="5"/>
  <c r="N55" i="5"/>
  <c r="M86" i="5"/>
  <c r="L25" i="5"/>
  <c r="L49" i="5"/>
  <c r="L12" i="5"/>
  <c r="L14" i="5"/>
  <c r="N61" i="5"/>
  <c r="M15" i="5"/>
  <c r="N54" i="5"/>
  <c r="N79" i="5"/>
  <c r="L58" i="5"/>
  <c r="M57" i="5"/>
  <c r="N7" i="5"/>
  <c r="M12" i="5"/>
  <c r="N101" i="5"/>
  <c r="M4" i="5"/>
  <c r="N100" i="5"/>
  <c r="M20" i="5"/>
  <c r="N8" i="5"/>
  <c r="L65" i="5"/>
  <c r="M30" i="5"/>
  <c r="L56" i="5"/>
  <c r="M89" i="5"/>
  <c r="L5" i="5"/>
  <c r="L46" i="5"/>
  <c r="N27" i="5"/>
  <c r="L92" i="5"/>
  <c r="M71" i="5"/>
  <c r="M25" i="5"/>
  <c r="M63" i="5"/>
  <c r="M45" i="5"/>
  <c r="L67" i="5"/>
  <c r="L51" i="5"/>
  <c r="M81" i="5"/>
  <c r="M100" i="5"/>
  <c r="N94" i="5"/>
  <c r="L69" i="5"/>
  <c r="N76" i="5"/>
  <c r="N20" i="5"/>
  <c r="N19" i="5"/>
  <c r="M10" i="5"/>
  <c r="N90" i="5"/>
  <c r="N21" i="5"/>
  <c r="N9" i="5"/>
  <c r="L4" i="5"/>
  <c r="N32" i="5"/>
  <c r="M22" i="5"/>
  <c r="N59" i="5"/>
  <c r="N33" i="5"/>
  <c r="N99" i="5"/>
  <c r="L83" i="5"/>
  <c r="M50" i="5"/>
  <c r="L79" i="5"/>
  <c r="N80" i="5"/>
  <c r="M67" i="5"/>
  <c r="M55" i="5"/>
  <c r="N3" i="5"/>
  <c r="N44" i="5"/>
  <c r="M94" i="5"/>
  <c r="M43" i="5"/>
  <c r="M42" i="5"/>
  <c r="N50" i="5"/>
  <c r="M70" i="5"/>
  <c r="M51" i="5"/>
  <c r="N40" i="5"/>
  <c r="L17" i="5"/>
  <c r="L74" i="5"/>
  <c r="L98" i="5"/>
  <c r="M84" i="5"/>
  <c r="AB199" i="1" l="1" a="1"/>
  <c r="AB199" i="1" s="1"/>
  <c r="AC199" i="1" a="1"/>
  <c r="AC199" i="1" s="1"/>
  <c r="W164" i="1" a="1"/>
  <c r="W164" i="1" s="1"/>
  <c r="X164" i="1" a="1"/>
  <c r="X164" i="1" s="1"/>
  <c r="U160" i="4" a="1"/>
  <c r="U160" i="4" s="1"/>
  <c r="T162" i="1" s="1" a="1"/>
  <c r="T162" i="1" s="1"/>
  <c r="K164" i="4" a="1"/>
  <c r="K164" i="4" s="1"/>
  <c r="J166" i="1" s="1" a="1"/>
  <c r="J166" i="1" s="1"/>
  <c r="C84" i="1" a="1"/>
  <c r="C84" i="1" s="1"/>
  <c r="D84" i="1" a="1"/>
  <c r="D84" i="1" s="1"/>
  <c r="AB197" i="4"/>
  <c r="AC197" i="4" s="1"/>
  <c r="AD197" i="4" s="1" a="1"/>
  <c r="AD197" i="4" s="1"/>
  <c r="M165" i="4"/>
  <c r="N165" i="4" s="1"/>
  <c r="O165" i="4" s="1" a="1"/>
  <c r="O165" i="4" s="1"/>
  <c r="C82" i="4"/>
  <c r="D82" i="4" s="1"/>
  <c r="E82" i="4" s="1" a="1"/>
  <c r="E82" i="4" s="1"/>
  <c r="AE197" i="4" l="1" a="1"/>
  <c r="AE197" i="4" s="1"/>
  <c r="AD199" i="1" s="1" a="1"/>
  <c r="AD199" i="1" s="1"/>
  <c r="R163" i="1" a="1"/>
  <c r="R163" i="1" s="1"/>
  <c r="S163" i="1" a="1"/>
  <c r="S163" i="1" s="1"/>
  <c r="P165" i="4" a="1"/>
  <c r="P165" i="4" s="1"/>
  <c r="O167" i="1" s="1" a="1"/>
  <c r="O167" i="1" s="1"/>
  <c r="H167" i="1" a="1"/>
  <c r="H167" i="1" s="1"/>
  <c r="I167" i="1" a="1"/>
  <c r="I167" i="1" s="1"/>
  <c r="F82" i="4" a="1"/>
  <c r="F82" i="4" s="1"/>
  <c r="E84" i="1" s="1" a="1"/>
  <c r="E84" i="1" s="1"/>
  <c r="AB198" i="4"/>
  <c r="AC198" i="4" s="1"/>
  <c r="AD198" i="4" s="1" a="1"/>
  <c r="AD198" i="4" s="1"/>
  <c r="AB200" i="1" l="1" a="1"/>
  <c r="AB200" i="1" s="1"/>
  <c r="AC200" i="1" a="1"/>
  <c r="AC200" i="1" s="1"/>
  <c r="AE198" i="4" a="1"/>
  <c r="AE198" i="4" s="1"/>
  <c r="AD200" i="1" s="1" a="1"/>
  <c r="AD200" i="1" s="1"/>
  <c r="N168" i="1" a="1"/>
  <c r="N168" i="1" s="1"/>
  <c r="M168" i="1" a="1"/>
  <c r="M168" i="1" s="1"/>
  <c r="C85" i="1" a="1"/>
  <c r="C85" i="1" s="1"/>
  <c r="D85" i="1" a="1"/>
  <c r="D85" i="1" s="1"/>
  <c r="W162" i="4"/>
  <c r="X162" i="4" s="1"/>
  <c r="Y162" i="4" s="1" a="1"/>
  <c r="Y162" i="4" s="1"/>
  <c r="C83" i="4"/>
  <c r="D83" i="4" s="1"/>
  <c r="E83" i="4" s="1" a="1"/>
  <c r="E83" i="4" s="1"/>
  <c r="R161" i="4"/>
  <c r="S161" i="4" s="1"/>
  <c r="T161" i="4" s="1" a="1"/>
  <c r="T161" i="4" s="1"/>
  <c r="H165" i="4"/>
  <c r="I165" i="4" s="1"/>
  <c r="J165" i="4" s="1" a="1"/>
  <c r="J165" i="4" s="1"/>
  <c r="AB201" i="1" l="1" a="1"/>
  <c r="AB201" i="1" s="1"/>
  <c r="AC201" i="1" a="1"/>
  <c r="AC201" i="1" s="1"/>
  <c r="Z162" i="4" a="1"/>
  <c r="Z162" i="4" s="1"/>
  <c r="Y164" i="1" s="1" a="1"/>
  <c r="Y164" i="1" s="1"/>
  <c r="U161" i="4" a="1"/>
  <c r="U161" i="4" s="1"/>
  <c r="T163" i="1" s="1" a="1"/>
  <c r="T163" i="1" s="1"/>
  <c r="K165" i="4" a="1"/>
  <c r="K165" i="4" s="1"/>
  <c r="J167" i="1" s="1" a="1"/>
  <c r="J167" i="1" s="1"/>
  <c r="F83" i="4" a="1"/>
  <c r="F83" i="4" s="1"/>
  <c r="E85" i="1" s="1" a="1"/>
  <c r="E85" i="1" s="1"/>
  <c r="M166" i="4"/>
  <c r="N166" i="4" s="1"/>
  <c r="O166" i="4" s="1" a="1"/>
  <c r="O166" i="4" s="1"/>
  <c r="J19" i="5"/>
  <c r="J85" i="5"/>
  <c r="J70" i="5"/>
  <c r="J22" i="5"/>
  <c r="J90" i="5"/>
  <c r="J72" i="5"/>
  <c r="J23" i="5"/>
  <c r="J71" i="5"/>
  <c r="J75" i="5"/>
  <c r="J30" i="5"/>
  <c r="J40" i="5"/>
  <c r="J94" i="5"/>
  <c r="J9" i="5"/>
  <c r="J44" i="5"/>
  <c r="J65" i="5"/>
  <c r="J64" i="5"/>
  <c r="J93" i="5"/>
  <c r="J82" i="5"/>
  <c r="J43" i="5"/>
  <c r="J80" i="5"/>
  <c r="J21" i="5"/>
  <c r="J29" i="5"/>
  <c r="J81" i="5"/>
  <c r="J50" i="5"/>
  <c r="J77" i="5"/>
  <c r="J13" i="5"/>
  <c r="J15" i="5"/>
  <c r="J36" i="5"/>
  <c r="J20" i="5"/>
  <c r="J62" i="5"/>
  <c r="J61" i="5"/>
  <c r="J18" i="5"/>
  <c r="J51" i="5"/>
  <c r="J49" i="5"/>
  <c r="J46" i="5"/>
  <c r="J41" i="5"/>
  <c r="J6" i="5"/>
  <c r="J45" i="5"/>
  <c r="J12" i="5"/>
  <c r="J14" i="5"/>
  <c r="J47" i="5"/>
  <c r="J59" i="5"/>
  <c r="J88" i="5"/>
  <c r="J31" i="5"/>
  <c r="J73" i="5"/>
  <c r="J42" i="5"/>
  <c r="J56" i="5"/>
  <c r="J27" i="5"/>
  <c r="J76" i="5"/>
  <c r="J83" i="5"/>
  <c r="J91" i="5"/>
  <c r="J38" i="5"/>
  <c r="J8" i="5"/>
  <c r="J67" i="5"/>
  <c r="J28" i="5"/>
  <c r="J37" i="5"/>
  <c r="J32" i="5"/>
  <c r="J78" i="5"/>
  <c r="J48" i="5"/>
  <c r="J99" i="5"/>
  <c r="J97" i="5"/>
  <c r="J98" i="5"/>
  <c r="J34" i="5"/>
  <c r="J87" i="5"/>
  <c r="J101" i="5"/>
  <c r="J16" i="5"/>
  <c r="J68" i="5"/>
  <c r="J74" i="5"/>
  <c r="J63" i="5"/>
  <c r="J7" i="5"/>
  <c r="J4" i="5"/>
  <c r="J58" i="5"/>
  <c r="J100" i="5"/>
  <c r="J10" i="5"/>
  <c r="J5" i="5"/>
  <c r="J86" i="5"/>
  <c r="J57" i="5"/>
  <c r="J54" i="5"/>
  <c r="J39" i="5"/>
  <c r="J35" i="5"/>
  <c r="J25" i="5"/>
  <c r="J26" i="5"/>
  <c r="J66" i="5"/>
  <c r="J79" i="5"/>
  <c r="J89" i="5"/>
  <c r="J33" i="5"/>
  <c r="J2" i="5"/>
  <c r="J55" i="5"/>
  <c r="J96" i="5"/>
  <c r="J95" i="5"/>
  <c r="J60" i="5"/>
  <c r="J3" i="5"/>
  <c r="J53" i="5"/>
  <c r="J69" i="5"/>
  <c r="J11" i="5"/>
  <c r="J92" i="5"/>
  <c r="J52" i="5"/>
  <c r="J24" i="5"/>
  <c r="J84" i="5"/>
  <c r="J17" i="5"/>
  <c r="W165" i="1" l="1" a="1"/>
  <c r="W165" i="1" s="1"/>
  <c r="X165" i="1" a="1"/>
  <c r="X165" i="1" s="1"/>
  <c r="H168" i="1" a="1"/>
  <c r="H168" i="1" s="1"/>
  <c r="S164" i="1" a="1"/>
  <c r="S164" i="1" s="1"/>
  <c r="I168" i="1" a="1"/>
  <c r="I168" i="1" s="1"/>
  <c r="R164" i="1" a="1"/>
  <c r="R164" i="1" s="1"/>
  <c r="P166" i="4" a="1"/>
  <c r="P166" i="4" s="1"/>
  <c r="O168" i="1" s="1" a="1"/>
  <c r="O168" i="1" s="1"/>
  <c r="D86" i="1" a="1"/>
  <c r="D86" i="1" s="1"/>
  <c r="C86" i="1" a="1"/>
  <c r="C86" i="1" s="1"/>
  <c r="C84" i="4"/>
  <c r="D84" i="4" s="1"/>
  <c r="E84" i="4" s="1" a="1"/>
  <c r="E84" i="4" s="1"/>
  <c r="M169" i="1" l="1" a="1"/>
  <c r="M169" i="1" s="1"/>
  <c r="N169" i="1" a="1"/>
  <c r="N169" i="1" s="1"/>
  <c r="F84" i="4" a="1"/>
  <c r="F84" i="4" s="1"/>
  <c r="E86" i="1" s="1" a="1"/>
  <c r="E86" i="1" s="1"/>
  <c r="M167" i="4"/>
  <c r="N167" i="4" s="1"/>
  <c r="O167" i="4" s="1" a="1"/>
  <c r="O167" i="4" s="1"/>
  <c r="R162" i="4"/>
  <c r="H166" i="4"/>
  <c r="I166" i="4" s="1"/>
  <c r="J166" i="4" s="1" a="1"/>
  <c r="J166" i="4" s="1"/>
  <c r="P167" i="4" l="1" a="1"/>
  <c r="P167" i="4" s="1"/>
  <c r="O169" i="1" s="1" a="1"/>
  <c r="O169" i="1" s="1"/>
  <c r="K166" i="4" a="1"/>
  <c r="K166" i="4" s="1"/>
  <c r="J168" i="1" s="1" a="1"/>
  <c r="J168" i="1" s="1"/>
  <c r="C87" i="1" a="1"/>
  <c r="C87" i="1" s="1"/>
  <c r="D87" i="1" a="1"/>
  <c r="D87" i="1" s="1"/>
  <c r="S162" i="4"/>
  <c r="T162" i="4" s="1" a="1"/>
  <c r="T162" i="4" s="1"/>
  <c r="W163" i="4"/>
  <c r="X163" i="4" s="1"/>
  <c r="Y163" i="4" s="1" a="1"/>
  <c r="Y163" i="4" s="1"/>
  <c r="C85" i="4"/>
  <c r="D85" i="4" s="1"/>
  <c r="E85" i="4" s="1" a="1"/>
  <c r="E85" i="4" s="1"/>
  <c r="N170" i="1" l="1" a="1"/>
  <c r="N170" i="1" s="1"/>
  <c r="M170" i="1" a="1"/>
  <c r="M170" i="1" s="1"/>
  <c r="Z163" i="4" a="1"/>
  <c r="Z163" i="4" s="1"/>
  <c r="Y165" i="1" s="1" a="1"/>
  <c r="Y165" i="1" s="1"/>
  <c r="H169" i="1" a="1"/>
  <c r="H169" i="1" s="1"/>
  <c r="I169" i="1" a="1"/>
  <c r="I169" i="1" s="1"/>
  <c r="U162" i="4" a="1"/>
  <c r="U162" i="4" s="1"/>
  <c r="T164" i="1" s="1" a="1"/>
  <c r="T164" i="1" s="1"/>
  <c r="F85" i="4" a="1"/>
  <c r="F85" i="4" s="1"/>
  <c r="E87" i="1" s="1" a="1"/>
  <c r="E87" i="1" s="1"/>
  <c r="R163" i="4"/>
  <c r="S163" i="4" s="1"/>
  <c r="T163" i="4" s="1" a="1"/>
  <c r="T163" i="4" s="1"/>
  <c r="R165" i="1" l="1" a="1"/>
  <c r="R165" i="1" s="1"/>
  <c r="W166" i="1" a="1"/>
  <c r="W166" i="1" s="1"/>
  <c r="X166" i="1" a="1"/>
  <c r="X166" i="1" s="1"/>
  <c r="U163" i="4" a="1"/>
  <c r="U163" i="4" s="1"/>
  <c r="T165" i="1" s="1" a="1"/>
  <c r="T165" i="1" s="1"/>
  <c r="S165" i="1" a="1"/>
  <c r="S165" i="1" s="1"/>
  <c r="C88" i="1" a="1"/>
  <c r="C88" i="1" s="1"/>
  <c r="D88" i="1" a="1"/>
  <c r="D88" i="1" s="1"/>
  <c r="C86" i="4"/>
  <c r="D86" i="4" s="1"/>
  <c r="E86" i="4" s="1" a="1"/>
  <c r="E86" i="4" s="1"/>
  <c r="M168" i="4"/>
  <c r="N168" i="4" s="1"/>
  <c r="O168" i="4" s="1" a="1"/>
  <c r="O168" i="4" s="1"/>
  <c r="H167" i="4"/>
  <c r="I167" i="4" s="1"/>
  <c r="J167" i="4" s="1" a="1"/>
  <c r="J167" i="4" s="1"/>
  <c r="S166" i="1" l="1" a="1"/>
  <c r="S166" i="1" s="1"/>
  <c r="R166" i="1" a="1"/>
  <c r="R166" i="1" s="1"/>
  <c r="P168" i="4" a="1"/>
  <c r="P168" i="4" s="1"/>
  <c r="O170" i="1" s="1" a="1"/>
  <c r="O170" i="1" s="1"/>
  <c r="K167" i="4" a="1"/>
  <c r="K167" i="4" s="1"/>
  <c r="J169" i="1" s="1" a="1"/>
  <c r="J169" i="1" s="1"/>
  <c r="F86" i="4" a="1"/>
  <c r="F86" i="4" s="1"/>
  <c r="E88" i="1" s="1" a="1"/>
  <c r="E88" i="1" s="1"/>
  <c r="W164" i="4"/>
  <c r="X164" i="4" s="1"/>
  <c r="Y164" i="4" s="1" a="1"/>
  <c r="Y164" i="4" s="1"/>
  <c r="Z164" i="4" l="1" a="1"/>
  <c r="Z164" i="4" s="1"/>
  <c r="Y166" i="1" s="1" a="1"/>
  <c r="Y166" i="1" s="1"/>
  <c r="M171" i="1" a="1"/>
  <c r="M171" i="1" s="1"/>
  <c r="N171" i="1" a="1"/>
  <c r="N171" i="1" s="1"/>
  <c r="I170" i="1" a="1"/>
  <c r="I170" i="1" s="1"/>
  <c r="H170" i="1" a="1"/>
  <c r="H170" i="1" s="1"/>
  <c r="C89" i="1" a="1"/>
  <c r="C89" i="1" s="1"/>
  <c r="D89" i="1" a="1"/>
  <c r="D89" i="1" s="1"/>
  <c r="C87" i="4"/>
  <c r="D87" i="4" s="1"/>
  <c r="E87" i="4" s="1" a="1"/>
  <c r="E87" i="4" s="1"/>
  <c r="W167" i="1" l="1" a="1"/>
  <c r="W167" i="1" s="1"/>
  <c r="X167" i="1" a="1"/>
  <c r="X167" i="1" s="1"/>
  <c r="F87" i="4" a="1"/>
  <c r="F87" i="4" s="1"/>
  <c r="E89" i="1" s="1" a="1"/>
  <c r="E89" i="1" s="1"/>
  <c r="M169" i="4"/>
  <c r="N169" i="4" s="1"/>
  <c r="O169" i="4" s="1" a="1"/>
  <c r="O169" i="4" s="1"/>
  <c r="R164" i="4"/>
  <c r="S164" i="4" s="1"/>
  <c r="T164" i="4" s="1" a="1"/>
  <c r="T164" i="4" s="1"/>
  <c r="H168" i="4"/>
  <c r="I168" i="4" s="1"/>
  <c r="J168" i="4" s="1" a="1"/>
  <c r="J168" i="4" s="1"/>
  <c r="U164" i="4" l="1" a="1"/>
  <c r="U164" i="4" s="1"/>
  <c r="T166" i="1" s="1" a="1"/>
  <c r="T166" i="1" s="1"/>
  <c r="P169" i="4" a="1"/>
  <c r="P169" i="4" s="1"/>
  <c r="O171" i="1" s="1" a="1"/>
  <c r="O171" i="1" s="1"/>
  <c r="K168" i="4" a="1"/>
  <c r="K168" i="4" s="1"/>
  <c r="J170" i="1" s="1" a="1"/>
  <c r="J170" i="1" s="1"/>
  <c r="C90" i="1" a="1"/>
  <c r="C90" i="1" s="1"/>
  <c r="D90" i="1" a="1"/>
  <c r="D90" i="1" s="1"/>
  <c r="W165" i="4"/>
  <c r="X165" i="4" s="1"/>
  <c r="Y165" i="4" s="1" a="1"/>
  <c r="Y165" i="4" s="1"/>
  <c r="C88" i="4"/>
  <c r="D88" i="4" s="1"/>
  <c r="E88" i="4" s="1" a="1"/>
  <c r="E88" i="4" s="1"/>
  <c r="Z165" i="4" l="1" a="1"/>
  <c r="Z165" i="4" s="1"/>
  <c r="Y167" i="1" s="1" a="1"/>
  <c r="Y167" i="1" s="1"/>
  <c r="N172" i="1" a="1"/>
  <c r="N172" i="1" s="1"/>
  <c r="R167" i="1" a="1"/>
  <c r="R167" i="1" s="1"/>
  <c r="M172" i="1" a="1"/>
  <c r="M172" i="1" s="1"/>
  <c r="S167" i="1" a="1"/>
  <c r="S167" i="1" s="1"/>
  <c r="H171" i="1" a="1"/>
  <c r="H171" i="1" s="1"/>
  <c r="I171" i="1" a="1"/>
  <c r="I171" i="1" s="1"/>
  <c r="F88" i="4" a="1"/>
  <c r="F88" i="4" s="1"/>
  <c r="E90" i="1" s="1" a="1"/>
  <c r="E90" i="1" s="1"/>
  <c r="W168" i="1" l="1" a="1"/>
  <c r="W168" i="1" s="1"/>
  <c r="X168" i="1" a="1"/>
  <c r="X168" i="1" s="1"/>
  <c r="C91" i="1" a="1"/>
  <c r="C91" i="1" s="1"/>
  <c r="D91" i="1" a="1"/>
  <c r="D91" i="1" s="1"/>
  <c r="M170" i="4"/>
  <c r="N170" i="4" s="1"/>
  <c r="O170" i="4" s="1" a="1"/>
  <c r="O170" i="4" s="1"/>
  <c r="H169" i="4"/>
  <c r="I169" i="4" s="1"/>
  <c r="J169" i="4" s="1" a="1"/>
  <c r="J169" i="4" s="1"/>
  <c r="C89" i="4"/>
  <c r="D89" i="4" s="1"/>
  <c r="E89" i="4" s="1" a="1"/>
  <c r="E89" i="4" s="1"/>
  <c r="P170" i="4" l="1" a="1"/>
  <c r="P170" i="4" s="1"/>
  <c r="O172" i="1" s="1" a="1"/>
  <c r="O172" i="1" s="1"/>
  <c r="K169" i="4" a="1"/>
  <c r="K169" i="4" s="1"/>
  <c r="J171" i="1" s="1" a="1"/>
  <c r="J171" i="1" s="1"/>
  <c r="F89" i="4" a="1"/>
  <c r="F89" i="4" s="1"/>
  <c r="E91" i="1" s="1" a="1"/>
  <c r="E91" i="1" s="1"/>
  <c r="W166" i="4"/>
  <c r="X166" i="4" s="1"/>
  <c r="Y166" i="4" s="1" a="1"/>
  <c r="Y166" i="4" s="1"/>
  <c r="R165" i="4"/>
  <c r="S165" i="4" s="1"/>
  <c r="T165" i="4" s="1" a="1"/>
  <c r="T165" i="4" s="1"/>
  <c r="M173" i="1" l="1" a="1"/>
  <c r="M173" i="1" s="1"/>
  <c r="Z166" i="4" a="1"/>
  <c r="Z166" i="4" s="1"/>
  <c r="Y168" i="1" s="1" a="1"/>
  <c r="Y168" i="1" s="1"/>
  <c r="N173" i="1" a="1"/>
  <c r="N173" i="1" s="1"/>
  <c r="U165" i="4" a="1"/>
  <c r="U165" i="4" s="1"/>
  <c r="T167" i="1" s="1" a="1"/>
  <c r="T167" i="1" s="1"/>
  <c r="I172" i="1" a="1"/>
  <c r="I172" i="1" s="1"/>
  <c r="H172" i="1" a="1"/>
  <c r="H172" i="1" s="1"/>
  <c r="C92" i="1" a="1"/>
  <c r="C92" i="1" s="1"/>
  <c r="D92" i="1" a="1"/>
  <c r="D92" i="1" s="1"/>
  <c r="C90" i="4"/>
  <c r="D90" i="4" s="1"/>
  <c r="E90" i="4" s="1" a="1"/>
  <c r="E90" i="4" s="1"/>
  <c r="W169" i="1" l="1" a="1"/>
  <c r="W169" i="1" s="1"/>
  <c r="X169" i="1" a="1"/>
  <c r="X169" i="1" s="1"/>
  <c r="S168" i="1" a="1"/>
  <c r="S168" i="1" s="1"/>
  <c r="R168" i="1" a="1"/>
  <c r="R168" i="1" s="1"/>
  <c r="F90" i="4" a="1"/>
  <c r="F90" i="4" s="1"/>
  <c r="E92" i="1" s="1" a="1"/>
  <c r="E92" i="1" s="1"/>
  <c r="M171" i="4"/>
  <c r="N171" i="4" s="1"/>
  <c r="O171" i="4" s="1" a="1"/>
  <c r="O171" i="4" s="1"/>
  <c r="H170" i="4"/>
  <c r="I170" i="4" s="1"/>
  <c r="J170" i="4" s="1" a="1"/>
  <c r="J170" i="4" s="1"/>
  <c r="P171" i="4" l="1" a="1"/>
  <c r="P171" i="4" s="1"/>
  <c r="O173" i="1" s="1" a="1"/>
  <c r="O173" i="1" s="1"/>
  <c r="K170" i="4" a="1"/>
  <c r="K170" i="4" s="1"/>
  <c r="J172" i="1" s="1" a="1"/>
  <c r="J172" i="1" s="1"/>
  <c r="C93" i="1" a="1"/>
  <c r="C93" i="1" s="1"/>
  <c r="D93" i="1" a="1"/>
  <c r="D93" i="1" s="1"/>
  <c r="C91" i="4"/>
  <c r="D91" i="4" s="1"/>
  <c r="E91" i="4" s="1" a="1"/>
  <c r="E91" i="4" s="1"/>
  <c r="R166" i="4"/>
  <c r="S166" i="4" s="1"/>
  <c r="T166" i="4" s="1" a="1"/>
  <c r="T166" i="4" s="1"/>
  <c r="H173" i="1" l="1" a="1"/>
  <c r="H173" i="1" s="1"/>
  <c r="N174" i="1" a="1"/>
  <c r="N174" i="1" s="1"/>
  <c r="U166" i="4" a="1"/>
  <c r="U166" i="4" s="1"/>
  <c r="T168" i="1" s="1" a="1"/>
  <c r="T168" i="1" s="1"/>
  <c r="M174" i="1" a="1"/>
  <c r="M174" i="1" s="1"/>
  <c r="I173" i="1" a="1"/>
  <c r="I173" i="1" s="1"/>
  <c r="F91" i="4" a="1"/>
  <c r="F91" i="4" s="1"/>
  <c r="E93" i="1" s="1" a="1"/>
  <c r="E93" i="1" s="1"/>
  <c r="W167" i="4"/>
  <c r="X167" i="4" s="1"/>
  <c r="Y167" i="4" s="1" a="1"/>
  <c r="Y167" i="4" s="1"/>
  <c r="R169" i="1" l="1" a="1"/>
  <c r="R169" i="1" s="1"/>
  <c r="Z167" i="4" a="1"/>
  <c r="Z167" i="4" s="1"/>
  <c r="Y169" i="1" s="1" a="1"/>
  <c r="Y169" i="1" s="1"/>
  <c r="S169" i="1" a="1"/>
  <c r="S169" i="1" s="1"/>
  <c r="D94" i="1" a="1"/>
  <c r="D94" i="1" s="1"/>
  <c r="C94" i="1" a="1"/>
  <c r="C94" i="1" s="1"/>
  <c r="C92" i="4"/>
  <c r="D92" i="4" s="1"/>
  <c r="E92" i="4" s="1" a="1"/>
  <c r="E92" i="4" s="1"/>
  <c r="W168" i="4"/>
  <c r="X168" i="4" s="1"/>
  <c r="Y168" i="4" s="1" a="1"/>
  <c r="Y168" i="4" s="1"/>
  <c r="M172" i="4"/>
  <c r="N172" i="4" s="1"/>
  <c r="O172" i="4" s="1" a="1"/>
  <c r="O172" i="4" s="1"/>
  <c r="H171" i="4"/>
  <c r="I171" i="4" s="1"/>
  <c r="J171" i="4" s="1" a="1"/>
  <c r="J171" i="4" s="1"/>
  <c r="Z168" i="4" l="1" a="1"/>
  <c r="Z168" i="4" s="1"/>
  <c r="Y170" i="1" s="1" a="1"/>
  <c r="Y170" i="1" s="1"/>
  <c r="W170" i="1" a="1"/>
  <c r="W170" i="1" s="1"/>
  <c r="X170" i="1" a="1"/>
  <c r="X170" i="1" s="1"/>
  <c r="P172" i="4" a="1"/>
  <c r="P172" i="4" s="1"/>
  <c r="O174" i="1" s="1" a="1"/>
  <c r="O174" i="1" s="1"/>
  <c r="K171" i="4" a="1"/>
  <c r="K171" i="4" s="1"/>
  <c r="J173" i="1" s="1" a="1"/>
  <c r="J173" i="1" s="1"/>
  <c r="F92" i="4" a="1"/>
  <c r="F92" i="4" s="1"/>
  <c r="E94" i="1" s="1" a="1"/>
  <c r="E94" i="1" s="1"/>
  <c r="W171" i="1" l="1" a="1"/>
  <c r="W171" i="1" s="1"/>
  <c r="X171" i="1" a="1"/>
  <c r="X171" i="1" s="1"/>
  <c r="I174" i="1" a="1"/>
  <c r="I174" i="1" s="1"/>
  <c r="H174" i="1" a="1"/>
  <c r="H174" i="1" s="1"/>
  <c r="M175" i="1" a="1"/>
  <c r="M175" i="1" s="1"/>
  <c r="N175" i="1" a="1"/>
  <c r="N175" i="1" s="1"/>
  <c r="C95" i="1" a="1"/>
  <c r="C95" i="1" s="1"/>
  <c r="D95" i="1" a="1"/>
  <c r="D95" i="1" s="1"/>
  <c r="C93" i="4"/>
  <c r="D93" i="4" s="1"/>
  <c r="E93" i="4" s="1" a="1"/>
  <c r="E93" i="4" s="1"/>
  <c r="R167" i="4"/>
  <c r="S167" i="4" s="1"/>
  <c r="T167" i="4" s="1" a="1"/>
  <c r="T167" i="4" s="1"/>
  <c r="U167" i="4" l="1" a="1"/>
  <c r="U167" i="4" s="1"/>
  <c r="T169" i="1" s="1" a="1"/>
  <c r="T169" i="1" s="1"/>
  <c r="F93" i="4" a="1"/>
  <c r="F93" i="4" s="1"/>
  <c r="E95" i="1" s="1" a="1"/>
  <c r="E95" i="1" s="1"/>
  <c r="C94" i="4"/>
  <c r="D94" i="4" s="1"/>
  <c r="E94" i="4" s="1" a="1"/>
  <c r="E94" i="4" s="1"/>
  <c r="M173" i="4"/>
  <c r="N173" i="4" s="1"/>
  <c r="O173" i="4" s="1" a="1"/>
  <c r="O173" i="4" s="1"/>
  <c r="H172" i="4"/>
  <c r="I172" i="4" s="1"/>
  <c r="J172" i="4" s="1" a="1"/>
  <c r="J172" i="4" s="1"/>
  <c r="S170" i="1" l="1" a="1"/>
  <c r="S170" i="1" s="1"/>
  <c r="R170" i="1" a="1"/>
  <c r="R170" i="1" s="1"/>
  <c r="P173" i="4" a="1"/>
  <c r="P173" i="4" s="1"/>
  <c r="O175" i="1" s="1" a="1"/>
  <c r="O175" i="1" s="1"/>
  <c r="K172" i="4" a="1"/>
  <c r="K172" i="4" s="1"/>
  <c r="J174" i="1" s="1" a="1"/>
  <c r="J174" i="1" s="1"/>
  <c r="C96" i="1" a="1"/>
  <c r="C96" i="1" s="1"/>
  <c r="D96" i="1" a="1"/>
  <c r="D96" i="1" s="1"/>
  <c r="F94" i="4" a="1"/>
  <c r="F94" i="4" s="1"/>
  <c r="E96" i="1" s="1" a="1"/>
  <c r="E96" i="1" s="1"/>
  <c r="W169" i="4"/>
  <c r="X169" i="4" s="1"/>
  <c r="Y169" i="4" s="1" a="1"/>
  <c r="Y169" i="4" s="1"/>
  <c r="Z169" i="4" l="1" a="1"/>
  <c r="Z169" i="4" s="1"/>
  <c r="Y171" i="1" s="1" a="1"/>
  <c r="Y171" i="1" s="1"/>
  <c r="N176" i="1" a="1"/>
  <c r="N176" i="1" s="1"/>
  <c r="H175" i="1" a="1"/>
  <c r="H175" i="1" s="1"/>
  <c r="M176" i="1" a="1"/>
  <c r="M176" i="1" s="1"/>
  <c r="I175" i="1" a="1"/>
  <c r="I175" i="1" s="1"/>
  <c r="C97" i="1" a="1"/>
  <c r="C97" i="1" s="1"/>
  <c r="D97" i="1" a="1"/>
  <c r="D97" i="1" s="1"/>
  <c r="C95" i="4"/>
  <c r="D95" i="4" s="1"/>
  <c r="E95" i="4" s="1" a="1"/>
  <c r="E95" i="4" s="1"/>
  <c r="M174" i="4"/>
  <c r="N174" i="4" s="1"/>
  <c r="O174" i="4" s="1" a="1"/>
  <c r="O174" i="4" s="1"/>
  <c r="R168" i="4"/>
  <c r="S168" i="4" s="1"/>
  <c r="T168" i="4" s="1" a="1"/>
  <c r="T168" i="4" s="1"/>
  <c r="H173" i="4"/>
  <c r="I173" i="4" s="1"/>
  <c r="J173" i="4" s="1" a="1"/>
  <c r="J173" i="4" s="1"/>
  <c r="W172" i="1" l="1" a="1"/>
  <c r="W172" i="1" s="1"/>
  <c r="X172" i="1" a="1"/>
  <c r="X172" i="1" s="1"/>
  <c r="U168" i="4" a="1"/>
  <c r="U168" i="4" s="1"/>
  <c r="T170" i="1" s="1" a="1"/>
  <c r="T170" i="1" s="1"/>
  <c r="P174" i="4" a="1"/>
  <c r="P174" i="4" s="1"/>
  <c r="O176" i="1" s="1" a="1"/>
  <c r="O176" i="1" s="1"/>
  <c r="K173" i="4" a="1"/>
  <c r="K173" i="4" s="1"/>
  <c r="J175" i="1" s="1" a="1"/>
  <c r="J175" i="1" s="1"/>
  <c r="F95" i="4" a="1"/>
  <c r="F95" i="4" s="1"/>
  <c r="E97" i="1" s="1" a="1"/>
  <c r="E97" i="1" s="1"/>
  <c r="W170" i="4"/>
  <c r="X170" i="4" s="1"/>
  <c r="Y170" i="4" s="1" a="1"/>
  <c r="Y170" i="4" s="1"/>
  <c r="I176" i="1" l="1" a="1"/>
  <c r="I176" i="1" s="1"/>
  <c r="Z170" i="4" a="1"/>
  <c r="Z170" i="4" s="1"/>
  <c r="Y172" i="1" s="1" a="1"/>
  <c r="Y172" i="1" s="1"/>
  <c r="R171" i="1" a="1"/>
  <c r="R171" i="1" s="1"/>
  <c r="S171" i="1" a="1"/>
  <c r="S171" i="1" s="1"/>
  <c r="H176" i="1" a="1"/>
  <c r="H176" i="1" s="1"/>
  <c r="M177" i="1" a="1"/>
  <c r="M177" i="1" s="1"/>
  <c r="N177" i="1" a="1"/>
  <c r="N177" i="1" s="1"/>
  <c r="C98" i="1" a="1"/>
  <c r="C98" i="1" s="1"/>
  <c r="D98" i="1" a="1"/>
  <c r="D98" i="1" s="1"/>
  <c r="C96" i="4"/>
  <c r="D96" i="4" s="1"/>
  <c r="E96" i="4" s="1" a="1"/>
  <c r="E96" i="4" s="1"/>
  <c r="W173" i="1" l="1" a="1"/>
  <c r="W173" i="1" s="1"/>
  <c r="X173" i="1" a="1"/>
  <c r="X173" i="1" s="1"/>
  <c r="F96" i="4" a="1"/>
  <c r="F96" i="4" s="1"/>
  <c r="E98" i="1" s="1" a="1"/>
  <c r="E98" i="1" s="1"/>
  <c r="M175" i="4"/>
  <c r="N175" i="4" s="1"/>
  <c r="O175" i="4" s="1" a="1"/>
  <c r="O175" i="4" s="1"/>
  <c r="R169" i="4"/>
  <c r="S169" i="4" s="1"/>
  <c r="T169" i="4" s="1" a="1"/>
  <c r="T169" i="4" s="1"/>
  <c r="H174" i="4"/>
  <c r="I174" i="4" s="1"/>
  <c r="J174" i="4" s="1" a="1"/>
  <c r="J174" i="4" s="1"/>
  <c r="U169" i="4" l="1" a="1"/>
  <c r="U169" i="4" s="1"/>
  <c r="T171" i="1" s="1" a="1"/>
  <c r="T171" i="1" s="1"/>
  <c r="P175" i="4" a="1"/>
  <c r="P175" i="4" s="1"/>
  <c r="O177" i="1" s="1" a="1"/>
  <c r="O177" i="1" s="1"/>
  <c r="K174" i="4" a="1"/>
  <c r="K174" i="4" s="1"/>
  <c r="J176" i="1" s="1" a="1"/>
  <c r="J176" i="1" s="1"/>
  <c r="C99" i="1" a="1"/>
  <c r="C99" i="1" s="1"/>
  <c r="D99" i="1" a="1"/>
  <c r="D99" i="1" s="1"/>
  <c r="C97" i="4"/>
  <c r="D97" i="4" s="1"/>
  <c r="E97" i="4" s="1" a="1"/>
  <c r="E97" i="4" s="1"/>
  <c r="N178" i="1" l="1" a="1"/>
  <c r="N178" i="1" s="1"/>
  <c r="S172" i="1" a="1"/>
  <c r="S172" i="1" s="1"/>
  <c r="R172" i="1" a="1"/>
  <c r="R172" i="1" s="1"/>
  <c r="M178" i="1" a="1"/>
  <c r="M178" i="1" s="1"/>
  <c r="H177" i="1" a="1"/>
  <c r="H177" i="1" s="1"/>
  <c r="I177" i="1" a="1"/>
  <c r="I177" i="1" s="1"/>
  <c r="F97" i="4" a="1"/>
  <c r="F97" i="4" s="1"/>
  <c r="E99" i="1" s="1" a="1"/>
  <c r="E99" i="1" s="1"/>
  <c r="W171" i="4"/>
  <c r="X171" i="4" s="1"/>
  <c r="Y171" i="4" s="1" a="1"/>
  <c r="Y171" i="4" s="1"/>
  <c r="Z171" i="4" l="1" a="1"/>
  <c r="Z171" i="4" s="1"/>
  <c r="Y173" i="1" s="1" a="1"/>
  <c r="Y173" i="1" s="1"/>
  <c r="C100" i="1" a="1"/>
  <c r="C100" i="1" s="1"/>
  <c r="D100" i="1" a="1"/>
  <c r="D100" i="1" s="1"/>
  <c r="C98" i="4"/>
  <c r="D98" i="4" s="1"/>
  <c r="E98" i="4" s="1" a="1"/>
  <c r="E98" i="4" s="1"/>
  <c r="M176" i="4"/>
  <c r="N176" i="4" s="1"/>
  <c r="O176" i="4" s="1" a="1"/>
  <c r="O176" i="4" s="1"/>
  <c r="H175" i="4"/>
  <c r="I175" i="4" s="1"/>
  <c r="J175" i="4" s="1" a="1"/>
  <c r="J175" i="4" s="1"/>
  <c r="W174" i="1" l="1" a="1"/>
  <c r="W174" i="1" s="1"/>
  <c r="X174" i="1" a="1"/>
  <c r="X174" i="1" s="1"/>
  <c r="P176" i="4" a="1"/>
  <c r="P176" i="4" s="1"/>
  <c r="O178" i="1" s="1" a="1"/>
  <c r="O178" i="1" s="1"/>
  <c r="K175" i="4" a="1"/>
  <c r="K175" i="4" s="1"/>
  <c r="J177" i="1" s="1" a="1"/>
  <c r="J177" i="1" s="1"/>
  <c r="F98" i="4" a="1"/>
  <c r="F98" i="4" s="1"/>
  <c r="E100" i="1" s="1" a="1"/>
  <c r="E100" i="1" s="1"/>
  <c r="R170" i="4"/>
  <c r="S170" i="4" s="1"/>
  <c r="T170" i="4" s="1" a="1"/>
  <c r="T170" i="4" s="1"/>
  <c r="U170" i="4" l="1" a="1"/>
  <c r="U170" i="4" s="1"/>
  <c r="T172" i="1" s="1" a="1"/>
  <c r="T172" i="1" s="1"/>
  <c r="I178" i="1" a="1"/>
  <c r="I178" i="1" s="1"/>
  <c r="M179" i="1" a="1"/>
  <c r="M179" i="1" s="1"/>
  <c r="N179" i="1" a="1"/>
  <c r="N179" i="1" s="1"/>
  <c r="H178" i="1" a="1"/>
  <c r="H178" i="1" s="1"/>
  <c r="C101" i="1" a="1"/>
  <c r="C101" i="1" s="1"/>
  <c r="D101" i="1" a="1"/>
  <c r="D101" i="1" s="1"/>
  <c r="C99" i="4"/>
  <c r="D99" i="4" s="1"/>
  <c r="E99" i="4" s="1" a="1"/>
  <c r="E99" i="4" s="1"/>
  <c r="R173" i="1" l="1" a="1"/>
  <c r="R173" i="1" s="1"/>
  <c r="S173" i="1" a="1"/>
  <c r="S173" i="1" s="1"/>
  <c r="F99" i="4" a="1"/>
  <c r="F99" i="4" s="1"/>
  <c r="E101" i="1" s="1" a="1"/>
  <c r="E101" i="1" s="1"/>
  <c r="W172" i="4"/>
  <c r="X172" i="4" s="1"/>
  <c r="Y172" i="4" s="1" a="1"/>
  <c r="Y172" i="4" s="1"/>
  <c r="M177" i="4"/>
  <c r="N177" i="4" s="1"/>
  <c r="O177" i="4" s="1" a="1"/>
  <c r="O177" i="4" s="1"/>
  <c r="H176" i="4"/>
  <c r="I176" i="4" s="1"/>
  <c r="J176" i="4" s="1" a="1"/>
  <c r="J176" i="4" s="1"/>
  <c r="Z172" i="4" l="1" a="1"/>
  <c r="Z172" i="4" s="1"/>
  <c r="Y174" i="1" s="1" a="1"/>
  <c r="Y174" i="1" s="1"/>
  <c r="P177" i="4" a="1"/>
  <c r="P177" i="4" s="1"/>
  <c r="O179" i="1" s="1" a="1"/>
  <c r="O179" i="1" s="1"/>
  <c r="K176" i="4" a="1"/>
  <c r="K176" i="4" s="1"/>
  <c r="J178" i="1" s="1" a="1"/>
  <c r="J178" i="1" s="1"/>
  <c r="D102" i="1" a="1"/>
  <c r="D102" i="1" s="1"/>
  <c r="C102" i="1" a="1"/>
  <c r="C102" i="1" s="1"/>
  <c r="C100" i="4"/>
  <c r="D100" i="4" s="1"/>
  <c r="E100" i="4" s="1" a="1"/>
  <c r="E100" i="4" s="1"/>
  <c r="N180" i="1" l="1" a="1"/>
  <c r="N180" i="1" s="1"/>
  <c r="W175" i="1" a="1"/>
  <c r="W175" i="1" s="1"/>
  <c r="X175" i="1" a="1"/>
  <c r="X175" i="1" s="1"/>
  <c r="H179" i="1" a="1"/>
  <c r="H179" i="1" s="1"/>
  <c r="I179" i="1" a="1"/>
  <c r="I179" i="1" s="1"/>
  <c r="M180" i="1" a="1"/>
  <c r="M180" i="1" s="1"/>
  <c r="F100" i="4" a="1"/>
  <c r="F100" i="4" s="1"/>
  <c r="E102" i="1" s="1" a="1"/>
  <c r="E102" i="1" s="1"/>
  <c r="R171" i="4"/>
  <c r="S171" i="4" s="1"/>
  <c r="T171" i="4" s="1" a="1"/>
  <c r="T171" i="4" s="1"/>
  <c r="U171" i="4" l="1" a="1"/>
  <c r="U171" i="4" s="1"/>
  <c r="T173" i="1" s="1" a="1"/>
  <c r="T173" i="1" s="1"/>
  <c r="C103" i="1" a="1"/>
  <c r="C103" i="1" s="1"/>
  <c r="D103" i="1" a="1"/>
  <c r="D103" i="1" s="1"/>
  <c r="W173" i="4"/>
  <c r="X173" i="4" s="1"/>
  <c r="Y173" i="4" s="1" a="1"/>
  <c r="Y173" i="4" s="1"/>
  <c r="M178" i="4"/>
  <c r="N178" i="4" s="1"/>
  <c r="O178" i="4" s="1" a="1"/>
  <c r="O178" i="4" s="1"/>
  <c r="H177" i="4"/>
  <c r="I177" i="4" s="1"/>
  <c r="J177" i="4" s="1" a="1"/>
  <c r="J177" i="4" s="1"/>
  <c r="Z173" i="4" l="1" a="1"/>
  <c r="Z173" i="4" s="1"/>
  <c r="Y175" i="1" s="1" a="1"/>
  <c r="Y175" i="1" s="1"/>
  <c r="S174" i="1" a="1"/>
  <c r="S174" i="1" s="1"/>
  <c r="R174" i="1" a="1"/>
  <c r="R174" i="1" s="1"/>
  <c r="P178" i="4" a="1"/>
  <c r="P178" i="4" s="1"/>
  <c r="O180" i="1" s="1" a="1"/>
  <c r="O180" i="1" s="1"/>
  <c r="K177" i="4" a="1"/>
  <c r="K177" i="4" s="1"/>
  <c r="J179" i="1" s="1" a="1"/>
  <c r="J179" i="1" s="1"/>
  <c r="C101" i="4"/>
  <c r="D101" i="4" s="1"/>
  <c r="E101" i="4" s="1" a="1"/>
  <c r="E101" i="4" s="1"/>
  <c r="R172" i="4"/>
  <c r="S172" i="4" s="1"/>
  <c r="T172" i="4" s="1" a="1"/>
  <c r="T172" i="4" s="1"/>
  <c r="X176" i="1" l="1" a="1"/>
  <c r="X176" i="1" s="1"/>
  <c r="W176" i="1" a="1"/>
  <c r="W176" i="1" s="1"/>
  <c r="U172" i="4" a="1"/>
  <c r="U172" i="4" s="1"/>
  <c r="T174" i="1" s="1" a="1"/>
  <c r="T174" i="1" s="1"/>
  <c r="M181" i="1" a="1"/>
  <c r="M181" i="1" s="1"/>
  <c r="N181" i="1" a="1"/>
  <c r="N181" i="1" s="1"/>
  <c r="I180" i="1" a="1"/>
  <c r="I180" i="1" s="1"/>
  <c r="H180" i="1" a="1"/>
  <c r="H180" i="1" s="1"/>
  <c r="F101" i="4" a="1"/>
  <c r="F101" i="4" s="1"/>
  <c r="E103" i="1" s="1" a="1"/>
  <c r="E103" i="1" s="1"/>
  <c r="R175" i="1" l="1" a="1"/>
  <c r="R175" i="1" s="1"/>
  <c r="S175" i="1" a="1"/>
  <c r="S175" i="1" s="1"/>
  <c r="C104" i="1" a="1"/>
  <c r="C104" i="1" s="1"/>
  <c r="D104" i="1" a="1"/>
  <c r="D104" i="1" s="1"/>
  <c r="W174" i="4"/>
  <c r="X174" i="4" s="1"/>
  <c r="Y174" i="4" s="1" a="1"/>
  <c r="Y174" i="4" s="1"/>
  <c r="M179" i="4"/>
  <c r="N179" i="4" s="1"/>
  <c r="O179" i="4" s="1" a="1"/>
  <c r="O179" i="4" s="1"/>
  <c r="H178" i="4"/>
  <c r="I178" i="4" s="1"/>
  <c r="J178" i="4" s="1" a="1"/>
  <c r="J178" i="4" s="1"/>
  <c r="Z174" i="4" l="1" a="1"/>
  <c r="Z174" i="4" s="1"/>
  <c r="Y176" i="1" s="1" a="1"/>
  <c r="Y176" i="1" s="1"/>
  <c r="P179" i="4" a="1"/>
  <c r="P179" i="4" s="1"/>
  <c r="O181" i="1" s="1" a="1"/>
  <c r="O181" i="1" s="1"/>
  <c r="K178" i="4" a="1"/>
  <c r="K178" i="4" s="1"/>
  <c r="J180" i="1" s="1" a="1"/>
  <c r="J180" i="1" s="1"/>
  <c r="C102" i="4"/>
  <c r="D102" i="4" s="1"/>
  <c r="E102" i="4" s="1" a="1"/>
  <c r="E102" i="4" s="1"/>
  <c r="R173" i="4"/>
  <c r="S173" i="4" s="1"/>
  <c r="T173" i="4" s="1" a="1"/>
  <c r="T173" i="4" s="1"/>
  <c r="M182" i="1" l="1" a="1"/>
  <c r="M182" i="1" s="1"/>
  <c r="N182" i="1" a="1"/>
  <c r="N182" i="1" s="1"/>
  <c r="W177" i="1" a="1"/>
  <c r="W177" i="1" s="1"/>
  <c r="X177" i="1" a="1"/>
  <c r="X177" i="1" s="1"/>
  <c r="U173" i="4" a="1"/>
  <c r="U173" i="4" s="1"/>
  <c r="T175" i="1" s="1" a="1"/>
  <c r="T175" i="1" s="1"/>
  <c r="H181" i="1" a="1"/>
  <c r="H181" i="1" s="1"/>
  <c r="I181" i="1" a="1"/>
  <c r="I181" i="1" s="1"/>
  <c r="F102" i="4" a="1"/>
  <c r="F102" i="4" s="1"/>
  <c r="E104" i="1" s="1" a="1"/>
  <c r="E104" i="1" s="1"/>
  <c r="S176" i="1" l="1" a="1"/>
  <c r="S176" i="1" s="1"/>
  <c r="R176" i="1" a="1"/>
  <c r="R176" i="1" s="1"/>
  <c r="C105" i="1" a="1"/>
  <c r="C105" i="1" s="1"/>
  <c r="D105" i="1" a="1"/>
  <c r="D105" i="1" s="1"/>
  <c r="W175" i="4"/>
  <c r="X175" i="4" s="1"/>
  <c r="Y175" i="4" s="1" a="1"/>
  <c r="Y175" i="4" s="1"/>
  <c r="M180" i="4"/>
  <c r="N180" i="4" s="1"/>
  <c r="O180" i="4" s="1" a="1"/>
  <c r="O180" i="4" s="1"/>
  <c r="H179" i="4"/>
  <c r="I179" i="4" s="1"/>
  <c r="J179" i="4" s="1" a="1"/>
  <c r="J179" i="4" s="1"/>
  <c r="Z175" i="4" l="1" a="1"/>
  <c r="Z175" i="4" s="1"/>
  <c r="Y177" i="1" s="1" a="1"/>
  <c r="Y177" i="1" s="1"/>
  <c r="P180" i="4" a="1"/>
  <c r="P180" i="4" s="1"/>
  <c r="O182" i="1" s="1" a="1"/>
  <c r="O182" i="1" s="1"/>
  <c r="K179" i="4" a="1"/>
  <c r="K179" i="4" s="1"/>
  <c r="J181" i="1" s="1" a="1"/>
  <c r="J181" i="1" s="1"/>
  <c r="C103" i="4"/>
  <c r="D103" i="4" s="1"/>
  <c r="E103" i="4" s="1" a="1"/>
  <c r="E103" i="4" s="1"/>
  <c r="R174" i="4"/>
  <c r="M183" i="1" l="1" a="1"/>
  <c r="M183" i="1" s="1"/>
  <c r="N183" i="1" a="1"/>
  <c r="N183" i="1" s="1"/>
  <c r="X178" i="1" a="1"/>
  <c r="X178" i="1" s="1"/>
  <c r="W178" i="1" a="1"/>
  <c r="W178" i="1" s="1"/>
  <c r="H182" i="1" a="1"/>
  <c r="H182" i="1" s="1"/>
  <c r="I182" i="1" a="1"/>
  <c r="I182" i="1" s="1"/>
  <c r="F103" i="4" a="1"/>
  <c r="F103" i="4" s="1"/>
  <c r="E105" i="1" s="1" a="1"/>
  <c r="E105" i="1" s="1"/>
  <c r="S174" i="4"/>
  <c r="T174" i="4" s="1" a="1"/>
  <c r="T174" i="4" s="1"/>
  <c r="U174" i="4" l="1" a="1"/>
  <c r="U174" i="4" s="1"/>
  <c r="T176" i="1" s="1" a="1"/>
  <c r="T176" i="1" s="1"/>
  <c r="C106" i="1" a="1"/>
  <c r="C106" i="1" s="1"/>
  <c r="D106" i="1" a="1"/>
  <c r="D106" i="1" s="1"/>
  <c r="W176" i="4"/>
  <c r="X176" i="4" s="1"/>
  <c r="Y176" i="4" s="1" a="1"/>
  <c r="Y176" i="4" s="1"/>
  <c r="M181" i="4"/>
  <c r="N181" i="4" s="1"/>
  <c r="O181" i="4" s="1" a="1"/>
  <c r="O181" i="4" s="1"/>
  <c r="R175" i="4"/>
  <c r="S175" i="4" s="1"/>
  <c r="T175" i="4" s="1" a="1"/>
  <c r="T175" i="4" s="1"/>
  <c r="H180" i="4"/>
  <c r="I180" i="4" s="1"/>
  <c r="J180" i="4" s="1" a="1"/>
  <c r="J180" i="4" s="1"/>
  <c r="Z176" i="4" l="1" a="1"/>
  <c r="Z176" i="4" s="1"/>
  <c r="Y178" i="1" s="1" a="1"/>
  <c r="Y178" i="1" s="1"/>
  <c r="U175" i="4" a="1"/>
  <c r="U175" i="4" s="1"/>
  <c r="T177" i="1" s="1" a="1"/>
  <c r="T177" i="1" s="1"/>
  <c r="R177" i="1" a="1"/>
  <c r="R177" i="1" s="1"/>
  <c r="S177" i="1" a="1"/>
  <c r="S177" i="1" s="1"/>
  <c r="P181" i="4" a="1"/>
  <c r="P181" i="4" s="1"/>
  <c r="O183" i="1" s="1" a="1"/>
  <c r="O183" i="1" s="1"/>
  <c r="K180" i="4" a="1"/>
  <c r="K180" i="4" s="1"/>
  <c r="J182" i="1" s="1" a="1"/>
  <c r="J182" i="1" s="1"/>
  <c r="C104" i="4"/>
  <c r="D104" i="4" s="1"/>
  <c r="E104" i="4" s="1" a="1"/>
  <c r="E104" i="4" s="1"/>
  <c r="N184" i="1" l="1" a="1"/>
  <c r="N184" i="1" s="1"/>
  <c r="W179" i="1" a="1"/>
  <c r="W179" i="1" s="1"/>
  <c r="X179" i="1" a="1"/>
  <c r="X179" i="1" s="1"/>
  <c r="I183" i="1" a="1"/>
  <c r="I183" i="1" s="1"/>
  <c r="S178" i="1" a="1"/>
  <c r="S178" i="1" s="1"/>
  <c r="R178" i="1" a="1"/>
  <c r="R178" i="1" s="1"/>
  <c r="M184" i="1" a="1"/>
  <c r="M184" i="1" s="1"/>
  <c r="H183" i="1" a="1"/>
  <c r="H183" i="1" s="1"/>
  <c r="F104" i="4" a="1"/>
  <c r="F104" i="4" s="1"/>
  <c r="E106" i="1" s="1" a="1"/>
  <c r="E106" i="1" s="1"/>
  <c r="C107" i="1" l="1" a="1"/>
  <c r="C107" i="1" s="1"/>
  <c r="D107" i="1" a="1"/>
  <c r="D107" i="1" s="1"/>
  <c r="W177" i="4"/>
  <c r="X177" i="4" s="1"/>
  <c r="Y177" i="4" s="1" a="1"/>
  <c r="Y177" i="4" s="1"/>
  <c r="M182" i="4"/>
  <c r="N182" i="4" s="1"/>
  <c r="O182" i="4" s="1" a="1"/>
  <c r="O182" i="4" s="1"/>
  <c r="R176" i="4"/>
  <c r="S176" i="4" s="1"/>
  <c r="T176" i="4" s="1" a="1"/>
  <c r="T176" i="4" s="1"/>
  <c r="H181" i="4"/>
  <c r="I181" i="4" s="1"/>
  <c r="J181" i="4" s="1" a="1"/>
  <c r="J181" i="4" s="1"/>
  <c r="Z177" i="4" l="1" a="1"/>
  <c r="Z177" i="4" s="1"/>
  <c r="Y179" i="1" s="1" a="1"/>
  <c r="Y179" i="1" s="1"/>
  <c r="U176" i="4" a="1"/>
  <c r="U176" i="4" s="1"/>
  <c r="T178" i="1" s="1" a="1"/>
  <c r="T178" i="1" s="1"/>
  <c r="P182" i="4" a="1"/>
  <c r="P182" i="4" s="1"/>
  <c r="O184" i="1" s="1" a="1"/>
  <c r="O184" i="1" s="1"/>
  <c r="K181" i="4" a="1"/>
  <c r="K181" i="4" s="1"/>
  <c r="J183" i="1" s="1" a="1"/>
  <c r="J183" i="1" s="1"/>
  <c r="C105" i="4"/>
  <c r="D105" i="4" s="1"/>
  <c r="E105" i="4" s="1" a="1"/>
  <c r="E105" i="4" s="1"/>
  <c r="I184" i="1" l="1" a="1"/>
  <c r="I184" i="1" s="1"/>
  <c r="R179" i="1" a="1"/>
  <c r="R179" i="1" s="1"/>
  <c r="W180" i="1" a="1"/>
  <c r="W180" i="1" s="1"/>
  <c r="X180" i="1" a="1"/>
  <c r="X180" i="1" s="1"/>
  <c r="M185" i="1" a="1"/>
  <c r="M185" i="1" s="1"/>
  <c r="N185" i="1" a="1"/>
  <c r="N185" i="1" s="1"/>
  <c r="S179" i="1" a="1"/>
  <c r="S179" i="1" s="1"/>
  <c r="H184" i="1" a="1"/>
  <c r="H184" i="1" s="1"/>
  <c r="F105" i="4" a="1"/>
  <c r="F105" i="4" s="1"/>
  <c r="E107" i="1" s="1" a="1"/>
  <c r="E107" i="1" s="1"/>
  <c r="R177" i="4"/>
  <c r="S177" i="4" s="1"/>
  <c r="T177" i="4" s="1" a="1"/>
  <c r="T177" i="4" s="1"/>
  <c r="U177" i="4" l="1" a="1"/>
  <c r="U177" i="4" s="1"/>
  <c r="T179" i="1" s="1" a="1"/>
  <c r="T179" i="1" s="1"/>
  <c r="C108" i="1" a="1"/>
  <c r="C108" i="1" s="1"/>
  <c r="D108" i="1" a="1"/>
  <c r="D108" i="1" s="1"/>
  <c r="C106" i="4"/>
  <c r="D106" i="4" s="1"/>
  <c r="E106" i="4" s="1" a="1"/>
  <c r="E106" i="4" s="1"/>
  <c r="M183" i="4"/>
  <c r="N183" i="4" s="1"/>
  <c r="O183" i="4" s="1" a="1"/>
  <c r="O183" i="4" s="1"/>
  <c r="H182" i="4"/>
  <c r="I182" i="4" s="1"/>
  <c r="J182" i="4" s="1" a="1"/>
  <c r="J182" i="4" s="1"/>
  <c r="S180" i="1" l="1" a="1"/>
  <c r="S180" i="1" s="1"/>
  <c r="R180" i="1" a="1"/>
  <c r="R180" i="1" s="1"/>
  <c r="P183" i="4" a="1"/>
  <c r="P183" i="4" s="1"/>
  <c r="O185" i="1" s="1" a="1"/>
  <c r="O185" i="1" s="1"/>
  <c r="K182" i="4" a="1"/>
  <c r="K182" i="4" s="1"/>
  <c r="J184" i="1" s="1" a="1"/>
  <c r="J184" i="1" s="1"/>
  <c r="F106" i="4" a="1"/>
  <c r="F106" i="4" s="1"/>
  <c r="E108" i="1" s="1" a="1"/>
  <c r="E108" i="1" s="1"/>
  <c r="W178" i="4"/>
  <c r="X178" i="4" s="1"/>
  <c r="Y178" i="4" s="1" a="1"/>
  <c r="Y178" i="4" s="1"/>
  <c r="N186" i="1" l="1" a="1"/>
  <c r="N186" i="1" s="1"/>
  <c r="M186" i="1" a="1"/>
  <c r="M186" i="1" s="1"/>
  <c r="Z178" i="4" a="1"/>
  <c r="Z178" i="4" s="1"/>
  <c r="Y180" i="1" s="1" a="1"/>
  <c r="Y180" i="1" s="1"/>
  <c r="H185" i="1" a="1"/>
  <c r="H185" i="1" s="1"/>
  <c r="I185" i="1" a="1"/>
  <c r="I185" i="1" s="1"/>
  <c r="C109" i="1" a="1"/>
  <c r="C109" i="1" s="1"/>
  <c r="D109" i="1" a="1"/>
  <c r="D109" i="1" s="1"/>
  <c r="R178" i="4"/>
  <c r="S178" i="4" s="1"/>
  <c r="T178" i="4" s="1" a="1"/>
  <c r="T178" i="4" s="1"/>
  <c r="C107" i="4"/>
  <c r="D107" i="4" s="1"/>
  <c r="E107" i="4" s="1" a="1"/>
  <c r="E107" i="4" s="1"/>
  <c r="M184" i="4"/>
  <c r="N184" i="4" s="1"/>
  <c r="O184" i="4" s="1" a="1"/>
  <c r="O184" i="4" s="1"/>
  <c r="H183" i="4"/>
  <c r="I183" i="4" s="1"/>
  <c r="J183" i="4" s="1" a="1"/>
  <c r="J183" i="4" s="1"/>
  <c r="W181" i="1" l="1" a="1"/>
  <c r="W181" i="1" s="1"/>
  <c r="X181" i="1" a="1"/>
  <c r="X181" i="1" s="1"/>
  <c r="U178" i="4" a="1"/>
  <c r="U178" i="4" s="1"/>
  <c r="T180" i="1" s="1" a="1"/>
  <c r="T180" i="1" s="1"/>
  <c r="P184" i="4" a="1"/>
  <c r="P184" i="4" s="1"/>
  <c r="O186" i="1" s="1" a="1"/>
  <c r="O186" i="1" s="1"/>
  <c r="K183" i="4" a="1"/>
  <c r="K183" i="4" s="1"/>
  <c r="J185" i="1" s="1" a="1"/>
  <c r="J185" i="1" s="1"/>
  <c r="F107" i="4" a="1"/>
  <c r="F107" i="4" s="1"/>
  <c r="E109" i="1" s="1" a="1"/>
  <c r="E109" i="1" s="1"/>
  <c r="W179" i="4"/>
  <c r="X179" i="4" s="1"/>
  <c r="Y179" i="4" s="1" a="1"/>
  <c r="Y179" i="4" s="1"/>
  <c r="Z179" i="4" l="1" a="1"/>
  <c r="Z179" i="4" s="1"/>
  <c r="Y181" i="1" s="1" a="1"/>
  <c r="Y181" i="1" s="1"/>
  <c r="H186" i="1" a="1"/>
  <c r="H186" i="1" s="1"/>
  <c r="R181" i="1" a="1"/>
  <c r="R181" i="1" s="1"/>
  <c r="S181" i="1" a="1"/>
  <c r="S181" i="1" s="1"/>
  <c r="I186" i="1" a="1"/>
  <c r="I186" i="1" s="1"/>
  <c r="M187" i="1" a="1"/>
  <c r="M187" i="1" s="1"/>
  <c r="N187" i="1" a="1"/>
  <c r="N187" i="1" s="1"/>
  <c r="D110" i="1" a="1"/>
  <c r="D110" i="1" s="1"/>
  <c r="C110" i="1" a="1"/>
  <c r="C110" i="1" s="1"/>
  <c r="C108" i="4"/>
  <c r="D108" i="4" s="1"/>
  <c r="E108" i="4" s="1" a="1"/>
  <c r="E108" i="4" s="1"/>
  <c r="M185" i="4"/>
  <c r="N185" i="4" s="1"/>
  <c r="O185" i="4" s="1" a="1"/>
  <c r="O185" i="4" s="1"/>
  <c r="R179" i="4"/>
  <c r="S179" i="4" s="1"/>
  <c r="T179" i="4" s="1" a="1"/>
  <c r="T179" i="4" s="1"/>
  <c r="H184" i="4"/>
  <c r="I184" i="4" s="1"/>
  <c r="J184" i="4" s="1" a="1"/>
  <c r="J184" i="4" s="1"/>
  <c r="W182" i="1" l="1" a="1"/>
  <c r="W182" i="1" s="1"/>
  <c r="X182" i="1" a="1"/>
  <c r="X182" i="1" s="1"/>
  <c r="U179" i="4" a="1"/>
  <c r="U179" i="4" s="1"/>
  <c r="T181" i="1" s="1" a="1"/>
  <c r="T181" i="1" s="1"/>
  <c r="P185" i="4" a="1"/>
  <c r="P185" i="4" s="1"/>
  <c r="O187" i="1" s="1" a="1"/>
  <c r="O187" i="1" s="1"/>
  <c r="K184" i="4" a="1"/>
  <c r="K184" i="4" s="1"/>
  <c r="J186" i="1" s="1" a="1"/>
  <c r="J186" i="1" s="1"/>
  <c r="F108" i="4" a="1"/>
  <c r="F108" i="4" s="1"/>
  <c r="E110" i="1" s="1" a="1"/>
  <c r="E110" i="1" s="1"/>
  <c r="W180" i="4"/>
  <c r="X180" i="4" s="1"/>
  <c r="Y180" i="4" s="1" a="1"/>
  <c r="Y180" i="4" s="1"/>
  <c r="Z180" i="4" l="1" a="1"/>
  <c r="Z180" i="4" s="1"/>
  <c r="Y182" i="1" s="1" a="1"/>
  <c r="Y182" i="1" s="1"/>
  <c r="H187" i="1" a="1"/>
  <c r="H187" i="1" s="1"/>
  <c r="I187" i="1" a="1"/>
  <c r="I187" i="1" s="1"/>
  <c r="N188" i="1" a="1"/>
  <c r="N188" i="1" s="1"/>
  <c r="S182" i="1" a="1"/>
  <c r="S182" i="1" s="1"/>
  <c r="R182" i="1" a="1"/>
  <c r="R182" i="1" s="1"/>
  <c r="M188" i="1" a="1"/>
  <c r="M188" i="1" s="1"/>
  <c r="C111" i="1" a="1"/>
  <c r="C111" i="1" s="1"/>
  <c r="D111" i="1" a="1"/>
  <c r="D111" i="1" s="1"/>
  <c r="R180" i="4"/>
  <c r="W183" i="1" l="1" a="1"/>
  <c r="W183" i="1" s="1"/>
  <c r="X183" i="1" a="1"/>
  <c r="X183" i="1" s="1"/>
  <c r="C109" i="4"/>
  <c r="D109" i="4" s="1"/>
  <c r="E109" i="4" s="1" a="1"/>
  <c r="E109" i="4" s="1"/>
  <c r="S180" i="4"/>
  <c r="T180" i="4" s="1" a="1"/>
  <c r="T180" i="4" s="1"/>
  <c r="M186" i="4"/>
  <c r="N186" i="4" s="1"/>
  <c r="O186" i="4" s="1" a="1"/>
  <c r="O186" i="4" s="1"/>
  <c r="H185" i="4"/>
  <c r="I185" i="4" s="1"/>
  <c r="J185" i="4" s="1" a="1"/>
  <c r="J185" i="4" s="1"/>
  <c r="U180" i="4" l="1" a="1"/>
  <c r="U180" i="4" s="1"/>
  <c r="T182" i="1" s="1" a="1"/>
  <c r="T182" i="1" s="1"/>
  <c r="P186" i="4" a="1"/>
  <c r="P186" i="4" s="1"/>
  <c r="O188" i="1" s="1" a="1"/>
  <c r="O188" i="1" s="1"/>
  <c r="K185" i="4" a="1"/>
  <c r="K185" i="4" s="1"/>
  <c r="J187" i="1" s="1" a="1"/>
  <c r="J187" i="1" s="1"/>
  <c r="F109" i="4" a="1"/>
  <c r="F109" i="4" s="1"/>
  <c r="E111" i="1" s="1" a="1"/>
  <c r="E111" i="1" s="1"/>
  <c r="W181" i="4"/>
  <c r="X181" i="4" s="1"/>
  <c r="Y181" i="4" s="1" a="1"/>
  <c r="Y181" i="4" s="1"/>
  <c r="M189" i="1" l="1" a="1"/>
  <c r="M189" i="1" s="1"/>
  <c r="I188" i="1" a="1"/>
  <c r="I188" i="1" s="1"/>
  <c r="Z181" i="4" a="1"/>
  <c r="Z181" i="4" s="1"/>
  <c r="Y183" i="1" s="1" a="1"/>
  <c r="Y183" i="1" s="1"/>
  <c r="H188" i="1" a="1"/>
  <c r="H188" i="1" s="1"/>
  <c r="N189" i="1" a="1"/>
  <c r="N189" i="1" s="1"/>
  <c r="R183" i="1" a="1"/>
  <c r="R183" i="1" s="1"/>
  <c r="S183" i="1" a="1"/>
  <c r="S183" i="1" s="1"/>
  <c r="C112" i="1" a="1"/>
  <c r="C112" i="1" s="1"/>
  <c r="D112" i="1" a="1"/>
  <c r="D112" i="1" s="1"/>
  <c r="R181" i="4"/>
  <c r="S181" i="4" s="1"/>
  <c r="T181" i="4" s="1" a="1"/>
  <c r="T181" i="4" s="1"/>
  <c r="W184" i="1" l="1" a="1"/>
  <c r="W184" i="1" s="1"/>
  <c r="X184" i="1" a="1"/>
  <c r="X184" i="1" s="1"/>
  <c r="U181" i="4" a="1"/>
  <c r="U181" i="4" s="1"/>
  <c r="T183" i="1" s="1" a="1"/>
  <c r="T183" i="1" s="1"/>
  <c r="C110" i="4"/>
  <c r="D110" i="4" s="1"/>
  <c r="E110" i="4" s="1" a="1"/>
  <c r="E110" i="4" s="1"/>
  <c r="M187" i="4"/>
  <c r="N187" i="4" s="1"/>
  <c r="O187" i="4" s="1" a="1"/>
  <c r="O187" i="4" s="1"/>
  <c r="H186" i="4"/>
  <c r="I186" i="4" s="1"/>
  <c r="J186" i="4" s="1" a="1"/>
  <c r="J186" i="4" s="1"/>
  <c r="S184" i="1" l="1" a="1"/>
  <c r="S184" i="1" s="1"/>
  <c r="R184" i="1" a="1"/>
  <c r="R184" i="1" s="1"/>
  <c r="P187" i="4" a="1"/>
  <c r="P187" i="4" s="1"/>
  <c r="O189" i="1" s="1" a="1"/>
  <c r="O189" i="1" s="1"/>
  <c r="K186" i="4" a="1"/>
  <c r="K186" i="4" s="1"/>
  <c r="J188" i="1" s="1" a="1"/>
  <c r="J188" i="1" s="1"/>
  <c r="F110" i="4" a="1"/>
  <c r="F110" i="4" s="1"/>
  <c r="E112" i="1" s="1" a="1"/>
  <c r="E112" i="1" s="1"/>
  <c r="W182" i="4"/>
  <c r="X182" i="4" s="1"/>
  <c r="Y182" i="4" s="1" a="1"/>
  <c r="Y182" i="4" s="1"/>
  <c r="R182" i="4"/>
  <c r="S182" i="4" s="1"/>
  <c r="T182" i="4" s="1" a="1"/>
  <c r="T182" i="4" s="1"/>
  <c r="H189" i="1" l="1" a="1"/>
  <c r="H189" i="1" s="1"/>
  <c r="N190" i="1" a="1"/>
  <c r="N190" i="1" s="1"/>
  <c r="Z182" i="4" a="1"/>
  <c r="Z182" i="4" s="1"/>
  <c r="Y184" i="1" s="1" a="1"/>
  <c r="Y184" i="1" s="1"/>
  <c r="U182" i="4" a="1"/>
  <c r="U182" i="4" s="1"/>
  <c r="T184" i="1" s="1" a="1"/>
  <c r="T184" i="1" s="1"/>
  <c r="M190" i="1" a="1"/>
  <c r="M190" i="1" s="1"/>
  <c r="I189" i="1" a="1"/>
  <c r="I189" i="1" s="1"/>
  <c r="C113" i="1" a="1"/>
  <c r="C113" i="1" s="1"/>
  <c r="D113" i="1" a="1"/>
  <c r="D113" i="1" s="1"/>
  <c r="C111" i="4"/>
  <c r="D111" i="4" s="1"/>
  <c r="E111" i="4" s="1" a="1"/>
  <c r="E111" i="4" s="1"/>
  <c r="M188" i="4"/>
  <c r="N188" i="4" s="1"/>
  <c r="O188" i="4" s="1" a="1"/>
  <c r="O188" i="4" s="1"/>
  <c r="H187" i="4"/>
  <c r="I187" i="4" s="1"/>
  <c r="J187" i="4" s="1" a="1"/>
  <c r="J187" i="4" s="1"/>
  <c r="R185" i="1" l="1" a="1"/>
  <c r="R185" i="1" s="1"/>
  <c r="S185" i="1" a="1"/>
  <c r="S185" i="1" s="1"/>
  <c r="W185" i="1" a="1"/>
  <c r="W185" i="1" s="1"/>
  <c r="X185" i="1" a="1"/>
  <c r="X185" i="1" s="1"/>
  <c r="P188" i="4" a="1"/>
  <c r="P188" i="4" s="1"/>
  <c r="O190" i="1" s="1" a="1"/>
  <c r="O190" i="1" s="1"/>
  <c r="K187" i="4" a="1"/>
  <c r="K187" i="4" s="1"/>
  <c r="J189" i="1" s="1" a="1"/>
  <c r="J189" i="1" s="1"/>
  <c r="F111" i="4" a="1"/>
  <c r="F111" i="4" s="1"/>
  <c r="E113" i="1" s="1" a="1"/>
  <c r="E113" i="1" s="1"/>
  <c r="W183" i="4"/>
  <c r="X183" i="4" s="1"/>
  <c r="Y183" i="4" s="1" a="1"/>
  <c r="Y183" i="4" s="1"/>
  <c r="R183" i="4"/>
  <c r="Z183" i="4" l="1" a="1"/>
  <c r="Z183" i="4" s="1"/>
  <c r="Y185" i="1" s="1" a="1"/>
  <c r="Y185" i="1" s="1"/>
  <c r="N191" i="1" a="1"/>
  <c r="N191" i="1" s="1"/>
  <c r="M191" i="1" a="1"/>
  <c r="M191" i="1" s="1"/>
  <c r="I190" i="1" a="1"/>
  <c r="I190" i="1" s="1"/>
  <c r="H190" i="1" a="1"/>
  <c r="H190" i="1" s="1"/>
  <c r="C114" i="1" a="1"/>
  <c r="C114" i="1" s="1"/>
  <c r="D114" i="1" a="1"/>
  <c r="D114" i="1" s="1"/>
  <c r="S183" i="4"/>
  <c r="T183" i="4" s="1" a="1"/>
  <c r="T183" i="4" s="1"/>
  <c r="C112" i="4"/>
  <c r="D112" i="4" s="1"/>
  <c r="E112" i="4" s="1" a="1"/>
  <c r="E112" i="4" s="1"/>
  <c r="W186" i="1" l="1" a="1"/>
  <c r="W186" i="1" s="1"/>
  <c r="X186" i="1" a="1"/>
  <c r="X186" i="1" s="1"/>
  <c r="U183" i="4" a="1"/>
  <c r="U183" i="4" s="1"/>
  <c r="T185" i="1" s="1" a="1"/>
  <c r="T185" i="1" s="1"/>
  <c r="F112" i="4" a="1"/>
  <c r="F112" i="4" s="1"/>
  <c r="E114" i="1" s="1" a="1"/>
  <c r="E114" i="1" s="1"/>
  <c r="M189" i="4"/>
  <c r="N189" i="4" s="1"/>
  <c r="O189" i="4" s="1" a="1"/>
  <c r="O189" i="4" s="1"/>
  <c r="R184" i="4"/>
  <c r="S184" i="4" s="1"/>
  <c r="T184" i="4" s="1" a="1"/>
  <c r="T184" i="4" s="1"/>
  <c r="H188" i="4"/>
  <c r="I188" i="4" s="1"/>
  <c r="J188" i="4" s="1" a="1"/>
  <c r="J188" i="4" s="1"/>
  <c r="U184" i="4" l="1" a="1"/>
  <c r="U184" i="4" s="1"/>
  <c r="T186" i="1" s="1" a="1"/>
  <c r="T186" i="1" s="1"/>
  <c r="S186" i="1" a="1"/>
  <c r="S186" i="1" s="1"/>
  <c r="R186" i="1" a="1"/>
  <c r="R186" i="1" s="1"/>
  <c r="P189" i="4" a="1"/>
  <c r="P189" i="4" s="1"/>
  <c r="O191" i="1" s="1" a="1"/>
  <c r="O191" i="1" s="1"/>
  <c r="K188" i="4" a="1"/>
  <c r="K188" i="4" s="1"/>
  <c r="J190" i="1" s="1" a="1"/>
  <c r="J190" i="1" s="1"/>
  <c r="C115" i="1" a="1"/>
  <c r="C115" i="1" s="1"/>
  <c r="D115" i="1" a="1"/>
  <c r="D115" i="1" s="1"/>
  <c r="C113" i="4"/>
  <c r="D113" i="4" s="1"/>
  <c r="E113" i="4" s="1" a="1"/>
  <c r="E113" i="4" s="1"/>
  <c r="W184" i="4"/>
  <c r="X184" i="4" s="1"/>
  <c r="Y184" i="4" s="1" a="1"/>
  <c r="Y184" i="4" s="1"/>
  <c r="Z184" i="4" l="1" a="1"/>
  <c r="Z184" i="4" s="1"/>
  <c r="Y186" i="1" s="1" a="1"/>
  <c r="Y186" i="1" s="1"/>
  <c r="R187" i="1" a="1"/>
  <c r="R187" i="1" s="1"/>
  <c r="S187" i="1" a="1"/>
  <c r="S187" i="1" s="1"/>
  <c r="I191" i="1" a="1"/>
  <c r="I191" i="1" s="1"/>
  <c r="H191" i="1" a="1"/>
  <c r="H191" i="1" s="1"/>
  <c r="N192" i="1" a="1"/>
  <c r="N192" i="1" s="1"/>
  <c r="M192" i="1" a="1"/>
  <c r="M192" i="1" s="1"/>
  <c r="F113" i="4" a="1"/>
  <c r="F113" i="4" s="1"/>
  <c r="E115" i="1" s="1" a="1"/>
  <c r="E115" i="1" s="1"/>
  <c r="R185" i="4"/>
  <c r="S185" i="4" s="1"/>
  <c r="T185" i="4" s="1" a="1"/>
  <c r="T185" i="4" s="1"/>
  <c r="W187" i="1" l="1" a="1"/>
  <c r="W187" i="1" s="1"/>
  <c r="X187" i="1" a="1"/>
  <c r="X187" i="1" s="1"/>
  <c r="U185" i="4" a="1"/>
  <c r="U185" i="4" s="1"/>
  <c r="T187" i="1" s="1" a="1"/>
  <c r="T187" i="1" s="1"/>
  <c r="C116" i="1" a="1"/>
  <c r="C116" i="1" s="1"/>
  <c r="D116" i="1" a="1"/>
  <c r="D116" i="1" s="1"/>
  <c r="C114" i="4"/>
  <c r="D114" i="4" s="1"/>
  <c r="E114" i="4" s="1" a="1"/>
  <c r="E114" i="4" s="1"/>
  <c r="M190" i="4"/>
  <c r="N190" i="4" s="1"/>
  <c r="O190" i="4" s="1" a="1"/>
  <c r="O190" i="4" s="1"/>
  <c r="H189" i="4"/>
  <c r="I189" i="4" s="1"/>
  <c r="J189" i="4" s="1" a="1"/>
  <c r="J189" i="4" s="1"/>
  <c r="S188" i="1" l="1" a="1"/>
  <c r="S188" i="1" s="1"/>
  <c r="R188" i="1" a="1"/>
  <c r="R188" i="1" s="1"/>
  <c r="P190" i="4" a="1"/>
  <c r="P190" i="4" s="1"/>
  <c r="O192" i="1" s="1" a="1"/>
  <c r="O192" i="1" s="1"/>
  <c r="K189" i="4" a="1"/>
  <c r="K189" i="4" s="1"/>
  <c r="J191" i="1" s="1" a="1"/>
  <c r="J191" i="1" s="1"/>
  <c r="F114" i="4" a="1"/>
  <c r="F114" i="4" s="1"/>
  <c r="E116" i="1" s="1" a="1"/>
  <c r="E116" i="1" s="1"/>
  <c r="R186" i="4"/>
  <c r="S186" i="4" s="1"/>
  <c r="T186" i="4" s="1" a="1"/>
  <c r="T186" i="4" s="1"/>
  <c r="W185" i="4"/>
  <c r="X185" i="4" s="1"/>
  <c r="Y185" i="4" s="1" a="1"/>
  <c r="Y185" i="4" s="1"/>
  <c r="M193" i="1" l="1" a="1"/>
  <c r="M193" i="1" s="1"/>
  <c r="N193" i="1" a="1"/>
  <c r="N193" i="1" s="1"/>
  <c r="Z185" i="4" a="1"/>
  <c r="Z185" i="4" s="1"/>
  <c r="Y187" i="1" s="1" a="1"/>
  <c r="Y187" i="1" s="1"/>
  <c r="U186" i="4" a="1"/>
  <c r="U186" i="4" s="1"/>
  <c r="T188" i="1" s="1" a="1"/>
  <c r="T188" i="1" s="1"/>
  <c r="I192" i="1" a="1"/>
  <c r="I192" i="1" s="1"/>
  <c r="H192" i="1" a="1"/>
  <c r="H192" i="1" s="1"/>
  <c r="C117" i="1" a="1"/>
  <c r="C117" i="1" s="1"/>
  <c r="D117" i="1" a="1"/>
  <c r="D117" i="1" s="1"/>
  <c r="C115" i="4"/>
  <c r="D115" i="4" s="1"/>
  <c r="E115" i="4" s="1" a="1"/>
  <c r="E115" i="4" s="1"/>
  <c r="M191" i="4"/>
  <c r="N191" i="4" s="1"/>
  <c r="O191" i="4" s="1" a="1"/>
  <c r="O191" i="4" s="1"/>
  <c r="H190" i="4"/>
  <c r="I190" i="4" s="1"/>
  <c r="J190" i="4" s="1" a="1"/>
  <c r="J190" i="4" s="1"/>
  <c r="W188" i="1" l="1" a="1"/>
  <c r="W188" i="1" s="1"/>
  <c r="X188" i="1" a="1"/>
  <c r="X188" i="1" s="1"/>
  <c r="R189" i="1" a="1"/>
  <c r="R189" i="1" s="1"/>
  <c r="S189" i="1" a="1"/>
  <c r="S189" i="1" s="1"/>
  <c r="P191" i="4" a="1"/>
  <c r="P191" i="4" s="1"/>
  <c r="O193" i="1" s="1" a="1"/>
  <c r="O193" i="1" s="1"/>
  <c r="K190" i="4" a="1"/>
  <c r="K190" i="4" s="1"/>
  <c r="J192" i="1" s="1" a="1"/>
  <c r="J192" i="1" s="1"/>
  <c r="F115" i="4" a="1"/>
  <c r="F115" i="4" s="1"/>
  <c r="E117" i="1" s="1" a="1"/>
  <c r="E117" i="1" s="1"/>
  <c r="W186" i="4"/>
  <c r="R187" i="4"/>
  <c r="S187" i="4" s="1"/>
  <c r="T187" i="4" s="1" a="1"/>
  <c r="T187" i="4" s="1"/>
  <c r="N194" i="1" l="1" a="1"/>
  <c r="N194" i="1" s="1"/>
  <c r="M194" i="1" a="1"/>
  <c r="M194" i="1" s="1"/>
  <c r="U187" i="4" a="1"/>
  <c r="U187" i="4" s="1"/>
  <c r="T189" i="1" s="1" a="1"/>
  <c r="T189" i="1" s="1"/>
  <c r="I193" i="1" a="1"/>
  <c r="I193" i="1" s="1"/>
  <c r="H193" i="1" a="1"/>
  <c r="H193" i="1" s="1"/>
  <c r="D118" i="1" a="1"/>
  <c r="D118" i="1" s="1"/>
  <c r="C118" i="1" a="1"/>
  <c r="C118" i="1" s="1"/>
  <c r="X186" i="4"/>
  <c r="Y186" i="4" s="1" a="1"/>
  <c r="Y186" i="4" s="1"/>
  <c r="C116" i="4"/>
  <c r="D116" i="4" s="1"/>
  <c r="E116" i="4" s="1" a="1"/>
  <c r="E116" i="4" s="1"/>
  <c r="Z186" i="4" l="1" a="1"/>
  <c r="Z186" i="4" s="1"/>
  <c r="Y188" i="1" s="1" a="1"/>
  <c r="Y188" i="1" s="1"/>
  <c r="S190" i="1" a="1"/>
  <c r="S190" i="1" s="1"/>
  <c r="R190" i="1" a="1"/>
  <c r="R190" i="1" s="1"/>
  <c r="F116" i="4" a="1"/>
  <c r="F116" i="4" s="1"/>
  <c r="E118" i="1" s="1" a="1"/>
  <c r="E118" i="1" s="1"/>
  <c r="M192" i="4"/>
  <c r="N192" i="4" s="1"/>
  <c r="O192" i="4" s="1" a="1"/>
  <c r="O192" i="4" s="1"/>
  <c r="H191" i="4"/>
  <c r="I191" i="4" s="1"/>
  <c r="J191" i="4" s="1" a="1"/>
  <c r="J191" i="4" s="1"/>
  <c r="W189" i="1" l="1" a="1"/>
  <c r="W189" i="1" s="1"/>
  <c r="X189" i="1" a="1"/>
  <c r="X189" i="1" s="1"/>
  <c r="P192" i="4" a="1"/>
  <c r="P192" i="4" s="1"/>
  <c r="O194" i="1" s="1" a="1"/>
  <c r="O194" i="1" s="1"/>
  <c r="K191" i="4" a="1"/>
  <c r="K191" i="4" s="1"/>
  <c r="J193" i="1" s="1" a="1"/>
  <c r="J193" i="1" s="1"/>
  <c r="C119" i="1" a="1"/>
  <c r="C119" i="1" s="1"/>
  <c r="D119" i="1" a="1"/>
  <c r="D119" i="1" s="1"/>
  <c r="W187" i="4"/>
  <c r="X187" i="4" s="1"/>
  <c r="Y187" i="4" s="1" a="1"/>
  <c r="Y187" i="4" s="1"/>
  <c r="R188" i="4"/>
  <c r="S188" i="4" s="1"/>
  <c r="T188" i="4" s="1" a="1"/>
  <c r="T188" i="4" s="1"/>
  <c r="C117" i="4"/>
  <c r="D117" i="4" s="1"/>
  <c r="E117" i="4" s="1" a="1"/>
  <c r="E117" i="4" s="1"/>
  <c r="Z187" i="4" l="1" a="1"/>
  <c r="Z187" i="4" s="1"/>
  <c r="Y189" i="1" s="1" a="1"/>
  <c r="Y189" i="1" s="1"/>
  <c r="U188" i="4" a="1"/>
  <c r="U188" i="4" s="1"/>
  <c r="T190" i="1" s="1" a="1"/>
  <c r="T190" i="1" s="1"/>
  <c r="H194" i="1" a="1"/>
  <c r="H194" i="1" s="1"/>
  <c r="M195" i="1" a="1"/>
  <c r="M195" i="1" s="1"/>
  <c r="N195" i="1" a="1"/>
  <c r="N195" i="1" s="1"/>
  <c r="I194" i="1" a="1"/>
  <c r="I194" i="1" s="1"/>
  <c r="F117" i="4" a="1"/>
  <c r="F117" i="4" s="1"/>
  <c r="E119" i="1" s="1" a="1"/>
  <c r="E119" i="1" s="1"/>
  <c r="W188" i="4"/>
  <c r="X188" i="4" s="1"/>
  <c r="Y188" i="4" s="1" a="1"/>
  <c r="Y188" i="4" s="1"/>
  <c r="X190" i="1" l="1" a="1"/>
  <c r="X190" i="1" s="1"/>
  <c r="W190" i="1" a="1"/>
  <c r="W190" i="1" s="1"/>
  <c r="Z188" i="4" a="1"/>
  <c r="Z188" i="4" s="1"/>
  <c r="Y190" i="1" s="1" a="1"/>
  <c r="Y190" i="1" s="1"/>
  <c r="R191" i="1" a="1"/>
  <c r="R191" i="1" s="1"/>
  <c r="S191" i="1" a="1"/>
  <c r="S191" i="1" s="1"/>
  <c r="C120" i="1" a="1"/>
  <c r="C120" i="1" s="1"/>
  <c r="D120" i="1" a="1"/>
  <c r="D120" i="1" s="1"/>
  <c r="R189" i="4"/>
  <c r="S189" i="4" s="1"/>
  <c r="T189" i="4" s="1" a="1"/>
  <c r="T189" i="4" s="1"/>
  <c r="C118" i="4"/>
  <c r="D118" i="4" s="1"/>
  <c r="E118" i="4" s="1" a="1"/>
  <c r="E118" i="4" s="1"/>
  <c r="M193" i="4"/>
  <c r="N193" i="4" s="1"/>
  <c r="O193" i="4" s="1" a="1"/>
  <c r="O193" i="4" s="1"/>
  <c r="H192" i="4"/>
  <c r="I192" i="4" s="1"/>
  <c r="J192" i="4" s="1" a="1"/>
  <c r="J192" i="4" s="1"/>
  <c r="W189" i="4"/>
  <c r="X189" i="4" s="1"/>
  <c r="Y189" i="4" s="1" a="1"/>
  <c r="Y189" i="4" s="1"/>
  <c r="W191" i="1" l="1" a="1"/>
  <c r="W191" i="1" s="1"/>
  <c r="X191" i="1" a="1"/>
  <c r="X191" i="1" s="1"/>
  <c r="Z189" i="4" a="1"/>
  <c r="Z189" i="4" s="1"/>
  <c r="Y191" i="1" s="1" a="1"/>
  <c r="Y191" i="1" s="1"/>
  <c r="U189" i="4" a="1"/>
  <c r="U189" i="4" s="1"/>
  <c r="T191" i="1" s="1" a="1"/>
  <c r="T191" i="1" s="1"/>
  <c r="P193" i="4" a="1"/>
  <c r="P193" i="4" s="1"/>
  <c r="O195" i="1" s="1" a="1"/>
  <c r="O195" i="1" s="1"/>
  <c r="K192" i="4" a="1"/>
  <c r="K192" i="4" s="1"/>
  <c r="J194" i="1" s="1" a="1"/>
  <c r="J194" i="1" s="1"/>
  <c r="F118" i="4" a="1"/>
  <c r="F118" i="4" s="1"/>
  <c r="E120" i="1" s="1" a="1"/>
  <c r="E120" i="1" s="1"/>
  <c r="C119" i="4"/>
  <c r="D119" i="4" s="1"/>
  <c r="E119" i="4" s="1" a="1"/>
  <c r="E119" i="4" s="1"/>
  <c r="R190" i="4"/>
  <c r="S190" i="4" s="1"/>
  <c r="T190" i="4" s="1" a="1"/>
  <c r="T190" i="4" s="1"/>
  <c r="W192" i="1" l="1" a="1"/>
  <c r="W192" i="1" s="1"/>
  <c r="X192" i="1" a="1"/>
  <c r="X192" i="1" s="1"/>
  <c r="N196" i="1" a="1"/>
  <c r="N196" i="1" s="1"/>
  <c r="M196" i="1" a="1"/>
  <c r="M196" i="1" s="1"/>
  <c r="I195" i="1" a="1"/>
  <c r="I195" i="1" s="1"/>
  <c r="H195" i="1" a="1"/>
  <c r="H195" i="1" s="1"/>
  <c r="U190" i="4" a="1"/>
  <c r="U190" i="4" s="1"/>
  <c r="T192" i="1" s="1" a="1"/>
  <c r="T192" i="1" s="1"/>
  <c r="S192" i="1" a="1"/>
  <c r="S192" i="1" s="1"/>
  <c r="R192" i="1" a="1"/>
  <c r="R192" i="1" s="1"/>
  <c r="C121" i="1" a="1"/>
  <c r="C121" i="1" s="1"/>
  <c r="D121" i="1" a="1"/>
  <c r="D121" i="1" s="1"/>
  <c r="F119" i="4" a="1"/>
  <c r="F119" i="4" s="1"/>
  <c r="E121" i="1" s="1" a="1"/>
  <c r="E121" i="1" s="1"/>
  <c r="W190" i="4"/>
  <c r="X190" i="4" s="1"/>
  <c r="Y190" i="4" s="1" a="1"/>
  <c r="Y190" i="4" s="1"/>
  <c r="M194" i="4"/>
  <c r="N194" i="4" s="1"/>
  <c r="O194" i="4" s="1" a="1"/>
  <c r="O194" i="4" s="1"/>
  <c r="H193" i="4"/>
  <c r="I193" i="4" s="1"/>
  <c r="J193" i="4" s="1" a="1"/>
  <c r="J193" i="4" s="1"/>
  <c r="Z190" i="4" l="1" a="1"/>
  <c r="Z190" i="4" s="1"/>
  <c r="Y192" i="1" s="1" a="1"/>
  <c r="Y192" i="1" s="1"/>
  <c r="R193" i="1" a="1"/>
  <c r="R193" i="1" s="1"/>
  <c r="S193" i="1" a="1"/>
  <c r="S193" i="1" s="1"/>
  <c r="P194" i="4" a="1"/>
  <c r="P194" i="4" s="1"/>
  <c r="O196" i="1" s="1" a="1"/>
  <c r="O196" i="1" s="1"/>
  <c r="K193" i="4" a="1"/>
  <c r="K193" i="4" s="1"/>
  <c r="J195" i="1" s="1" a="1"/>
  <c r="J195" i="1" s="1"/>
  <c r="C122" i="1" a="1"/>
  <c r="C122" i="1" s="1"/>
  <c r="D122" i="1" a="1"/>
  <c r="D122" i="1" s="1"/>
  <c r="C120" i="4"/>
  <c r="D120" i="4" s="1"/>
  <c r="E120" i="4" s="1" a="1"/>
  <c r="E120" i="4" s="1"/>
  <c r="R191" i="4"/>
  <c r="S191" i="4" s="1"/>
  <c r="T191" i="4" s="1" a="1"/>
  <c r="T191" i="4" s="1"/>
  <c r="W193" i="1" l="1" a="1"/>
  <c r="W193" i="1" s="1"/>
  <c r="X193" i="1" a="1"/>
  <c r="X193" i="1" s="1"/>
  <c r="M197" i="1" a="1"/>
  <c r="M197" i="1" s="1"/>
  <c r="U191" i="4" a="1"/>
  <c r="U191" i="4" s="1"/>
  <c r="T193" i="1" s="1" a="1"/>
  <c r="T193" i="1" s="1"/>
  <c r="N197" i="1" a="1"/>
  <c r="N197" i="1" s="1"/>
  <c r="I196" i="1" a="1"/>
  <c r="I196" i="1" s="1"/>
  <c r="H196" i="1" a="1"/>
  <c r="H196" i="1" s="1"/>
  <c r="F120" i="4" a="1"/>
  <c r="F120" i="4" s="1"/>
  <c r="E122" i="1" s="1" a="1"/>
  <c r="E122" i="1" s="1"/>
  <c r="S194" i="1" l="1" a="1"/>
  <c r="S194" i="1" s="1"/>
  <c r="R194" i="1" a="1"/>
  <c r="R194" i="1" s="1"/>
  <c r="C123" i="1" a="1"/>
  <c r="C123" i="1" s="1"/>
  <c r="D123" i="1" a="1"/>
  <c r="D123" i="1" s="1"/>
  <c r="W191" i="4"/>
  <c r="X191" i="4" s="1"/>
  <c r="Y191" i="4" s="1" a="1"/>
  <c r="Y191" i="4" s="1"/>
  <c r="C121" i="4"/>
  <c r="D121" i="4" s="1"/>
  <c r="E121" i="4" s="1" a="1"/>
  <c r="E121" i="4" s="1"/>
  <c r="M195" i="4"/>
  <c r="N195" i="4" s="1"/>
  <c r="O195" i="4" s="1" a="1"/>
  <c r="O195" i="4" s="1"/>
  <c r="R192" i="4"/>
  <c r="S192" i="4" s="1"/>
  <c r="T192" i="4" s="1" a="1"/>
  <c r="T192" i="4" s="1"/>
  <c r="H194" i="4"/>
  <c r="I194" i="4" s="1"/>
  <c r="J194" i="4" s="1" a="1"/>
  <c r="J194" i="4" s="1"/>
  <c r="Z191" i="4" l="1" a="1"/>
  <c r="Z191" i="4" s="1"/>
  <c r="Y193" i="1" s="1" a="1"/>
  <c r="Y193" i="1" s="1"/>
  <c r="U192" i="4" a="1"/>
  <c r="U192" i="4" s="1"/>
  <c r="T194" i="1" s="1" a="1"/>
  <c r="T194" i="1" s="1"/>
  <c r="P195" i="4" a="1"/>
  <c r="P195" i="4" s="1"/>
  <c r="O197" i="1" s="1" a="1"/>
  <c r="O197" i="1" s="1"/>
  <c r="K194" i="4" a="1"/>
  <c r="K194" i="4" s="1"/>
  <c r="J196" i="1" s="1" a="1"/>
  <c r="J196" i="1" s="1"/>
  <c r="F121" i="4" a="1"/>
  <c r="F121" i="4" s="1"/>
  <c r="E123" i="1" s="1" a="1"/>
  <c r="E123" i="1" s="1"/>
  <c r="W194" i="1" l="1" a="1"/>
  <c r="W194" i="1" s="1"/>
  <c r="X194" i="1" a="1"/>
  <c r="X194" i="1" s="1"/>
  <c r="N198" i="1" a="1"/>
  <c r="N198" i="1" s="1"/>
  <c r="H197" i="1" a="1"/>
  <c r="H197" i="1" s="1"/>
  <c r="M198" i="1" a="1"/>
  <c r="M198" i="1" s="1"/>
  <c r="R195" i="1" a="1"/>
  <c r="R195" i="1" s="1"/>
  <c r="S195" i="1" a="1"/>
  <c r="S195" i="1" s="1"/>
  <c r="I197" i="1" a="1"/>
  <c r="I197" i="1" s="1"/>
  <c r="C124" i="1" a="1"/>
  <c r="C124" i="1" s="1"/>
  <c r="D124" i="1" a="1"/>
  <c r="D124" i="1" s="1"/>
  <c r="W192" i="4"/>
  <c r="X192" i="4" s="1"/>
  <c r="Y192" i="4" s="1" a="1"/>
  <c r="Y192" i="4" s="1"/>
  <c r="C122" i="4"/>
  <c r="D122" i="4" s="1"/>
  <c r="E122" i="4" s="1" a="1"/>
  <c r="E122" i="4" s="1"/>
  <c r="M196" i="4"/>
  <c r="H195" i="4"/>
  <c r="I195" i="4" s="1"/>
  <c r="J195" i="4" s="1" a="1"/>
  <c r="J195" i="4" s="1"/>
  <c r="Z192" i="4" l="1" a="1"/>
  <c r="Z192" i="4" s="1"/>
  <c r="Y194" i="1" s="1" a="1"/>
  <c r="Y194" i="1" s="1"/>
  <c r="K195" i="4" a="1"/>
  <c r="K195" i="4" s="1"/>
  <c r="J197" i="1" s="1" a="1"/>
  <c r="J197" i="1" s="1"/>
  <c r="F122" i="4" a="1"/>
  <c r="F122" i="4" s="1"/>
  <c r="E124" i="1" s="1" a="1"/>
  <c r="E124" i="1" s="1"/>
  <c r="N196" i="4"/>
  <c r="O196" i="4" s="1" a="1"/>
  <c r="O196" i="4" s="1"/>
  <c r="R193" i="4"/>
  <c r="S193" i="4" s="1"/>
  <c r="T193" i="4" s="1" a="1"/>
  <c r="T193" i="4" s="1"/>
  <c r="X195" i="1" l="1" a="1"/>
  <c r="X195" i="1" s="1"/>
  <c r="W195" i="1" a="1"/>
  <c r="W195" i="1" s="1"/>
  <c r="I198" i="1" a="1"/>
  <c r="I198" i="1" s="1"/>
  <c r="U193" i="4" a="1"/>
  <c r="U193" i="4" s="1"/>
  <c r="T195" i="1" s="1" a="1"/>
  <c r="T195" i="1" s="1"/>
  <c r="H198" i="1" a="1"/>
  <c r="H198" i="1" s="1"/>
  <c r="P196" i="4" a="1"/>
  <c r="P196" i="4" s="1"/>
  <c r="O198" i="1" s="1" a="1"/>
  <c r="O198" i="1" s="1"/>
  <c r="C125" i="1" a="1"/>
  <c r="C125" i="1" s="1"/>
  <c r="D125" i="1" a="1"/>
  <c r="D125" i="1" s="1"/>
  <c r="M197" i="4"/>
  <c r="N197" i="4" s="1"/>
  <c r="O197" i="4" s="1" a="1"/>
  <c r="O197" i="4" s="1"/>
  <c r="C123" i="4"/>
  <c r="D123" i="4" s="1"/>
  <c r="E123" i="4" s="1" a="1"/>
  <c r="E123" i="4" s="1"/>
  <c r="N199" i="1" l="1" a="1"/>
  <c r="N199" i="1" s="1"/>
  <c r="R196" i="1" a="1"/>
  <c r="R196" i="1" s="1"/>
  <c r="M199" i="1" a="1"/>
  <c r="M199" i="1" s="1"/>
  <c r="S196" i="1" a="1"/>
  <c r="S196" i="1" s="1"/>
  <c r="P197" i="4" a="1"/>
  <c r="P197" i="4" s="1"/>
  <c r="O199" i="1" s="1" a="1"/>
  <c r="O199" i="1" s="1"/>
  <c r="F123" i="4" a="1"/>
  <c r="F123" i="4" s="1"/>
  <c r="E125" i="1" s="1" a="1"/>
  <c r="E125" i="1" s="1"/>
  <c r="W193" i="4"/>
  <c r="X193" i="4" s="1"/>
  <c r="Y193" i="4" s="1" a="1"/>
  <c r="Y193" i="4" s="1"/>
  <c r="H196" i="4"/>
  <c r="I196" i="4" s="1"/>
  <c r="J196" i="4" s="1" a="1"/>
  <c r="J196" i="4" s="1"/>
  <c r="Z193" i="4" l="1" a="1"/>
  <c r="Z193" i="4" s="1"/>
  <c r="Y195" i="1" s="1" a="1"/>
  <c r="Y195" i="1" s="1"/>
  <c r="N200" i="1" a="1"/>
  <c r="N200" i="1" s="1"/>
  <c r="M200" i="1" a="1"/>
  <c r="M200" i="1" s="1"/>
  <c r="K196" i="4" a="1"/>
  <c r="K196" i="4" s="1"/>
  <c r="J198" i="1" s="1" a="1"/>
  <c r="J198" i="1" s="1"/>
  <c r="D126" i="1" a="1"/>
  <c r="D126" i="1" s="1"/>
  <c r="C126" i="1" a="1"/>
  <c r="C126" i="1" s="1"/>
  <c r="C124" i="4"/>
  <c r="D124" i="4" s="1"/>
  <c r="E124" i="4" s="1" a="1"/>
  <c r="E124" i="4" s="1"/>
  <c r="M198" i="4"/>
  <c r="H199" i="1" l="1" a="1"/>
  <c r="H199" i="1" s="1"/>
  <c r="I199" i="1" a="1"/>
  <c r="I199" i="1" s="1"/>
  <c r="W196" i="1" a="1"/>
  <c r="W196" i="1" s="1"/>
  <c r="X196" i="1" a="1"/>
  <c r="X196" i="1" s="1"/>
  <c r="F124" i="4" a="1"/>
  <c r="F124" i="4" s="1"/>
  <c r="E126" i="1" s="1" a="1"/>
  <c r="E126" i="1" s="1"/>
  <c r="N198" i="4"/>
  <c r="O198" i="4" s="1" a="1"/>
  <c r="O198" i="4" s="1"/>
  <c r="R194" i="4"/>
  <c r="S194" i="4" s="1"/>
  <c r="T194" i="4" s="1" a="1"/>
  <c r="T194" i="4" s="1"/>
  <c r="U194" i="4" l="1" a="1"/>
  <c r="U194" i="4" s="1"/>
  <c r="T196" i="1" s="1" a="1"/>
  <c r="T196" i="1" s="1"/>
  <c r="P198" i="4" a="1"/>
  <c r="P198" i="4" s="1"/>
  <c r="O200" i="1" s="1" a="1"/>
  <c r="O200" i="1" s="1"/>
  <c r="C127" i="1" a="1"/>
  <c r="C127" i="1" s="1"/>
  <c r="D127" i="1" a="1"/>
  <c r="D127" i="1" s="1"/>
  <c r="H197" i="4"/>
  <c r="I197" i="4" s="1"/>
  <c r="J197" i="4" s="1" a="1"/>
  <c r="J197" i="4" s="1"/>
  <c r="M201" i="1" l="1" a="1"/>
  <c r="M201" i="1" s="1"/>
  <c r="N201" i="1" a="1"/>
  <c r="N201" i="1" s="1"/>
  <c r="R197" i="1" a="1"/>
  <c r="R197" i="1" s="1"/>
  <c r="S197" i="1" a="1"/>
  <c r="S197" i="1" s="1"/>
  <c r="K197" i="4" a="1"/>
  <c r="K197" i="4" s="1"/>
  <c r="J199" i="1" s="1" a="1"/>
  <c r="J199" i="1" s="1"/>
  <c r="C125" i="4"/>
  <c r="D125" i="4" s="1"/>
  <c r="E125" i="4" s="1" a="1"/>
  <c r="E125" i="4" s="1"/>
  <c r="W194" i="4"/>
  <c r="X194" i="4" s="1"/>
  <c r="Y194" i="4" s="1" a="1"/>
  <c r="Y194" i="4" s="1"/>
  <c r="R195" i="4"/>
  <c r="S195" i="4" s="1"/>
  <c r="T195" i="4" s="1" a="1"/>
  <c r="T195" i="4" s="1"/>
  <c r="G30" i="5"/>
  <c r="G46" i="5"/>
  <c r="G11" i="5"/>
  <c r="G97" i="5"/>
  <c r="G68" i="5"/>
  <c r="G60" i="5"/>
  <c r="G76" i="5"/>
  <c r="G24" i="5"/>
  <c r="G5" i="5"/>
  <c r="G91" i="5"/>
  <c r="G36" i="5"/>
  <c r="G39" i="5"/>
  <c r="G33" i="5"/>
  <c r="G78" i="5"/>
  <c r="G86" i="5"/>
  <c r="G13" i="5"/>
  <c r="G75" i="5"/>
  <c r="G89" i="5"/>
  <c r="G93" i="5"/>
  <c r="G18" i="5"/>
  <c r="G45" i="5"/>
  <c r="G77" i="5"/>
  <c r="G23" i="5"/>
  <c r="G48" i="5"/>
  <c r="G53" i="5"/>
  <c r="G70" i="5"/>
  <c r="G40" i="5"/>
  <c r="G4" i="5"/>
  <c r="G90" i="5"/>
  <c r="G92" i="5"/>
  <c r="G83" i="5"/>
  <c r="G65" i="5"/>
  <c r="G25" i="5"/>
  <c r="G79" i="5"/>
  <c r="G8" i="5"/>
  <c r="G69" i="5"/>
  <c r="G84" i="5"/>
  <c r="G29" i="5"/>
  <c r="G49" i="5"/>
  <c r="G87" i="5"/>
  <c r="G58" i="5"/>
  <c r="G56" i="5"/>
  <c r="G43" i="5"/>
  <c r="G96" i="5"/>
  <c r="G82" i="5"/>
  <c r="G7" i="5"/>
  <c r="G17" i="5"/>
  <c r="G51" i="5"/>
  <c r="Z194" i="4" l="1" a="1"/>
  <c r="Z194" i="4" s="1"/>
  <c r="Y196" i="1" s="1" a="1"/>
  <c r="Y196" i="1" s="1"/>
  <c r="U195" i="4" a="1"/>
  <c r="U195" i="4" s="1"/>
  <c r="T197" i="1" s="1" a="1"/>
  <c r="T197" i="1" s="1"/>
  <c r="I200" i="1" a="1"/>
  <c r="I200" i="1" s="1"/>
  <c r="H200" i="1" a="1"/>
  <c r="H200" i="1" s="1"/>
  <c r="F125" i="4" a="1"/>
  <c r="F125" i="4" s="1"/>
  <c r="E127" i="1" s="1" a="1"/>
  <c r="E127" i="1" s="1"/>
  <c r="G35" i="5"/>
  <c r="G15" i="5"/>
  <c r="G50" i="5"/>
  <c r="G54" i="5"/>
  <c r="G41" i="5"/>
  <c r="G32" i="5"/>
  <c r="G34" i="5"/>
  <c r="G2" i="5"/>
  <c r="G31" i="5"/>
  <c r="G85" i="5"/>
  <c r="G21" i="5"/>
  <c r="G57" i="5"/>
  <c r="G80" i="5"/>
  <c r="G67" i="5"/>
  <c r="G16" i="5"/>
  <c r="G101" i="5"/>
  <c r="G14" i="5"/>
  <c r="G47" i="5"/>
  <c r="G19" i="5"/>
  <c r="G98" i="5"/>
  <c r="G72" i="5"/>
  <c r="G73" i="5"/>
  <c r="G63" i="5"/>
  <c r="G88" i="5"/>
  <c r="G62" i="5"/>
  <c r="G27" i="5"/>
  <c r="G100" i="5"/>
  <c r="G3" i="5"/>
  <c r="G28" i="5"/>
  <c r="G52" i="5"/>
  <c r="G10" i="5"/>
  <c r="G26" i="5"/>
  <c r="G9" i="5"/>
  <c r="G61" i="5"/>
  <c r="G66" i="5"/>
  <c r="G99" i="5"/>
  <c r="G74" i="5"/>
  <c r="G20" i="5"/>
  <c r="G95" i="5"/>
  <c r="G81" i="5"/>
  <c r="G44" i="5"/>
  <c r="G6" i="5"/>
  <c r="G12" i="5"/>
  <c r="G22" i="5"/>
  <c r="G55" i="5"/>
  <c r="G37" i="5"/>
  <c r="G64" i="5"/>
  <c r="G94" i="5"/>
  <c r="G71" i="5"/>
  <c r="G59" i="5"/>
  <c r="G42" i="5"/>
  <c r="G38" i="5"/>
  <c r="W197" i="1" l="1" a="1"/>
  <c r="W197" i="1" s="1"/>
  <c r="X197" i="1" a="1"/>
  <c r="X197" i="1" s="1"/>
  <c r="S198" i="1" a="1"/>
  <c r="S198" i="1" s="1"/>
  <c r="R198" i="1" a="1"/>
  <c r="R198" i="1" s="1"/>
  <c r="C128" i="1" a="1"/>
  <c r="C128" i="1" s="1"/>
  <c r="D128" i="1" a="1"/>
  <c r="D128" i="1" s="1"/>
  <c r="R196" i="4"/>
  <c r="S196" i="4" s="1"/>
  <c r="T196" i="4" s="1" a="1"/>
  <c r="T196" i="4" s="1"/>
  <c r="H198" i="4"/>
  <c r="C126" i="4"/>
  <c r="D126" i="4" s="1"/>
  <c r="E126" i="4" s="1" a="1"/>
  <c r="E126" i="4" s="1"/>
  <c r="U196" i="4" l="1" a="1"/>
  <c r="U196" i="4" s="1"/>
  <c r="T198" i="1" s="1" a="1"/>
  <c r="T198" i="1" s="1"/>
  <c r="F126" i="4" a="1"/>
  <c r="F126" i="4" s="1"/>
  <c r="E128" i="1" s="1" a="1"/>
  <c r="E128" i="1" s="1"/>
  <c r="I198" i="4"/>
  <c r="J198" i="4" s="1" a="1"/>
  <c r="J198" i="4" s="1"/>
  <c r="W195" i="4"/>
  <c r="X195" i="4" s="1"/>
  <c r="Y195" i="4" s="1" a="1"/>
  <c r="Y195" i="4" s="1"/>
  <c r="Z195" i="4" l="1" a="1"/>
  <c r="Z195" i="4" s="1"/>
  <c r="Y197" i="1" s="1" a="1"/>
  <c r="Y197" i="1" s="1"/>
  <c r="R199" i="1" a="1"/>
  <c r="R199" i="1" s="1"/>
  <c r="S199" i="1" a="1"/>
  <c r="S199" i="1" s="1"/>
  <c r="K198" i="4" a="1"/>
  <c r="K198" i="4" s="1"/>
  <c r="J200" i="1" s="1" a="1"/>
  <c r="J200" i="1" s="1"/>
  <c r="C129" i="1" a="1"/>
  <c r="C129" i="1" s="1"/>
  <c r="D129" i="1" a="1"/>
  <c r="D129" i="1" s="1"/>
  <c r="R197" i="4"/>
  <c r="S197" i="4" s="1"/>
  <c r="T197" i="4" s="1" a="1"/>
  <c r="T197" i="4" s="1"/>
  <c r="C127" i="4"/>
  <c r="D127" i="4" s="1"/>
  <c r="E127" i="4" s="1" a="1"/>
  <c r="E127" i="4" s="1"/>
  <c r="H201" i="1" l="1" a="1"/>
  <c r="H201" i="1" s="1"/>
  <c r="W198" i="1" a="1"/>
  <c r="W198" i="1" s="1"/>
  <c r="X198" i="1" a="1"/>
  <c r="X198" i="1" s="1"/>
  <c r="U197" i="4" a="1"/>
  <c r="U197" i="4" s="1"/>
  <c r="T199" i="1" s="1" a="1"/>
  <c r="T199" i="1" s="1"/>
  <c r="I201" i="1" a="1"/>
  <c r="I201" i="1" s="1"/>
  <c r="F127" i="4" a="1"/>
  <c r="F127" i="4" s="1"/>
  <c r="E129" i="1" s="1" a="1"/>
  <c r="E129" i="1" s="1"/>
  <c r="W196" i="4"/>
  <c r="X196" i="4" s="1"/>
  <c r="Y196" i="4" s="1" a="1"/>
  <c r="Y196" i="4" s="1"/>
  <c r="C128" i="4"/>
  <c r="D128" i="4" s="1"/>
  <c r="E128" i="4" s="1" a="1"/>
  <c r="E128" i="4" s="1"/>
  <c r="R198" i="4"/>
  <c r="S198" i="4" s="1"/>
  <c r="T198" i="4" s="1" a="1"/>
  <c r="T198" i="4" s="1"/>
  <c r="F45" i="5"/>
  <c r="F91" i="5"/>
  <c r="F23" i="5"/>
  <c r="F47" i="5"/>
  <c r="F72" i="5"/>
  <c r="F22" i="5"/>
  <c r="F99" i="5"/>
  <c r="F66" i="5"/>
  <c r="F96" i="5"/>
  <c r="F57" i="5"/>
  <c r="F55" i="5"/>
  <c r="F71" i="5"/>
  <c r="F50" i="5"/>
  <c r="F5" i="5"/>
  <c r="F16" i="5"/>
  <c r="F61" i="5"/>
  <c r="F89" i="5"/>
  <c r="F92" i="5"/>
  <c r="F4" i="5"/>
  <c r="F75" i="5"/>
  <c r="F18" i="5"/>
  <c r="F65" i="5"/>
  <c r="F13" i="5"/>
  <c r="F14" i="5"/>
  <c r="F33" i="5"/>
  <c r="F69" i="5"/>
  <c r="F86" i="5"/>
  <c r="F26" i="5"/>
  <c r="F88" i="5"/>
  <c r="F37" i="5"/>
  <c r="F58" i="5"/>
  <c r="F73" i="5"/>
  <c r="F93" i="5"/>
  <c r="F77" i="5"/>
  <c r="F44" i="5"/>
  <c r="F74" i="5"/>
  <c r="F29" i="5"/>
  <c r="F38" i="5"/>
  <c r="F43" i="5"/>
  <c r="F68" i="5"/>
  <c r="F34" i="5"/>
  <c r="F32" i="5"/>
  <c r="F31" i="5"/>
  <c r="F40" i="5"/>
  <c r="F42" i="5"/>
  <c r="F70" i="5"/>
  <c r="F59" i="5"/>
  <c r="F49" i="5"/>
  <c r="F85" i="5"/>
  <c r="F97" i="5"/>
  <c r="F95" i="5"/>
  <c r="F80" i="5"/>
  <c r="F48" i="5"/>
  <c r="F9" i="5"/>
  <c r="F62" i="5"/>
  <c r="F87" i="5"/>
  <c r="F19" i="5"/>
  <c r="F82" i="5"/>
  <c r="F54" i="5"/>
  <c r="F41" i="5"/>
  <c r="F46" i="5"/>
  <c r="F10" i="5"/>
  <c r="F11" i="5"/>
  <c r="F36" i="5"/>
  <c r="F101" i="5"/>
  <c r="F12" i="5"/>
  <c r="F51" i="5"/>
  <c r="F17" i="5"/>
  <c r="F81" i="5"/>
  <c r="F8" i="5"/>
  <c r="F7" i="5"/>
  <c r="F24" i="5"/>
  <c r="F90" i="5"/>
  <c r="F100" i="5"/>
  <c r="F35" i="5"/>
  <c r="F83" i="5"/>
  <c r="F3" i="5"/>
  <c r="F56" i="5"/>
  <c r="F28" i="5"/>
  <c r="F2" i="5"/>
  <c r="F39" i="5"/>
  <c r="F60" i="5"/>
  <c r="F30" i="5"/>
  <c r="F21" i="5"/>
  <c r="F52" i="5"/>
  <c r="F25" i="5"/>
  <c r="F64" i="5"/>
  <c r="F94" i="5"/>
  <c r="F84" i="5"/>
  <c r="F6" i="5"/>
  <c r="F79" i="5"/>
  <c r="F76" i="5"/>
  <c r="F78" i="5"/>
  <c r="F67" i="5"/>
  <c r="F15" i="5"/>
  <c r="F27" i="5"/>
  <c r="F98" i="5"/>
  <c r="F20" i="5"/>
  <c r="F53" i="5"/>
  <c r="F63" i="5"/>
  <c r="Z196" i="4" l="1" a="1"/>
  <c r="Z196" i="4" s="1"/>
  <c r="Y198" i="1" s="1" a="1"/>
  <c r="Y198" i="1" s="1"/>
  <c r="S200" i="1" a="1"/>
  <c r="S200" i="1" s="1"/>
  <c r="U198" i="4" a="1"/>
  <c r="U198" i="4" s="1"/>
  <c r="T200" i="1" s="1" a="1"/>
  <c r="T200" i="1" s="1"/>
  <c r="R200" i="1" a="1"/>
  <c r="R200" i="1" s="1"/>
  <c r="C130" i="1" a="1"/>
  <c r="C130" i="1" s="1"/>
  <c r="D130" i="1" a="1"/>
  <c r="D130" i="1" s="1"/>
  <c r="F128" i="4" a="1"/>
  <c r="F128" i="4" s="1"/>
  <c r="E130" i="1" s="1" a="1"/>
  <c r="E130" i="1" s="1"/>
  <c r="C129" i="4"/>
  <c r="D129" i="4" s="1"/>
  <c r="E129" i="4" s="1" a="1"/>
  <c r="E129" i="4" s="1"/>
  <c r="W199" i="1" l="1" a="1"/>
  <c r="W199" i="1" s="1"/>
  <c r="X199" i="1" a="1"/>
  <c r="X199" i="1" s="1"/>
  <c r="R201" i="1" a="1"/>
  <c r="R201" i="1" s="1"/>
  <c r="S201" i="1" a="1"/>
  <c r="S201" i="1" s="1"/>
  <c r="C131" i="1" a="1"/>
  <c r="C131" i="1" s="1"/>
  <c r="D131" i="1" a="1"/>
  <c r="D131" i="1" s="1"/>
  <c r="F129" i="4" a="1"/>
  <c r="F129" i="4" s="1"/>
  <c r="E131" i="1" s="1" a="1"/>
  <c r="E131" i="1" s="1"/>
  <c r="W197" i="4"/>
  <c r="X197" i="4" s="1"/>
  <c r="Y197" i="4" s="1" a="1"/>
  <c r="Y197" i="4" s="1"/>
  <c r="H42" i="5"/>
  <c r="H70" i="5"/>
  <c r="H2" i="5"/>
  <c r="H30" i="5"/>
  <c r="H41" i="5"/>
  <c r="H34" i="5"/>
  <c r="H13" i="5"/>
  <c r="H39" i="5"/>
  <c r="H9" i="5"/>
  <c r="H98" i="5"/>
  <c r="H48" i="5"/>
  <c r="H99" i="5"/>
  <c r="H66" i="5"/>
  <c r="H36" i="5"/>
  <c r="H85" i="5"/>
  <c r="H80" i="5"/>
  <c r="H25" i="5"/>
  <c r="H26" i="5"/>
  <c r="H44" i="5"/>
  <c r="H56" i="5"/>
  <c r="H31" i="5"/>
  <c r="H7" i="5"/>
  <c r="H62" i="5"/>
  <c r="H87" i="5"/>
  <c r="H15" i="5"/>
  <c r="H57" i="5"/>
  <c r="H32" i="5"/>
  <c r="H4" i="5"/>
  <c r="H16" i="5"/>
  <c r="H78" i="5"/>
  <c r="H49" i="5"/>
  <c r="H81" i="5"/>
  <c r="H38" i="5"/>
  <c r="H8" i="5"/>
  <c r="H21" i="5"/>
  <c r="H67" i="5"/>
  <c r="H52" i="5"/>
  <c r="H18" i="5"/>
  <c r="H83" i="5"/>
  <c r="H33" i="5"/>
  <c r="H94" i="5"/>
  <c r="H37" i="5"/>
  <c r="H60" i="5"/>
  <c r="H29" i="5"/>
  <c r="H20" i="5"/>
  <c r="H19" i="5"/>
  <c r="H28" i="5"/>
  <c r="H96" i="5"/>
  <c r="H24" i="5"/>
  <c r="H14" i="5"/>
  <c r="H59" i="5"/>
  <c r="H92" i="5"/>
  <c r="H23" i="5"/>
  <c r="Z197" i="4" l="1" a="1"/>
  <c r="Z197" i="4" s="1"/>
  <c r="Y199" i="1" s="1" a="1"/>
  <c r="Y199" i="1" s="1"/>
  <c r="D132" i="1" a="1"/>
  <c r="D132" i="1" s="1"/>
  <c r="C132" i="1" a="1"/>
  <c r="C132" i="1" s="1"/>
  <c r="C130" i="4"/>
  <c r="D130" i="4" s="1"/>
  <c r="E130" i="4" s="1" a="1"/>
  <c r="E130" i="4" s="1"/>
  <c r="H46" i="5"/>
  <c r="H50" i="5"/>
  <c r="H75" i="5"/>
  <c r="H5" i="5"/>
  <c r="H35" i="5"/>
  <c r="H69" i="5"/>
  <c r="H95" i="5"/>
  <c r="H53" i="5"/>
  <c r="H27" i="5"/>
  <c r="H68" i="5"/>
  <c r="H43" i="5"/>
  <c r="H101" i="5"/>
  <c r="H22" i="5"/>
  <c r="H51" i="5"/>
  <c r="H77" i="5"/>
  <c r="H90" i="5"/>
  <c r="H73" i="5"/>
  <c r="H6" i="5"/>
  <c r="H61" i="5"/>
  <c r="H63" i="5"/>
  <c r="H58" i="5"/>
  <c r="H10" i="5"/>
  <c r="H65" i="5"/>
  <c r="H72" i="5"/>
  <c r="H11" i="5"/>
  <c r="H82" i="5"/>
  <c r="H74" i="5"/>
  <c r="H89" i="5"/>
  <c r="H79" i="5"/>
  <c r="H86" i="5"/>
  <c r="H3" i="5"/>
  <c r="H55" i="5"/>
  <c r="H97" i="5"/>
  <c r="H12" i="5"/>
  <c r="H93" i="5"/>
  <c r="H91" i="5"/>
  <c r="H64" i="5"/>
  <c r="H88" i="5"/>
  <c r="H54" i="5"/>
  <c r="H76" i="5"/>
  <c r="H71" i="5"/>
  <c r="H84" i="5"/>
  <c r="H100" i="5"/>
  <c r="H45" i="5"/>
  <c r="H40" i="5"/>
  <c r="H17" i="5"/>
  <c r="H47" i="5"/>
  <c r="W200" i="1" l="1" a="1"/>
  <c r="W200" i="1" s="1"/>
  <c r="X200" i="1" a="1"/>
  <c r="X200" i="1" s="1"/>
  <c r="F130" i="4" a="1"/>
  <c r="F130" i="4" s="1"/>
  <c r="E132" i="1" s="1" a="1"/>
  <c r="E132" i="1" s="1"/>
  <c r="W198" i="4"/>
  <c r="X198" i="4" s="1"/>
  <c r="Y198" i="4" s="1" a="1"/>
  <c r="Y198" i="4" s="1"/>
  <c r="C131" i="4"/>
  <c r="D131" i="4" s="1"/>
  <c r="E131" i="4" s="1" a="1"/>
  <c r="E131" i="4" s="1"/>
  <c r="Z198" i="4" l="1" a="1"/>
  <c r="Z198" i="4" s="1"/>
  <c r="Y200" i="1" s="1" a="1"/>
  <c r="Y200" i="1" s="1"/>
  <c r="C133" i="1" a="1"/>
  <c r="C133" i="1" s="1"/>
  <c r="D133" i="1" a="1"/>
  <c r="D133" i="1" s="1"/>
  <c r="F131" i="4" a="1"/>
  <c r="F131" i="4" s="1"/>
  <c r="E133" i="1" s="1" a="1"/>
  <c r="E133" i="1" s="1"/>
  <c r="C132" i="4"/>
  <c r="D132" i="4" s="1"/>
  <c r="E132" i="4" s="1" a="1"/>
  <c r="E132" i="4" s="1"/>
  <c r="W201" i="1" l="1" a="1"/>
  <c r="W201" i="1" s="1"/>
  <c r="X201" i="1" a="1"/>
  <c r="X201" i="1" s="1"/>
  <c r="D134" i="1" a="1"/>
  <c r="D134" i="1" s="1"/>
  <c r="C134" i="1" a="1"/>
  <c r="C134" i="1" s="1"/>
  <c r="F132" i="4" a="1"/>
  <c r="F132" i="4" s="1"/>
  <c r="E134" i="1" s="1" a="1"/>
  <c r="E134" i="1" s="1"/>
  <c r="I43" i="5"/>
  <c r="I50" i="5"/>
  <c r="I44" i="5"/>
  <c r="I89" i="5"/>
  <c r="I90" i="5"/>
  <c r="I27" i="5"/>
  <c r="I75" i="5"/>
  <c r="I58" i="5"/>
  <c r="I47" i="5"/>
  <c r="I76" i="5"/>
  <c r="I86" i="5"/>
  <c r="I60" i="5"/>
  <c r="I93" i="5"/>
  <c r="I20" i="5"/>
  <c r="I5" i="5"/>
  <c r="I30" i="5"/>
  <c r="I23" i="5"/>
  <c r="I54" i="5"/>
  <c r="I46" i="5"/>
  <c r="I95" i="5"/>
  <c r="I40" i="5"/>
  <c r="I13" i="5"/>
  <c r="I85" i="5"/>
  <c r="I84" i="5"/>
  <c r="I57" i="5"/>
  <c r="I94" i="5"/>
  <c r="I78" i="5"/>
  <c r="I48" i="5"/>
  <c r="I4" i="5"/>
  <c r="I83" i="5"/>
  <c r="I35" i="5"/>
  <c r="I70" i="5"/>
  <c r="I12" i="5"/>
  <c r="I8" i="5"/>
  <c r="I33" i="5"/>
  <c r="I29" i="5"/>
  <c r="I97" i="5"/>
  <c r="I41" i="5"/>
  <c r="I80" i="5"/>
  <c r="I62" i="5"/>
  <c r="I10" i="5"/>
  <c r="I19" i="5"/>
  <c r="I88" i="5"/>
  <c r="I101" i="5"/>
  <c r="I72" i="5"/>
  <c r="I52" i="5"/>
  <c r="I81" i="5"/>
  <c r="I55" i="5"/>
  <c r="I98" i="5"/>
  <c r="I25" i="5"/>
  <c r="I99" i="5"/>
  <c r="I14" i="5"/>
  <c r="I7" i="5"/>
  <c r="I74" i="5"/>
  <c r="I21" i="5"/>
  <c r="I38" i="5"/>
  <c r="I42" i="5"/>
  <c r="I87" i="5"/>
  <c r="I45" i="5"/>
  <c r="I32" i="5"/>
  <c r="I69" i="5"/>
  <c r="I68" i="5"/>
  <c r="I64" i="5"/>
  <c r="I16" i="5"/>
  <c r="I26" i="5"/>
  <c r="I28" i="5"/>
  <c r="I96" i="5"/>
  <c r="I51" i="5"/>
  <c r="I15" i="5"/>
  <c r="C135" i="1" l="1" a="1"/>
  <c r="C135" i="1" s="1"/>
  <c r="D135" i="1" a="1"/>
  <c r="D135" i="1" s="1"/>
  <c r="C133" i="4"/>
  <c r="D133" i="4" s="1"/>
  <c r="E133" i="4" s="1" a="1"/>
  <c r="E133" i="4" s="1"/>
  <c r="I92" i="5"/>
  <c r="I9" i="5"/>
  <c r="I3" i="5"/>
  <c r="I59" i="5"/>
  <c r="I49" i="5"/>
  <c r="I36" i="5"/>
  <c r="I2" i="5"/>
  <c r="I91" i="5"/>
  <c r="I77" i="5"/>
  <c r="I82" i="5"/>
  <c r="I53" i="5"/>
  <c r="I66" i="5"/>
  <c r="I17" i="5"/>
  <c r="I24" i="5"/>
  <c r="I56" i="5"/>
  <c r="I22" i="5"/>
  <c r="I31" i="5"/>
  <c r="I18" i="5"/>
  <c r="I73" i="5"/>
  <c r="I67" i="5"/>
  <c r="I63" i="5"/>
  <c r="I61" i="5"/>
  <c r="I6" i="5"/>
  <c r="I37" i="5"/>
  <c r="I11" i="5"/>
  <c r="I71" i="5"/>
  <c r="I100" i="5"/>
  <c r="I65" i="5"/>
  <c r="I39" i="5"/>
  <c r="I79" i="5"/>
  <c r="I34" i="5"/>
  <c r="F133" i="4" l="1" a="1"/>
  <c r="F133" i="4" s="1"/>
  <c r="E135" i="1" s="1" a="1"/>
  <c r="E135" i="1" s="1"/>
  <c r="C134" i="4"/>
  <c r="D134" i="4" s="1"/>
  <c r="E134" i="4" s="1" a="1"/>
  <c r="E134" i="4" s="1"/>
  <c r="D136" i="1" l="1" a="1"/>
  <c r="D136" i="1" s="1"/>
  <c r="C136" i="1" a="1"/>
  <c r="C136" i="1" s="1"/>
  <c r="F134" i="4" a="1"/>
  <c r="F134" i="4" s="1"/>
  <c r="E136" i="1" s="1" a="1"/>
  <c r="E136" i="1" s="1"/>
  <c r="C135" i="4"/>
  <c r="D135" i="4" s="1"/>
  <c r="E135" i="4" s="1" a="1"/>
  <c r="E135" i="4" s="1"/>
  <c r="C137" i="1" l="1" a="1"/>
  <c r="C137" i="1" s="1"/>
  <c r="D137" i="1" a="1"/>
  <c r="D137" i="1" s="1"/>
  <c r="F135" i="4" a="1"/>
  <c r="F135" i="4" s="1"/>
  <c r="E137" i="1" s="1" a="1"/>
  <c r="E137" i="1" s="1"/>
  <c r="C136" i="4"/>
  <c r="D136" i="4" s="1"/>
  <c r="E136" i="4" s="1" a="1"/>
  <c r="E136" i="4" s="1"/>
  <c r="D138" i="1" l="1" a="1"/>
  <c r="D138" i="1" s="1"/>
  <c r="C138" i="1" a="1"/>
  <c r="C138" i="1" s="1"/>
  <c r="F136" i="4" a="1"/>
  <c r="F136" i="4" s="1"/>
  <c r="E138" i="1" s="1" a="1"/>
  <c r="E138" i="1" s="1"/>
  <c r="C137" i="4"/>
  <c r="C139" i="1" l="1" a="1"/>
  <c r="C139" i="1" s="1"/>
  <c r="D139" i="1" a="1"/>
  <c r="D139" i="1" s="1"/>
  <c r="D137" i="4"/>
  <c r="E137" i="4" s="1" a="1"/>
  <c r="E137" i="4" s="1"/>
  <c r="F137" i="4" l="1" a="1"/>
  <c r="F137" i="4" s="1"/>
  <c r="E139" i="1" s="1" a="1"/>
  <c r="E139" i="1" s="1"/>
  <c r="C138" i="4"/>
  <c r="C140" i="1" l="1" a="1"/>
  <c r="C140" i="1" s="1"/>
  <c r="D140" i="1" a="1"/>
  <c r="D140" i="1" s="1"/>
  <c r="D138" i="4"/>
  <c r="E138" i="4" s="1" a="1"/>
  <c r="E138" i="4" s="1"/>
  <c r="F138" i="4" l="1" a="1"/>
  <c r="F138" i="4" s="1"/>
  <c r="E140" i="1" s="1" a="1"/>
  <c r="E140" i="1" s="1"/>
  <c r="C139" i="4"/>
  <c r="C141" i="1" l="1" a="1"/>
  <c r="C141" i="1" s="1"/>
  <c r="D141" i="1" a="1"/>
  <c r="D141" i="1" s="1"/>
  <c r="D139" i="4"/>
  <c r="E139" i="4" s="1" a="1"/>
  <c r="E139" i="4" s="1"/>
  <c r="F139" i="4" l="1" a="1"/>
  <c r="F139" i="4" s="1"/>
  <c r="E141" i="1" s="1" a="1"/>
  <c r="E141" i="1" s="1"/>
  <c r="C140" i="4"/>
  <c r="D142" i="1" l="1" a="1"/>
  <c r="D142" i="1" s="1"/>
  <c r="C142" i="1" a="1"/>
  <c r="C142" i="1" s="1"/>
  <c r="D140" i="4"/>
  <c r="E140" i="4" s="1" a="1"/>
  <c r="E140" i="4" s="1"/>
  <c r="F140" i="4" l="1" a="1"/>
  <c r="F140" i="4" s="1"/>
  <c r="E142" i="1" s="1" a="1"/>
  <c r="E142" i="1" s="1"/>
  <c r="C141" i="4"/>
  <c r="C143" i="1" l="1" a="1"/>
  <c r="C143" i="1" s="1"/>
  <c r="D143" i="1" a="1"/>
  <c r="D143" i="1" s="1"/>
  <c r="D141" i="4"/>
  <c r="E141" i="4" s="1" a="1"/>
  <c r="E141" i="4" s="1"/>
  <c r="F141" i="4" l="1" a="1"/>
  <c r="F141" i="4" s="1"/>
  <c r="E143" i="1" s="1" a="1"/>
  <c r="E143" i="1" s="1"/>
  <c r="C142" i="4"/>
  <c r="D144" i="1" l="1" a="1"/>
  <c r="D144" i="1" s="1"/>
  <c r="C144" i="1" a="1"/>
  <c r="C144" i="1" s="1"/>
  <c r="D142" i="4"/>
  <c r="E142" i="4" s="1" a="1"/>
  <c r="E142" i="4" s="1"/>
  <c r="F142" i="4" l="1" a="1"/>
  <c r="F142" i="4" s="1"/>
  <c r="E144" i="1" s="1" a="1"/>
  <c r="E144" i="1" s="1"/>
  <c r="C143" i="4"/>
  <c r="C145" i="1" l="1" a="1"/>
  <c r="C145" i="1" s="1"/>
  <c r="D145" i="1" a="1"/>
  <c r="D145" i="1" s="1"/>
  <c r="D143" i="4"/>
  <c r="E143" i="4" s="1" a="1"/>
  <c r="E143" i="4" s="1"/>
  <c r="F143" i="4" l="1" a="1"/>
  <c r="F143" i="4" s="1"/>
  <c r="E145" i="1" s="1" a="1"/>
  <c r="E145" i="1" s="1"/>
  <c r="C144" i="4"/>
  <c r="D146" i="1" l="1" a="1"/>
  <c r="D146" i="1" s="1"/>
  <c r="C146" i="1" a="1"/>
  <c r="C146" i="1" s="1"/>
  <c r="D144" i="4"/>
  <c r="E144" i="4" s="1" a="1"/>
  <c r="E144" i="4" s="1"/>
  <c r="F144" i="4" l="1" a="1"/>
  <c r="F144" i="4" s="1"/>
  <c r="E146" i="1" s="1" a="1"/>
  <c r="E146" i="1" s="1"/>
  <c r="C145" i="4"/>
  <c r="D145" i="4" s="1"/>
  <c r="E145" i="4" s="1" a="1"/>
  <c r="E145" i="4" s="1"/>
  <c r="C147" i="1" l="1" a="1"/>
  <c r="C147" i="1" s="1"/>
  <c r="D147" i="1" a="1"/>
  <c r="D147" i="1" s="1"/>
  <c r="F145" i="4" a="1"/>
  <c r="F145" i="4" s="1"/>
  <c r="E147" i="1" s="1" a="1"/>
  <c r="E147" i="1" s="1"/>
  <c r="C146" i="4"/>
  <c r="D148" i="1" l="1" a="1"/>
  <c r="D148" i="1" s="1"/>
  <c r="C148" i="1" a="1"/>
  <c r="C148" i="1" s="1"/>
  <c r="D146" i="4"/>
  <c r="E146" i="4" s="1" a="1"/>
  <c r="E146" i="4" s="1"/>
  <c r="F146" i="4" l="1" a="1"/>
  <c r="F146" i="4" s="1"/>
  <c r="E148" i="1" s="1" a="1"/>
  <c r="E148" i="1" s="1"/>
  <c r="C147" i="4"/>
  <c r="C149" i="1" l="1" a="1"/>
  <c r="C149" i="1" s="1"/>
  <c r="D149" i="1" a="1"/>
  <c r="D149" i="1" s="1"/>
  <c r="D147" i="4"/>
  <c r="E147" i="4" s="1" a="1"/>
  <c r="E147" i="4" s="1"/>
  <c r="F147" i="4" l="1" a="1"/>
  <c r="F147" i="4" s="1"/>
  <c r="E149" i="1" s="1" a="1"/>
  <c r="E149" i="1" s="1"/>
  <c r="C148" i="4"/>
  <c r="D148" i="4" s="1"/>
  <c r="E148" i="4" s="1" a="1"/>
  <c r="E148" i="4" s="1"/>
  <c r="D150" i="1" l="1" a="1"/>
  <c r="D150" i="1" s="1"/>
  <c r="C150" i="1" a="1"/>
  <c r="C150" i="1" s="1"/>
  <c r="F148" i="4" a="1"/>
  <c r="F148" i="4" s="1"/>
  <c r="E150" i="1" s="1" a="1"/>
  <c r="E150" i="1" s="1"/>
  <c r="C149" i="4"/>
  <c r="D149" i="4" s="1"/>
  <c r="E149" i="4" s="1" a="1"/>
  <c r="E149" i="4" s="1"/>
  <c r="C151" i="1" l="1" a="1"/>
  <c r="C151" i="1" s="1"/>
  <c r="D151" i="1" a="1"/>
  <c r="D151" i="1" s="1"/>
  <c r="F149" i="4" a="1"/>
  <c r="F149" i="4" s="1"/>
  <c r="E151" i="1" s="1" a="1"/>
  <c r="E151" i="1" s="1"/>
  <c r="C150" i="4"/>
  <c r="D152" i="1" l="1" a="1"/>
  <c r="D152" i="1" s="1"/>
  <c r="C152" i="1" a="1"/>
  <c r="C152" i="1" s="1"/>
  <c r="D150" i="4"/>
  <c r="E150" i="4" s="1" a="1"/>
  <c r="E150" i="4" s="1"/>
  <c r="F150" i="4" l="1" a="1"/>
  <c r="F150" i="4" s="1"/>
  <c r="E152" i="1" s="1" a="1"/>
  <c r="E152" i="1" s="1"/>
  <c r="C151" i="4"/>
  <c r="C153" i="1" l="1" a="1"/>
  <c r="C153" i="1" s="1"/>
  <c r="D153" i="1" a="1"/>
  <c r="D153" i="1" s="1"/>
  <c r="D151" i="4"/>
  <c r="E151" i="4" s="1" a="1"/>
  <c r="E151" i="4" s="1"/>
  <c r="F151" i="4" l="1" a="1"/>
  <c r="F151" i="4" s="1"/>
  <c r="E153" i="1" s="1" a="1"/>
  <c r="E153" i="1" s="1"/>
  <c r="C152" i="4"/>
  <c r="D154" i="1" l="1" a="1"/>
  <c r="D154" i="1" s="1"/>
  <c r="C154" i="1" a="1"/>
  <c r="C154" i="1" s="1"/>
  <c r="D152" i="4"/>
  <c r="E152" i="4" s="1" a="1"/>
  <c r="E152" i="4" s="1"/>
  <c r="F152" i="4" l="1" a="1"/>
  <c r="F152" i="4" s="1"/>
  <c r="E154" i="1" s="1" a="1"/>
  <c r="E154" i="1" s="1"/>
  <c r="C153" i="4"/>
  <c r="C155" i="1" l="1" a="1"/>
  <c r="C155" i="1" s="1"/>
  <c r="D155" i="1" a="1"/>
  <c r="D155" i="1" s="1"/>
  <c r="D153" i="4"/>
  <c r="E153" i="4" s="1" a="1"/>
  <c r="E153" i="4" s="1"/>
  <c r="F153" i="4" l="1" a="1"/>
  <c r="F153" i="4" s="1"/>
  <c r="E155" i="1" s="1" a="1"/>
  <c r="E155" i="1" s="1"/>
  <c r="C154" i="4"/>
  <c r="D156" i="1" l="1" a="1"/>
  <c r="D156" i="1" s="1"/>
  <c r="C156" i="1" a="1"/>
  <c r="C156" i="1" s="1"/>
  <c r="D154" i="4"/>
  <c r="E154" i="4" s="1" a="1"/>
  <c r="E154" i="4" s="1"/>
  <c r="F154" i="4" l="1" a="1"/>
  <c r="F154" i="4" s="1"/>
  <c r="E156" i="1" s="1" a="1"/>
  <c r="E156" i="1" s="1"/>
  <c r="C155" i="4"/>
  <c r="C157" i="1" l="1" a="1"/>
  <c r="C157" i="1" s="1"/>
  <c r="D157" i="1" a="1"/>
  <c r="D157" i="1" s="1"/>
  <c r="D155" i="4"/>
  <c r="E155" i="4" s="1" a="1"/>
  <c r="E155" i="4" s="1"/>
  <c r="F155" i="4" l="1" a="1"/>
  <c r="F155" i="4" s="1"/>
  <c r="E157" i="1" s="1" a="1"/>
  <c r="E157" i="1" s="1"/>
  <c r="C156" i="4"/>
  <c r="D158" i="1" l="1" a="1"/>
  <c r="D158" i="1" s="1"/>
  <c r="C158" i="1" a="1"/>
  <c r="C158" i="1" s="1"/>
  <c r="D156" i="4"/>
  <c r="E156" i="4" s="1" a="1"/>
  <c r="E156" i="4" s="1"/>
  <c r="F156" i="4" l="1" a="1"/>
  <c r="F156" i="4" s="1"/>
  <c r="E158" i="1" s="1" a="1"/>
  <c r="E158" i="1" s="1"/>
  <c r="C157" i="4"/>
  <c r="C159" i="1" l="1" a="1"/>
  <c r="C159" i="1" s="1"/>
  <c r="D159" i="1" a="1"/>
  <c r="D159" i="1" s="1"/>
  <c r="D157" i="4"/>
  <c r="E157" i="4" s="1" a="1"/>
  <c r="E157" i="4" s="1"/>
  <c r="F157" i="4" l="1" a="1"/>
  <c r="F157" i="4" s="1"/>
  <c r="E159" i="1" s="1" a="1"/>
  <c r="E159" i="1" s="1"/>
  <c r="C158" i="4"/>
  <c r="D160" i="1" l="1" a="1"/>
  <c r="D160" i="1" s="1"/>
  <c r="C160" i="1" a="1"/>
  <c r="C160" i="1" s="1"/>
  <c r="D158" i="4"/>
  <c r="E158" i="4" s="1" a="1"/>
  <c r="E158" i="4" s="1"/>
  <c r="F158" i="4" l="1" a="1"/>
  <c r="F158" i="4" s="1"/>
  <c r="E160" i="1" s="1" a="1"/>
  <c r="E160" i="1" s="1"/>
  <c r="C159" i="4"/>
  <c r="C161" i="1" l="1" a="1"/>
  <c r="C161" i="1" s="1"/>
  <c r="D161" i="1" a="1"/>
  <c r="D161" i="1" s="1"/>
  <c r="D159" i="4"/>
  <c r="E159" i="4" s="1" a="1"/>
  <c r="E159" i="4" s="1"/>
  <c r="F159" i="4" l="1" a="1"/>
  <c r="F159" i="4" s="1"/>
  <c r="E161" i="1" s="1" a="1"/>
  <c r="E161" i="1" s="1"/>
  <c r="C160" i="4"/>
  <c r="D162" i="1" l="1" a="1"/>
  <c r="D162" i="1" s="1"/>
  <c r="C162" i="1" a="1"/>
  <c r="C162" i="1" s="1"/>
  <c r="D160" i="4"/>
  <c r="E160" i="4" s="1" a="1"/>
  <c r="E160" i="4" s="1"/>
  <c r="F160" i="4" l="1" a="1"/>
  <c r="F160" i="4" s="1"/>
  <c r="E162" i="1" s="1" a="1"/>
  <c r="E162" i="1" s="1"/>
  <c r="C163" i="1" l="1" a="1"/>
  <c r="C163" i="1" s="1"/>
  <c r="D163" i="1" a="1"/>
  <c r="D163" i="1" s="1"/>
  <c r="C161" i="4"/>
  <c r="D161" i="4" l="1"/>
  <c r="E161" i="4" s="1" a="1"/>
  <c r="E161" i="4" s="1"/>
  <c r="F161" i="4" l="1" a="1"/>
  <c r="F161" i="4" s="1"/>
  <c r="E163" i="1" s="1" a="1"/>
  <c r="E163" i="1" s="1"/>
  <c r="C162" i="4"/>
  <c r="D164" i="1" l="1" a="1"/>
  <c r="D164" i="1" s="1"/>
  <c r="C164" i="1" a="1"/>
  <c r="C164" i="1" s="1"/>
  <c r="D162" i="4"/>
  <c r="E162" i="4" s="1" a="1"/>
  <c r="E162" i="4" s="1"/>
  <c r="F162" i="4" l="1" a="1"/>
  <c r="F162" i="4" s="1"/>
  <c r="E164" i="1" s="1" a="1"/>
  <c r="E164" i="1" s="1"/>
  <c r="C163" i="4"/>
  <c r="C165" i="1" l="1" a="1"/>
  <c r="C165" i="1" s="1"/>
  <c r="D165" i="1" a="1"/>
  <c r="D165" i="1" s="1"/>
  <c r="D163" i="4"/>
  <c r="E163" i="4" s="1" a="1"/>
  <c r="E163" i="4" s="1"/>
  <c r="F163" i="4" l="1" a="1"/>
  <c r="F163" i="4" s="1"/>
  <c r="E165" i="1" s="1" a="1"/>
  <c r="E165" i="1" s="1"/>
  <c r="C164" i="4"/>
  <c r="D166" i="1" l="1" a="1"/>
  <c r="D166" i="1" s="1"/>
  <c r="C166" i="1" a="1"/>
  <c r="C166" i="1" s="1"/>
  <c r="D164" i="4"/>
  <c r="E164" i="4" s="1" a="1"/>
  <c r="E164" i="4" s="1"/>
  <c r="F164" i="4" l="1" a="1"/>
  <c r="F164" i="4" s="1"/>
  <c r="E166" i="1" s="1" a="1"/>
  <c r="E166" i="1" s="1"/>
  <c r="C165" i="4"/>
  <c r="C167" i="1" l="1" a="1"/>
  <c r="C167" i="1" s="1"/>
  <c r="D167" i="1" a="1"/>
  <c r="D167" i="1" s="1"/>
  <c r="D165" i="4"/>
  <c r="E165" i="4" s="1" a="1"/>
  <c r="E165" i="4" s="1"/>
  <c r="F165" i="4" l="1" a="1"/>
  <c r="F165" i="4" s="1"/>
  <c r="E167" i="1" s="1" a="1"/>
  <c r="E167" i="1" s="1"/>
  <c r="C166" i="4"/>
  <c r="D166" i="4" s="1"/>
  <c r="E166" i="4" s="1" a="1"/>
  <c r="E166" i="4" s="1"/>
  <c r="D168" i="1" l="1" a="1"/>
  <c r="D168" i="1" s="1"/>
  <c r="C168" i="1" a="1"/>
  <c r="C168" i="1" s="1"/>
  <c r="F166" i="4" a="1"/>
  <c r="F166" i="4" s="1"/>
  <c r="E168" i="1" s="1" a="1"/>
  <c r="E168" i="1" s="1"/>
  <c r="C167" i="4"/>
  <c r="C169" i="1" l="1" a="1"/>
  <c r="C169" i="1" s="1"/>
  <c r="D169" i="1" a="1"/>
  <c r="D169" i="1" s="1"/>
  <c r="D167" i="4"/>
  <c r="E167" i="4" s="1" a="1"/>
  <c r="E167" i="4" s="1"/>
  <c r="F167" i="4" l="1" a="1"/>
  <c r="F167" i="4" s="1"/>
  <c r="E169" i="1" s="1" a="1"/>
  <c r="E169" i="1" s="1"/>
  <c r="C168" i="4"/>
  <c r="D170" i="1" l="1" a="1"/>
  <c r="D170" i="1" s="1"/>
  <c r="C170" i="1" a="1"/>
  <c r="C170" i="1" s="1"/>
  <c r="D168" i="4"/>
  <c r="E168" i="4" s="1" a="1"/>
  <c r="E168" i="4" s="1"/>
  <c r="F168" i="4" l="1" a="1"/>
  <c r="F168" i="4" s="1"/>
  <c r="E170" i="1" s="1" a="1"/>
  <c r="E170" i="1" s="1"/>
  <c r="C169" i="4"/>
  <c r="C171" i="1" l="1" a="1"/>
  <c r="C171" i="1" s="1"/>
  <c r="D171" i="1" a="1"/>
  <c r="D171" i="1" s="1"/>
  <c r="D169" i="4"/>
  <c r="E169" i="4" s="1" a="1"/>
  <c r="E169" i="4" s="1"/>
  <c r="F169" i="4" l="1" a="1"/>
  <c r="F169" i="4" s="1"/>
  <c r="E171" i="1" s="1" a="1"/>
  <c r="E171" i="1" s="1"/>
  <c r="C170" i="4"/>
  <c r="D172" i="1" l="1" a="1"/>
  <c r="D172" i="1" s="1"/>
  <c r="C172" i="1" a="1"/>
  <c r="C172" i="1" s="1"/>
  <c r="D170" i="4"/>
  <c r="E170" i="4" s="1" a="1"/>
  <c r="E170" i="4" s="1"/>
  <c r="F170" i="4" l="1" a="1"/>
  <c r="F170" i="4" s="1"/>
  <c r="E172" i="1" s="1" a="1"/>
  <c r="E172" i="1" s="1"/>
  <c r="C171" i="4"/>
  <c r="C173" i="1" l="1" a="1"/>
  <c r="C173" i="1" s="1"/>
  <c r="D173" i="1" a="1"/>
  <c r="D173" i="1" s="1"/>
  <c r="D171" i="4"/>
  <c r="E171" i="4" s="1" a="1"/>
  <c r="E171" i="4" s="1"/>
  <c r="F171" i="4" l="1" a="1"/>
  <c r="F171" i="4" s="1"/>
  <c r="E173" i="1" s="1" a="1"/>
  <c r="E173" i="1" s="1"/>
  <c r="C172" i="4"/>
  <c r="D174" i="1" l="1" a="1"/>
  <c r="D174" i="1" s="1"/>
  <c r="C174" i="1" a="1"/>
  <c r="C174" i="1" s="1"/>
  <c r="D172" i="4"/>
  <c r="E172" i="4" s="1" a="1"/>
  <c r="E172" i="4" s="1"/>
  <c r="F172" i="4" l="1" a="1"/>
  <c r="F172" i="4" s="1"/>
  <c r="E174" i="1" s="1" a="1"/>
  <c r="E174" i="1" s="1"/>
  <c r="C173" i="4"/>
  <c r="C175" i="1" l="1" a="1"/>
  <c r="C175" i="1" s="1"/>
  <c r="D175" i="1" a="1"/>
  <c r="D175" i="1" s="1"/>
  <c r="D173" i="4"/>
  <c r="E173" i="4" s="1" a="1"/>
  <c r="E173" i="4" s="1"/>
  <c r="F173" i="4" l="1" a="1"/>
  <c r="F173" i="4" s="1"/>
  <c r="E175" i="1" s="1" a="1"/>
  <c r="E175" i="1" s="1"/>
  <c r="C174" i="4"/>
  <c r="D176" i="1" l="1" a="1"/>
  <c r="D176" i="1" s="1"/>
  <c r="C176" i="1" a="1"/>
  <c r="C176" i="1" s="1"/>
  <c r="D174" i="4"/>
  <c r="E174" i="4" s="1" a="1"/>
  <c r="E174" i="4" s="1"/>
  <c r="F174" i="4" l="1" a="1"/>
  <c r="F174" i="4" s="1"/>
  <c r="E176" i="1" s="1" a="1"/>
  <c r="E176" i="1" s="1"/>
  <c r="C175" i="4"/>
  <c r="C177" i="1" l="1" a="1"/>
  <c r="C177" i="1" s="1"/>
  <c r="D177" i="1" a="1"/>
  <c r="D177" i="1" s="1"/>
  <c r="D175" i="4"/>
  <c r="E175" i="4" s="1" a="1"/>
  <c r="E175" i="4" s="1"/>
  <c r="F175" i="4" l="1" a="1"/>
  <c r="F175" i="4" s="1"/>
  <c r="E177" i="1" s="1" a="1"/>
  <c r="E177" i="1" s="1"/>
  <c r="C176" i="4"/>
  <c r="D178" i="1" l="1" a="1"/>
  <c r="D178" i="1" s="1"/>
  <c r="C178" i="1" a="1"/>
  <c r="C178" i="1" s="1"/>
  <c r="D176" i="4"/>
  <c r="E176" i="4" s="1" a="1"/>
  <c r="E176" i="4" s="1"/>
  <c r="F176" i="4" l="1" a="1"/>
  <c r="F176" i="4" s="1"/>
  <c r="E178" i="1" s="1" a="1"/>
  <c r="E178" i="1" s="1"/>
  <c r="C177" i="4"/>
  <c r="C179" i="1" l="1" a="1"/>
  <c r="C179" i="1" s="1"/>
  <c r="D179" i="1" a="1"/>
  <c r="D179" i="1" s="1"/>
  <c r="D177" i="4"/>
  <c r="E177" i="4" s="1" a="1"/>
  <c r="E177" i="4" s="1"/>
  <c r="F177" i="4" l="1" a="1"/>
  <c r="F177" i="4" s="1"/>
  <c r="E179" i="1" s="1" a="1"/>
  <c r="E179" i="1" s="1"/>
  <c r="C178" i="4"/>
  <c r="D180" i="1" l="1" a="1"/>
  <c r="D180" i="1" s="1"/>
  <c r="C180" i="1" a="1"/>
  <c r="C180" i="1" s="1"/>
  <c r="D178" i="4"/>
  <c r="E178" i="4" s="1" a="1"/>
  <c r="E178" i="4" s="1"/>
  <c r="F178" i="4" l="1" a="1"/>
  <c r="F178" i="4" s="1"/>
  <c r="E180" i="1" s="1" a="1"/>
  <c r="E180" i="1" s="1"/>
  <c r="C179" i="4"/>
  <c r="C181" i="1" l="1" a="1"/>
  <c r="C181" i="1" s="1"/>
  <c r="D181" i="1" a="1"/>
  <c r="D181" i="1" s="1"/>
  <c r="D179" i="4"/>
  <c r="E179" i="4" s="1" a="1"/>
  <c r="E179" i="4" s="1"/>
  <c r="F179" i="4" l="1" a="1"/>
  <c r="F179" i="4" s="1"/>
  <c r="E181" i="1" s="1" a="1"/>
  <c r="E181" i="1" s="1"/>
  <c r="C180" i="4"/>
  <c r="D182" i="1" l="1" a="1"/>
  <c r="D182" i="1" s="1"/>
  <c r="C182" i="1" a="1"/>
  <c r="C182" i="1" s="1"/>
  <c r="D180" i="4"/>
  <c r="E180" i="4" s="1" a="1"/>
  <c r="E180" i="4" s="1"/>
  <c r="F180" i="4" l="1" a="1"/>
  <c r="F180" i="4" s="1"/>
  <c r="E182" i="1" s="1" a="1"/>
  <c r="E182" i="1" s="1"/>
  <c r="C181" i="4"/>
  <c r="C183" i="1" l="1" a="1"/>
  <c r="C183" i="1" s="1"/>
  <c r="D183" i="1" a="1"/>
  <c r="D183" i="1" s="1"/>
  <c r="D181" i="4"/>
  <c r="E181" i="4" s="1" a="1"/>
  <c r="E181" i="4" s="1"/>
  <c r="F181" i="4" l="1" a="1"/>
  <c r="F181" i="4" s="1"/>
  <c r="E183" i="1" s="1" a="1"/>
  <c r="E183" i="1" s="1"/>
  <c r="C182" i="4"/>
  <c r="D184" i="1" l="1" a="1"/>
  <c r="D184" i="1" s="1"/>
  <c r="C184" i="1" a="1"/>
  <c r="C184" i="1" s="1"/>
  <c r="D182" i="4"/>
  <c r="E182" i="4" s="1" a="1"/>
  <c r="E182" i="4" s="1"/>
  <c r="F182" i="4" l="1" a="1"/>
  <c r="F182" i="4" s="1"/>
  <c r="E184" i="1" s="1" a="1"/>
  <c r="E184" i="1" s="1"/>
  <c r="C183" i="4"/>
  <c r="C185" i="1" l="1" a="1"/>
  <c r="C185" i="1" s="1"/>
  <c r="D185" i="1" a="1"/>
  <c r="D185" i="1" s="1"/>
  <c r="D183" i="4"/>
  <c r="E183" i="4" s="1" a="1"/>
  <c r="E183" i="4" s="1"/>
  <c r="F183" i="4" l="1" a="1"/>
  <c r="F183" i="4" s="1"/>
  <c r="E185" i="1" s="1" a="1"/>
  <c r="E185" i="1" s="1"/>
  <c r="C184" i="4"/>
  <c r="D186" i="1" l="1" a="1"/>
  <c r="D186" i="1" s="1"/>
  <c r="C186" i="1" a="1"/>
  <c r="C186" i="1" s="1"/>
  <c r="D184" i="4"/>
  <c r="E184" i="4" s="1" a="1"/>
  <c r="E184" i="4" s="1"/>
  <c r="F184" i="4" l="1" a="1"/>
  <c r="F184" i="4" s="1"/>
  <c r="E186" i="1" s="1" a="1"/>
  <c r="E186" i="1" s="1"/>
  <c r="C185" i="4"/>
  <c r="C187" i="1" l="1" a="1"/>
  <c r="C187" i="1" s="1"/>
  <c r="D187" i="1" a="1"/>
  <c r="D187" i="1" s="1"/>
  <c r="D185" i="4"/>
  <c r="E185" i="4" s="1" a="1"/>
  <c r="E185" i="4" s="1"/>
  <c r="F185" i="4" l="1" a="1"/>
  <c r="F185" i="4" s="1"/>
  <c r="E187" i="1" s="1" a="1"/>
  <c r="E187" i="1" s="1"/>
  <c r="C186" i="4"/>
  <c r="D188" i="1" l="1" a="1"/>
  <c r="D188" i="1" s="1"/>
  <c r="C188" i="1" a="1"/>
  <c r="C188" i="1" s="1"/>
  <c r="D186" i="4"/>
  <c r="E186" i="4" s="1" a="1"/>
  <c r="E186" i="4" s="1"/>
  <c r="F186" i="4" l="1" a="1"/>
  <c r="F186" i="4" s="1"/>
  <c r="E188" i="1" s="1" a="1"/>
  <c r="E188" i="1" s="1"/>
  <c r="C187" i="4"/>
  <c r="C189" i="1" l="1" a="1"/>
  <c r="C189" i="1" s="1"/>
  <c r="D189" i="1" a="1"/>
  <c r="D189" i="1" s="1"/>
  <c r="D187" i="4"/>
  <c r="E187" i="4" s="1" a="1"/>
  <c r="E187" i="4" s="1"/>
  <c r="F187" i="4" l="1" a="1"/>
  <c r="F187" i="4" s="1"/>
  <c r="E189" i="1" s="1" a="1"/>
  <c r="E189" i="1" s="1"/>
  <c r="C188" i="4"/>
  <c r="D190" i="1" l="1" a="1"/>
  <c r="D190" i="1" s="1"/>
  <c r="C190" i="1" a="1"/>
  <c r="C190" i="1" s="1"/>
  <c r="D188" i="4"/>
  <c r="E188" i="4" s="1" a="1"/>
  <c r="E188" i="4" s="1"/>
  <c r="F188" i="4" l="1" a="1"/>
  <c r="F188" i="4" s="1"/>
  <c r="E190" i="1" s="1" a="1"/>
  <c r="E190" i="1" s="1"/>
  <c r="C189" i="4"/>
  <c r="C191" i="1" l="1" a="1"/>
  <c r="C191" i="1" s="1"/>
  <c r="D191" i="1" a="1"/>
  <c r="D191" i="1" s="1"/>
  <c r="D189" i="4"/>
  <c r="E189" i="4" s="1" a="1"/>
  <c r="E189" i="4" s="1"/>
  <c r="F189" i="4" l="1" a="1"/>
  <c r="F189" i="4" s="1"/>
  <c r="E191" i="1" s="1" a="1"/>
  <c r="E191" i="1" s="1"/>
  <c r="C190" i="4"/>
  <c r="D192" i="1" l="1" a="1"/>
  <c r="D192" i="1" s="1"/>
  <c r="C192" i="1" a="1"/>
  <c r="C192" i="1" s="1"/>
  <c r="D190" i="4"/>
  <c r="E190" i="4" s="1" a="1"/>
  <c r="E190" i="4" s="1"/>
  <c r="F190" i="4" l="1" a="1"/>
  <c r="F190" i="4" s="1"/>
  <c r="E192" i="1" s="1" a="1"/>
  <c r="E192" i="1" s="1"/>
  <c r="C191" i="4"/>
  <c r="C193" i="1" l="1" a="1"/>
  <c r="C193" i="1" s="1"/>
  <c r="D193" i="1" a="1"/>
  <c r="D193" i="1" s="1"/>
  <c r="D191" i="4"/>
  <c r="E191" i="4" s="1" a="1"/>
  <c r="E191" i="4" s="1"/>
  <c r="F191" i="4" l="1" a="1"/>
  <c r="F191" i="4" s="1"/>
  <c r="E193" i="1" s="1" a="1"/>
  <c r="E193" i="1" s="1"/>
  <c r="C192" i="4"/>
  <c r="D194" i="1" l="1" a="1"/>
  <c r="D194" i="1" s="1"/>
  <c r="C194" i="1" a="1"/>
  <c r="C194" i="1" s="1"/>
  <c r="D192" i="4"/>
  <c r="E192" i="4" s="1" a="1"/>
  <c r="E192" i="4" s="1"/>
  <c r="F192" i="4" l="1" a="1"/>
  <c r="F192" i="4" s="1"/>
  <c r="E194" i="1" s="1" a="1"/>
  <c r="E194" i="1" s="1"/>
  <c r="C193" i="4"/>
  <c r="C195" i="1" l="1" a="1"/>
  <c r="C195" i="1" s="1"/>
  <c r="D195" i="1" a="1"/>
  <c r="D195" i="1" s="1"/>
  <c r="D193" i="4"/>
  <c r="E193" i="4" s="1" a="1"/>
  <c r="E193" i="4" s="1"/>
  <c r="F193" i="4" l="1" a="1"/>
  <c r="F193" i="4" s="1"/>
  <c r="E195" i="1" s="1" a="1"/>
  <c r="E195" i="1" s="1"/>
  <c r="C194" i="4"/>
  <c r="D196" i="1" l="1" a="1"/>
  <c r="D196" i="1" s="1"/>
  <c r="C196" i="1" a="1"/>
  <c r="C196" i="1" s="1"/>
  <c r="D194" i="4"/>
  <c r="E194" i="4" s="1" a="1"/>
  <c r="E194" i="4" s="1"/>
  <c r="F194" i="4" l="1" a="1"/>
  <c r="F194" i="4" s="1"/>
  <c r="E196" i="1" s="1" a="1"/>
  <c r="E196" i="1" s="1"/>
  <c r="C195" i="4"/>
  <c r="C197" i="1" l="1" a="1"/>
  <c r="C197" i="1" s="1"/>
  <c r="D197" i="1" a="1"/>
  <c r="D197" i="1" s="1"/>
  <c r="D195" i="4"/>
  <c r="E195" i="4" s="1" a="1"/>
  <c r="E195" i="4" s="1"/>
  <c r="F195" i="4" l="1" a="1"/>
  <c r="F195" i="4" s="1"/>
  <c r="E197" i="1" s="1" a="1"/>
  <c r="E197" i="1" s="1"/>
  <c r="C196" i="4"/>
  <c r="D198" i="1" l="1" a="1"/>
  <c r="D198" i="1" s="1"/>
  <c r="C198" i="1" a="1"/>
  <c r="C198" i="1" s="1"/>
  <c r="D196" i="4"/>
  <c r="E196" i="4" s="1" a="1"/>
  <c r="E196" i="4" s="1"/>
  <c r="F196" i="4" l="1" a="1"/>
  <c r="F196" i="4" s="1"/>
  <c r="E198" i="1" s="1" a="1"/>
  <c r="E198" i="1" s="1"/>
  <c r="C197" i="4"/>
  <c r="C199" i="1" l="1" a="1"/>
  <c r="C199" i="1" s="1"/>
  <c r="D199" i="1" a="1"/>
  <c r="D199" i="1" s="1"/>
  <c r="D197" i="4"/>
  <c r="E197" i="4" s="1" a="1"/>
  <c r="E197" i="4" s="1"/>
  <c r="F197" i="4" l="1" a="1"/>
  <c r="F197" i="4" s="1"/>
  <c r="E199" i="1" s="1" a="1"/>
  <c r="E199" i="1" s="1"/>
  <c r="C198" i="4"/>
  <c r="D198" i="4" s="1"/>
  <c r="E198" i="4" s="1" a="1"/>
  <c r="E198" i="4" s="1"/>
  <c r="D200" i="1" l="1" a="1"/>
  <c r="D200" i="1" s="1"/>
  <c r="C200" i="1" a="1"/>
  <c r="C200" i="1" s="1"/>
  <c r="F198" i="4" a="1"/>
  <c r="F198" i="4" s="1"/>
  <c r="E200" i="1" s="1" a="1"/>
  <c r="E200" i="1" s="1"/>
  <c r="C201" i="1" l="1" a="1"/>
  <c r="C201" i="1" s="1"/>
  <c r="D201" i="1" a="1"/>
  <c r="D201" i="1" s="1"/>
  <c r="E3" i="5"/>
  <c r="E67" i="5"/>
  <c r="E6" i="5"/>
  <c r="E89" i="5"/>
  <c r="E33" i="5"/>
  <c r="E85" i="5"/>
  <c r="E80" i="5"/>
  <c r="E98" i="5"/>
  <c r="E13" i="5"/>
  <c r="E78" i="5"/>
  <c r="E56" i="5"/>
  <c r="E11" i="5"/>
  <c r="E86" i="5"/>
  <c r="E12" i="5"/>
  <c r="E70" i="5"/>
  <c r="E34" i="5"/>
  <c r="E91" i="5"/>
  <c r="E39" i="5"/>
  <c r="E53" i="5"/>
  <c r="E5" i="5"/>
  <c r="E38" i="5"/>
  <c r="E88" i="5"/>
  <c r="E50" i="5"/>
  <c r="E40" i="5"/>
  <c r="E59" i="5"/>
  <c r="E23" i="5"/>
  <c r="E81" i="5"/>
  <c r="E76" i="5"/>
  <c r="E20" i="5"/>
  <c r="E99" i="5"/>
  <c r="E14" i="5"/>
  <c r="E87" i="5"/>
  <c r="E90" i="5"/>
  <c r="E92" i="5"/>
  <c r="E43" i="5"/>
  <c r="E7" i="5"/>
  <c r="E61" i="5"/>
  <c r="E94" i="5"/>
  <c r="E37" i="5"/>
  <c r="E52" i="5"/>
  <c r="E64" i="5"/>
  <c r="E46" i="5"/>
  <c r="E83" i="5"/>
  <c r="E2" i="5"/>
  <c r="E49" i="5"/>
  <c r="E22" i="5"/>
  <c r="E8" i="5"/>
  <c r="E47" i="5"/>
  <c r="E42" i="5"/>
  <c r="E10" i="5"/>
  <c r="E66" i="5"/>
  <c r="E51" i="5"/>
  <c r="E26" i="5"/>
  <c r="E9" i="5"/>
  <c r="E84" i="5"/>
  <c r="E73" i="5"/>
  <c r="E63" i="5"/>
  <c r="E54" i="5"/>
  <c r="E71" i="5"/>
  <c r="E32" i="5"/>
  <c r="E19" i="5"/>
  <c r="E45" i="5"/>
  <c r="E17" i="5"/>
  <c r="E95" i="5"/>
  <c r="E58" i="5"/>
  <c r="E79" i="5"/>
  <c r="E93" i="5"/>
  <c r="E55" i="5"/>
  <c r="E74" i="5"/>
  <c r="E44" i="5"/>
  <c r="E36" i="5"/>
  <c r="E41" i="5"/>
  <c r="E15" i="5"/>
  <c r="E30" i="5"/>
  <c r="E62" i="5"/>
  <c r="E77" i="5"/>
  <c r="E100" i="5"/>
  <c r="E25" i="5"/>
  <c r="E35" i="5"/>
  <c r="E72" i="5"/>
  <c r="E4" i="5"/>
  <c r="E96" i="5"/>
  <c r="E16" i="5"/>
  <c r="E75" i="5"/>
  <c r="E31" i="5"/>
  <c r="E27" i="5"/>
  <c r="E24" i="5"/>
  <c r="E29" i="5"/>
  <c r="E97" i="5"/>
  <c r="E28" i="5"/>
  <c r="E69" i="5"/>
  <c r="E82" i="5"/>
  <c r="E21" i="5"/>
  <c r="E101" i="5"/>
  <c r="E60" i="5"/>
  <c r="E57" i="5"/>
  <c r="E48" i="5"/>
  <c r="E65" i="5"/>
  <c r="E18" i="5"/>
  <c r="E68" i="5"/>
  <c r="O52" i="5" l="1"/>
  <c r="P52" i="5" s="1" a="1"/>
  <c r="P52" i="5" s="1"/>
  <c r="L53" i="2" s="1" a="1"/>
  <c r="L53" i="2" s="1"/>
  <c r="O60" i="5"/>
  <c r="P60" i="5" s="1" a="1"/>
  <c r="P60" i="5" s="1"/>
  <c r="L61" i="2" s="1" a="1"/>
  <c r="L61" i="2" s="1"/>
  <c r="O46" i="5"/>
  <c r="P46" i="5" s="1" a="1"/>
  <c r="P46" i="5" s="1"/>
  <c r="L47" i="2" s="1" a="1"/>
  <c r="L47" i="2" s="1"/>
  <c r="O74" i="5"/>
  <c r="P74" i="5" s="1" a="1"/>
  <c r="P74" i="5" s="1"/>
  <c r="L75" i="2" s="1" a="1"/>
  <c r="L75" i="2" s="1"/>
  <c r="O32" i="5"/>
  <c r="P32" i="5" s="1" a="1"/>
  <c r="P32" i="5" s="1"/>
  <c r="L33" i="2" s="1" a="1"/>
  <c r="L33" i="2" s="1"/>
  <c r="O61" i="5"/>
  <c r="P61" i="5" s="1" a="1"/>
  <c r="P61" i="5" s="1"/>
  <c r="L62" i="2" s="1" a="1"/>
  <c r="L62" i="2" s="1"/>
  <c r="O35" i="5"/>
  <c r="P35" i="5" s="1" a="1"/>
  <c r="P35" i="5" s="1"/>
  <c r="L36" i="2" s="1" a="1"/>
  <c r="L36" i="2" s="1"/>
  <c r="O94" i="5"/>
  <c r="P94" i="5" s="1" a="1"/>
  <c r="P94" i="5" s="1"/>
  <c r="L94" i="2" s="1" a="1"/>
  <c r="L94" i="2" s="1"/>
  <c r="O80" i="5"/>
  <c r="P80" i="5" s="1" a="1"/>
  <c r="P80" i="5" s="1"/>
  <c r="L81" i="2" s="1" a="1"/>
  <c r="L81" i="2" s="1"/>
  <c r="O37" i="5"/>
  <c r="P37" i="5" s="1" a="1"/>
  <c r="P37" i="5" s="1"/>
  <c r="L38" i="2" s="1" a="1"/>
  <c r="L38" i="2" s="1"/>
  <c r="O38" i="5"/>
  <c r="P38" i="5" s="1" a="1"/>
  <c r="P38" i="5" s="1"/>
  <c r="L39" i="2" s="1" a="1"/>
  <c r="L39" i="2" s="1"/>
  <c r="O72" i="5"/>
  <c r="P72" i="5" s="1" a="1"/>
  <c r="P72" i="5" s="1"/>
  <c r="L73" i="2" s="1" a="1"/>
  <c r="L73" i="2" s="1"/>
  <c r="O95" i="5"/>
  <c r="P95" i="5" s="1" a="1"/>
  <c r="P95" i="5" s="1"/>
  <c r="L95" i="2" s="1" a="1"/>
  <c r="L95" i="2" s="1"/>
  <c r="O67" i="5"/>
  <c r="P67" i="5" s="1" a="1"/>
  <c r="P67" i="5" s="1"/>
  <c r="L68" i="2" s="1" a="1"/>
  <c r="L68" i="2" s="1"/>
  <c r="O43" i="5"/>
  <c r="P43" i="5" s="1" a="1"/>
  <c r="P43" i="5" s="1"/>
  <c r="L44" i="2" s="1" a="1"/>
  <c r="L44" i="2" s="1"/>
  <c r="O99" i="5"/>
  <c r="P99" i="5" s="1" a="1"/>
  <c r="P99" i="5" s="1"/>
  <c r="L99" i="2" s="1" a="1"/>
  <c r="L99" i="2" s="1"/>
  <c r="O66" i="5"/>
  <c r="P66" i="5" s="1" a="1"/>
  <c r="P66" i="5" s="1"/>
  <c r="L67" i="2" s="1" a="1"/>
  <c r="L67" i="2" s="1"/>
  <c r="O50" i="5"/>
  <c r="P50" i="5" s="1" a="1"/>
  <c r="P50" i="5" s="1"/>
  <c r="L51" i="2" s="1" a="1"/>
  <c r="L51" i="2" s="1"/>
  <c r="O57" i="5"/>
  <c r="P57" i="5" s="1" a="1"/>
  <c r="P57" i="5" s="1"/>
  <c r="L58" i="2" s="1" a="1"/>
  <c r="L58" i="2" s="1"/>
  <c r="O24" i="5"/>
  <c r="P24" i="5" s="1" a="1"/>
  <c r="P24" i="5" s="1"/>
  <c r="L25" i="2" s="1" a="1"/>
  <c r="L25" i="2" s="1"/>
  <c r="O40" i="5"/>
  <c r="P40" i="5" s="1" a="1"/>
  <c r="P40" i="5" s="1"/>
  <c r="L41" i="2" s="1" a="1"/>
  <c r="L41" i="2" s="1"/>
  <c r="O86" i="5"/>
  <c r="P86" i="5" s="1" a="1"/>
  <c r="P86" i="5" s="1"/>
  <c r="L86" i="2" s="1" a="1"/>
  <c r="L86" i="2" s="1"/>
  <c r="O30" i="5"/>
  <c r="P30" i="5" s="1" a="1"/>
  <c r="P30" i="5" s="1"/>
  <c r="L31" i="2" s="1" a="1"/>
  <c r="L31" i="2" s="1"/>
  <c r="O85" i="5"/>
  <c r="P85" i="5" s="1" a="1"/>
  <c r="P85" i="5" s="1"/>
  <c r="L30" i="2" s="1" a="1"/>
  <c r="L30" i="2" s="1"/>
  <c r="O84" i="5"/>
  <c r="P84" i="5" s="1" a="1"/>
  <c r="P84" i="5" s="1"/>
  <c r="L85" i="2" s="1" a="1"/>
  <c r="L85" i="2" s="1"/>
  <c r="O7" i="5"/>
  <c r="P7" i="5" s="1" a="1"/>
  <c r="P7" i="5" s="1"/>
  <c r="L11" i="2" s="1" a="1"/>
  <c r="L11" i="2" s="1"/>
  <c r="O26" i="5"/>
  <c r="P26" i="5" s="1" a="1"/>
  <c r="P26" i="5" s="1"/>
  <c r="L26" i="2" s="1" a="1"/>
  <c r="L26" i="2" s="1"/>
  <c r="O55" i="5"/>
  <c r="P55" i="5" s="1" a="1"/>
  <c r="P55" i="5" s="1"/>
  <c r="L56" i="2" s="1" a="1"/>
  <c r="L56" i="2" s="1"/>
  <c r="O21" i="5"/>
  <c r="P21" i="5" s="1" a="1"/>
  <c r="P21" i="5" s="1"/>
  <c r="L22" i="2" s="1" a="1"/>
  <c r="L22" i="2" s="1"/>
  <c r="O92" i="5"/>
  <c r="P92" i="5" s="1" a="1"/>
  <c r="P92" i="5" s="1"/>
  <c r="L92" i="2" s="1" a="1"/>
  <c r="L92" i="2" s="1"/>
  <c r="O48" i="5"/>
  <c r="P48" i="5" s="1" a="1"/>
  <c r="P48" i="5" s="1"/>
  <c r="L49" i="2" s="1" a="1"/>
  <c r="L49" i="2" s="1"/>
  <c r="O44" i="5"/>
  <c r="P44" i="5" s="1" a="1"/>
  <c r="P44" i="5" s="1"/>
  <c r="L45" i="2" s="1" a="1"/>
  <c r="L45" i="2" s="1"/>
  <c r="O82" i="5"/>
  <c r="P82" i="5" s="1" a="1"/>
  <c r="P82" i="5" s="1"/>
  <c r="L83" i="2" s="1" a="1"/>
  <c r="L83" i="2" s="1"/>
  <c r="O64" i="5"/>
  <c r="P64" i="5" s="1" a="1"/>
  <c r="P64" i="5" s="1"/>
  <c r="L65" i="2" s="1" a="1"/>
  <c r="L65" i="2" s="1"/>
  <c r="O79" i="5"/>
  <c r="P79" i="5" s="1" a="1"/>
  <c r="P79" i="5" s="1"/>
  <c r="L80" i="2" s="1" a="1"/>
  <c r="L80" i="2" s="1"/>
  <c r="O2" i="5"/>
  <c r="P2" i="5" s="1" a="1"/>
  <c r="P2" i="5" s="1"/>
  <c r="L2" i="2" s="1" a="1"/>
  <c r="L2" i="2" s="1"/>
  <c r="O12" i="5"/>
  <c r="P12" i="5" s="1" a="1"/>
  <c r="P12" i="5" s="1"/>
  <c r="L17" i="2" s="1" a="1"/>
  <c r="L17" i="2" s="1"/>
  <c r="O41" i="5"/>
  <c r="P41" i="5" s="1" a="1"/>
  <c r="P41" i="5" s="1"/>
  <c r="L42" i="2" s="1" a="1"/>
  <c r="L42" i="2" s="1"/>
  <c r="O70" i="5"/>
  <c r="P70" i="5" s="1" a="1"/>
  <c r="P70" i="5" s="1"/>
  <c r="L71" i="2" s="1" a="1"/>
  <c r="L71" i="2" s="1"/>
  <c r="O59" i="5"/>
  <c r="P59" i="5" s="1" a="1"/>
  <c r="P59" i="5" s="1"/>
  <c r="L60" i="2" s="1" a="1"/>
  <c r="L60" i="2" s="1"/>
  <c r="O22" i="5"/>
  <c r="P22" i="5" s="1" a="1"/>
  <c r="P22" i="5" s="1"/>
  <c r="L23" i="2" s="1" a="1"/>
  <c r="L23" i="2" s="1"/>
  <c r="O91" i="5"/>
  <c r="P91" i="5" s="1" a="1"/>
  <c r="P91" i="5" s="1"/>
  <c r="L91" i="2" s="1" a="1"/>
  <c r="L91" i="2" s="1"/>
  <c r="O15" i="5"/>
  <c r="P15" i="5" s="1" a="1"/>
  <c r="P15" i="5" s="1"/>
  <c r="L14" i="2" s="1" a="1"/>
  <c r="L14" i="2" s="1"/>
  <c r="O10" i="5"/>
  <c r="P10" i="5" s="1" a="1"/>
  <c r="P10" i="5" s="1"/>
  <c r="L15" i="2" s="1" a="1"/>
  <c r="L15" i="2" s="1"/>
  <c r="O100" i="5"/>
  <c r="P100" i="5" s="1" a="1"/>
  <c r="P100" i="5" s="1"/>
  <c r="L100" i="2" s="1" a="1"/>
  <c r="L100" i="2" s="1"/>
  <c r="O45" i="5"/>
  <c r="P45" i="5" s="1" a="1"/>
  <c r="P45" i="5" s="1"/>
  <c r="L46" i="2" s="1" a="1"/>
  <c r="L46" i="2" s="1"/>
  <c r="O13" i="5"/>
  <c r="P13" i="5" s="1" a="1"/>
  <c r="P13" i="5" s="1"/>
  <c r="L18" i="2" s="1" a="1"/>
  <c r="L18" i="2" s="1"/>
  <c r="O69" i="5"/>
  <c r="P69" i="5" s="1" a="1"/>
  <c r="P69" i="5" s="1"/>
  <c r="L70" i="2" s="1" a="1"/>
  <c r="L70" i="2" s="1"/>
  <c r="O68" i="5"/>
  <c r="P68" i="5" s="1" a="1"/>
  <c r="P68" i="5" s="1"/>
  <c r="L69" i="2" s="1" a="1"/>
  <c r="L69" i="2" s="1"/>
  <c r="O23" i="5"/>
  <c r="P23" i="5" s="1" a="1"/>
  <c r="P23" i="5" s="1"/>
  <c r="L24" i="2" s="1" a="1"/>
  <c r="L24" i="2" s="1"/>
  <c r="O3" i="5"/>
  <c r="P3" i="5" s="1" a="1"/>
  <c r="P3" i="5" s="1"/>
  <c r="L3" i="2" s="1" a="1"/>
  <c r="L3" i="2" s="1"/>
  <c r="O73" i="5"/>
  <c r="P73" i="5" s="1" a="1"/>
  <c r="P73" i="5" s="1"/>
  <c r="L74" i="2" s="1" a="1"/>
  <c r="L74" i="2" s="1"/>
  <c r="O51" i="5"/>
  <c r="P51" i="5" s="1" a="1"/>
  <c r="P51" i="5" s="1"/>
  <c r="L52" i="2" s="1" a="1"/>
  <c r="L52" i="2" s="1"/>
  <c r="O53" i="5"/>
  <c r="P53" i="5" s="1" a="1"/>
  <c r="P53" i="5" s="1"/>
  <c r="L54" i="2" s="1" a="1"/>
  <c r="L54" i="2" s="1"/>
  <c r="O97" i="5"/>
  <c r="P97" i="5" s="1" a="1"/>
  <c r="P97" i="5" s="1"/>
  <c r="L97" i="2" s="1" a="1"/>
  <c r="L97" i="2" s="1"/>
  <c r="O31" i="5"/>
  <c r="P31" i="5" s="1" a="1"/>
  <c r="P31" i="5" s="1"/>
  <c r="L32" i="2" s="1" a="1"/>
  <c r="L32" i="2" s="1"/>
  <c r="O101" i="5"/>
  <c r="P101" i="5" s="1" a="1"/>
  <c r="P101" i="5" s="1"/>
  <c r="L101" i="2" s="1" a="1"/>
  <c r="L101" i="2" s="1"/>
  <c r="O87" i="5"/>
  <c r="P87" i="5" s="1" a="1"/>
  <c r="P87" i="5" s="1"/>
  <c r="L87" i="2" s="1" a="1"/>
  <c r="L87" i="2" s="1"/>
  <c r="O9" i="5"/>
  <c r="P9" i="5" s="1" a="1"/>
  <c r="P9" i="5" s="1"/>
  <c r="L16" i="2" s="1" a="1"/>
  <c r="L16" i="2" s="1"/>
  <c r="O77" i="5"/>
  <c r="P77" i="5" s="1" a="1"/>
  <c r="P77" i="5" s="1"/>
  <c r="L78" i="2" s="1" a="1"/>
  <c r="L78" i="2" s="1"/>
  <c r="O56" i="5"/>
  <c r="P56" i="5" s="1" a="1"/>
  <c r="P56" i="5" s="1"/>
  <c r="L57" i="2" s="1" a="1"/>
  <c r="L57" i="2" s="1"/>
  <c r="O4" i="5"/>
  <c r="P4" i="5" s="1" a="1"/>
  <c r="P4" i="5" s="1"/>
  <c r="L5" i="2" s="1" a="1"/>
  <c r="L5" i="2" s="1"/>
  <c r="O65" i="5"/>
  <c r="P65" i="5" s="1" a="1"/>
  <c r="P65" i="5" s="1"/>
  <c r="L66" i="2" s="1" a="1"/>
  <c r="L66" i="2" s="1"/>
  <c r="O58" i="5"/>
  <c r="P58" i="5" s="1" a="1"/>
  <c r="P58" i="5" s="1"/>
  <c r="L59" i="2" s="1" a="1"/>
  <c r="L59" i="2" s="1"/>
  <c r="O11" i="5"/>
  <c r="P11" i="5" s="1" a="1"/>
  <c r="P11" i="5" s="1"/>
  <c r="L13" i="2" s="1" a="1"/>
  <c r="L13" i="2" s="1"/>
  <c r="O17" i="5"/>
  <c r="P17" i="5" s="1" a="1"/>
  <c r="P17" i="5" s="1"/>
  <c r="L9" i="2" s="1" a="1"/>
  <c r="L9" i="2" s="1"/>
  <c r="O42" i="5"/>
  <c r="P42" i="5" s="1" a="1"/>
  <c r="P42" i="5" s="1"/>
  <c r="L43" i="2" s="1" a="1"/>
  <c r="L43" i="2" s="1"/>
  <c r="O47" i="5"/>
  <c r="P47" i="5" s="1" a="1"/>
  <c r="P47" i="5" s="1"/>
  <c r="L48" i="2" s="1" a="1"/>
  <c r="L48" i="2" s="1"/>
  <c r="O93" i="5"/>
  <c r="P93" i="5" s="1" a="1"/>
  <c r="P93" i="5" s="1"/>
  <c r="L93" i="2" s="1" a="1"/>
  <c r="L93" i="2" s="1"/>
  <c r="O62" i="5"/>
  <c r="P62" i="5" s="1" a="1"/>
  <c r="P62" i="5" s="1"/>
  <c r="L63" i="2" s="1" a="1"/>
  <c r="L63" i="2" s="1"/>
  <c r="O33" i="5"/>
  <c r="P33" i="5" s="1" a="1"/>
  <c r="P33" i="5" s="1"/>
  <c r="L34" i="2" s="1" a="1"/>
  <c r="L34" i="2" s="1"/>
  <c r="O89" i="5"/>
  <c r="P89" i="5" s="1" a="1"/>
  <c r="P89" i="5" s="1"/>
  <c r="L89" i="2" s="1" a="1"/>
  <c r="L89" i="2" s="1"/>
  <c r="O19" i="5"/>
  <c r="P19" i="5" s="1" a="1"/>
  <c r="P19" i="5" s="1"/>
  <c r="L20" i="2" s="1" a="1"/>
  <c r="L20" i="2" s="1"/>
  <c r="O75" i="5"/>
  <c r="P75" i="5" s="1" a="1"/>
  <c r="P75" i="5" s="1"/>
  <c r="L76" i="2" s="1" a="1"/>
  <c r="L76" i="2" s="1"/>
  <c r="O27" i="5"/>
  <c r="P27" i="5" s="1" a="1"/>
  <c r="P27" i="5" s="1"/>
  <c r="L27" i="2" s="1" a="1"/>
  <c r="L27" i="2" s="1"/>
  <c r="O54" i="5"/>
  <c r="P54" i="5" s="1" a="1"/>
  <c r="P54" i="5" s="1"/>
  <c r="L55" i="2" s="1" a="1"/>
  <c r="L55" i="2" s="1"/>
  <c r="O71" i="5"/>
  <c r="P71" i="5" s="1" a="1"/>
  <c r="P71" i="5" s="1"/>
  <c r="L72" i="2" s="1" a="1"/>
  <c r="L72" i="2" s="1"/>
  <c r="O5" i="5"/>
  <c r="P5" i="5" s="1" a="1"/>
  <c r="P5" i="5" s="1"/>
  <c r="L8" i="2" s="1" a="1"/>
  <c r="L8" i="2" s="1"/>
  <c r="O14" i="5"/>
  <c r="P14" i="5" s="1" a="1"/>
  <c r="P14" i="5" s="1"/>
  <c r="L7" i="2" s="1" a="1"/>
  <c r="L7" i="2" s="1"/>
  <c r="O16" i="5"/>
  <c r="P16" i="5" s="1" a="1"/>
  <c r="P16" i="5" s="1"/>
  <c r="L10" i="2" s="1" a="1"/>
  <c r="L10" i="2" s="1"/>
  <c r="O39" i="5"/>
  <c r="P39" i="5" s="1" a="1"/>
  <c r="P39" i="5" s="1"/>
  <c r="L40" i="2" s="1" a="1"/>
  <c r="L40" i="2" s="1"/>
  <c r="O29" i="5"/>
  <c r="P29" i="5" s="1" a="1"/>
  <c r="P29" i="5" s="1"/>
  <c r="L29" i="2" s="1" a="1"/>
  <c r="L29" i="2" s="1"/>
  <c r="O90" i="5"/>
  <c r="P90" i="5" s="1" a="1"/>
  <c r="P90" i="5" s="1"/>
  <c r="L90" i="2" s="1" a="1"/>
  <c r="L90" i="2" s="1"/>
  <c r="O96" i="5"/>
  <c r="P96" i="5" s="1" a="1"/>
  <c r="P96" i="5" s="1"/>
  <c r="L96" i="2" s="1" a="1"/>
  <c r="L96" i="2" s="1"/>
  <c r="O88" i="5"/>
  <c r="P88" i="5" s="1" a="1"/>
  <c r="P88" i="5" s="1"/>
  <c r="L88" i="2" s="1" a="1"/>
  <c r="L88" i="2" s="1"/>
  <c r="O34" i="5"/>
  <c r="P34" i="5" s="1" a="1"/>
  <c r="P34" i="5" s="1"/>
  <c r="L35" i="2" s="1" a="1"/>
  <c r="L35" i="2" s="1"/>
  <c r="O6" i="5"/>
  <c r="P6" i="5" s="1" a="1"/>
  <c r="P6" i="5" s="1"/>
  <c r="L6" i="2" s="1" a="1"/>
  <c r="L6" i="2" s="1"/>
  <c r="O49" i="5"/>
  <c r="P49" i="5" s="1" a="1"/>
  <c r="P49" i="5" s="1"/>
  <c r="L50" i="2" s="1" a="1"/>
  <c r="L50" i="2" s="1"/>
  <c r="O8" i="5"/>
  <c r="P8" i="5" s="1" a="1"/>
  <c r="P8" i="5" s="1"/>
  <c r="L12" i="2" s="1" a="1"/>
  <c r="L12" i="2" s="1"/>
  <c r="O78" i="5"/>
  <c r="P78" i="5" s="1" a="1"/>
  <c r="P78" i="5" s="1"/>
  <c r="L79" i="2" s="1" a="1"/>
  <c r="L79" i="2" s="1"/>
  <c r="O63" i="5"/>
  <c r="P63" i="5" s="1" a="1"/>
  <c r="P63" i="5" s="1"/>
  <c r="L64" i="2" s="1" a="1"/>
  <c r="L64" i="2" s="1"/>
  <c r="O25" i="5"/>
  <c r="P25" i="5" s="1" a="1"/>
  <c r="P25" i="5" s="1"/>
  <c r="L4" i="2" s="1" a="1"/>
  <c r="L4" i="2" s="1"/>
  <c r="O98" i="5"/>
  <c r="P98" i="5" s="1" a="1"/>
  <c r="P98" i="5" s="1"/>
  <c r="L98" i="2" s="1" a="1"/>
  <c r="L98" i="2" s="1"/>
  <c r="O28" i="5"/>
  <c r="P28" i="5" s="1" a="1"/>
  <c r="P28" i="5" s="1"/>
  <c r="L28" i="2" s="1" a="1"/>
  <c r="L28" i="2" s="1"/>
  <c r="O18" i="5"/>
  <c r="P18" i="5" s="1" a="1"/>
  <c r="P18" i="5" s="1"/>
  <c r="L19" i="2" s="1" a="1"/>
  <c r="L19" i="2" s="1"/>
  <c r="O83" i="5"/>
  <c r="P83" i="5" s="1" a="1"/>
  <c r="P83" i="5" s="1"/>
  <c r="L84" i="2" s="1" a="1"/>
  <c r="L84" i="2" s="1"/>
  <c r="O20" i="5"/>
  <c r="P20" i="5" s="1" a="1"/>
  <c r="P20" i="5" s="1"/>
  <c r="L21" i="2" s="1" a="1"/>
  <c r="L21" i="2" s="1"/>
  <c r="O81" i="5"/>
  <c r="P81" i="5" s="1" a="1"/>
  <c r="P81" i="5" s="1"/>
  <c r="L82" i="2" s="1" a="1"/>
  <c r="L82" i="2" s="1"/>
  <c r="O36" i="5"/>
  <c r="P36" i="5" s="1" a="1"/>
  <c r="P36" i="5" s="1"/>
  <c r="L37" i="2" s="1" a="1"/>
  <c r="L37" i="2" s="1"/>
  <c r="O76" i="5"/>
  <c r="P76" i="5" s="1" a="1"/>
  <c r="P76" i="5" s="1"/>
  <c r="L77" i="2" s="1" a="1"/>
  <c r="L77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<sst xmlns="http://schemas.openxmlformats.org/spreadsheetml/2006/main" count="410" uniqueCount="265">
  <si>
    <t>^</t>
  </si>
  <si>
    <t>KANBAN</t>
  </si>
  <si>
    <t>EN ESPERA</t>
  </si>
  <si>
    <t>IMPORTANTE</t>
  </si>
  <si>
    <t>Ruben Arroyo</t>
  </si>
  <si>
    <t>COMPLETADO</t>
  </si>
  <si>
    <t>URGENTE</t>
  </si>
  <si>
    <t>EN PROGRESO</t>
  </si>
  <si>
    <t>NORMAL</t>
  </si>
  <si>
    <t>POR HACER</t>
  </si>
  <si>
    <t xml:space="preserve">Realizar el Informe de Resultados de 
las pruebas finales </t>
  </si>
  <si>
    <t>Blog:</t>
  </si>
  <si>
    <t>YouTube:</t>
  </si>
  <si>
    <t>Excel Pedro Wave - YouTube</t>
  </si>
  <si>
    <t>COPYRIGHT:</t>
  </si>
  <si>
    <t>CC BY-NC-SA 4.0</t>
  </si>
  <si>
    <t>Español</t>
  </si>
  <si>
    <t>#</t>
  </si>
  <si>
    <t>ARCHIVADO</t>
  </si>
  <si>
    <t>á</t>
  </si>
  <si>
    <t>C</t>
  </si>
  <si>
    <t>H</t>
  </si>
  <si>
    <t>M</t>
  </si>
  <si>
    <t>R</t>
  </si>
  <si>
    <t>W</t>
  </si>
  <si>
    <t>AB</t>
  </si>
  <si>
    <t>AG</t>
  </si>
  <si>
    <t>AL</t>
  </si>
  <si>
    <t>AQ</t>
  </si>
  <si>
    <t>AV</t>
  </si>
  <si>
    <t>Kanban</t>
  </si>
  <si>
    <t>English</t>
  </si>
  <si>
    <t>Française</t>
  </si>
  <si>
    <t>Italiano</t>
  </si>
  <si>
    <t>Deutsch</t>
  </si>
  <si>
    <t>Português</t>
  </si>
  <si>
    <t>Tablero KANBAN</t>
  </si>
  <si>
    <t>KANBAN board</t>
  </si>
  <si>
    <t>Tableau KANBAN</t>
  </si>
  <si>
    <t>Scheda KANBAN</t>
  </si>
  <si>
    <t>KANBAN-Tafel</t>
  </si>
  <si>
    <t>Quadro KANBAN</t>
  </si>
  <si>
    <t>Idioma</t>
  </si>
  <si>
    <t>Language</t>
  </si>
  <si>
    <t>langage</t>
  </si>
  <si>
    <t>Lingua</t>
  </si>
  <si>
    <t>Sprache</t>
  </si>
  <si>
    <t>Linguagem</t>
  </si>
  <si>
    <t>AVISO:</t>
  </si>
  <si>
    <t>WARNING:</t>
  </si>
  <si>
    <t>AVERTISSEMENT:</t>
  </si>
  <si>
    <t>AVVERTIMENTO:</t>
  </si>
  <si>
    <t>WARNUNG:</t>
  </si>
  <si>
    <t>Es preciso traducir</t>
  </si>
  <si>
    <t>Need to translate</t>
  </si>
  <si>
    <t>Il faut traduire</t>
  </si>
  <si>
    <t>È necessario tradurre</t>
  </si>
  <si>
    <t>Es ist notwendig zu übersetzen</t>
  </si>
  <si>
    <t>É necessário traduzir</t>
  </si>
  <si>
    <t>Estados y Criticidad</t>
  </si>
  <si>
    <t>Status and Criticality</t>
  </si>
  <si>
    <t>États et Criticité</t>
  </si>
  <si>
    <t>Stati e Criticità</t>
  </si>
  <si>
    <t>Zustände und Kritikalität</t>
  </si>
  <si>
    <t>Estados e Criticidade</t>
  </si>
  <si>
    <t>Estados</t>
  </si>
  <si>
    <t>Status</t>
  </si>
  <si>
    <t>État</t>
  </si>
  <si>
    <t>Stati</t>
  </si>
  <si>
    <t>Zustand</t>
  </si>
  <si>
    <t>Criticidad</t>
  </si>
  <si>
    <t>Criticality</t>
  </si>
  <si>
    <t>Criticité</t>
  </si>
  <si>
    <t>Criticità</t>
  </si>
  <si>
    <t>Kritisch</t>
  </si>
  <si>
    <t>Criticidade</t>
  </si>
  <si>
    <t>Miembros del equipo</t>
  </si>
  <si>
    <t>Team members</t>
  </si>
  <si>
    <t>Membres de l'équipe</t>
  </si>
  <si>
    <t>Membri del team</t>
  </si>
  <si>
    <t>Teammitglieder</t>
  </si>
  <si>
    <t>Membros da equipe</t>
  </si>
  <si>
    <t>Estado final</t>
  </si>
  <si>
    <t>Final status</t>
  </si>
  <si>
    <t>État final</t>
  </si>
  <si>
    <t>Stato finale</t>
  </si>
  <si>
    <t>Endgültiger Zustand</t>
  </si>
  <si>
    <t>Nombre archivo en Excel para la Web</t>
  </si>
  <si>
    <t>File name in Excel for the web</t>
  </si>
  <si>
    <t>Nom du fichier dans Excel pour le Web</t>
  </si>
  <si>
    <t>Nome del file in Excel per il Web</t>
  </si>
  <si>
    <t>Dateiname in Excel für das Web</t>
  </si>
  <si>
    <t>Nome do arquivo no Excel para a Web</t>
  </si>
  <si>
    <t>Tarea</t>
  </si>
  <si>
    <t>Task</t>
  </si>
  <si>
    <t>Tâche</t>
  </si>
  <si>
    <t>Compito</t>
  </si>
  <si>
    <t>Aufgabe</t>
  </si>
  <si>
    <t>Tarefa</t>
  </si>
  <si>
    <t>Descripción</t>
  </si>
  <si>
    <t>Description</t>
  </si>
  <si>
    <t>Descrizione</t>
  </si>
  <si>
    <t>Beschreibung</t>
  </si>
  <si>
    <t>Descrição</t>
  </si>
  <si>
    <t>Inicio</t>
  </si>
  <si>
    <t>Start</t>
  </si>
  <si>
    <t>Début</t>
  </si>
  <si>
    <t>Iniziale</t>
  </si>
  <si>
    <t>Começar</t>
  </si>
  <si>
    <t>Previsto</t>
  </si>
  <si>
    <t>Planned</t>
  </si>
  <si>
    <t>Prévue</t>
  </si>
  <si>
    <t>Prevista</t>
  </si>
  <si>
    <t>Bereitgestellt</t>
  </si>
  <si>
    <t>Planejado</t>
  </si>
  <si>
    <t>Final</t>
  </si>
  <si>
    <t>Finale</t>
  </si>
  <si>
    <t>Duración</t>
  </si>
  <si>
    <t>Duration</t>
  </si>
  <si>
    <t>Durée</t>
  </si>
  <si>
    <t>Durata</t>
  </si>
  <si>
    <t>Dauer</t>
  </si>
  <si>
    <t>Duração</t>
  </si>
  <si>
    <t>Retraso</t>
  </si>
  <si>
    <t>Delay</t>
  </si>
  <si>
    <t>Retard</t>
  </si>
  <si>
    <t>Ritardo</t>
  </si>
  <si>
    <t>Verzögerung</t>
  </si>
  <si>
    <t>Atraso</t>
  </si>
  <si>
    <t>Asignado</t>
  </si>
  <si>
    <t>Assigned</t>
  </si>
  <si>
    <t>Assignée</t>
  </si>
  <si>
    <t>Assegnato</t>
  </si>
  <si>
    <t>Zugewiesen</t>
  </si>
  <si>
    <t>Atribuído</t>
  </si>
  <si>
    <t>Filtro</t>
  </si>
  <si>
    <t>Filter</t>
  </si>
  <si>
    <t>Filtre</t>
  </si>
  <si>
    <t>Celda</t>
  </si>
  <si>
    <t>Cell</t>
  </si>
  <si>
    <t>Cellule</t>
  </si>
  <si>
    <t>Cellula</t>
  </si>
  <si>
    <t>Zelle</t>
  </si>
  <si>
    <t>Célula</t>
  </si>
  <si>
    <t>Tarjetas con</t>
  </si>
  <si>
    <t>Cards with</t>
  </si>
  <si>
    <t>Cartes avec</t>
  </si>
  <si>
    <t>Carte con</t>
  </si>
  <si>
    <t>Karten mit</t>
  </si>
  <si>
    <t>Cartões com</t>
  </si>
  <si>
    <t>líneas</t>
  </si>
  <si>
    <t>lines</t>
  </si>
  <si>
    <t>lignes</t>
  </si>
  <si>
    <t>linee</t>
  </si>
  <si>
    <t>Lin.</t>
  </si>
  <si>
    <t>linhas</t>
  </si>
  <si>
    <t>tareas asignadas a</t>
  </si>
  <si>
    <t>tasks assigned to</t>
  </si>
  <si>
    <t>tâches assignées à</t>
  </si>
  <si>
    <t>compiti assegnati a</t>
  </si>
  <si>
    <t>zugewiesenen Aufgaben</t>
  </si>
  <si>
    <t>tarefas atribuídas a</t>
  </si>
  <si>
    <t>Con criticidad</t>
  </si>
  <si>
    <t>With criticality</t>
  </si>
  <si>
    <t>Avec criticité</t>
  </si>
  <si>
    <t>Con criticità</t>
  </si>
  <si>
    <t>Mit Kritikalität</t>
  </si>
  <si>
    <t>com criticidade</t>
  </si>
  <si>
    <t>Con inicio desde</t>
  </si>
  <si>
    <t>Starting from</t>
  </si>
  <si>
    <t>A partir de</t>
  </si>
  <si>
    <t>A partire da</t>
  </si>
  <si>
    <t>Ausgehend von</t>
  </si>
  <si>
    <t>Começando de</t>
  </si>
  <si>
    <t>Con el texto</t>
  </si>
  <si>
    <t>With the text</t>
  </si>
  <si>
    <t>Avec le texte</t>
  </si>
  <si>
    <t>Con il testo</t>
  </si>
  <si>
    <t>Mit dem Text</t>
  </si>
  <si>
    <t>Com o texto</t>
  </si>
  <si>
    <t>Con un retraso &gt;</t>
  </si>
  <si>
    <t>With a delay &gt;</t>
  </si>
  <si>
    <t>Avec du retard &gt;</t>
  </si>
  <si>
    <t>Con un ritardo &gt;</t>
  </si>
  <si>
    <t>Mit Verzögerung &gt;</t>
  </si>
  <si>
    <t>Com um atraso &gt;</t>
  </si>
  <si>
    <t>días</t>
  </si>
  <si>
    <t>days</t>
  </si>
  <si>
    <t>jours</t>
  </si>
  <si>
    <t>giorni</t>
  </si>
  <si>
    <t>Tage</t>
  </si>
  <si>
    <t>dias</t>
  </si>
  <si>
    <t>Orden en tarjetas</t>
  </si>
  <si>
    <t>Order on cards</t>
  </si>
  <si>
    <t>Ordre sur cartes</t>
  </si>
  <si>
    <t>Ordine sulle carte</t>
  </si>
  <si>
    <t>Ordnung auf den Karten</t>
  </si>
  <si>
    <t>Ordem nos cartões</t>
  </si>
  <si>
    <t>Cambiar números del 2 al 8</t>
  </si>
  <si>
    <t>Change numbers from 2 to 8</t>
  </si>
  <si>
    <t>Changez les chiffres de 2 à 8</t>
  </si>
  <si>
    <t>Cambia i numeri da 2 a 8</t>
  </si>
  <si>
    <t>Zahlen von 2 auf 8 ändern</t>
  </si>
  <si>
    <t>Mude os números de 2 para 8</t>
  </si>
  <si>
    <t>No duplicar los números</t>
  </si>
  <si>
    <t>Do not duplicate numbers</t>
  </si>
  <si>
    <t>Ne doublez pas les chiffres</t>
  </si>
  <si>
    <t>Non duplicare i numeri</t>
  </si>
  <si>
    <t>Zahlen nicht duplizieren</t>
  </si>
  <si>
    <t>Não duplique números</t>
  </si>
  <si>
    <t>Con una duración &gt;</t>
  </si>
  <si>
    <t>With a duration &gt;</t>
  </si>
  <si>
    <t>Avec une durée &gt;</t>
  </si>
  <si>
    <t>Con una durata &gt;</t>
  </si>
  <si>
    <t>Mit einer Dauer &gt;</t>
  </si>
  <si>
    <t>Com uma duração &gt;</t>
  </si>
  <si>
    <t>Alejandro De La Cruz</t>
  </si>
  <si>
    <t>Santiago Nogales</t>
  </si>
  <si>
    <t>Ian Escobar</t>
  </si>
  <si>
    <t>Planificación del proyecto</t>
  </si>
  <si>
    <t>Reunión inicial</t>
  </si>
  <si>
    <t>Elaboración del perfil del proyecto en base al proyecto "Elegant.love"</t>
  </si>
  <si>
    <t>Creación de borrador de entrevista para el viernes</t>
  </si>
  <si>
    <t>Realizar el borrador de la entrevista al cliente</t>
  </si>
  <si>
    <t>Se definieron los objetivos iniciales, cronograma general y roles del equipo.</t>
  </si>
  <si>
    <t xml:space="preserve"> Reunión grupal para coordinar ideas y distribuir responsabilidades del proyecto.</t>
  </si>
  <si>
    <t>Corrección del perfil del proyecto con el cliente acordado</t>
  </si>
  <si>
    <t>Se ajustó el perfil del proyecto con base en las sugerencias del cliente.</t>
  </si>
  <si>
    <t>Todos</t>
  </si>
  <si>
    <t xml:space="preserve"> Creación del Cronograma Marco de trabajo ágil</t>
  </si>
  <si>
    <t>Creación del Cronograma Marco de trabajo ágil</t>
  </si>
  <si>
    <t>Manual de historias de usuario</t>
  </si>
  <si>
    <t>Corrección del marco de trabajo en Excel</t>
  </si>
  <si>
    <t>Organización de carpetas del GitHub</t>
  </si>
  <si>
    <t>Búsqueda de interesados para implementar un proyecto por medio de software
 con validaciones</t>
  </si>
  <si>
    <t>Creación de la lista de interesados</t>
  </si>
  <si>
    <t>Definición del proyecto a trabajar</t>
  </si>
  <si>
    <t>creación del repositorio en GitHub</t>
  </si>
  <si>
    <t>Creación del repositorio en GitHub</t>
  </si>
  <si>
    <t>Investigación método de resolución 5W y 2H</t>
  </si>
  <si>
    <t>Creación del trabajo FODA</t>
  </si>
  <si>
    <t>REQ001 Seguridad al ingreso</t>
  </si>
  <si>
    <t>Pruebas caja blanca y caja negra</t>
  </si>
  <si>
    <t>Pruebas tester</t>
  </si>
  <si>
    <t>Acta de compromiso</t>
  </si>
  <si>
    <t>REQ004 Cambio de IDE</t>
  </si>
  <si>
    <t>Tablero Kanban_G2.xlsx</t>
  </si>
  <si>
    <t>ORDEN PCRONOLOGICO</t>
  </si>
  <si>
    <t>REQ002 Menú</t>
  </si>
  <si>
    <t>REQ003 Edición base de datos</t>
  </si>
  <si>
    <t>Pruebas caja blanca y caja negra
y de la organización</t>
  </si>
  <si>
    <t>Presentación RQ001,RQ002,RQ003 Funcional (video)</t>
  </si>
  <si>
    <t>Finalización del sprint 1</t>
  </si>
  <si>
    <t>Presentación RQ004 Funcional (Video)</t>
  </si>
  <si>
    <t>Finalización del sprint 2</t>
  </si>
  <si>
    <t>Resultados de las pruebas finales Stakeholder de desarrollo 
y de la organización</t>
  </si>
  <si>
    <t>Implementación Kanban</t>
  </si>
  <si>
    <t>REQ005 Filtración atributos clientes</t>
  </si>
  <si>
    <t>Implementación requisito 5 dentro del programa</t>
  </si>
  <si>
    <t>REQ006 Creación de mensajes</t>
  </si>
  <si>
    <t xml:space="preserve">Opción de mandar mensajes dentro del programa </t>
  </si>
  <si>
    <t>Finalización del sprint 3</t>
  </si>
  <si>
    <t>Realizar a documentación de perfil de proyecto</t>
  </si>
  <si>
    <t xml:space="preserve"> Revisión de Sprint1</t>
  </si>
  <si>
    <t>Realizar la  revisión de Sprint1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</si>
</sst>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;"/>
    <numFmt numFmtId="165" formatCode="0;;;"/>
  </numFmts>
  <fonts count="17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i/>
      <sz val="11"/>
      <color theme="6" tint="-0.499984740745262"/>
      <name val="Calibri"/>
      <family val="2"/>
    </font>
    <font>
      <b/>
      <u/>
      <sz val="14"/>
      <color theme="10"/>
      <name val="Calibri"/>
      <family val="2"/>
      <scheme val="minor"/>
    </font>
    <font>
      <i/>
      <sz val="11"/>
      <color theme="6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Wingdings"/>
      <charset val="2"/>
    </font>
  </fonts>
  <fills count="23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  <bgColor theme="0" tint="-0.149998474074526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CC"/>
        <bgColor theme="9" tint="0.79998168889431442"/>
      </patternFill>
    </fill>
  </fills>
  <borders count="41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/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/>
      <diagonal/>
    </border>
    <border>
      <left style="thick">
        <color theme="7" tint="0.59996337778862885"/>
      </left>
      <right/>
      <top style="thick">
        <color theme="7" tint="0.59996337778862885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49" fontId="0" fillId="0" borderId="14" xfId="0" applyNumberFormat="1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49" fontId="0" fillId="0" borderId="0" xfId="0" applyNumberFormat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0" borderId="18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right" vertical="center"/>
    </xf>
    <xf numFmtId="14" fontId="5" fillId="10" borderId="18" xfId="0" applyNumberFormat="1" applyFont="1" applyFill="1" applyBorder="1" applyAlignment="1" applyProtection="1">
      <alignment horizontal="center" vertical="center"/>
      <protection locked="0"/>
    </xf>
    <xf numFmtId="1" fontId="5" fillId="10" borderId="18" xfId="0" applyNumberFormat="1" applyFont="1" applyFill="1" applyBorder="1" applyAlignment="1" applyProtection="1">
      <alignment horizontal="center" vertical="center"/>
      <protection locked="0"/>
    </xf>
    <xf numFmtId="0" fontId="0" fillId="12" borderId="23" xfId="0" applyFill="1" applyBorder="1" applyAlignment="1">
      <alignment vertical="center"/>
    </xf>
    <xf numFmtId="0" fontId="4" fillId="15" borderId="24" xfId="0" applyFont="1" applyFill="1" applyBorder="1" applyAlignment="1">
      <alignment vertical="center"/>
    </xf>
    <xf numFmtId="0" fontId="4" fillId="6" borderId="24" xfId="0" applyFont="1" applyFill="1" applyBorder="1" applyAlignment="1">
      <alignment vertical="center"/>
    </xf>
    <xf numFmtId="0" fontId="4" fillId="14" borderId="24" xfId="0" applyFont="1" applyFill="1" applyBorder="1" applyAlignment="1">
      <alignment vertical="center"/>
    </xf>
    <xf numFmtId="0" fontId="0" fillId="0" borderId="23" xfId="0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1" applyFont="1" applyAlignment="1">
      <alignment vertical="center"/>
    </xf>
    <xf numFmtId="0" fontId="4" fillId="17" borderId="36" xfId="0" applyFont="1" applyFill="1" applyBorder="1" applyAlignment="1">
      <alignment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0" fillId="18" borderId="37" xfId="0" applyFill="1" applyBorder="1" applyAlignment="1">
      <alignment horizontal="right" vertical="center"/>
    </xf>
    <xf numFmtId="14" fontId="6" fillId="18" borderId="38" xfId="1" applyNumberFormat="1" applyFont="1" applyFill="1" applyBorder="1" applyAlignment="1">
      <alignment vertical="center"/>
    </xf>
    <xf numFmtId="0" fontId="0" fillId="0" borderId="37" xfId="0" applyBorder="1" applyAlignment="1">
      <alignment horizontal="right" vertical="center"/>
    </xf>
    <xf numFmtId="14" fontId="6" fillId="0" borderId="38" xfId="1" applyNumberFormat="1" applyFont="1" applyBorder="1" applyAlignment="1">
      <alignment vertical="center"/>
    </xf>
    <xf numFmtId="0" fontId="0" fillId="0" borderId="34" xfId="0" applyBorder="1" applyAlignment="1">
      <alignment horizontal="right" vertical="center"/>
    </xf>
    <xf numFmtId="14" fontId="6" fillId="0" borderId="35" xfId="1" applyNumberFormat="1" applyFont="1" applyBorder="1" applyAlignment="1">
      <alignment vertical="center"/>
    </xf>
    <xf numFmtId="0" fontId="12" fillId="20" borderId="22" xfId="0" applyFont="1" applyFill="1" applyBorder="1" applyAlignment="1">
      <alignment vertical="center"/>
    </xf>
    <xf numFmtId="0" fontId="12" fillId="20" borderId="22" xfId="0" applyFont="1" applyFill="1" applyBorder="1" applyAlignment="1">
      <alignment horizontal="center" vertical="center"/>
    </xf>
    <xf numFmtId="0" fontId="12" fillId="20" borderId="21" xfId="0" applyFont="1" applyFill="1" applyBorder="1" applyAlignment="1">
      <alignment horizontal="center" vertical="center"/>
    </xf>
    <xf numFmtId="14" fontId="0" fillId="21" borderId="22" xfId="0" applyNumberFormat="1" applyFill="1" applyBorder="1" applyAlignment="1">
      <alignment vertical="center"/>
    </xf>
    <xf numFmtId="165" fontId="0" fillId="21" borderId="22" xfId="0" applyNumberFormat="1" applyFill="1" applyBorder="1" applyAlignment="1">
      <alignment horizontal="center" vertical="center"/>
    </xf>
    <xf numFmtId="49" fontId="0" fillId="21" borderId="22" xfId="0" applyNumberFormat="1" applyFill="1" applyBorder="1" applyAlignment="1">
      <alignment horizontal="center" vertical="center"/>
    </xf>
    <xf numFmtId="0" fontId="0" fillId="21" borderId="21" xfId="0" applyFill="1" applyBorder="1" applyAlignment="1">
      <alignment horizontal="center" vertical="center"/>
    </xf>
    <xf numFmtId="14" fontId="0" fillId="0" borderId="22" xfId="0" applyNumberFormat="1" applyBorder="1" applyAlignment="1">
      <alignment vertical="center"/>
    </xf>
    <xf numFmtId="165" fontId="0" fillId="0" borderId="22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20" xfId="0" applyNumberFormat="1" applyBorder="1" applyAlignment="1">
      <alignment vertical="center"/>
    </xf>
    <xf numFmtId="165" fontId="0" fillId="0" borderId="20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22" borderId="18" xfId="0" applyFont="1" applyFill="1" applyBorder="1" applyAlignment="1" applyProtection="1">
      <alignment vertical="center"/>
      <protection locked="0"/>
    </xf>
    <xf numFmtId="0" fontId="12" fillId="20" borderId="24" xfId="0" applyFont="1" applyFill="1" applyBorder="1" applyAlignment="1">
      <alignment vertical="center"/>
    </xf>
    <xf numFmtId="0" fontId="0" fillId="21" borderId="24" xfId="0" applyFill="1" applyBorder="1" applyAlignment="1">
      <alignment vertical="center"/>
    </xf>
    <xf numFmtId="0" fontId="0" fillId="0" borderId="40" xfId="0" applyBorder="1" applyAlignment="1">
      <alignment vertical="center"/>
    </xf>
    <xf numFmtId="0" fontId="0" fillId="16" borderId="24" xfId="0" applyFill="1" applyBorder="1" applyAlignment="1" applyProtection="1">
      <alignment vertical="center"/>
      <protection locked="0"/>
    </xf>
    <xf numFmtId="0" fontId="0" fillId="0" borderId="29" xfId="0" applyBorder="1" applyAlignment="1" applyProtection="1">
      <alignment vertical="center"/>
      <protection locked="0"/>
    </xf>
    <xf numFmtId="0" fontId="0" fillId="16" borderId="29" xfId="0" applyFill="1" applyBorder="1" applyAlignment="1" applyProtection="1">
      <alignment vertical="center"/>
      <protection locked="0"/>
    </xf>
    <xf numFmtId="0" fontId="0" fillId="16" borderId="28" xfId="0" applyFill="1" applyBorder="1" applyAlignment="1" applyProtection="1">
      <alignment vertical="center"/>
      <protection locked="0"/>
    </xf>
    <xf numFmtId="0" fontId="0" fillId="3" borderId="24" xfId="0" applyFill="1" applyBorder="1" applyAlignment="1" applyProtection="1">
      <alignment vertical="center"/>
      <protection locked="0"/>
    </xf>
    <xf numFmtId="0" fontId="0" fillId="4" borderId="25" xfId="0" applyFill="1" applyBorder="1" applyAlignment="1" applyProtection="1">
      <alignment vertical="center"/>
      <protection locked="0"/>
    </xf>
    <xf numFmtId="0" fontId="0" fillId="5" borderId="26" xfId="0" applyFill="1" applyBorder="1" applyAlignment="1" applyProtection="1">
      <alignment vertical="center"/>
      <protection locked="0"/>
    </xf>
    <xf numFmtId="0" fontId="0" fillId="11" borderId="24" xfId="0" applyFill="1" applyBorder="1" applyAlignment="1" applyProtection="1">
      <alignment vertical="center"/>
      <protection locked="0"/>
    </xf>
    <xf numFmtId="0" fontId="0" fillId="0" borderId="30" xfId="0" applyBorder="1" applyAlignment="1" applyProtection="1">
      <alignment vertical="center"/>
      <protection locked="0"/>
    </xf>
    <xf numFmtId="0" fontId="0" fillId="11" borderId="30" xfId="0" applyFill="1" applyBorder="1" applyAlignment="1" applyProtection="1">
      <alignment vertical="center"/>
      <protection locked="0"/>
    </xf>
    <xf numFmtId="0" fontId="0" fillId="0" borderId="27" xfId="0" applyBorder="1" applyAlignment="1" applyProtection="1">
      <alignment vertical="center"/>
      <protection locked="0"/>
    </xf>
    <xf numFmtId="0" fontId="0" fillId="21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12" fillId="20" borderId="24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1" fontId="0" fillId="21" borderId="24" xfId="0" applyNumberFormat="1" applyFill="1" applyBorder="1" applyAlignment="1">
      <alignment horizontal="center" vertical="center"/>
    </xf>
    <xf numFmtId="1" fontId="0" fillId="21" borderId="40" xfId="0" applyNumberFormat="1" applyFill="1" applyBorder="1" applyAlignment="1" applyProtection="1">
      <alignment horizontal="center" vertical="center"/>
      <protection locked="0"/>
    </xf>
    <xf numFmtId="1" fontId="0" fillId="0" borderId="40" xfId="0" applyNumberFormat="1" applyBorder="1" applyAlignment="1" applyProtection="1">
      <alignment horizontal="center" vertical="center"/>
      <protection locked="0"/>
    </xf>
    <xf numFmtId="1" fontId="0" fillId="0" borderId="39" xfId="0" applyNumberFormat="1" applyBorder="1" applyAlignment="1" applyProtection="1">
      <alignment horizontal="center" vertical="center"/>
      <protection locked="0"/>
    </xf>
    <xf numFmtId="0" fontId="4" fillId="13" borderId="32" xfId="0" applyFont="1" applyFill="1" applyBorder="1" applyAlignment="1">
      <alignment horizontal="center" vertical="center"/>
    </xf>
    <xf numFmtId="0" fontId="5" fillId="19" borderId="31" xfId="0" applyFont="1" applyFill="1" applyBorder="1" applyAlignment="1" applyProtection="1">
      <alignment horizontal="center" vertical="center"/>
      <protection locked="0"/>
    </xf>
    <xf numFmtId="0" fontId="0" fillId="18" borderId="36" xfId="0" applyFill="1" applyBorder="1" applyAlignment="1" applyProtection="1">
      <alignment vertical="center"/>
      <protection locked="0"/>
    </xf>
    <xf numFmtId="0" fontId="0" fillId="18" borderId="37" xfId="0" applyFill="1" applyBorder="1" applyAlignment="1" applyProtection="1">
      <alignment vertical="center"/>
      <protection locked="0"/>
    </xf>
    <xf numFmtId="14" fontId="0" fillId="18" borderId="37" xfId="0" applyNumberFormat="1" applyFill="1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/>
      <protection locked="0"/>
    </xf>
    <xf numFmtId="14" fontId="0" fillId="0" borderId="37" xfId="0" applyNumberFormat="1" applyBorder="1" applyAlignment="1" applyProtection="1">
      <alignment horizontal="center" vertical="center"/>
      <protection locked="0"/>
    </xf>
    <xf numFmtId="14" fontId="0" fillId="0" borderId="37" xfId="0" applyNumberFormat="1" applyBorder="1" applyAlignment="1" applyProtection="1">
      <alignment horizontal="center"/>
      <protection locked="0"/>
    </xf>
    <xf numFmtId="14" fontId="0" fillId="18" borderId="37" xfId="0" applyNumberFormat="1" applyFill="1" applyBorder="1" applyAlignment="1" applyProtection="1">
      <alignment horizontal="center"/>
      <protection locked="0"/>
    </xf>
    <xf numFmtId="0" fontId="0" fillId="0" borderId="33" xfId="0" applyBorder="1" applyAlignment="1" applyProtection="1">
      <alignment vertical="center"/>
      <protection locked="0"/>
    </xf>
    <xf numFmtId="0" fontId="0" fillId="0" borderId="34" xfId="0" applyBorder="1" applyAlignment="1" applyProtection="1">
      <alignment vertical="center"/>
      <protection locked="0"/>
    </xf>
    <xf numFmtId="14" fontId="0" fillId="0" borderId="34" xfId="0" applyNumberFormat="1" applyBorder="1" applyAlignment="1" applyProtection="1">
      <alignment horizontal="center" vertical="center"/>
      <protection locked="0"/>
    </xf>
    <xf numFmtId="0" fontId="0" fillId="18" borderId="37" xfId="0" applyFill="1" applyBorder="1" applyAlignment="1" applyProtection="1">
      <alignment vertical="center" wrapText="1"/>
      <protection locked="0"/>
    </xf>
    <xf numFmtId="14" fontId="0" fillId="18" borderId="37" xfId="0" applyNumberFormat="1" applyFill="1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 wrapText="1"/>
      <protection locked="0"/>
    </xf>
    <xf numFmtId="14" fontId="0" fillId="0" borderId="37" xfId="0" applyNumberFormat="1" applyBorder="1" applyAlignment="1" applyProtection="1">
      <alignment vertical="center"/>
      <protection locked="0"/>
    </xf>
    <xf numFmtId="0" fontId="4" fillId="9" borderId="0" xfId="1" applyFont="1" applyFill="1" applyBorder="1" applyAlignment="1">
      <alignment horizontal="center" vertical="center"/>
    </xf>
    <xf numFmtId="164" fontId="0" fillId="0" borderId="0" xfId="0" applyNumberFormat="1" applyAlignment="1">
      <alignment horizontal="left" vertical="center"/>
    </xf>
    <xf numFmtId="164" fontId="0" fillId="0" borderId="14" xfId="0" applyNumberForma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5" fillId="10" borderId="3" xfId="0" applyFont="1" applyFill="1" applyBorder="1" applyAlignment="1" applyProtection="1">
      <alignment vertical="center"/>
      <protection locked="0"/>
    </xf>
    <xf numFmtId="0" fontId="5" fillId="10" borderId="4" xfId="0" applyFont="1" applyFill="1" applyBorder="1" applyAlignment="1" applyProtection="1">
      <alignment vertical="center"/>
      <protection locked="0"/>
    </xf>
    <xf numFmtId="0" fontId="5" fillId="10" borderId="5" xfId="0" applyFont="1" applyFill="1" applyBorder="1" applyAlignment="1" applyProtection="1">
      <alignment vertical="center"/>
      <protection locked="0"/>
    </xf>
    <xf numFmtId="0" fontId="8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</cellXfs>
  <cellStyles count="2">
    <cellStyle name="Hipervínculo" xfId="1" builtinId="8"/>
    <cellStyle name="Normal" xfId="0" builtinId="0"/>
  </cellStyles>
  <dxfs count="27">
    <dxf>
      <fill>
        <patternFill>
          <bgColor rgb="FFFFC000"/>
        </patternFill>
      </fill>
    </dxf>
    <dxf>
      <font>
        <b val="0"/>
        <i val="0"/>
        <color rgb="FFFF0000"/>
      </font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FFCC"/>
      <color rgb="FFF8CBAD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reativecommons.org/licenses/by-nc-sa/4.0/deed.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317506</xdr:colOff>
      <xdr:row>2</xdr:row>
      <xdr:rowOff>95258</xdr:rowOff>
    </xdr:from>
    <xdr:to>
      <xdr:col>7</xdr:col>
      <xdr:colOff>841425</xdr:colOff>
      <xdr:row>3</xdr:row>
      <xdr:rowOff>147658</xdr:rowOff>
    </xdr:to>
    <xdr:pic>
      <xdr:nvPicPr>
        <xdr:cNvPr id="2" name="Copyright" descr="Copyright Creative Common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96F5A0-7BEE-4915-B641-8BAB08ADD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2806" y="476258"/>
          <a:ext cx="847769" cy="24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AF28E5-0E22-47B4-AD65-B0AEBC07C8FD}" name="TablaIdiomas" displayName="TablaIdiomas" ref="B1:G33" totalsRowShown="0" headerRowDxfId="26" dataDxfId="25">
  <autoFilter ref="B1:G33" xr:uid="{0EAF28E5-0E22-47B4-AD65-B0AEBC07C8FD}"/>
  <tableColumns count="6">
    <tableColumn id="1" xr3:uid="{F0E73C1E-CCFA-4300-AC3D-E67E676E36BF}" name="Español" dataDxfId="24"/>
    <tableColumn id="2" xr3:uid="{36085523-D642-42FF-AE1D-87567505551D}" name="English" dataDxfId="23"/>
    <tableColumn id="3" xr3:uid="{3322FBB4-01E0-4235-A470-44717FDBDCC9}" name="Française" dataDxfId="22"/>
    <tableColumn id="4" xr3:uid="{2DF4B6A9-AFE6-4898-91D8-DC7E333ACF08}" name="Italiano" dataDxfId="21"/>
    <tableColumn id="5" xr3:uid="{9A0035F3-EC53-45C0-B33A-DBC7B4DB4D45}" name="Deutsch" dataDxfId="20"/>
    <tableColumn id="6" xr3:uid="{F02A4F88-64FE-47CB-8FD1-5FD4615BD74A}" name="Português" dataDxfId="19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edrowave.blogspot.com/search?q=kanban" TargetMode="External"/><Relationship Id="rId2" Type="http://schemas.openxmlformats.org/officeDocument/2006/relationships/hyperlink" Target="https://www.youtube.com/@PedroWave/search?query=kanban" TargetMode="External"/><Relationship Id="rId1" Type="http://schemas.openxmlformats.org/officeDocument/2006/relationships/hyperlink" Target="https://creativecommons.org/licenses/by-nc-sa/4.0/deed.e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FF66"/>
    <pageSetUpPr fitToPage="1"/>
  </sheetPr>
  <dimension ref="A1:AZ202"/>
  <sheetViews>
    <sheetView showGridLines="0" zoomScaleNormal="100" workbookViewId="0">
      <pane ySplit="4" topLeftCell="A5" activePane="bottomLeft" state="frozen"/>
      <selection pane="bottomLeft" activeCell="X42" sqref="X42:Y42"/>
    </sheetView>
  </sheetViews>
  <sheetFormatPr baseColWidth="10" defaultColWidth="0" defaultRowHeight="15" zeroHeight="1" x14ac:dyDescent="0.25"/>
  <cols>
    <col min="1" max="2" width="2.42578125" style="2" customWidth="1"/>
    <col min="3" max="3" width="10.42578125" style="12" customWidth="1"/>
    <col min="4" max="5" width="15.42578125" style="12" customWidth="1"/>
    <col min="6" max="7" width="2.42578125" style="2" customWidth="1"/>
    <col min="8" max="8" width="10.42578125" style="12" customWidth="1"/>
    <col min="9" max="10" width="15.42578125" style="12" customWidth="1"/>
    <col min="11" max="12" width="2.42578125" style="2" customWidth="1"/>
    <col min="13" max="13" width="10.42578125" style="12" customWidth="1"/>
    <col min="14" max="15" width="15.42578125" style="12" customWidth="1"/>
    <col min="16" max="17" width="2.42578125" style="2" customWidth="1"/>
    <col min="18" max="18" width="10.42578125" style="12" customWidth="1"/>
    <col min="19" max="20" width="15.42578125" style="12" customWidth="1"/>
    <col min="21" max="22" width="2.42578125" style="2" customWidth="1"/>
    <col min="23" max="23" width="10.42578125" style="12" customWidth="1"/>
    <col min="24" max="25" width="15.42578125" style="12" customWidth="1"/>
    <col min="26" max="27" width="2.42578125" style="2" customWidth="1"/>
    <col min="28" max="28" width="10.42578125" style="12" customWidth="1"/>
    <col min="29" max="30" width="15.42578125" style="12" customWidth="1"/>
    <col min="31" max="32" width="2.42578125" style="2" customWidth="1"/>
    <col min="33" max="33" width="10.42578125" style="12" customWidth="1"/>
    <col min="34" max="35" width="15.42578125" style="12" customWidth="1"/>
    <col min="36" max="37" width="2.42578125" style="2" customWidth="1"/>
    <col min="38" max="38" width="10.42578125" style="12" customWidth="1"/>
    <col min="39" max="40" width="15.42578125" style="12" customWidth="1"/>
    <col min="41" max="42" width="2.42578125" style="2" customWidth="1"/>
    <col min="43" max="43" width="10.42578125" style="12" customWidth="1"/>
    <col min="44" max="45" width="15.42578125" style="12" customWidth="1"/>
    <col min="46" max="47" width="2.42578125" style="2" customWidth="1"/>
    <col min="48" max="48" width="10.42578125" style="12" customWidth="1"/>
    <col min="49" max="50" width="15.42578125" style="12" customWidth="1"/>
    <col min="51" max="52" width="2.42578125" style="2" customWidth="1"/>
    <col min="53" max="16384" width="10.85546875" style="2" hidden="1"/>
  </cols>
  <sheetData>
    <row r="1" spans="2:51" ht="15.75" thickBot="1" x14ac:dyDescent="0.3"/>
    <row r="2" spans="2:51" ht="15.75" thickBot="1" x14ac:dyDescent="0.3">
      <c r="B2" s="106" t="str">
        <f>Configura!$B$2</f>
        <v xml:space="preserve">                Tablero KANBAN v3 ©️            </v>
      </c>
      <c r="C2" s="106"/>
      <c r="D2" s="106"/>
      <c r="E2" s="29" t="str">
        <f>Idiomas!$A$22&amp;" "</f>
        <v xml:space="preserve">Tarjetas con </v>
      </c>
      <c r="F2" s="28">
        <v>8</v>
      </c>
      <c r="G2" s="23" t="str">
        <f>" "&amp;Idiomas!$A$23</f>
        <v xml:space="preserve"> líneas</v>
      </c>
      <c r="I2" s="29" t="str">
        <f ca="1">SUM(misFiltros)&amp;" "&amp;Idiomas!$A$24&amp;" "</f>
        <v xml:space="preserve">33 tareas asignadas a </v>
      </c>
      <c r="J2" s="28"/>
      <c r="K2" s="12"/>
      <c r="N2" s="29" t="str">
        <f>Idiomas!$A$25&amp;" "</f>
        <v xml:space="preserve">Con criticidad </v>
      </c>
      <c r="O2" s="28"/>
      <c r="S2" s="29" t="str">
        <f>Idiomas!$A$26&amp;" "</f>
        <v xml:space="preserve">Con inicio desde </v>
      </c>
      <c r="T2" s="30">
        <v>44562</v>
      </c>
      <c r="X2" s="29" t="str">
        <f>Idiomas!$A$27&amp;" "</f>
        <v xml:space="preserve">Con el texto </v>
      </c>
      <c r="Y2" s="28"/>
      <c r="AC2" s="29" t="str">
        <f>Idiomas!$A$28&amp;" "</f>
        <v xml:space="preserve">Con un retraso &gt; </v>
      </c>
      <c r="AD2" s="31"/>
      <c r="AE2" s="23" t="str">
        <f>" "&amp;Idiomas!$A$29</f>
        <v xml:space="preserve"> días</v>
      </c>
      <c r="AH2" s="29" t="str">
        <f>Idiomas!$A$33&amp;" "</f>
        <v xml:space="preserve">Con una duración &gt; </v>
      </c>
      <c r="AI2" s="31"/>
      <c r="AJ2" s="23" t="str">
        <f>" "&amp;Idiomas!$A$29</f>
        <v xml:space="preserve"> días</v>
      </c>
    </row>
    <row r="3" spans="2:51" ht="15.75" thickBot="1" x14ac:dyDescent="0.3"/>
    <row r="4" spans="2:51" ht="21.75" thickBot="1" x14ac:dyDescent="0.3">
      <c r="B4" s="26">
        <v>1</v>
      </c>
      <c r="C4" s="109" t="str" cm="1">
        <f t="array" aca="1" ref="C4" ca="1">IFERROR(INDEX(Configura!$B$9:$B$18,B4)&amp;" ("&amp;SUMIF(misEstados,B4,misFiltros)&amp;" de "&amp;SUM(misFiltros)&amp;")","")</f>
        <v>POR HACER (0 de 33)</v>
      </c>
      <c r="D4" s="109"/>
      <c r="E4" s="109"/>
      <c r="F4" s="9" t="s">
        <v>0</v>
      </c>
      <c r="G4" s="25">
        <f>B4+1</f>
        <v>2</v>
      </c>
      <c r="H4" s="109" t="str" cm="1">
        <f t="array" aca="1" ref="H4" ca="1">IFERROR(INDEX(Configura!$B$9:$B$18,G4)&amp;" ("&amp;SUMIF(misEstados,G4,misFiltros)&amp;" de "&amp;SUM(misFiltros)&amp;")","")</f>
        <v>EN PROGRESO (6 de 33)</v>
      </c>
      <c r="I4" s="109"/>
      <c r="J4" s="109"/>
      <c r="K4" s="9" t="s">
        <v>0</v>
      </c>
      <c r="L4" s="25">
        <f>G4+1</f>
        <v>3</v>
      </c>
      <c r="M4" s="109" t="str" cm="1">
        <f t="array" aca="1" ref="M4" ca="1">IFERROR(INDEX(Configura!$B$9:$B$18,L4)&amp;" ("&amp;SUMIF(misEstados,L4,misFiltros)&amp;" de "&amp;SUM(misFiltros)&amp;")","")</f>
        <v>EN ESPERA (0 de 33)</v>
      </c>
      <c r="N4" s="109"/>
      <c r="O4" s="109"/>
      <c r="P4" s="9" t="s">
        <v>0</v>
      </c>
      <c r="Q4" s="25">
        <f>L4+1</f>
        <v>4</v>
      </c>
      <c r="R4" s="109" t="str" cm="1">
        <f t="array" aca="1" ref="R4" ca="1">IFERROR(INDEX(Configura!$B$9:$B$18,Q4)&amp;" ("&amp;SUMIF(misEstados,Q4,misFiltros)&amp;" de "&amp;SUM(misFiltros)&amp;")","")</f>
        <v>COMPLETADO (27 de 33)</v>
      </c>
      <c r="S4" s="109"/>
      <c r="T4" s="109"/>
      <c r="U4" s="9" t="s">
        <v>0</v>
      </c>
      <c r="V4" s="25">
        <f>Q4+1</f>
        <v>5</v>
      </c>
      <c r="W4" s="109" t="str" cm="1">
        <f t="array" aca="1" ref="W4" ca="1">IFERROR(INDEX(Configura!$B$9:$B$18,V4)&amp;" ("&amp;SUMIF(misEstados,V4,misFiltros)&amp;" de "&amp;SUM(misFiltros)&amp;")","")</f>
        <v>ARCHIVADO (0 de 33)</v>
      </c>
      <c r="X4" s="109"/>
      <c r="Y4" s="109"/>
      <c r="Z4" s="10" t="s">
        <v>0</v>
      </c>
      <c r="AA4" s="25">
        <f>V4+1</f>
        <v>6</v>
      </c>
      <c r="AB4" s="109" t="str" cm="1">
        <f t="array" aca="1" ref="AB4" ca="1">IFERROR(INDEX(Configura!$B$9:$B$18,AA4)&amp;" ("&amp;SUMIF(misEstados,AA4,misFiltros)&amp;" de "&amp;SUM(misFiltros)&amp;")","")</f>
        <v>POR HACER (0 de 33)</v>
      </c>
      <c r="AC4" s="109"/>
      <c r="AD4" s="109"/>
      <c r="AE4" s="10" t="s">
        <v>0</v>
      </c>
      <c r="AF4" s="25">
        <f>AA4+1</f>
        <v>7</v>
      </c>
      <c r="AG4" s="109" t="str" cm="1">
        <f t="array" aca="1" ref="AG4" ca="1">IFERROR(INDEX(Configura!$B$9:$B$18,AF4)&amp;" ("&amp;SUMIF(misEstados,AF4,misFiltros)&amp;" de "&amp;SUM(misFiltros)&amp;")","")</f>
        <v>EN PROGRESO (0 de 33)</v>
      </c>
      <c r="AH4" s="109"/>
      <c r="AI4" s="109"/>
      <c r="AJ4" s="10" t="s">
        <v>0</v>
      </c>
      <c r="AK4" s="25">
        <f>AF4+1</f>
        <v>8</v>
      </c>
      <c r="AL4" s="109" t="str" cm="1">
        <f t="array" aca="1" ref="AL4" ca="1">IFERROR(INDEX(Configura!$B$9:$B$18,AK4)&amp;" ("&amp;SUMIF(misEstados,AK4,misFiltros)&amp;" de "&amp;SUM(misFiltros)&amp;")","")</f>
        <v xml:space="preserve"> (0 de 33)</v>
      </c>
      <c r="AM4" s="109"/>
      <c r="AN4" s="109"/>
      <c r="AO4" s="10" t="s">
        <v>0</v>
      </c>
      <c r="AP4" s="25">
        <f>AK4+1</f>
        <v>9</v>
      </c>
      <c r="AQ4" s="109" t="str" cm="1">
        <f t="array" aca="1" ref="AQ4" ca="1">IFERROR(INDEX(Configura!$B$9:$B$18,AP4)&amp;" ("&amp;SUMIF(misEstados,AP4,misFiltros)&amp;" de "&amp;SUM(misFiltros)&amp;")","")</f>
        <v xml:space="preserve"> (0 de 33)</v>
      </c>
      <c r="AR4" s="109"/>
      <c r="AS4" s="109"/>
      <c r="AT4" s="10" t="s">
        <v>0</v>
      </c>
      <c r="AU4" s="25">
        <f>AP4+1</f>
        <v>10</v>
      </c>
      <c r="AV4" s="109" t="str" cm="1">
        <f t="array" aca="1" ref="AV4" ca="1">IFERROR(INDEX(Configura!$B$9:$B$18,AU4)&amp;" ("&amp;SUMIF(misEstados,AU4,misFiltros)&amp;" de "&amp;SUM(misFiltros)&amp;")","")</f>
        <v xml:space="preserve"> (0 de 33)</v>
      </c>
      <c r="AW4" s="109"/>
      <c r="AX4" s="109"/>
      <c r="AY4" s="10" t="s">
        <v>0</v>
      </c>
    </row>
    <row r="5" spans="2:51" ht="15.75" thickTop="1" x14ac:dyDescent="0.25">
      <c r="B5" s="11"/>
      <c r="F5" s="5"/>
      <c r="G5" s="6"/>
      <c r="K5" s="5"/>
      <c r="L5" s="6"/>
      <c r="P5" s="5"/>
      <c r="Q5" s="6"/>
      <c r="U5" s="5"/>
      <c r="V5" s="6"/>
      <c r="Z5" s="13"/>
      <c r="AA5" s="6"/>
      <c r="AE5" s="13"/>
      <c r="AF5" s="6"/>
      <c r="AJ5" s="13"/>
      <c r="AK5" s="6"/>
      <c r="AO5" s="13"/>
      <c r="AP5" s="6"/>
      <c r="AT5" s="13"/>
      <c r="AU5" s="6"/>
      <c r="AY5" s="13"/>
    </row>
    <row r="6" spans="2:51" x14ac:dyDescent="0.25">
      <c r="B6" s="11"/>
      <c r="C6" t="str" cm="1">
        <f t="array" aca="1" ref="C6" ca="1">IF(OR(Formulas!E3=0,Formulas!E3="",RIGHT(Formulas!F3)="0"),"",
HYPERLINK("["&amp;Archivo_Nombre&amp;"]Datos!"&amp;LEFT(SUBSTITUTE(ADDRESS(1,IF(Formulas!E3=1,1,RIGHT(Formulas!F3)+2)),"$",""))&amp;Formulas!D3+1,
IFERROR(INDEX(Datos!$A$1:$L$1,1,RIGHT(Formulas!F3)+2)&amp;IF(Formulas!E3=1," "&amp;Formulas!D3,"")&amp;":","")))</f>
        <v/>
      </c>
      <c r="D6" s="107" t="str" cm="1">
        <f t="array" aca="1" ref="D6" ca="1">IF(OR(Formulas!E3=0,Formulas!E3="",RIGHT(Formulas!F3)="0"),"",
HYPERLINK("["&amp;Archivo_Nombre&amp;"]Datos!"&amp;LEFT(SUBSTITUTE(ADDRESS(1,RIGHT(Formulas!F3)+2),"$",""))&amp;Formulas!D3+1,
IFERROR(INDEX(Datos!$A$2:$L$101,Formulas!D3,RIGHT(Formulas!F3)+2),"")))</f>
        <v/>
      </c>
      <c r="E6" s="107" t="str" cm="1">
        <f t="array" aca="1" ref="E6" ca="1">IF(OR(Formulas!F4=0,Formulas!F4=""),"",HYPERLINK("["&amp;Archivo_Nombre&amp;"]Datos!"&amp;LEFT(SUBSTITUTE(ADDRESS(1,Formulas!F4+2),"$",""))&amp;Formulas!E4+1,
IFERROR(INDEX(Datos!$A$2:$L$101,Formulas!E4,Formulas!F4+2),"")))</f>
        <v/>
      </c>
      <c r="F6" s="5"/>
      <c r="G6" s="6"/>
      <c r="H6" s="24" t="str" cm="1">
        <f t="array" aca="1" ref="H6" ca="1">IF(OR(Formulas!J3=0,Formulas!J3="",RIGHT(Formulas!K3)="0"),"",
HYPERLINK("["&amp;Archivo_Nombre&amp;"]Datos!"&amp;LEFT(SUBSTITUTE(ADDRESS(1,IF(Formulas!J3=1,1,RIGHT(Formulas!K3)+2)),"$",""))&amp;Formulas!I3+1,
IFERROR(INDEX(Datos!$A$1:$L$1,1,RIGHT(Formulas!K3)+2)&amp;IF(Formulas!J3=1," "&amp;Formulas!I3,"")&amp;":","")))</f>
        <v>ORDEN PCRONOLOGICO 33:</v>
      </c>
      <c r="I6" s="107" cm="1">
        <f t="array" aca="1" ref="I6" ca="1">IF(OR(Formulas!J3=0,Formulas!J3="",RIGHT(Formulas!K3)="0"),"",
HYPERLINK("["&amp;Archivo_Nombre&amp;"]Datos!"&amp;LEFT(SUBSTITUTE(ADDRESS(1,RIGHT(Formulas!K3)+2),"$",""))&amp;Formulas!I3+1,
IFERROR(INDEX(Datos!$A$2:$L$101,Formulas!I3,RIGHT(Formulas!K3)+2),"")))</f>
        <v>0</v>
      </c>
      <c r="J6" s="107" t="e" cm="1">
        <f t="array" aca="1" ref="J6" ca="1">IF(OR(Formulas!K4=0,Formulas!K4=""),"",HYPERLINK("["&amp;Archivo_Nombre&amp;"]Datos!"&amp;LEFT(SUBSTITUTE(ADDRESS(1,Formulas!K4+2),"$",""))&amp;Formulas!J4+1,
IFERROR(INDEX(Datos!$A$2:$L$101,Formulas!J4,Formulas!K4+2),"")))</f>
        <v>#VALUE!</v>
      </c>
      <c r="K6" s="5"/>
      <c r="L6" s="6"/>
      <c r="M6" s="24" t="str" cm="1">
        <f t="array" aca="1" ref="M6" ca="1">IF(OR(Formulas!O3=0,Formulas!O3="",RIGHT(Formulas!P3)="0"),"",
HYPERLINK("["&amp;Archivo_Nombre&amp;"]Datos!"&amp;LEFT(SUBSTITUTE(ADDRESS(1,IF(Formulas!O3=1,1,RIGHT(Formulas!P3)+2)),"$",""))&amp;Formulas!N3+1,
IFERROR(INDEX(Datos!$A$1:$L$1,1,RIGHT(Formulas!P3)+2)&amp;IF(Formulas!O3=1," "&amp;Formulas!N3,"")&amp;":","")))</f>
        <v/>
      </c>
      <c r="N6" s="107" t="str" cm="1">
        <f t="array" aca="1" ref="N6" ca="1">IF(OR(Formulas!O3=0,Formulas!O3="",RIGHT(Formulas!P3)="0"),"",
HYPERLINK("["&amp;Archivo_Nombre&amp;"]Datos!"&amp;LEFT(SUBSTITUTE(ADDRESS(1,RIGHT(Formulas!P3)+2),"$",""))&amp;Formulas!N3+1,
IFERROR(INDEX(Datos!$A$2:$L$101,Formulas!N3,RIGHT(Formulas!P3)+2),"")))</f>
        <v/>
      </c>
      <c r="O6" s="107" t="str" cm="1">
        <f t="array" aca="1" ref="O6" ca="1">IF(OR(Formulas!P4=0,Formulas!P4=""),"",HYPERLINK("["&amp;Archivo_Nombre&amp;"]Datos!"&amp;LEFT(SUBSTITUTE(ADDRESS(1,Formulas!P4+2),"$",""))&amp;Formulas!O4+1,
IFERROR(INDEX(Datos!$A$2:$L$101,Formulas!O4,Formulas!P4+2),"")))</f>
        <v/>
      </c>
      <c r="P6" s="5"/>
      <c r="Q6" s="6"/>
      <c r="R6" s="24" t="str" cm="1">
        <f t="array" aca="1" ref="R6" ca="1">IF(OR(Formulas!T3=0,Formulas!T3="",RIGHT(Formulas!U3)="0"),"",
HYPERLINK("["&amp;Archivo_Nombre&amp;"]Datos!"&amp;LEFT(SUBSTITUTE(ADDRESS(1,IF(Formulas!T3=1,1,RIGHT(Formulas!U3)+2)),"$",""))&amp;Formulas!S3+1,
IFERROR(INDEX(Datos!$A$1:$L$1,1,RIGHT(Formulas!U3)+2)&amp;IF(Formulas!T3=1," "&amp;Formulas!S3,"")&amp;":","")))</f>
        <v>ORDEN PCRONOLOGICO 29:</v>
      </c>
      <c r="S6" s="107" cm="1">
        <f t="array" aca="1" ref="S6" ca="1">IF(OR(Formulas!T3=0,Formulas!T3="",RIGHT(Formulas!U3)="0"),"",
HYPERLINK("["&amp;Archivo_Nombre&amp;"]Datos!"&amp;LEFT(SUBSTITUTE(ADDRESS(1,RIGHT(Formulas!U3)+2),"$",""))&amp;Formulas!S3+1,
IFERROR(INDEX(Datos!$A$2:$L$101,Formulas!S3,RIGHT(Formulas!U3)+2),"")))</f>
        <v>29</v>
      </c>
      <c r="T6" s="107" t="e" cm="1">
        <f t="array" aca="1" ref="T6" ca="1">IF(OR(Formulas!U4=0,Formulas!U4=""),"",HYPERLINK("["&amp;Archivo_Nombre&amp;"]Datos!"&amp;LEFT(SUBSTITUTE(ADDRESS(1,Formulas!U4+2),"$",""))&amp;Formulas!T4+1,
IFERROR(INDEX(Datos!$A$2:$L$101,Formulas!T4,Formulas!U4+2),"")))</f>
        <v>#VALUE!</v>
      </c>
      <c r="U6" s="5"/>
      <c r="V6" s="6"/>
      <c r="W6" s="24" t="str" cm="1">
        <f t="array" aca="1" ref="W6" ca="1">IF(OR(Formulas!Y3=0,Formulas!Y3="",RIGHT(Formulas!Z3)="0"),"",
HYPERLINK("["&amp;Archivo_Nombre&amp;"]Datos!"&amp;LEFT(SUBSTITUTE(ADDRESS(1,IF(Formulas!Y3=1,1,RIGHT(Formulas!Z3)+2)),"$",""))&amp;Formulas!X3+1,
IFERROR(INDEX(Datos!$A$1:$L$1,1,RIGHT(Formulas!Z3)+2)&amp;IF(Formulas!Y3=1," "&amp;Formulas!X3,"")&amp;":","")))</f>
        <v/>
      </c>
      <c r="X6" s="107" t="str" cm="1">
        <f t="array" aca="1" ref="X6" ca="1">IF(OR(Formulas!Y3=0,Formulas!Y3="",RIGHT(Formulas!Z3)="0"),"",
HYPERLINK("["&amp;Archivo_Nombre&amp;"]Datos!"&amp;LEFT(SUBSTITUTE(ADDRESS(1,RIGHT(Formulas!Z3)+2),"$",""))&amp;Formulas!X3+1,
IFERROR(INDEX(Datos!$A$2:$L$101,Formulas!X3,RIGHT(Formulas!Z3)+2),"")))</f>
        <v/>
      </c>
      <c r="Y6" s="107" t="str" cm="1">
        <f t="array" aca="1" ref="Y6" ca="1">IF(OR(Formulas!Z4=0,Formulas!Z4=""),"",HYPERLINK("["&amp;Archivo_Nombre&amp;"]Datos!"&amp;LEFT(SUBSTITUTE(ADDRESS(1,Formulas!Z4+2),"$",""))&amp;Formulas!Y4+1,
IFERROR(INDEX(Datos!$A$2:$L$101,Formulas!Y4,Formulas!Z4+2),"")))</f>
        <v/>
      </c>
      <c r="Z6" s="13"/>
      <c r="AA6" s="6"/>
      <c r="AB6" s="24" t="str" cm="1">
        <f t="array" aca="1" ref="AB6" ca="1">IF(OR(Formulas!AD3=0,Formulas!AD3="",RIGHT(Formulas!AE3)="0"),"",
HYPERLINK("["&amp;Archivo_Nombre&amp;"]Datos!"&amp;LEFT(SUBSTITUTE(ADDRESS(1,IF(Formulas!AD3=1,1,RIGHT(Formulas!AE3)+2)),"$",""))&amp;Formulas!AC3+1,
IFERROR(INDEX(Datos!$A$1:$L$1,1,RIGHT(Formulas!AE3)+2)&amp;IF(Formulas!AD3=1," "&amp;Formulas!AC3,"")&amp;":","")))</f>
        <v/>
      </c>
      <c r="AC6" s="107" t="str" cm="1">
        <f t="array" aca="1" ref="AC6" ca="1">IF(OR(Formulas!AD3=0,Formulas!AD3="",RIGHT(Formulas!AE3)="0"),"",
HYPERLINK("["&amp;Archivo_Nombre&amp;"]Datos!"&amp;LEFT(SUBSTITUTE(ADDRESS(1,RIGHT(Formulas!AE3)+2),"$",""))&amp;Formulas!AC3+1,
IFERROR(INDEX(Datos!$A$2:$L$101,Formulas!AC3,RIGHT(Formulas!AE3)+2),"")))</f>
        <v/>
      </c>
      <c r="AD6" s="107" t="str" cm="1">
        <f t="array" aca="1" ref="AD6" ca="1">IF(OR(Formulas!AE4=0,Formulas!AE4=""),"",HYPERLINK("["&amp;Archivo_Nombre&amp;"]Datos!"&amp;LEFT(SUBSTITUTE(ADDRESS(1,Formulas!AE4+2),"$",""))&amp;Formulas!AD4+1,
IFERROR(INDEX(Datos!$A$2:$L$101,Formulas!AD4,Formulas!AE4+2),"")))</f>
        <v/>
      </c>
      <c r="AE6" s="13"/>
      <c r="AF6" s="6"/>
      <c r="AG6" s="24" t="str" cm="1">
        <f t="array" aca="1" ref="AG6" ca="1">IF(OR(Formulas!AI3=0,Formulas!AI3="",RIGHT(Formulas!AJ3)="0"),"",
HYPERLINK("["&amp;Archivo_Nombre&amp;"]Datos!"&amp;LEFT(SUBSTITUTE(ADDRESS(1,IF(Formulas!AI3=1,1,RIGHT(Formulas!AJ3)+2)),"$",""))&amp;Formulas!AH3+1,
IFERROR(INDEX(Datos!$A$1:$L$1,1,RIGHT(Formulas!AJ3)+2)&amp;IF(Formulas!AI3=1," "&amp;Formulas!AH3,"")&amp;":","")))</f>
        <v/>
      </c>
      <c r="AH6" s="107" t="str" cm="1">
        <f t="array" aca="1" ref="AH6" ca="1">IF(OR(Formulas!AI3=0,Formulas!AI3="",RIGHT(Formulas!AJ3)="0"),"",
HYPERLINK("["&amp;Archivo_Nombre&amp;"]Datos!"&amp;LEFT(SUBSTITUTE(ADDRESS(1,RIGHT(Formulas!AJ3)+2),"$",""))&amp;Formulas!AH3+1,
IFERROR(INDEX(Datos!$A$2:$L$101,Formulas!AH3,RIGHT(Formulas!AJ3)+2),"")))</f>
        <v/>
      </c>
      <c r="AI6" s="107" t="str" cm="1">
        <f t="array" aca="1" ref="AI6" ca="1">IF(OR(Formulas!AJ4=0,Formulas!AJ4=""),"",HYPERLINK("["&amp;Archivo_Nombre&amp;"]Datos!"&amp;LEFT(SUBSTITUTE(ADDRESS(1,Formulas!AJ4+2),"$",""))&amp;Formulas!AI4+1,
IFERROR(INDEX(Datos!$A$2:$L$101,Formulas!AI4,Formulas!AJ4+2),"")))</f>
        <v/>
      </c>
      <c r="AJ6" s="13"/>
      <c r="AK6" s="6"/>
      <c r="AL6" s="24" t="str" cm="1">
        <f t="array" aca="1" ref="AL6" ca="1">IF(OR(Formulas!AN3=0,Formulas!AN3="",RIGHT(Formulas!AO3)="0"),"",
HYPERLINK("["&amp;Archivo_Nombre&amp;"]Datos!"&amp;LEFT(SUBSTITUTE(ADDRESS(1,IF(Formulas!AN3=1,1,RIGHT(Formulas!AO3)+2)),"$",""))&amp;Formulas!AM3+1,
IFERROR(INDEX(Datos!$A$1:$L$1,1,RIGHT(Formulas!AO3)+2)&amp;IF(Formulas!AN3=1," "&amp;Formulas!AM3,"")&amp;":","")))</f>
        <v/>
      </c>
      <c r="AM6" s="107" t="str" cm="1">
        <f t="array" aca="1" ref="AM6" ca="1">IF(OR(Formulas!AN3=0,Formulas!AN3="",RIGHT(Formulas!AO3)="0"),"",
HYPERLINK("["&amp;Archivo_Nombre&amp;"]Datos!"&amp;LEFT(SUBSTITUTE(ADDRESS(1,RIGHT(Formulas!AO3)+2),"$",""))&amp;Formulas!AM3+1,
IFERROR(INDEX(Datos!$A$2:$L$101,Formulas!AM3,RIGHT(Formulas!AO3)+2),"")))</f>
        <v/>
      </c>
      <c r="AN6" s="107" t="str" cm="1">
        <f t="array" aca="1" ref="AN6" ca="1">IF(OR(Formulas!AO4=0,Formulas!AO4=""),"",HYPERLINK("["&amp;Archivo_Nombre&amp;"]Datos!"&amp;LEFT(SUBSTITUTE(ADDRESS(1,Formulas!AO4+2),"$",""))&amp;Formulas!AN4+1,
IFERROR(INDEX(Datos!$A$2:$L$101,Formulas!AN4,Formulas!AO4+2),"")))</f>
        <v/>
      </c>
      <c r="AO6" s="13"/>
      <c r="AP6" s="6"/>
      <c r="AQ6" s="24" t="str" cm="1">
        <f t="array" aca="1" ref="AQ6" ca="1">IF(OR(Formulas!AS3=0,Formulas!AS3="",RIGHT(Formulas!AT3)="0"),"",
HYPERLINK("["&amp;Archivo_Nombre&amp;"]Datos!"&amp;LEFT(SUBSTITUTE(ADDRESS(1,IF(Formulas!AS3=1,1,RIGHT(Formulas!AT3)+2)),"$",""))&amp;Formulas!AR3+1,
IFERROR(INDEX(Datos!$A$1:$L$1,1,RIGHT(Formulas!AT3)+2)&amp;IF(Formulas!AS3=1," "&amp;Formulas!AR3,"")&amp;":","")))</f>
        <v/>
      </c>
      <c r="AR6" s="107" t="str" cm="1">
        <f t="array" aca="1" ref="AR6" ca="1">IF(OR(Formulas!AS3=0,Formulas!AS3="",RIGHT(Formulas!AT3)="0"),"",
HYPERLINK("["&amp;Archivo_Nombre&amp;"]Datos!"&amp;LEFT(SUBSTITUTE(ADDRESS(1,RIGHT(Formulas!AT3)+2),"$",""))&amp;Formulas!AR3+1,
IFERROR(INDEX(Datos!$A$2:$L$101,Formulas!AR3,RIGHT(Formulas!AT3)+2),"")))</f>
        <v/>
      </c>
      <c r="AS6" s="107" t="str" cm="1">
        <f t="array" aca="1" ref="AS6" ca="1">IF(OR(Formulas!AT4=0,Formulas!AT4=""),"",HYPERLINK("["&amp;Archivo_Nombre&amp;"]Datos!"&amp;LEFT(SUBSTITUTE(ADDRESS(1,Formulas!AT4+2),"$",""))&amp;Formulas!AS4+1,
IFERROR(INDEX(Datos!$A$2:$L$101,Formulas!AS4,Formulas!AT4+2),"")))</f>
        <v/>
      </c>
      <c r="AT6" s="13"/>
      <c r="AU6" s="6"/>
      <c r="AV6" s="24" t="str" cm="1">
        <f t="array" aca="1" ref="AV6" ca="1">IF(OR(Formulas!AX3=0,Formulas!AX3="",RIGHT(Formulas!AY3)="0"),"",
HYPERLINK("["&amp;Archivo_Nombre&amp;"]Datos!"&amp;LEFT(SUBSTITUTE(ADDRESS(1,IF(Formulas!AX3=1,1,RIGHT(Formulas!AY3)+2)),"$",""))&amp;Formulas!AW3+1,
IFERROR(INDEX(Datos!$A$1:$L$1,1,RIGHT(Formulas!AY3)+2)&amp;IF(Formulas!AX3=1," "&amp;Formulas!AW3,"")&amp;":","")))</f>
        <v/>
      </c>
      <c r="AW6" s="107" t="str" cm="1">
        <f t="array" aca="1" ref="AW6" ca="1">IF(OR(Formulas!AX3=0,Formulas!AX3="",RIGHT(Formulas!AY3)="0"),"",
HYPERLINK("["&amp;Archivo_Nombre&amp;"]Datos!"&amp;LEFT(SUBSTITUTE(ADDRESS(1,RIGHT(Formulas!AY3)+2),"$",""))&amp;Formulas!AW3+1,
IFERROR(INDEX(Datos!$A$2:$L$101,Formulas!AW3,RIGHT(Formulas!AY3)+2),"")))</f>
        <v/>
      </c>
      <c r="AX6" s="107" t="str" cm="1">
        <f t="array" aca="1" ref="AX6" ca="1">IF(OR(Formulas!AY4=0,Formulas!AY4=""),"",HYPERLINK("["&amp;Archivo_Nombre&amp;"]Datos!"&amp;LEFT(SUBSTITUTE(ADDRESS(1,Formulas!AY4+2),"$",""))&amp;Formulas!AX4+1,
IFERROR(INDEX(Datos!$A$2:$L$101,Formulas!AX4,Formulas!AY4+2),"")))</f>
        <v/>
      </c>
      <c r="AY6" s="13"/>
    </row>
    <row r="7" spans="2:51" x14ac:dyDescent="0.25">
      <c r="B7" s="11"/>
      <c r="C7" s="24" t="str" cm="1">
        <f t="array" aca="1" ref="C7" ca="1">IF(OR(Formulas!E4=0,Formulas!E4="",RIGHT(Formulas!F4)="0"),"",
HYPERLINK("["&amp;Archivo_Nombre&amp;"]Datos!"&amp;LEFT(SUBSTITUTE(ADDRESS(1,IF(Formulas!E4=1,1,RIGHT(Formulas!F4)+2)),"$",""))&amp;Formulas!D4+1,
IFERROR(INDEX(Datos!$A$1:$L$1,1,RIGHT(Formulas!F4)+2)&amp;IF(Formulas!E4=1," "&amp;Formulas!D4,"")&amp;":","")))</f>
        <v/>
      </c>
      <c r="D7" s="107" t="str" cm="1">
        <f t="array" aca="1" ref="D7" ca="1">IF(OR(Formulas!E4=0,Formulas!E4="",RIGHT(Formulas!F4)="0"),"",
HYPERLINK("["&amp;Archivo_Nombre&amp;"]Datos!"&amp;LEFT(SUBSTITUTE(ADDRESS(1,RIGHT(Formulas!F4)+2),"$",""))&amp;Formulas!D4+1,
IFERROR(INDEX(Datos!$A$2:$L$101,Formulas!D4,RIGHT(Formulas!F4)+2),"")))</f>
        <v/>
      </c>
      <c r="E7" s="107" t="str" cm="1">
        <f t="array" aca="1" ref="E7" ca="1">IF(OR(Formulas!F5=0,Formulas!F5=""),"",HYPERLINK("["&amp;Archivo_Nombre&amp;"]Datos!"&amp;LEFT(SUBSTITUTE(ADDRESS(1,Formulas!F5+2),"$",""))&amp;Formulas!E5+1,
IFERROR(INDEX(Datos!$A$2:$L$101,Formulas!E5,Formulas!F5+2),"")))</f>
        <v/>
      </c>
      <c r="F7" s="5"/>
      <c r="G7" s="6"/>
      <c r="H7" s="24" t="str" cm="1">
        <f t="array" aca="1" ref="H7" ca="1">IF(OR(Formulas!J4=0,Formulas!J4="",RIGHT(Formulas!K4)="0"),"",
HYPERLINK("["&amp;Archivo_Nombre&amp;"]Datos!"&amp;LEFT(SUBSTITUTE(ADDRESS(1,IF(Formulas!J4=1,1,RIGHT(Formulas!K4)+2)),"$",""))&amp;Formulas!I4+1,
IFERROR(INDEX(Datos!$A$1:$L$1,1,RIGHT(Formulas!K4)+2)&amp;IF(Formulas!J4=1," "&amp;Formulas!I4,"")&amp;":","")))</f>
        <v>Tarea:</v>
      </c>
      <c r="I7" s="107" t="str" cm="1">
        <f t="array" aca="1" ref="I7" ca="1">IF(OR(Formulas!J4=0,Formulas!J4="",RIGHT(Formulas!K4)="0"),"",
HYPERLINK("["&amp;Archivo_Nombre&amp;"]Datos!"&amp;LEFT(SUBSTITUTE(ADDRESS(1,RIGHT(Formulas!K4)+2),"$",""))&amp;Formulas!I4+1,
IFERROR(INDEX(Datos!$A$2:$L$101,Formulas!I4,RIGHT(Formulas!K4)+2),"")))</f>
        <v>Finalización del sprint 3</v>
      </c>
      <c r="J7" s="107" t="e" cm="1">
        <f t="array" aca="1" ref="J7" ca="1">IF(OR(Formulas!K5=0,Formulas!K5=""),"",HYPERLINK("["&amp;Archivo_Nombre&amp;"]Datos!"&amp;LEFT(SUBSTITUTE(ADDRESS(1,Formulas!K5+2),"$",""))&amp;Formulas!J5+1,
IFERROR(INDEX(Datos!$A$2:$L$101,Formulas!J5,Formulas!K5+2),"")))</f>
        <v>#VALUE!</v>
      </c>
      <c r="K7" s="5"/>
      <c r="L7" s="6"/>
      <c r="M7" s="24" t="str" cm="1">
        <f t="array" aca="1" ref="M7" ca="1">IF(OR(Formulas!O4=0,Formulas!O4="",RIGHT(Formulas!P4)="0"),"",
HYPERLINK("["&amp;Archivo_Nombre&amp;"]Datos!"&amp;LEFT(SUBSTITUTE(ADDRESS(1,IF(Formulas!O4=1,1,RIGHT(Formulas!P4)+2)),"$",""))&amp;Formulas!N4+1,
IFERROR(INDEX(Datos!$A$1:$L$1,1,RIGHT(Formulas!P4)+2)&amp;IF(Formulas!O4=1," "&amp;Formulas!N4,"")&amp;":","")))</f>
        <v/>
      </c>
      <c r="N7" s="107" t="str" cm="1">
        <f t="array" aca="1" ref="N7" ca="1">IF(OR(Formulas!O4=0,Formulas!O4="",RIGHT(Formulas!P4)="0"),"",
HYPERLINK("["&amp;Archivo_Nombre&amp;"]Datos!"&amp;LEFT(SUBSTITUTE(ADDRESS(1,RIGHT(Formulas!P4)+2),"$",""))&amp;Formulas!N4+1,
IFERROR(INDEX(Datos!$A$2:$L$101,Formulas!N4,RIGHT(Formulas!P4)+2),"")))</f>
        <v/>
      </c>
      <c r="O7" s="107" t="str" cm="1">
        <f t="array" aca="1" ref="O7" ca="1">IF(OR(Formulas!P5=0,Formulas!P5=""),"",HYPERLINK("["&amp;Archivo_Nombre&amp;"]Datos!"&amp;LEFT(SUBSTITUTE(ADDRESS(1,Formulas!P5+2),"$",""))&amp;Formulas!O5+1,
IFERROR(INDEX(Datos!$A$2:$L$101,Formulas!O5,Formulas!P5+2),"")))</f>
        <v/>
      </c>
      <c r="P7" s="5"/>
      <c r="Q7" s="6"/>
      <c r="R7" s="24" t="str" cm="1">
        <f t="array" aca="1" ref="R7" ca="1">IF(OR(Formulas!T4=0,Formulas!T4="",RIGHT(Formulas!U4)="0"),"",
HYPERLINK("["&amp;Archivo_Nombre&amp;"]Datos!"&amp;LEFT(SUBSTITUTE(ADDRESS(1,IF(Formulas!T4=1,1,RIGHT(Formulas!U4)+2)),"$",""))&amp;Formulas!S4+1,
IFERROR(INDEX(Datos!$A$1:$L$1,1,RIGHT(Formulas!U4)+2)&amp;IF(Formulas!T4=1," "&amp;Formulas!S4,"")&amp;":","")))</f>
        <v>Tarea:</v>
      </c>
      <c r="S7" s="107" t="str" cm="1">
        <f t="array" aca="1" ref="S7" ca="1">IF(OR(Formulas!T4=0,Formulas!T4="",RIGHT(Formulas!U4)="0"),"",
HYPERLINK("["&amp;Archivo_Nombre&amp;"]Datos!"&amp;LEFT(SUBSTITUTE(ADDRESS(1,RIGHT(Formulas!U4)+2),"$",""))&amp;Formulas!S4+1,
IFERROR(INDEX(Datos!$A$2:$L$101,Formulas!S4,RIGHT(Formulas!U4)+2),"")))</f>
        <v>Resultados de las pruebas finales Stakeholder de desarrollo 
y de la organización</v>
      </c>
      <c r="T7" s="107" t="e" cm="1">
        <f t="array" aca="1" ref="T7" ca="1">IF(OR(Formulas!U5=0,Formulas!U5=""),"",HYPERLINK("["&amp;Archivo_Nombre&amp;"]Datos!"&amp;LEFT(SUBSTITUTE(ADDRESS(1,Formulas!U5+2),"$",""))&amp;Formulas!T5+1,
IFERROR(INDEX(Datos!$A$2:$L$101,Formulas!T5,Formulas!U5+2),"")))</f>
        <v>#VALUE!</v>
      </c>
      <c r="U7" s="5"/>
      <c r="V7" s="6"/>
      <c r="W7" s="24" t="str" cm="1">
        <f t="array" aca="1" ref="W7" ca="1">IF(OR(Formulas!Y4=0,Formulas!Y4="",RIGHT(Formulas!Z4)="0"),"",
HYPERLINK("["&amp;Archivo_Nombre&amp;"]Datos!"&amp;LEFT(SUBSTITUTE(ADDRESS(1,IF(Formulas!Y4=1,1,RIGHT(Formulas!Z4)+2)),"$",""))&amp;Formulas!X4+1,
IFERROR(INDEX(Datos!$A$1:$L$1,1,RIGHT(Formulas!Z4)+2)&amp;IF(Formulas!Y4=1," "&amp;Formulas!X4,"")&amp;":","")))</f>
        <v/>
      </c>
      <c r="X7" s="107" t="str" cm="1">
        <f t="array" aca="1" ref="X7" ca="1">IF(OR(Formulas!Y4=0,Formulas!Y4="",RIGHT(Formulas!Z4)="0"),"",
HYPERLINK("["&amp;Archivo_Nombre&amp;"]Datos!"&amp;LEFT(SUBSTITUTE(ADDRESS(1,RIGHT(Formulas!Z4)+2),"$",""))&amp;Formulas!X4+1,
IFERROR(INDEX(Datos!$A$2:$L$101,Formulas!X4,RIGHT(Formulas!Z4)+2),"")))</f>
        <v/>
      </c>
      <c r="Y7" s="107" t="str" cm="1">
        <f t="array" aca="1" ref="Y7" ca="1">IF(OR(Formulas!Z5=0,Formulas!Z5=""),"",HYPERLINK("["&amp;Archivo_Nombre&amp;"]Datos!"&amp;LEFT(SUBSTITUTE(ADDRESS(1,Formulas!Z5+2),"$",""))&amp;Formulas!Y5+1,
IFERROR(INDEX(Datos!$A$2:$L$101,Formulas!Y5,Formulas!Z5+2),"")))</f>
        <v/>
      </c>
      <c r="Z7" s="13"/>
      <c r="AA7" s="6"/>
      <c r="AB7" s="24" t="str" cm="1">
        <f t="array" aca="1" ref="AB7" ca="1">IF(OR(Formulas!AD4=0,Formulas!AD4="",RIGHT(Formulas!AE4)="0"),"",
HYPERLINK("["&amp;Archivo_Nombre&amp;"]Datos!"&amp;LEFT(SUBSTITUTE(ADDRESS(1,IF(Formulas!AD4=1,1,RIGHT(Formulas!AE4)+2)),"$",""))&amp;Formulas!AC4+1,
IFERROR(INDEX(Datos!$A$1:$L$1,1,RIGHT(Formulas!AE4)+2)&amp;IF(Formulas!AD4=1," "&amp;Formulas!AC4,"")&amp;":","")))</f>
        <v/>
      </c>
      <c r="AC7" s="107" t="str" cm="1">
        <f t="array" aca="1" ref="AC7" ca="1">IF(OR(Formulas!AD4=0,Formulas!AD4="",RIGHT(Formulas!AE4)="0"),"",
HYPERLINK("["&amp;Archivo_Nombre&amp;"]Datos!"&amp;LEFT(SUBSTITUTE(ADDRESS(1,RIGHT(Formulas!AE4)+2),"$",""))&amp;Formulas!AC4+1,
IFERROR(INDEX(Datos!$A$2:$L$101,Formulas!AC4,RIGHT(Formulas!AE4)+2),"")))</f>
        <v/>
      </c>
      <c r="AD7" s="107" t="str" cm="1">
        <f t="array" aca="1" ref="AD7" ca="1">IF(OR(Formulas!AE5=0,Formulas!AE5=""),"",HYPERLINK("["&amp;Archivo_Nombre&amp;"]Datos!"&amp;LEFT(SUBSTITUTE(ADDRESS(1,Formulas!AE5+2),"$",""))&amp;Formulas!AD5+1,
IFERROR(INDEX(Datos!$A$2:$L$101,Formulas!AD5,Formulas!AE5+2),"")))</f>
        <v/>
      </c>
      <c r="AE7" s="13"/>
      <c r="AF7" s="6"/>
      <c r="AG7" s="24" t="str" cm="1">
        <f t="array" aca="1" ref="AG7" ca="1">IF(OR(Formulas!AI4=0,Formulas!AI4="",RIGHT(Formulas!AJ4)="0"),"",
HYPERLINK("["&amp;Archivo_Nombre&amp;"]Datos!"&amp;LEFT(SUBSTITUTE(ADDRESS(1,IF(Formulas!AI4=1,1,RIGHT(Formulas!AJ4)+2)),"$",""))&amp;Formulas!AH4+1,
IFERROR(INDEX(Datos!$A$1:$L$1,1,RIGHT(Formulas!AJ4)+2)&amp;IF(Formulas!AI4=1," "&amp;Formulas!AH4,"")&amp;":","")))</f>
        <v/>
      </c>
      <c r="AH7" s="107" t="str" cm="1">
        <f t="array" aca="1" ref="AH7" ca="1">IF(OR(Formulas!AI4=0,Formulas!AI4="",RIGHT(Formulas!AJ4)="0"),"",
HYPERLINK("["&amp;Archivo_Nombre&amp;"]Datos!"&amp;LEFT(SUBSTITUTE(ADDRESS(1,RIGHT(Formulas!AJ4)+2),"$",""))&amp;Formulas!AH4+1,
IFERROR(INDEX(Datos!$A$2:$L$101,Formulas!AH4,RIGHT(Formulas!AJ4)+2),"")))</f>
        <v/>
      </c>
      <c r="AI7" s="107" t="str" cm="1">
        <f t="array" aca="1" ref="AI7" ca="1">IF(OR(Formulas!AJ5=0,Formulas!AJ5=""),"",HYPERLINK("["&amp;Archivo_Nombre&amp;"]Datos!"&amp;LEFT(SUBSTITUTE(ADDRESS(1,Formulas!AJ5+2),"$",""))&amp;Formulas!AI5+1,
IFERROR(INDEX(Datos!$A$2:$L$101,Formulas!AI5,Formulas!AJ5+2),"")))</f>
        <v/>
      </c>
      <c r="AJ7" s="13"/>
      <c r="AK7" s="6"/>
      <c r="AL7" s="24" t="str" cm="1">
        <f t="array" aca="1" ref="AL7" ca="1">IF(OR(Formulas!AN4=0,Formulas!AN4="",RIGHT(Formulas!AO4)="0"),"",
HYPERLINK("["&amp;Archivo_Nombre&amp;"]Datos!"&amp;LEFT(SUBSTITUTE(ADDRESS(1,IF(Formulas!AN4=1,1,RIGHT(Formulas!AO4)+2)),"$",""))&amp;Formulas!AM4+1,
IFERROR(INDEX(Datos!$A$1:$L$1,1,RIGHT(Formulas!AO4)+2)&amp;IF(Formulas!AN4=1," "&amp;Formulas!AM4,"")&amp;":","")))</f>
        <v/>
      </c>
      <c r="AM7" s="107" t="str" cm="1">
        <f t="array" aca="1" ref="AM7" ca="1">IF(OR(Formulas!AN4=0,Formulas!AN4="",RIGHT(Formulas!AO4)="0"),"",
HYPERLINK("["&amp;Archivo_Nombre&amp;"]Datos!"&amp;LEFT(SUBSTITUTE(ADDRESS(1,RIGHT(Formulas!AO4)+2),"$",""))&amp;Formulas!AM4+1,
IFERROR(INDEX(Datos!$A$2:$L$101,Formulas!AM4,RIGHT(Formulas!AO4)+2),"")))</f>
        <v/>
      </c>
      <c r="AN7" s="107" t="str" cm="1">
        <f t="array" aca="1" ref="AN7" ca="1">IF(OR(Formulas!AO5=0,Formulas!AO5=""),"",HYPERLINK("["&amp;Archivo_Nombre&amp;"]Datos!"&amp;LEFT(SUBSTITUTE(ADDRESS(1,Formulas!AO5+2),"$",""))&amp;Formulas!AN5+1,
IFERROR(INDEX(Datos!$A$2:$L$101,Formulas!AN5,Formulas!AO5+2),"")))</f>
        <v/>
      </c>
      <c r="AO7" s="13"/>
      <c r="AP7" s="6"/>
      <c r="AQ7" s="24" t="str" cm="1">
        <f t="array" aca="1" ref="AQ7" ca="1">IF(OR(Formulas!AS4=0,Formulas!AS4="",RIGHT(Formulas!AT4)="0"),"",
HYPERLINK("["&amp;Archivo_Nombre&amp;"]Datos!"&amp;LEFT(SUBSTITUTE(ADDRESS(1,IF(Formulas!AS4=1,1,RIGHT(Formulas!AT4)+2)),"$",""))&amp;Formulas!AR4+1,
IFERROR(INDEX(Datos!$A$1:$L$1,1,RIGHT(Formulas!AT4)+2)&amp;IF(Formulas!AS4=1," "&amp;Formulas!AR4,"")&amp;":","")))</f>
        <v/>
      </c>
      <c r="AR7" s="107" t="str" cm="1">
        <f t="array" aca="1" ref="AR7" ca="1">IF(OR(Formulas!AS4=0,Formulas!AS4="",RIGHT(Formulas!AT4)="0"),"",
HYPERLINK("["&amp;Archivo_Nombre&amp;"]Datos!"&amp;LEFT(SUBSTITUTE(ADDRESS(1,RIGHT(Formulas!AT4)+2),"$",""))&amp;Formulas!AR4+1,
IFERROR(INDEX(Datos!$A$2:$L$101,Formulas!AR4,RIGHT(Formulas!AT4)+2),"")))</f>
        <v/>
      </c>
      <c r="AS7" s="107" t="str" cm="1">
        <f t="array" aca="1" ref="AS7" ca="1">IF(OR(Formulas!AT5=0,Formulas!AT5=""),"",HYPERLINK("["&amp;Archivo_Nombre&amp;"]Datos!"&amp;LEFT(SUBSTITUTE(ADDRESS(1,Formulas!AT5+2),"$",""))&amp;Formulas!AS5+1,
IFERROR(INDEX(Datos!$A$2:$L$101,Formulas!AS5,Formulas!AT5+2),"")))</f>
        <v/>
      </c>
      <c r="AT7" s="13"/>
      <c r="AU7" s="6"/>
      <c r="AV7" s="24" t="str" cm="1">
        <f t="array" aca="1" ref="AV7" ca="1">IF(OR(Formulas!AX4=0,Formulas!AX4="",RIGHT(Formulas!AY4)="0"),"",
HYPERLINK("["&amp;Archivo_Nombre&amp;"]Datos!"&amp;LEFT(SUBSTITUTE(ADDRESS(1,IF(Formulas!AX4=1,1,RIGHT(Formulas!AY4)+2)),"$",""))&amp;Formulas!AW4+1,
IFERROR(INDEX(Datos!$A$1:$L$1,1,RIGHT(Formulas!AY4)+2)&amp;IF(Formulas!AX4=1," "&amp;Formulas!AW4,"")&amp;":","")))</f>
        <v/>
      </c>
      <c r="AW7" s="107" t="str" cm="1">
        <f t="array" aca="1" ref="AW7" ca="1">IF(OR(Formulas!AX4=0,Formulas!AX4="",RIGHT(Formulas!AY4)="0"),"",
HYPERLINK("["&amp;Archivo_Nombre&amp;"]Datos!"&amp;LEFT(SUBSTITUTE(ADDRESS(1,RIGHT(Formulas!AY4)+2),"$",""))&amp;Formulas!AW4+1,
IFERROR(INDEX(Datos!$A$2:$L$101,Formulas!AW4,RIGHT(Formulas!AY4)+2),"")))</f>
        <v/>
      </c>
      <c r="AX7" s="107" t="str" cm="1">
        <f t="array" aca="1" ref="AX7" ca="1">IF(OR(Formulas!AY5=0,Formulas!AY5=""),"",HYPERLINK("["&amp;Archivo_Nombre&amp;"]Datos!"&amp;LEFT(SUBSTITUTE(ADDRESS(1,Formulas!AY5+2),"$",""))&amp;Formulas!AX5+1,
IFERROR(INDEX(Datos!$A$2:$L$101,Formulas!AX5,Formulas!AY5+2),"")))</f>
        <v/>
      </c>
      <c r="AY7" s="13"/>
    </row>
    <row r="8" spans="2:51" x14ac:dyDescent="0.25">
      <c r="B8" s="11"/>
      <c r="C8" s="24" t="str" cm="1">
        <f t="array" aca="1" ref="C8" ca="1">IF(OR(Formulas!E5=0,Formulas!E5="",RIGHT(Formulas!F5)="0"),"",
HYPERLINK("["&amp;Archivo_Nombre&amp;"]Datos!"&amp;LEFT(SUBSTITUTE(ADDRESS(1,IF(Formulas!E5=1,1,RIGHT(Formulas!F5)+2)),"$",""))&amp;Formulas!D5+1,
IFERROR(INDEX(Datos!$A$1:$L$1,1,RIGHT(Formulas!F5)+2)&amp;IF(Formulas!E5=1," "&amp;Formulas!D5,"")&amp;":","")))</f>
        <v/>
      </c>
      <c r="D8" s="107" t="str" cm="1">
        <f t="array" aca="1" ref="D8" ca="1">IF(OR(Formulas!E5=0,Formulas!E5="",RIGHT(Formulas!F5)="0"),"",
HYPERLINK("["&amp;Archivo_Nombre&amp;"]Datos!"&amp;LEFT(SUBSTITUTE(ADDRESS(1,RIGHT(Formulas!F5)+2),"$",""))&amp;Formulas!D5+1,
IFERROR(INDEX(Datos!$A$2:$L$101,Formulas!D5,RIGHT(Formulas!F5)+2),"")))</f>
        <v/>
      </c>
      <c r="E8" s="107" t="str" cm="1">
        <f t="array" aca="1" ref="E8" ca="1">IF(OR(Formulas!F6=0,Formulas!F6=""),"",HYPERLINK("["&amp;Archivo_Nombre&amp;"]Datos!"&amp;LEFT(SUBSTITUTE(ADDRESS(1,Formulas!F6+2),"$",""))&amp;Formulas!E6+1,
IFERROR(INDEX(Datos!$A$2:$L$101,Formulas!E6,Formulas!F6+2),"")))</f>
        <v/>
      </c>
      <c r="F8" s="5"/>
      <c r="G8" s="6"/>
      <c r="H8" s="24" t="str" cm="1">
        <f t="array" aca="1" ref="H8" ca="1">IF(OR(Formulas!J5=0,Formulas!J5="",RIGHT(Formulas!K5)="0"),"",
HYPERLINK("["&amp;Archivo_Nombre&amp;"]Datos!"&amp;LEFT(SUBSTITUTE(ADDRESS(1,IF(Formulas!J5=1,1,RIGHT(Formulas!K5)+2)),"$",""))&amp;Formulas!I5+1,
IFERROR(INDEX(Datos!$A$1:$L$1,1,RIGHT(Formulas!K5)+2)&amp;IF(Formulas!J5=1," "&amp;Formulas!I5,"")&amp;":","")))</f>
        <v>Descripción:</v>
      </c>
      <c r="I8" s="107" t="str" cm="1">
        <f t="array" aca="1" ref="I8" ca="1">IF(OR(Formulas!J5=0,Formulas!J5="",RIGHT(Formulas!K5)="0"),"",
HYPERLINK("["&amp;Archivo_Nombre&amp;"]Datos!"&amp;LEFT(SUBSTITUTE(ADDRESS(1,RIGHT(Formulas!K5)+2),"$",""))&amp;Formulas!I5+1,
IFERROR(INDEX(Datos!$A$2:$L$101,Formulas!I5,RIGHT(Formulas!K5)+2),"")))</f>
        <v>Finalización del sprint 3</v>
      </c>
      <c r="J8" s="107" t="e" cm="1">
        <f t="array" aca="1" ref="J8" ca="1">IF(OR(Formulas!K6=0,Formulas!K6=""),"",HYPERLINK("["&amp;Archivo_Nombre&amp;"]Datos!"&amp;LEFT(SUBSTITUTE(ADDRESS(1,Formulas!K6+2),"$",""))&amp;Formulas!J6+1,
IFERROR(INDEX(Datos!$A$2:$L$101,Formulas!J6,Formulas!K6+2),"")))</f>
        <v>#VALUE!</v>
      </c>
      <c r="K8" s="5"/>
      <c r="L8" s="6"/>
      <c r="M8" s="24" t="str" cm="1">
        <f t="array" aca="1" ref="M8" ca="1">IF(OR(Formulas!O5=0,Formulas!O5="",RIGHT(Formulas!P5)="0"),"",
HYPERLINK("["&amp;Archivo_Nombre&amp;"]Datos!"&amp;LEFT(SUBSTITUTE(ADDRESS(1,IF(Formulas!O5=1,1,RIGHT(Formulas!P5)+2)),"$",""))&amp;Formulas!N5+1,
IFERROR(INDEX(Datos!$A$1:$L$1,1,RIGHT(Formulas!P5)+2)&amp;IF(Formulas!O5=1," "&amp;Formulas!N5,"")&amp;":","")))</f>
        <v/>
      </c>
      <c r="N8" s="107" t="str" cm="1">
        <f t="array" aca="1" ref="N8" ca="1">IF(OR(Formulas!O5=0,Formulas!O5="",RIGHT(Formulas!P5)="0"),"",
HYPERLINK("["&amp;Archivo_Nombre&amp;"]Datos!"&amp;LEFT(SUBSTITUTE(ADDRESS(1,RIGHT(Formulas!P5)+2),"$",""))&amp;Formulas!N5+1,
IFERROR(INDEX(Datos!$A$2:$L$101,Formulas!N5,RIGHT(Formulas!P5)+2),"")))</f>
        <v/>
      </c>
      <c r="O8" s="107" t="str" cm="1">
        <f t="array" aca="1" ref="O8" ca="1">IF(OR(Formulas!P6=0,Formulas!P6=""),"",HYPERLINK("["&amp;Archivo_Nombre&amp;"]Datos!"&amp;LEFT(SUBSTITUTE(ADDRESS(1,Formulas!P6+2),"$",""))&amp;Formulas!O6+1,
IFERROR(INDEX(Datos!$A$2:$L$101,Formulas!O6,Formulas!P6+2),"")))</f>
        <v/>
      </c>
      <c r="P8" s="5"/>
      <c r="Q8" s="6"/>
      <c r="R8" s="24" t="str" cm="1">
        <f t="array" aca="1" ref="R8" ca="1">IF(OR(Formulas!T5=0,Formulas!T5="",RIGHT(Formulas!U5)="0"),"",
HYPERLINK("["&amp;Archivo_Nombre&amp;"]Datos!"&amp;LEFT(SUBSTITUTE(ADDRESS(1,IF(Formulas!T5=1,1,RIGHT(Formulas!U5)+2)),"$",""))&amp;Formulas!S5+1,
IFERROR(INDEX(Datos!$A$1:$L$1,1,RIGHT(Formulas!U5)+2)&amp;IF(Formulas!T5=1," "&amp;Formulas!S5,"")&amp;":","")))</f>
        <v>Descripción:</v>
      </c>
      <c r="S8" s="107" t="str" cm="1">
        <f t="array" aca="1" ref="S8" ca="1">IF(OR(Formulas!T5=0,Formulas!T5="",RIGHT(Formulas!U5)="0"),"",
HYPERLINK("["&amp;Archivo_Nombre&amp;"]Datos!"&amp;LEFT(SUBSTITUTE(ADDRESS(1,RIGHT(Formulas!U5)+2),"$",""))&amp;Formulas!S5+1,
IFERROR(INDEX(Datos!$A$2:$L$101,Formulas!S5,RIGHT(Formulas!U5)+2),"")))</f>
        <v xml:space="preserve">Realizar el Informe de Resultados de 
las pruebas finales </v>
      </c>
      <c r="T8" s="107" t="e" cm="1">
        <f t="array" aca="1" ref="T8" ca="1">IF(OR(Formulas!U6=0,Formulas!U6=""),"",HYPERLINK("["&amp;Archivo_Nombre&amp;"]Datos!"&amp;LEFT(SUBSTITUTE(ADDRESS(1,Formulas!U6+2),"$",""))&amp;Formulas!T6+1,
IFERROR(INDEX(Datos!$A$2:$L$101,Formulas!T6,Formulas!U6+2),"")))</f>
        <v>#VALUE!</v>
      </c>
      <c r="U8" s="5"/>
      <c r="V8" s="6"/>
      <c r="W8" s="24" t="str" cm="1">
        <f t="array" aca="1" ref="W8" ca="1">IF(OR(Formulas!Y5=0,Formulas!Y5="",RIGHT(Formulas!Z5)="0"),"",
HYPERLINK("["&amp;Archivo_Nombre&amp;"]Datos!"&amp;LEFT(SUBSTITUTE(ADDRESS(1,IF(Formulas!Y5=1,1,RIGHT(Formulas!Z5)+2)),"$",""))&amp;Formulas!X5+1,
IFERROR(INDEX(Datos!$A$1:$L$1,1,RIGHT(Formulas!Z5)+2)&amp;IF(Formulas!Y5=1," "&amp;Formulas!X5,"")&amp;":","")))</f>
        <v/>
      </c>
      <c r="X8" s="107" t="str" cm="1">
        <f t="array" aca="1" ref="X8" ca="1">IF(OR(Formulas!Y5=0,Formulas!Y5="",RIGHT(Formulas!Z5)="0"),"",
HYPERLINK("["&amp;Archivo_Nombre&amp;"]Datos!"&amp;LEFT(SUBSTITUTE(ADDRESS(1,RIGHT(Formulas!Z5)+2),"$",""))&amp;Formulas!X5+1,
IFERROR(INDEX(Datos!$A$2:$L$101,Formulas!X5,RIGHT(Formulas!Z5)+2),"")))</f>
        <v/>
      </c>
      <c r="Y8" s="107" t="str" cm="1">
        <f t="array" aca="1" ref="Y8" ca="1">IF(OR(Formulas!Z6=0,Formulas!Z6=""),"",HYPERLINK("["&amp;Archivo_Nombre&amp;"]Datos!"&amp;LEFT(SUBSTITUTE(ADDRESS(1,Formulas!Z6+2),"$",""))&amp;Formulas!Y6+1,
IFERROR(INDEX(Datos!$A$2:$L$101,Formulas!Y6,Formulas!Z6+2),"")))</f>
        <v/>
      </c>
      <c r="Z8" s="13"/>
      <c r="AA8" s="6"/>
      <c r="AB8" s="24" t="str" cm="1">
        <f t="array" aca="1" ref="AB8" ca="1">IF(OR(Formulas!AD5=0,Formulas!AD5="",RIGHT(Formulas!AE5)="0"),"",
HYPERLINK("["&amp;Archivo_Nombre&amp;"]Datos!"&amp;LEFT(SUBSTITUTE(ADDRESS(1,IF(Formulas!AD5=1,1,RIGHT(Formulas!AE5)+2)),"$",""))&amp;Formulas!AC5+1,
IFERROR(INDEX(Datos!$A$1:$L$1,1,RIGHT(Formulas!AE5)+2)&amp;IF(Formulas!AD5=1," "&amp;Formulas!AC5,"")&amp;":","")))</f>
        <v/>
      </c>
      <c r="AC8" s="107" t="str" cm="1">
        <f t="array" aca="1" ref="AC8" ca="1">IF(OR(Formulas!AD5=0,Formulas!AD5="",RIGHT(Formulas!AE5)="0"),"",
HYPERLINK("["&amp;Archivo_Nombre&amp;"]Datos!"&amp;LEFT(SUBSTITUTE(ADDRESS(1,RIGHT(Formulas!AE5)+2),"$",""))&amp;Formulas!AC5+1,
IFERROR(INDEX(Datos!$A$2:$L$101,Formulas!AC5,RIGHT(Formulas!AE5)+2),"")))</f>
        <v/>
      </c>
      <c r="AD8" s="107" t="str" cm="1">
        <f t="array" aca="1" ref="AD8" ca="1">IF(OR(Formulas!AE6=0,Formulas!AE6=""),"",HYPERLINK("["&amp;Archivo_Nombre&amp;"]Datos!"&amp;LEFT(SUBSTITUTE(ADDRESS(1,Formulas!AE6+2),"$",""))&amp;Formulas!AD6+1,
IFERROR(INDEX(Datos!$A$2:$L$101,Formulas!AD6,Formulas!AE6+2),"")))</f>
        <v/>
      </c>
      <c r="AE8" s="13"/>
      <c r="AF8" s="6"/>
      <c r="AG8" s="24" t="str" cm="1">
        <f t="array" aca="1" ref="AG8" ca="1">IF(OR(Formulas!AI5=0,Formulas!AI5="",RIGHT(Formulas!AJ5)="0"),"",
HYPERLINK("["&amp;Archivo_Nombre&amp;"]Datos!"&amp;LEFT(SUBSTITUTE(ADDRESS(1,IF(Formulas!AI5=1,1,RIGHT(Formulas!AJ5)+2)),"$",""))&amp;Formulas!AH5+1,
IFERROR(INDEX(Datos!$A$1:$L$1,1,RIGHT(Formulas!AJ5)+2)&amp;IF(Formulas!AI5=1," "&amp;Formulas!AH5,"")&amp;":","")))</f>
        <v/>
      </c>
      <c r="AH8" s="107" t="str" cm="1">
        <f t="array" aca="1" ref="AH8" ca="1">IF(OR(Formulas!AI5=0,Formulas!AI5="",RIGHT(Formulas!AJ5)="0"),"",
HYPERLINK("["&amp;Archivo_Nombre&amp;"]Datos!"&amp;LEFT(SUBSTITUTE(ADDRESS(1,RIGHT(Formulas!AJ5)+2),"$",""))&amp;Formulas!AH5+1,
IFERROR(INDEX(Datos!$A$2:$L$101,Formulas!AH5,RIGHT(Formulas!AJ5)+2),"")))</f>
        <v/>
      </c>
      <c r="AI8" s="107" t="str" cm="1">
        <f t="array" aca="1" ref="AI8" ca="1">IF(OR(Formulas!AJ6=0,Formulas!AJ6=""),"",HYPERLINK("["&amp;Archivo_Nombre&amp;"]Datos!"&amp;LEFT(SUBSTITUTE(ADDRESS(1,Formulas!AJ6+2),"$",""))&amp;Formulas!AI6+1,
IFERROR(INDEX(Datos!$A$2:$L$101,Formulas!AI6,Formulas!AJ6+2),"")))</f>
        <v/>
      </c>
      <c r="AJ8" s="13"/>
      <c r="AK8" s="6"/>
      <c r="AL8" s="24" t="str" cm="1">
        <f t="array" aca="1" ref="AL8" ca="1">IF(OR(Formulas!AN5=0,Formulas!AN5="",RIGHT(Formulas!AO5)="0"),"",
HYPERLINK("["&amp;Archivo_Nombre&amp;"]Datos!"&amp;LEFT(SUBSTITUTE(ADDRESS(1,IF(Formulas!AN5=1,1,RIGHT(Formulas!AO5)+2)),"$",""))&amp;Formulas!AM5+1,
IFERROR(INDEX(Datos!$A$1:$L$1,1,RIGHT(Formulas!AO5)+2)&amp;IF(Formulas!AN5=1," "&amp;Formulas!AM5,"")&amp;":","")))</f>
        <v/>
      </c>
      <c r="AM8" s="107" t="str" cm="1">
        <f t="array" aca="1" ref="AM8" ca="1">IF(OR(Formulas!AN5=0,Formulas!AN5="",RIGHT(Formulas!AO5)="0"),"",
HYPERLINK("["&amp;Archivo_Nombre&amp;"]Datos!"&amp;LEFT(SUBSTITUTE(ADDRESS(1,RIGHT(Formulas!AO5)+2),"$",""))&amp;Formulas!AM5+1,
IFERROR(INDEX(Datos!$A$2:$L$101,Formulas!AM5,RIGHT(Formulas!AO5)+2),"")))</f>
        <v/>
      </c>
      <c r="AN8" s="107" t="str" cm="1">
        <f t="array" aca="1" ref="AN8" ca="1">IF(OR(Formulas!AO6=0,Formulas!AO6=""),"",HYPERLINK("["&amp;Archivo_Nombre&amp;"]Datos!"&amp;LEFT(SUBSTITUTE(ADDRESS(1,Formulas!AO6+2),"$",""))&amp;Formulas!AN6+1,
IFERROR(INDEX(Datos!$A$2:$L$101,Formulas!AN6,Formulas!AO6+2),"")))</f>
        <v/>
      </c>
      <c r="AO8" s="13"/>
      <c r="AP8" s="6"/>
      <c r="AQ8" s="24" t="str" cm="1">
        <f t="array" aca="1" ref="AQ8" ca="1">IF(OR(Formulas!AS5=0,Formulas!AS5="",RIGHT(Formulas!AT5)="0"),"",
HYPERLINK("["&amp;Archivo_Nombre&amp;"]Datos!"&amp;LEFT(SUBSTITUTE(ADDRESS(1,IF(Formulas!AS5=1,1,RIGHT(Formulas!AT5)+2)),"$",""))&amp;Formulas!AR5+1,
IFERROR(INDEX(Datos!$A$1:$L$1,1,RIGHT(Formulas!AT5)+2)&amp;IF(Formulas!AS5=1," "&amp;Formulas!AR5,"")&amp;":","")))</f>
        <v/>
      </c>
      <c r="AR8" s="107" t="str" cm="1">
        <f t="array" aca="1" ref="AR8" ca="1">IF(OR(Formulas!AS5=0,Formulas!AS5="",RIGHT(Formulas!AT5)="0"),"",
HYPERLINK("["&amp;Archivo_Nombre&amp;"]Datos!"&amp;LEFT(SUBSTITUTE(ADDRESS(1,RIGHT(Formulas!AT5)+2),"$",""))&amp;Formulas!AR5+1,
IFERROR(INDEX(Datos!$A$2:$L$101,Formulas!AR5,RIGHT(Formulas!AT5)+2),"")))</f>
        <v/>
      </c>
      <c r="AS8" s="107" t="str" cm="1">
        <f t="array" aca="1" ref="AS8" ca="1">IF(OR(Formulas!AT6=0,Formulas!AT6=""),"",HYPERLINK("["&amp;Archivo_Nombre&amp;"]Datos!"&amp;LEFT(SUBSTITUTE(ADDRESS(1,Formulas!AT6+2),"$",""))&amp;Formulas!AS6+1,
IFERROR(INDEX(Datos!$A$2:$L$101,Formulas!AS6,Formulas!AT6+2),"")))</f>
        <v/>
      </c>
      <c r="AT8" s="13"/>
      <c r="AU8" s="6"/>
      <c r="AV8" s="24" t="str" cm="1">
        <f t="array" aca="1" ref="AV8" ca="1">IF(OR(Formulas!AX5=0,Formulas!AX5="",RIGHT(Formulas!AY5)="0"),"",
HYPERLINK("["&amp;Archivo_Nombre&amp;"]Datos!"&amp;LEFT(SUBSTITUTE(ADDRESS(1,IF(Formulas!AX5=1,1,RIGHT(Formulas!AY5)+2)),"$",""))&amp;Formulas!AW5+1,
IFERROR(INDEX(Datos!$A$1:$L$1,1,RIGHT(Formulas!AY5)+2)&amp;IF(Formulas!AX5=1," "&amp;Formulas!AW5,"")&amp;":","")))</f>
        <v/>
      </c>
      <c r="AW8" s="107" t="str" cm="1">
        <f t="array" aca="1" ref="AW8" ca="1">IF(OR(Formulas!AX5=0,Formulas!AX5="",RIGHT(Formulas!AY5)="0"),"",
HYPERLINK("["&amp;Archivo_Nombre&amp;"]Datos!"&amp;LEFT(SUBSTITUTE(ADDRESS(1,RIGHT(Formulas!AY5)+2),"$",""))&amp;Formulas!AW5+1,
IFERROR(INDEX(Datos!$A$2:$L$101,Formulas!AW5,RIGHT(Formulas!AY5)+2),"")))</f>
        <v/>
      </c>
      <c r="AX8" s="107" t="str" cm="1">
        <f t="array" aca="1" ref="AX8" ca="1">IF(OR(Formulas!AY6=0,Formulas!AY6=""),"",HYPERLINK("["&amp;Archivo_Nombre&amp;"]Datos!"&amp;LEFT(SUBSTITUTE(ADDRESS(1,Formulas!AY6+2),"$",""))&amp;Formulas!AX6+1,
IFERROR(INDEX(Datos!$A$2:$L$101,Formulas!AX6,Formulas!AY6+2),"")))</f>
        <v/>
      </c>
      <c r="AY8" s="13"/>
    </row>
    <row r="9" spans="2:51" x14ac:dyDescent="0.25">
      <c r="B9" s="11"/>
      <c r="C9" s="24" t="str" cm="1">
        <f t="array" aca="1" ref="C9" ca="1">IF(OR(Formulas!E6=0,Formulas!E6="",RIGHT(Formulas!F6)="0"),"",
HYPERLINK("["&amp;Archivo_Nombre&amp;"]Datos!"&amp;LEFT(SUBSTITUTE(ADDRESS(1,IF(Formulas!E6=1,1,RIGHT(Formulas!F6)+2)),"$",""))&amp;Formulas!D6+1,
IFERROR(INDEX(Datos!$A$1:$L$1,1,RIGHT(Formulas!F6)+2)&amp;IF(Formulas!E6=1," "&amp;Formulas!D6,"")&amp;":","")))</f>
        <v/>
      </c>
      <c r="D9" s="107" t="str" cm="1">
        <f t="array" aca="1" ref="D9" ca="1">IF(OR(Formulas!E6=0,Formulas!E6="",RIGHT(Formulas!F6)="0"),"",
HYPERLINK("["&amp;Archivo_Nombre&amp;"]Datos!"&amp;LEFT(SUBSTITUTE(ADDRESS(1,RIGHT(Formulas!F6)+2),"$",""))&amp;Formulas!D6+1,
IFERROR(INDEX(Datos!$A$2:$L$101,Formulas!D6,RIGHT(Formulas!F6)+2),"")))</f>
        <v/>
      </c>
      <c r="E9" s="107" t="str" cm="1">
        <f t="array" aca="1" ref="E9" ca="1">IF(OR(Formulas!F7=0,Formulas!F7=""),"",HYPERLINK("["&amp;Archivo_Nombre&amp;"]Datos!"&amp;LEFT(SUBSTITUTE(ADDRESS(1,Formulas!F7+2),"$",""))&amp;Formulas!E7+1,
IFERROR(INDEX(Datos!$A$2:$L$101,Formulas!E7,Formulas!F7+2),"")))</f>
        <v/>
      </c>
      <c r="F9" s="5"/>
      <c r="G9" s="6"/>
      <c r="H9" s="24" t="str" cm="1">
        <f t="array" aca="1" ref="H9" ca="1">IF(OR(Formulas!J6=0,Formulas!J6="",RIGHT(Formulas!K6)="0"),"",
HYPERLINK("["&amp;Archivo_Nombre&amp;"]Datos!"&amp;LEFT(SUBSTITUTE(ADDRESS(1,IF(Formulas!J6=1,1,RIGHT(Formulas!K6)+2)),"$",""))&amp;Formulas!I6+1,
IFERROR(INDEX(Datos!$A$1:$L$1,1,RIGHT(Formulas!K6)+2)&amp;IF(Formulas!J6=1," "&amp;Formulas!I6,"")&amp;":","")))</f>
        <v>Inicio:</v>
      </c>
      <c r="I9" s="107" cm="1">
        <f t="array" aca="1" ref="I9" ca="1">IF(OR(Formulas!J6=0,Formulas!J6="",RIGHT(Formulas!K6)="0"),"",
HYPERLINK("["&amp;Archivo_Nombre&amp;"]Datos!"&amp;LEFT(SUBSTITUTE(ADDRESS(1,RIGHT(Formulas!K6)+2),"$",""))&amp;Formulas!I6+1,
IFERROR(INDEX(Datos!$A$2:$L$101,Formulas!I6,RIGHT(Formulas!K6)+2),"")))</f>
        <v>45861</v>
      </c>
      <c r="J9" s="107" t="e" cm="1">
        <f t="array" aca="1" ref="J9" ca="1">IF(OR(Formulas!K7=0,Formulas!K7=""),"",HYPERLINK("["&amp;Archivo_Nombre&amp;"]Datos!"&amp;LEFT(SUBSTITUTE(ADDRESS(1,Formulas!K7+2),"$",""))&amp;Formulas!J7+1,
IFERROR(INDEX(Datos!$A$2:$L$101,Formulas!J7,Formulas!K7+2),"")))</f>
        <v>#VALUE!</v>
      </c>
      <c r="K9" s="5"/>
      <c r="L9" s="6"/>
      <c r="M9" s="24" t="str" cm="1">
        <f t="array" aca="1" ref="M9" ca="1">IF(OR(Formulas!O6=0,Formulas!O6="",RIGHT(Formulas!P6)="0"),"",
HYPERLINK("["&amp;Archivo_Nombre&amp;"]Datos!"&amp;LEFT(SUBSTITUTE(ADDRESS(1,IF(Formulas!O6=1,1,RIGHT(Formulas!P6)+2)),"$",""))&amp;Formulas!N6+1,
IFERROR(INDEX(Datos!$A$1:$L$1,1,RIGHT(Formulas!P6)+2)&amp;IF(Formulas!O6=1," "&amp;Formulas!N6,"")&amp;":","")))</f>
        <v/>
      </c>
      <c r="N9" s="107" t="str" cm="1">
        <f t="array" aca="1" ref="N9" ca="1">IF(OR(Formulas!O6=0,Formulas!O6="",RIGHT(Formulas!P6)="0"),"",
HYPERLINK("["&amp;Archivo_Nombre&amp;"]Datos!"&amp;LEFT(SUBSTITUTE(ADDRESS(1,RIGHT(Formulas!P6)+2),"$",""))&amp;Formulas!N6+1,
IFERROR(INDEX(Datos!$A$2:$L$101,Formulas!N6,RIGHT(Formulas!P6)+2),"")))</f>
        <v/>
      </c>
      <c r="O9" s="107" t="str" cm="1">
        <f t="array" aca="1" ref="O9" ca="1">IF(OR(Formulas!P7=0,Formulas!P7=""),"",HYPERLINK("["&amp;Archivo_Nombre&amp;"]Datos!"&amp;LEFT(SUBSTITUTE(ADDRESS(1,Formulas!P7+2),"$",""))&amp;Formulas!O7+1,
IFERROR(INDEX(Datos!$A$2:$L$101,Formulas!O7,Formulas!P7+2),"")))</f>
        <v/>
      </c>
      <c r="P9" s="5"/>
      <c r="Q9" s="6"/>
      <c r="R9" s="24" t="str" cm="1">
        <f t="array" aca="1" ref="R9" ca="1">IF(OR(Formulas!T6=0,Formulas!T6="",RIGHT(Formulas!U6)="0"),"",
HYPERLINK("["&amp;Archivo_Nombre&amp;"]Datos!"&amp;LEFT(SUBSTITUTE(ADDRESS(1,IF(Formulas!T6=1,1,RIGHT(Formulas!U6)+2)),"$",""))&amp;Formulas!S6+1,
IFERROR(INDEX(Datos!$A$1:$L$1,1,RIGHT(Formulas!U6)+2)&amp;IF(Formulas!T6=1," "&amp;Formulas!S6,"")&amp;":","")))</f>
        <v>Inicio:</v>
      </c>
      <c r="S9" s="107" cm="1">
        <f t="array" aca="1" ref="S9" ca="1">IF(OR(Formulas!T6=0,Formulas!T6="",RIGHT(Formulas!U6)="0"),"",
HYPERLINK("["&amp;Archivo_Nombre&amp;"]Datos!"&amp;LEFT(SUBSTITUTE(ADDRESS(1,RIGHT(Formulas!U6)+2),"$",""))&amp;Formulas!S6+1,
IFERROR(INDEX(Datos!$A$2:$L$101,Formulas!S6,RIGHT(Formulas!U6)+2),"")))</f>
        <v>45687</v>
      </c>
      <c r="T9" s="107" t="e" cm="1">
        <f t="array" aca="1" ref="T9" ca="1">IF(OR(Formulas!U7=0,Formulas!U7=""),"",HYPERLINK("["&amp;Archivo_Nombre&amp;"]Datos!"&amp;LEFT(SUBSTITUTE(ADDRESS(1,Formulas!U7+2),"$",""))&amp;Formulas!T7+1,
IFERROR(INDEX(Datos!$A$2:$L$101,Formulas!T7,Formulas!U7+2),"")))</f>
        <v>#VALUE!</v>
      </c>
      <c r="U9" s="5"/>
      <c r="V9" s="6"/>
      <c r="W9" s="24" t="str" cm="1">
        <f t="array" aca="1" ref="W9" ca="1">IF(OR(Formulas!Y6=0,Formulas!Y6="",RIGHT(Formulas!Z6)="0"),"",
HYPERLINK("["&amp;Archivo_Nombre&amp;"]Datos!"&amp;LEFT(SUBSTITUTE(ADDRESS(1,IF(Formulas!Y6=1,1,RIGHT(Formulas!Z6)+2)),"$",""))&amp;Formulas!X6+1,
IFERROR(INDEX(Datos!$A$1:$L$1,1,RIGHT(Formulas!Z6)+2)&amp;IF(Formulas!Y6=1," "&amp;Formulas!X6,"")&amp;":","")))</f>
        <v/>
      </c>
      <c r="X9" s="107" t="str" cm="1">
        <f t="array" aca="1" ref="X9" ca="1">IF(OR(Formulas!Y6=0,Formulas!Y6="",RIGHT(Formulas!Z6)="0"),"",
HYPERLINK("["&amp;Archivo_Nombre&amp;"]Datos!"&amp;LEFT(SUBSTITUTE(ADDRESS(1,RIGHT(Formulas!Z6)+2),"$",""))&amp;Formulas!X6+1,
IFERROR(INDEX(Datos!$A$2:$L$101,Formulas!X6,RIGHT(Formulas!Z6)+2),"")))</f>
        <v/>
      </c>
      <c r="Y9" s="107" t="str" cm="1">
        <f t="array" aca="1" ref="Y9" ca="1">IF(OR(Formulas!Z7=0,Formulas!Z7=""),"",HYPERLINK("["&amp;Archivo_Nombre&amp;"]Datos!"&amp;LEFT(SUBSTITUTE(ADDRESS(1,Formulas!Z7+2),"$",""))&amp;Formulas!Y7+1,
IFERROR(INDEX(Datos!$A$2:$L$101,Formulas!Y7,Formulas!Z7+2),"")))</f>
        <v/>
      </c>
      <c r="Z9" s="13"/>
      <c r="AA9" s="6"/>
      <c r="AB9" s="24" t="str" cm="1">
        <f t="array" aca="1" ref="AB9" ca="1">IF(OR(Formulas!AD6=0,Formulas!AD6="",RIGHT(Formulas!AE6)="0"),"",
HYPERLINK("["&amp;Archivo_Nombre&amp;"]Datos!"&amp;LEFT(SUBSTITUTE(ADDRESS(1,IF(Formulas!AD6=1,1,RIGHT(Formulas!AE6)+2)),"$",""))&amp;Formulas!AC6+1,
IFERROR(INDEX(Datos!$A$1:$L$1,1,RIGHT(Formulas!AE6)+2)&amp;IF(Formulas!AD6=1," "&amp;Formulas!AC6,"")&amp;":","")))</f>
        <v/>
      </c>
      <c r="AC9" s="107" t="str" cm="1">
        <f t="array" aca="1" ref="AC9" ca="1">IF(OR(Formulas!AD6=0,Formulas!AD6="",RIGHT(Formulas!AE6)="0"),"",
HYPERLINK("["&amp;Archivo_Nombre&amp;"]Datos!"&amp;LEFT(SUBSTITUTE(ADDRESS(1,RIGHT(Formulas!AE6)+2),"$",""))&amp;Formulas!AC6+1,
IFERROR(INDEX(Datos!$A$2:$L$101,Formulas!AC6,RIGHT(Formulas!AE6)+2),"")))</f>
        <v/>
      </c>
      <c r="AD9" s="107" t="str" cm="1">
        <f t="array" aca="1" ref="AD9" ca="1">IF(OR(Formulas!AE7=0,Formulas!AE7=""),"",HYPERLINK("["&amp;Archivo_Nombre&amp;"]Datos!"&amp;LEFT(SUBSTITUTE(ADDRESS(1,Formulas!AE7+2),"$",""))&amp;Formulas!AD7+1,
IFERROR(INDEX(Datos!$A$2:$L$101,Formulas!AD7,Formulas!AE7+2),"")))</f>
        <v/>
      </c>
      <c r="AE9" s="13"/>
      <c r="AF9" s="6"/>
      <c r="AG9" s="24" t="str" cm="1">
        <f t="array" aca="1" ref="AG9" ca="1">IF(OR(Formulas!AI6=0,Formulas!AI6="",RIGHT(Formulas!AJ6)="0"),"",
HYPERLINK("["&amp;Archivo_Nombre&amp;"]Datos!"&amp;LEFT(SUBSTITUTE(ADDRESS(1,IF(Formulas!AI6=1,1,RIGHT(Formulas!AJ6)+2)),"$",""))&amp;Formulas!AH6+1,
IFERROR(INDEX(Datos!$A$1:$L$1,1,RIGHT(Formulas!AJ6)+2)&amp;IF(Formulas!AI6=1," "&amp;Formulas!AH6,"")&amp;":","")))</f>
        <v/>
      </c>
      <c r="AH9" s="107" t="str" cm="1">
        <f t="array" aca="1" ref="AH9" ca="1">IF(OR(Formulas!AI6=0,Formulas!AI6="",RIGHT(Formulas!AJ6)="0"),"",
HYPERLINK("["&amp;Archivo_Nombre&amp;"]Datos!"&amp;LEFT(SUBSTITUTE(ADDRESS(1,RIGHT(Formulas!AJ6)+2),"$",""))&amp;Formulas!AH6+1,
IFERROR(INDEX(Datos!$A$2:$L$101,Formulas!AH6,RIGHT(Formulas!AJ6)+2),"")))</f>
        <v/>
      </c>
      <c r="AI9" s="107" t="str" cm="1">
        <f t="array" aca="1" ref="AI9" ca="1">IF(OR(Formulas!AJ7=0,Formulas!AJ7=""),"",HYPERLINK("["&amp;Archivo_Nombre&amp;"]Datos!"&amp;LEFT(SUBSTITUTE(ADDRESS(1,Formulas!AJ7+2),"$",""))&amp;Formulas!AI7+1,
IFERROR(INDEX(Datos!$A$2:$L$101,Formulas!AI7,Formulas!AJ7+2),"")))</f>
        <v/>
      </c>
      <c r="AJ9" s="13"/>
      <c r="AK9" s="6"/>
      <c r="AL9" s="24" t="str" cm="1">
        <f t="array" aca="1" ref="AL9" ca="1">IF(OR(Formulas!AN6=0,Formulas!AN6="",RIGHT(Formulas!AO6)="0"),"",
HYPERLINK("["&amp;Archivo_Nombre&amp;"]Datos!"&amp;LEFT(SUBSTITUTE(ADDRESS(1,IF(Formulas!AN6=1,1,RIGHT(Formulas!AO6)+2)),"$",""))&amp;Formulas!AM6+1,
IFERROR(INDEX(Datos!$A$1:$L$1,1,RIGHT(Formulas!AO6)+2)&amp;IF(Formulas!AN6=1," "&amp;Formulas!AM6,"")&amp;":","")))</f>
        <v/>
      </c>
      <c r="AM9" s="107" t="str" cm="1">
        <f t="array" aca="1" ref="AM9" ca="1">IF(OR(Formulas!AN6=0,Formulas!AN6="",RIGHT(Formulas!AO6)="0"),"",
HYPERLINK("["&amp;Archivo_Nombre&amp;"]Datos!"&amp;LEFT(SUBSTITUTE(ADDRESS(1,RIGHT(Formulas!AO6)+2),"$",""))&amp;Formulas!AM6+1,
IFERROR(INDEX(Datos!$A$2:$L$101,Formulas!AM6,RIGHT(Formulas!AO6)+2),"")))</f>
        <v/>
      </c>
      <c r="AN9" s="107" t="str" cm="1">
        <f t="array" aca="1" ref="AN9" ca="1">IF(OR(Formulas!AO7=0,Formulas!AO7=""),"",HYPERLINK("["&amp;Archivo_Nombre&amp;"]Datos!"&amp;LEFT(SUBSTITUTE(ADDRESS(1,Formulas!AO7+2),"$",""))&amp;Formulas!AN7+1,
IFERROR(INDEX(Datos!$A$2:$L$101,Formulas!AN7,Formulas!AO7+2),"")))</f>
        <v/>
      </c>
      <c r="AO9" s="13"/>
      <c r="AP9" s="6"/>
      <c r="AQ9" s="24" t="str" cm="1">
        <f t="array" aca="1" ref="AQ9" ca="1">IF(OR(Formulas!AS6=0,Formulas!AS6="",RIGHT(Formulas!AT6)="0"),"",
HYPERLINK("["&amp;Archivo_Nombre&amp;"]Datos!"&amp;LEFT(SUBSTITUTE(ADDRESS(1,IF(Formulas!AS6=1,1,RIGHT(Formulas!AT6)+2)),"$",""))&amp;Formulas!AR6+1,
IFERROR(INDEX(Datos!$A$1:$L$1,1,RIGHT(Formulas!AT6)+2)&amp;IF(Formulas!AS6=1," "&amp;Formulas!AR6,"")&amp;":","")))</f>
        <v/>
      </c>
      <c r="AR9" s="107" t="str" cm="1">
        <f t="array" aca="1" ref="AR9" ca="1">IF(OR(Formulas!AS6=0,Formulas!AS6="",RIGHT(Formulas!AT6)="0"),"",
HYPERLINK("["&amp;Archivo_Nombre&amp;"]Datos!"&amp;LEFT(SUBSTITUTE(ADDRESS(1,RIGHT(Formulas!AT6)+2),"$",""))&amp;Formulas!AR6+1,
IFERROR(INDEX(Datos!$A$2:$L$101,Formulas!AR6,RIGHT(Formulas!AT6)+2),"")))</f>
        <v/>
      </c>
      <c r="AS9" s="107" t="str" cm="1">
        <f t="array" aca="1" ref="AS9" ca="1">IF(OR(Formulas!AT7=0,Formulas!AT7=""),"",HYPERLINK("["&amp;Archivo_Nombre&amp;"]Datos!"&amp;LEFT(SUBSTITUTE(ADDRESS(1,Formulas!AT7+2),"$",""))&amp;Formulas!AS7+1,
IFERROR(INDEX(Datos!$A$2:$L$101,Formulas!AS7,Formulas!AT7+2),"")))</f>
        <v/>
      </c>
      <c r="AT9" s="13"/>
      <c r="AU9" s="6"/>
      <c r="AV9" s="24" t="str" cm="1">
        <f t="array" aca="1" ref="AV9" ca="1">IF(OR(Formulas!AX6=0,Formulas!AX6="",RIGHT(Formulas!AY6)="0"),"",
HYPERLINK("["&amp;Archivo_Nombre&amp;"]Datos!"&amp;LEFT(SUBSTITUTE(ADDRESS(1,IF(Formulas!AX6=1,1,RIGHT(Formulas!AY6)+2)),"$",""))&amp;Formulas!AW6+1,
IFERROR(INDEX(Datos!$A$1:$L$1,1,RIGHT(Formulas!AY6)+2)&amp;IF(Formulas!AX6=1," "&amp;Formulas!AW6,"")&amp;":","")))</f>
        <v/>
      </c>
      <c r="AW9" s="107" t="str" cm="1">
        <f t="array" aca="1" ref="AW9" ca="1">IF(OR(Formulas!AX6=0,Formulas!AX6="",RIGHT(Formulas!AY6)="0"),"",
HYPERLINK("["&amp;Archivo_Nombre&amp;"]Datos!"&amp;LEFT(SUBSTITUTE(ADDRESS(1,RIGHT(Formulas!AY6)+2),"$",""))&amp;Formulas!AW6+1,
IFERROR(INDEX(Datos!$A$2:$L$101,Formulas!AW6,RIGHT(Formulas!AY6)+2),"")))</f>
        <v/>
      </c>
      <c r="AX9" s="107" t="str" cm="1">
        <f t="array" aca="1" ref="AX9" ca="1">IF(OR(Formulas!AY7=0,Formulas!AY7=""),"",HYPERLINK("["&amp;Archivo_Nombre&amp;"]Datos!"&amp;LEFT(SUBSTITUTE(ADDRESS(1,Formulas!AY7+2),"$",""))&amp;Formulas!AX7+1,
IFERROR(INDEX(Datos!$A$2:$L$101,Formulas!AX7,Formulas!AY7+2),"")))</f>
        <v/>
      </c>
      <c r="AY9" s="13"/>
    </row>
    <row r="10" spans="2:51" x14ac:dyDescent="0.25">
      <c r="B10" s="11"/>
      <c r="C10" s="24" t="str" cm="1">
        <f t="array" aca="1" ref="C10" ca="1">IF(OR(Formulas!E7=0,Formulas!E7="",RIGHT(Formulas!F7)="0"),"",
HYPERLINK("["&amp;Archivo_Nombre&amp;"]Datos!"&amp;LEFT(SUBSTITUTE(ADDRESS(1,IF(Formulas!E7=1,1,RIGHT(Formulas!F7)+2)),"$",""))&amp;Formulas!D7+1,
IFERROR(INDEX(Datos!$A$1:$L$1,1,RIGHT(Formulas!F7)+2)&amp;IF(Formulas!E7=1," "&amp;Formulas!D7,"")&amp;":","")))</f>
        <v/>
      </c>
      <c r="D10" s="107" t="str" cm="1">
        <f t="array" aca="1" ref="D10" ca="1">IF(OR(Formulas!E7=0,Formulas!E7="",RIGHT(Formulas!F7)="0"),"",
HYPERLINK("["&amp;Archivo_Nombre&amp;"]Datos!"&amp;LEFT(SUBSTITUTE(ADDRESS(1,RIGHT(Formulas!F7)+2),"$",""))&amp;Formulas!D7+1,
IFERROR(INDEX(Datos!$A$2:$L$101,Formulas!D7,RIGHT(Formulas!F7)+2),"")))</f>
        <v/>
      </c>
      <c r="E10" s="107" t="str" cm="1">
        <f t="array" aca="1" ref="E10" ca="1">IF(OR(Formulas!F8=0,Formulas!F8=""),"",HYPERLINK("["&amp;Archivo_Nombre&amp;"]Datos!"&amp;LEFT(SUBSTITUTE(ADDRESS(1,Formulas!F8+2),"$",""))&amp;Formulas!E8+1,
IFERROR(INDEX(Datos!$A$2:$L$101,Formulas!E8,Formulas!F8+2),"")))</f>
        <v/>
      </c>
      <c r="F10" s="5"/>
      <c r="G10" s="6"/>
      <c r="H10" s="24" t="str" cm="1">
        <f t="array" aca="1" ref="H10" ca="1">IF(OR(Formulas!J7=0,Formulas!J7="",RIGHT(Formulas!K7)="0"),"",
HYPERLINK("["&amp;Archivo_Nombre&amp;"]Datos!"&amp;LEFT(SUBSTITUTE(ADDRESS(1,IF(Formulas!J7=1,1,RIGHT(Formulas!K7)+2)),"$",""))&amp;Formulas!I7+1,
IFERROR(INDEX(Datos!$A$1:$L$1,1,RIGHT(Formulas!K7)+2)&amp;IF(Formulas!J7=1," "&amp;Formulas!I7,"")&amp;":","")))</f>
        <v>Previsto:</v>
      </c>
      <c r="I10" s="107" cm="1">
        <f t="array" aca="1" ref="I10" ca="1">IF(OR(Formulas!J7=0,Formulas!J7="",RIGHT(Formulas!K7)="0"),"",
HYPERLINK("["&amp;Archivo_Nombre&amp;"]Datos!"&amp;LEFT(SUBSTITUTE(ADDRESS(1,RIGHT(Formulas!K7)+2),"$",""))&amp;Formulas!I7+1,
IFERROR(INDEX(Datos!$A$2:$L$101,Formulas!I7,RIGHT(Formulas!K7)+2),"")))</f>
        <v>45861</v>
      </c>
      <c r="J10" s="107" t="e" cm="1">
        <f t="array" aca="1" ref="J10" ca="1">IF(OR(Formulas!K8=0,Formulas!K8=""),"",HYPERLINK("["&amp;Archivo_Nombre&amp;"]Datos!"&amp;LEFT(SUBSTITUTE(ADDRESS(1,Formulas!K8+2),"$",""))&amp;Formulas!J8+1,
IFERROR(INDEX(Datos!$A$2:$L$101,Formulas!J8,Formulas!K8+2),"")))</f>
        <v>#VALUE!</v>
      </c>
      <c r="K10" s="5"/>
      <c r="L10" s="6"/>
      <c r="M10" s="24" t="str" cm="1">
        <f t="array" aca="1" ref="M10" ca="1">IF(OR(Formulas!O7=0,Formulas!O7="",RIGHT(Formulas!P7)="0"),"",
HYPERLINK("["&amp;Archivo_Nombre&amp;"]Datos!"&amp;LEFT(SUBSTITUTE(ADDRESS(1,IF(Formulas!O7=1,1,RIGHT(Formulas!P7)+2)),"$",""))&amp;Formulas!N7+1,
IFERROR(INDEX(Datos!$A$1:$L$1,1,RIGHT(Formulas!P7)+2)&amp;IF(Formulas!O7=1," "&amp;Formulas!N7,"")&amp;":","")))</f>
        <v/>
      </c>
      <c r="N10" s="107" t="str" cm="1">
        <f t="array" aca="1" ref="N10" ca="1">IF(OR(Formulas!O7=0,Formulas!O7="",RIGHT(Formulas!P7)="0"),"",
HYPERLINK("["&amp;Archivo_Nombre&amp;"]Datos!"&amp;LEFT(SUBSTITUTE(ADDRESS(1,RIGHT(Formulas!P7)+2),"$",""))&amp;Formulas!N7+1,
IFERROR(INDEX(Datos!$A$2:$L$101,Formulas!N7,RIGHT(Formulas!P7)+2),"")))</f>
        <v/>
      </c>
      <c r="O10" s="107" t="str" cm="1">
        <f t="array" aca="1" ref="O10" ca="1">IF(OR(Formulas!P8=0,Formulas!P8=""),"",HYPERLINK("["&amp;Archivo_Nombre&amp;"]Datos!"&amp;LEFT(SUBSTITUTE(ADDRESS(1,Formulas!P8+2),"$",""))&amp;Formulas!O8+1,
IFERROR(INDEX(Datos!$A$2:$L$101,Formulas!O8,Formulas!P8+2),"")))</f>
        <v/>
      </c>
      <c r="P10" s="5"/>
      <c r="Q10" s="6"/>
      <c r="R10" s="24" t="str" cm="1">
        <f t="array" aca="1" ref="R10" ca="1">IF(OR(Formulas!T7=0,Formulas!T7="",RIGHT(Formulas!U7)="0"),"",
HYPERLINK("["&amp;Archivo_Nombre&amp;"]Datos!"&amp;LEFT(SUBSTITUTE(ADDRESS(1,IF(Formulas!T7=1,1,RIGHT(Formulas!U7)+2)),"$",""))&amp;Formulas!S7+1,
IFERROR(INDEX(Datos!$A$1:$L$1,1,RIGHT(Formulas!U7)+2)&amp;IF(Formulas!T7=1," "&amp;Formulas!S7,"")&amp;":","")))</f>
        <v>Previsto:</v>
      </c>
      <c r="S10" s="107" cm="1">
        <f t="array" aca="1" ref="S10" ca="1">IF(OR(Formulas!T7=0,Formulas!T7="",RIGHT(Formulas!U7)="0"),"",
HYPERLINK("["&amp;Archivo_Nombre&amp;"]Datos!"&amp;LEFT(SUBSTITUTE(ADDRESS(1,RIGHT(Formulas!U7)+2),"$",""))&amp;Formulas!S7+1,
IFERROR(INDEX(Datos!$A$2:$L$101,Formulas!S7,RIGHT(Formulas!U7)+2),"")))</f>
        <v>45687</v>
      </c>
      <c r="T10" s="107" t="e" cm="1">
        <f t="array" aca="1" ref="T10" ca="1">IF(OR(Formulas!U8=0,Formulas!U8=""),"",HYPERLINK("["&amp;Archivo_Nombre&amp;"]Datos!"&amp;LEFT(SUBSTITUTE(ADDRESS(1,Formulas!U8+2),"$",""))&amp;Formulas!T8+1,
IFERROR(INDEX(Datos!$A$2:$L$101,Formulas!T8,Formulas!U8+2),"")))</f>
        <v>#VALUE!</v>
      </c>
      <c r="U10" s="5"/>
      <c r="V10" s="6"/>
      <c r="W10" s="24" t="str" cm="1">
        <f t="array" aca="1" ref="W10" ca="1">IF(OR(Formulas!Y7=0,Formulas!Y7="",RIGHT(Formulas!Z7)="0"),"",
HYPERLINK("["&amp;Archivo_Nombre&amp;"]Datos!"&amp;LEFT(SUBSTITUTE(ADDRESS(1,IF(Formulas!Y7=1,1,RIGHT(Formulas!Z7)+2)),"$",""))&amp;Formulas!X7+1,
IFERROR(INDEX(Datos!$A$1:$L$1,1,RIGHT(Formulas!Z7)+2)&amp;IF(Formulas!Y7=1," "&amp;Formulas!X7,"")&amp;":","")))</f>
        <v/>
      </c>
      <c r="X10" s="107" t="str" cm="1">
        <f t="array" aca="1" ref="X10" ca="1">IF(OR(Formulas!Y7=0,Formulas!Y7="",RIGHT(Formulas!Z7)="0"),"",
HYPERLINK("["&amp;Archivo_Nombre&amp;"]Datos!"&amp;LEFT(SUBSTITUTE(ADDRESS(1,RIGHT(Formulas!Z7)+2),"$",""))&amp;Formulas!X7+1,
IFERROR(INDEX(Datos!$A$2:$L$101,Formulas!X7,RIGHT(Formulas!Z7)+2),"")))</f>
        <v/>
      </c>
      <c r="Y10" s="107" t="str" cm="1">
        <f t="array" aca="1" ref="Y10" ca="1">IF(OR(Formulas!Z8=0,Formulas!Z8=""),"",HYPERLINK("["&amp;Archivo_Nombre&amp;"]Datos!"&amp;LEFT(SUBSTITUTE(ADDRESS(1,Formulas!Z8+2),"$",""))&amp;Formulas!Y8+1,
IFERROR(INDEX(Datos!$A$2:$L$101,Formulas!Y8,Formulas!Z8+2),"")))</f>
        <v/>
      </c>
      <c r="Z10" s="13"/>
      <c r="AA10" s="6"/>
      <c r="AB10" s="24" t="str" cm="1">
        <f t="array" aca="1" ref="AB10" ca="1">IF(OR(Formulas!AD7=0,Formulas!AD7="",RIGHT(Formulas!AE7)="0"),"",
HYPERLINK("["&amp;Archivo_Nombre&amp;"]Datos!"&amp;LEFT(SUBSTITUTE(ADDRESS(1,IF(Formulas!AD7=1,1,RIGHT(Formulas!AE7)+2)),"$",""))&amp;Formulas!AC7+1,
IFERROR(INDEX(Datos!$A$1:$L$1,1,RIGHT(Formulas!AE7)+2)&amp;IF(Formulas!AD7=1," "&amp;Formulas!AC7,"")&amp;":","")))</f>
        <v/>
      </c>
      <c r="AC10" s="107" t="str" cm="1">
        <f t="array" aca="1" ref="AC10" ca="1">IF(OR(Formulas!AD7=0,Formulas!AD7="",RIGHT(Formulas!AE7)="0"),"",
HYPERLINK("["&amp;Archivo_Nombre&amp;"]Datos!"&amp;LEFT(SUBSTITUTE(ADDRESS(1,RIGHT(Formulas!AE7)+2),"$",""))&amp;Formulas!AC7+1,
IFERROR(INDEX(Datos!$A$2:$L$101,Formulas!AC7,RIGHT(Formulas!AE7)+2),"")))</f>
        <v/>
      </c>
      <c r="AD10" s="107" t="str" cm="1">
        <f t="array" aca="1" ref="AD10" ca="1">IF(OR(Formulas!AE8=0,Formulas!AE8=""),"",HYPERLINK("["&amp;Archivo_Nombre&amp;"]Datos!"&amp;LEFT(SUBSTITUTE(ADDRESS(1,Formulas!AE8+2),"$",""))&amp;Formulas!AD8+1,
IFERROR(INDEX(Datos!$A$2:$L$101,Formulas!AD8,Formulas!AE8+2),"")))</f>
        <v/>
      </c>
      <c r="AE10" s="13"/>
      <c r="AF10" s="6"/>
      <c r="AG10" s="24" t="str" cm="1">
        <f t="array" aca="1" ref="AG10" ca="1">IF(OR(Formulas!AI7=0,Formulas!AI7="",RIGHT(Formulas!AJ7)="0"),"",
HYPERLINK("["&amp;Archivo_Nombre&amp;"]Datos!"&amp;LEFT(SUBSTITUTE(ADDRESS(1,IF(Formulas!AI7=1,1,RIGHT(Formulas!AJ7)+2)),"$",""))&amp;Formulas!AH7+1,
IFERROR(INDEX(Datos!$A$1:$L$1,1,RIGHT(Formulas!AJ7)+2)&amp;IF(Formulas!AI7=1," "&amp;Formulas!AH7,"")&amp;":","")))</f>
        <v/>
      </c>
      <c r="AH10" s="107" t="str" cm="1">
        <f t="array" aca="1" ref="AH10" ca="1">IF(OR(Formulas!AI7=0,Formulas!AI7="",RIGHT(Formulas!AJ7)="0"),"",
HYPERLINK("["&amp;Archivo_Nombre&amp;"]Datos!"&amp;LEFT(SUBSTITUTE(ADDRESS(1,RIGHT(Formulas!AJ7)+2),"$",""))&amp;Formulas!AH7+1,
IFERROR(INDEX(Datos!$A$2:$L$101,Formulas!AH7,RIGHT(Formulas!AJ7)+2),"")))</f>
        <v/>
      </c>
      <c r="AI10" s="107" t="str" cm="1">
        <f t="array" aca="1" ref="AI10" ca="1">IF(OR(Formulas!AJ8=0,Formulas!AJ8=""),"",HYPERLINK("["&amp;Archivo_Nombre&amp;"]Datos!"&amp;LEFT(SUBSTITUTE(ADDRESS(1,Formulas!AJ8+2),"$",""))&amp;Formulas!AI8+1,
IFERROR(INDEX(Datos!$A$2:$L$101,Formulas!AI8,Formulas!AJ8+2),"")))</f>
        <v/>
      </c>
      <c r="AJ10" s="13"/>
      <c r="AK10" s="6"/>
      <c r="AL10" s="24" t="str" cm="1">
        <f t="array" aca="1" ref="AL10" ca="1">IF(OR(Formulas!AN7=0,Formulas!AN7="",RIGHT(Formulas!AO7)="0"),"",
HYPERLINK("["&amp;Archivo_Nombre&amp;"]Datos!"&amp;LEFT(SUBSTITUTE(ADDRESS(1,IF(Formulas!AN7=1,1,RIGHT(Formulas!AO7)+2)),"$",""))&amp;Formulas!AM7+1,
IFERROR(INDEX(Datos!$A$1:$L$1,1,RIGHT(Formulas!AO7)+2)&amp;IF(Formulas!AN7=1," "&amp;Formulas!AM7,"")&amp;":","")))</f>
        <v/>
      </c>
      <c r="AM10" s="107" t="str" cm="1">
        <f t="array" aca="1" ref="AM10" ca="1">IF(OR(Formulas!AN7=0,Formulas!AN7="",RIGHT(Formulas!AO7)="0"),"",
HYPERLINK("["&amp;Archivo_Nombre&amp;"]Datos!"&amp;LEFT(SUBSTITUTE(ADDRESS(1,RIGHT(Formulas!AO7)+2),"$",""))&amp;Formulas!AM7+1,
IFERROR(INDEX(Datos!$A$2:$L$101,Formulas!AM7,RIGHT(Formulas!AO7)+2),"")))</f>
        <v/>
      </c>
      <c r="AN10" s="107" t="str" cm="1">
        <f t="array" aca="1" ref="AN10" ca="1">IF(OR(Formulas!AO8=0,Formulas!AO8=""),"",HYPERLINK("["&amp;Archivo_Nombre&amp;"]Datos!"&amp;LEFT(SUBSTITUTE(ADDRESS(1,Formulas!AO8+2),"$",""))&amp;Formulas!AN8+1,
IFERROR(INDEX(Datos!$A$2:$L$101,Formulas!AN8,Formulas!AO8+2),"")))</f>
        <v/>
      </c>
      <c r="AO10" s="13"/>
      <c r="AP10" s="6"/>
      <c r="AQ10" s="24" t="str" cm="1">
        <f t="array" aca="1" ref="AQ10" ca="1">IF(OR(Formulas!AS7=0,Formulas!AS7="",RIGHT(Formulas!AT7)="0"),"",
HYPERLINK("["&amp;Archivo_Nombre&amp;"]Datos!"&amp;LEFT(SUBSTITUTE(ADDRESS(1,IF(Formulas!AS7=1,1,RIGHT(Formulas!AT7)+2)),"$",""))&amp;Formulas!AR7+1,
IFERROR(INDEX(Datos!$A$1:$L$1,1,RIGHT(Formulas!AT7)+2)&amp;IF(Formulas!AS7=1," "&amp;Formulas!AR7,"")&amp;":","")))</f>
        <v/>
      </c>
      <c r="AR10" s="107" t="str" cm="1">
        <f t="array" aca="1" ref="AR10" ca="1">IF(OR(Formulas!AS7=0,Formulas!AS7="",RIGHT(Formulas!AT7)="0"),"",
HYPERLINK("["&amp;Archivo_Nombre&amp;"]Datos!"&amp;LEFT(SUBSTITUTE(ADDRESS(1,RIGHT(Formulas!AT7)+2),"$",""))&amp;Formulas!AR7+1,
IFERROR(INDEX(Datos!$A$2:$L$101,Formulas!AR7,RIGHT(Formulas!AT7)+2),"")))</f>
        <v/>
      </c>
      <c r="AS10" s="107" t="str" cm="1">
        <f t="array" aca="1" ref="AS10" ca="1">IF(OR(Formulas!AT8=0,Formulas!AT8=""),"",HYPERLINK("["&amp;Archivo_Nombre&amp;"]Datos!"&amp;LEFT(SUBSTITUTE(ADDRESS(1,Formulas!AT8+2),"$",""))&amp;Formulas!AS8+1,
IFERROR(INDEX(Datos!$A$2:$L$101,Formulas!AS8,Formulas!AT8+2),"")))</f>
        <v/>
      </c>
      <c r="AT10" s="13"/>
      <c r="AU10" s="6"/>
      <c r="AV10" s="24" t="str" cm="1">
        <f t="array" aca="1" ref="AV10" ca="1">IF(OR(Formulas!AX7=0,Formulas!AX7="",RIGHT(Formulas!AY7)="0"),"",
HYPERLINK("["&amp;Archivo_Nombre&amp;"]Datos!"&amp;LEFT(SUBSTITUTE(ADDRESS(1,IF(Formulas!AX7=1,1,RIGHT(Formulas!AY7)+2)),"$",""))&amp;Formulas!AW7+1,
IFERROR(INDEX(Datos!$A$1:$L$1,1,RIGHT(Formulas!AY7)+2)&amp;IF(Formulas!AX7=1," "&amp;Formulas!AW7,"")&amp;":","")))</f>
        <v/>
      </c>
      <c r="AW10" s="107" t="str" cm="1">
        <f t="array" aca="1" ref="AW10" ca="1">IF(OR(Formulas!AX7=0,Formulas!AX7="",RIGHT(Formulas!AY7)="0"),"",
HYPERLINK("["&amp;Archivo_Nombre&amp;"]Datos!"&amp;LEFT(SUBSTITUTE(ADDRESS(1,RIGHT(Formulas!AY7)+2),"$",""))&amp;Formulas!AW7+1,
IFERROR(INDEX(Datos!$A$2:$L$101,Formulas!AW7,RIGHT(Formulas!AY7)+2),"")))</f>
        <v/>
      </c>
      <c r="AX10" s="107" t="str" cm="1">
        <f t="array" aca="1" ref="AX10" ca="1">IF(OR(Formulas!AY8=0,Formulas!AY8=""),"",HYPERLINK("["&amp;Archivo_Nombre&amp;"]Datos!"&amp;LEFT(SUBSTITUTE(ADDRESS(1,Formulas!AY8+2),"$",""))&amp;Formulas!AX8+1,
IFERROR(INDEX(Datos!$A$2:$L$101,Formulas!AX8,Formulas!AY8+2),"")))</f>
        <v/>
      </c>
      <c r="AY10" s="13"/>
    </row>
    <row r="11" spans="2:51" x14ac:dyDescent="0.25">
      <c r="B11" s="11"/>
      <c r="C11" s="24" t="str" cm="1">
        <f t="array" aca="1" ref="C11" ca="1">IF(OR(Formulas!E8=0,Formulas!E8="",RIGHT(Formulas!F8)="0"),"",
HYPERLINK("["&amp;Archivo_Nombre&amp;"]Datos!"&amp;LEFT(SUBSTITUTE(ADDRESS(1,IF(Formulas!E8=1,1,RIGHT(Formulas!F8)+2)),"$",""))&amp;Formulas!D8+1,
IFERROR(INDEX(Datos!$A$1:$L$1,1,RIGHT(Formulas!F8)+2)&amp;IF(Formulas!E8=1," "&amp;Formulas!D8,"")&amp;":","")))</f>
        <v/>
      </c>
      <c r="D11" s="107" t="str" cm="1">
        <f t="array" aca="1" ref="D11" ca="1">IF(OR(Formulas!E8=0,Formulas!E8="",RIGHT(Formulas!F8)="0"),"",
HYPERLINK("["&amp;Archivo_Nombre&amp;"]Datos!"&amp;LEFT(SUBSTITUTE(ADDRESS(1,RIGHT(Formulas!F8)+2),"$",""))&amp;Formulas!D8+1,
IFERROR(INDEX(Datos!$A$2:$L$101,Formulas!D8,RIGHT(Formulas!F8)+2),"")))</f>
        <v/>
      </c>
      <c r="E11" s="107" t="str" cm="1">
        <f t="array" aca="1" ref="E11" ca="1">IF(OR(Formulas!F9=0,Formulas!F9=""),"",HYPERLINK("["&amp;Archivo_Nombre&amp;"]Datos!"&amp;LEFT(SUBSTITUTE(ADDRESS(1,Formulas!F9+2),"$",""))&amp;Formulas!E9+1,
IFERROR(INDEX(Datos!$A$2:$L$101,Formulas!E9,Formulas!F9+2),"")))</f>
        <v/>
      </c>
      <c r="F11" s="5"/>
      <c r="G11" s="6"/>
      <c r="H11" s="24" t="str" cm="1">
        <f t="array" aca="1" ref="H11" ca="1">IF(OR(Formulas!J8=0,Formulas!J8="",RIGHT(Formulas!K8)="0"),"",
HYPERLINK("["&amp;Archivo_Nombre&amp;"]Datos!"&amp;LEFT(SUBSTITUTE(ADDRESS(1,IF(Formulas!J8=1,1,RIGHT(Formulas!K8)+2)),"$",""))&amp;Formulas!I8+1,
IFERROR(INDEX(Datos!$A$1:$L$1,1,RIGHT(Formulas!K8)+2)&amp;IF(Formulas!J8=1," "&amp;Formulas!I8,"")&amp;":","")))</f>
        <v>Final:</v>
      </c>
      <c r="I11" s="107" cm="1">
        <f t="array" aca="1" ref="I11" ca="1">IF(OR(Formulas!J8=0,Formulas!J8="",RIGHT(Formulas!K8)="0"),"",
HYPERLINK("["&amp;Archivo_Nombre&amp;"]Datos!"&amp;LEFT(SUBSTITUTE(ADDRESS(1,RIGHT(Formulas!K8)+2),"$",""))&amp;Formulas!I8+1,
IFERROR(INDEX(Datos!$A$2:$L$101,Formulas!I8,RIGHT(Formulas!K8)+2),"")))</f>
        <v>0</v>
      </c>
      <c r="J11" s="107" t="e" cm="1">
        <f t="array" aca="1" ref="J11" ca="1">IF(OR(Formulas!K9=0,Formulas!K9=""),"",HYPERLINK("["&amp;Archivo_Nombre&amp;"]Datos!"&amp;LEFT(SUBSTITUTE(ADDRESS(1,Formulas!K9+2),"$",""))&amp;Formulas!J9+1,
IFERROR(INDEX(Datos!$A$2:$L$101,Formulas!J9,Formulas!K9+2),"")))</f>
        <v>#VALUE!</v>
      </c>
      <c r="K11" s="5"/>
      <c r="L11" s="6"/>
      <c r="M11" s="24" t="str" cm="1">
        <f t="array" aca="1" ref="M11" ca="1">IF(OR(Formulas!O8=0,Formulas!O8="",RIGHT(Formulas!P8)="0"),"",
HYPERLINK("["&amp;Archivo_Nombre&amp;"]Datos!"&amp;LEFT(SUBSTITUTE(ADDRESS(1,IF(Formulas!O8=1,1,RIGHT(Formulas!P8)+2)),"$",""))&amp;Formulas!N8+1,
IFERROR(INDEX(Datos!$A$1:$L$1,1,RIGHT(Formulas!P8)+2)&amp;IF(Formulas!O8=1," "&amp;Formulas!N8,"")&amp;":","")))</f>
        <v/>
      </c>
      <c r="N11" s="107" t="str" cm="1">
        <f t="array" aca="1" ref="N11" ca="1">IF(OR(Formulas!O8=0,Formulas!O8="",RIGHT(Formulas!P8)="0"),"",
HYPERLINK("["&amp;Archivo_Nombre&amp;"]Datos!"&amp;LEFT(SUBSTITUTE(ADDRESS(1,RIGHT(Formulas!P8)+2),"$",""))&amp;Formulas!N8+1,
IFERROR(INDEX(Datos!$A$2:$L$101,Formulas!N8,RIGHT(Formulas!P8)+2),"")))</f>
        <v/>
      </c>
      <c r="O11" s="107" t="str" cm="1">
        <f t="array" aca="1" ref="O11" ca="1">IF(OR(Formulas!P9=0,Formulas!P9=""),"",HYPERLINK("["&amp;Archivo_Nombre&amp;"]Datos!"&amp;LEFT(SUBSTITUTE(ADDRESS(1,Formulas!P9+2),"$",""))&amp;Formulas!O9+1,
IFERROR(INDEX(Datos!$A$2:$L$101,Formulas!O9,Formulas!P9+2),"")))</f>
        <v/>
      </c>
      <c r="P11" s="5"/>
      <c r="Q11" s="6"/>
      <c r="R11" s="24" t="str" cm="1">
        <f t="array" aca="1" ref="R11" ca="1">IF(OR(Formulas!T8=0,Formulas!T8="",RIGHT(Formulas!U8)="0"),"",
HYPERLINK("["&amp;Archivo_Nombre&amp;"]Datos!"&amp;LEFT(SUBSTITUTE(ADDRESS(1,IF(Formulas!T8=1,1,RIGHT(Formulas!U8)+2)),"$",""))&amp;Formulas!S8+1,
IFERROR(INDEX(Datos!$A$1:$L$1,1,RIGHT(Formulas!U8)+2)&amp;IF(Formulas!T8=1," "&amp;Formulas!S8,"")&amp;":","")))</f>
        <v>Final:</v>
      </c>
      <c r="S11" s="107" cm="1">
        <f t="array" aca="1" ref="S11" ca="1">IF(OR(Formulas!T8=0,Formulas!T8="",RIGHT(Formulas!U8)="0"),"",
HYPERLINK("["&amp;Archivo_Nombre&amp;"]Datos!"&amp;LEFT(SUBSTITUTE(ADDRESS(1,RIGHT(Formulas!U8)+2),"$",""))&amp;Formulas!S8+1,
IFERROR(INDEX(Datos!$A$2:$L$101,Formulas!S8,RIGHT(Formulas!U8)+2),"")))</f>
        <v>45687</v>
      </c>
      <c r="T11" s="107" t="e" cm="1">
        <f t="array" aca="1" ref="T11" ca="1">IF(OR(Formulas!U9=0,Formulas!U9=""),"",HYPERLINK("["&amp;Archivo_Nombre&amp;"]Datos!"&amp;LEFT(SUBSTITUTE(ADDRESS(1,Formulas!U9+2),"$",""))&amp;Formulas!T9+1,
IFERROR(INDEX(Datos!$A$2:$L$101,Formulas!T9,Formulas!U9+2),"")))</f>
        <v>#VALUE!</v>
      </c>
      <c r="U11" s="5"/>
      <c r="V11" s="6"/>
      <c r="W11" s="24" t="str" cm="1">
        <f t="array" aca="1" ref="W11" ca="1">IF(OR(Formulas!Y8=0,Formulas!Y8="",RIGHT(Formulas!Z8)="0"),"",
HYPERLINK("["&amp;Archivo_Nombre&amp;"]Datos!"&amp;LEFT(SUBSTITUTE(ADDRESS(1,IF(Formulas!Y8=1,1,RIGHT(Formulas!Z8)+2)),"$",""))&amp;Formulas!X8+1,
IFERROR(INDEX(Datos!$A$1:$L$1,1,RIGHT(Formulas!Z8)+2)&amp;IF(Formulas!Y8=1," "&amp;Formulas!X8,"")&amp;":","")))</f>
        <v/>
      </c>
      <c r="X11" s="107" t="str" cm="1">
        <f t="array" aca="1" ref="X11" ca="1">IF(OR(Formulas!Y8=0,Formulas!Y8="",RIGHT(Formulas!Z8)="0"),"",
HYPERLINK("["&amp;Archivo_Nombre&amp;"]Datos!"&amp;LEFT(SUBSTITUTE(ADDRESS(1,RIGHT(Formulas!Z8)+2),"$",""))&amp;Formulas!X8+1,
IFERROR(INDEX(Datos!$A$2:$L$101,Formulas!X8,RIGHT(Formulas!Z8)+2),"")))</f>
        <v/>
      </c>
      <c r="Y11" s="107" t="str" cm="1">
        <f t="array" aca="1" ref="Y11" ca="1">IF(OR(Formulas!Z9=0,Formulas!Z9=""),"",HYPERLINK("["&amp;Archivo_Nombre&amp;"]Datos!"&amp;LEFT(SUBSTITUTE(ADDRESS(1,Formulas!Z9+2),"$",""))&amp;Formulas!Y9+1,
IFERROR(INDEX(Datos!$A$2:$L$101,Formulas!Y9,Formulas!Z9+2),"")))</f>
        <v/>
      </c>
      <c r="Z11" s="13"/>
      <c r="AA11" s="6"/>
      <c r="AB11" s="24" t="str" cm="1">
        <f t="array" aca="1" ref="AB11" ca="1">IF(OR(Formulas!AD8=0,Formulas!AD8="",RIGHT(Formulas!AE8)="0"),"",
HYPERLINK("["&amp;Archivo_Nombre&amp;"]Datos!"&amp;LEFT(SUBSTITUTE(ADDRESS(1,IF(Formulas!AD8=1,1,RIGHT(Formulas!AE8)+2)),"$",""))&amp;Formulas!AC8+1,
IFERROR(INDEX(Datos!$A$1:$L$1,1,RIGHT(Formulas!AE8)+2)&amp;IF(Formulas!AD8=1," "&amp;Formulas!AC8,"")&amp;":","")))</f>
        <v/>
      </c>
      <c r="AC11" s="107" t="str" cm="1">
        <f t="array" aca="1" ref="AC11" ca="1">IF(OR(Formulas!AD8=0,Formulas!AD8="",RIGHT(Formulas!AE8)="0"),"",
HYPERLINK("["&amp;Archivo_Nombre&amp;"]Datos!"&amp;LEFT(SUBSTITUTE(ADDRESS(1,RIGHT(Formulas!AE8)+2),"$",""))&amp;Formulas!AC8+1,
IFERROR(INDEX(Datos!$A$2:$L$101,Formulas!AC8,RIGHT(Formulas!AE8)+2),"")))</f>
        <v/>
      </c>
      <c r="AD11" s="107" t="str" cm="1">
        <f t="array" aca="1" ref="AD11" ca="1">IF(OR(Formulas!AE9=0,Formulas!AE9=""),"",HYPERLINK("["&amp;Archivo_Nombre&amp;"]Datos!"&amp;LEFT(SUBSTITUTE(ADDRESS(1,Formulas!AE9+2),"$",""))&amp;Formulas!AD9+1,
IFERROR(INDEX(Datos!$A$2:$L$101,Formulas!AD9,Formulas!AE9+2),"")))</f>
        <v/>
      </c>
      <c r="AE11" s="13"/>
      <c r="AF11" s="6"/>
      <c r="AG11" s="24" t="str" cm="1">
        <f t="array" aca="1" ref="AG11" ca="1">IF(OR(Formulas!AI8=0,Formulas!AI8="",RIGHT(Formulas!AJ8)="0"),"",
HYPERLINK("["&amp;Archivo_Nombre&amp;"]Datos!"&amp;LEFT(SUBSTITUTE(ADDRESS(1,IF(Formulas!AI8=1,1,RIGHT(Formulas!AJ8)+2)),"$",""))&amp;Formulas!AH8+1,
IFERROR(INDEX(Datos!$A$1:$L$1,1,RIGHT(Formulas!AJ8)+2)&amp;IF(Formulas!AI8=1," "&amp;Formulas!AH8,"")&amp;":","")))</f>
        <v/>
      </c>
      <c r="AH11" s="107" t="str" cm="1">
        <f t="array" aca="1" ref="AH11" ca="1">IF(OR(Formulas!AI8=0,Formulas!AI8="",RIGHT(Formulas!AJ8)="0"),"",
HYPERLINK("["&amp;Archivo_Nombre&amp;"]Datos!"&amp;LEFT(SUBSTITUTE(ADDRESS(1,RIGHT(Formulas!AJ8)+2),"$",""))&amp;Formulas!AH8+1,
IFERROR(INDEX(Datos!$A$2:$L$101,Formulas!AH8,RIGHT(Formulas!AJ8)+2),"")))</f>
        <v/>
      </c>
      <c r="AI11" s="107" t="str" cm="1">
        <f t="array" aca="1" ref="AI11" ca="1">IF(OR(Formulas!AJ9=0,Formulas!AJ9=""),"",HYPERLINK("["&amp;Archivo_Nombre&amp;"]Datos!"&amp;LEFT(SUBSTITUTE(ADDRESS(1,Formulas!AJ9+2),"$",""))&amp;Formulas!AI9+1,
IFERROR(INDEX(Datos!$A$2:$L$101,Formulas!AI9,Formulas!AJ9+2),"")))</f>
        <v/>
      </c>
      <c r="AJ11" s="13"/>
      <c r="AK11" s="6"/>
      <c r="AL11" s="24" t="str" cm="1">
        <f t="array" aca="1" ref="AL11" ca="1">IF(OR(Formulas!AN8=0,Formulas!AN8="",RIGHT(Formulas!AO8)="0"),"",
HYPERLINK("["&amp;Archivo_Nombre&amp;"]Datos!"&amp;LEFT(SUBSTITUTE(ADDRESS(1,IF(Formulas!AN8=1,1,RIGHT(Formulas!AO8)+2)),"$",""))&amp;Formulas!AM8+1,
IFERROR(INDEX(Datos!$A$1:$L$1,1,RIGHT(Formulas!AO8)+2)&amp;IF(Formulas!AN8=1," "&amp;Formulas!AM8,"")&amp;":","")))</f>
        <v/>
      </c>
      <c r="AM11" s="107" t="str" cm="1">
        <f t="array" aca="1" ref="AM11" ca="1">IF(OR(Formulas!AN8=0,Formulas!AN8="",RIGHT(Formulas!AO8)="0"),"",
HYPERLINK("["&amp;Archivo_Nombre&amp;"]Datos!"&amp;LEFT(SUBSTITUTE(ADDRESS(1,RIGHT(Formulas!AO8)+2),"$",""))&amp;Formulas!AM8+1,
IFERROR(INDEX(Datos!$A$2:$L$101,Formulas!AM8,RIGHT(Formulas!AO8)+2),"")))</f>
        <v/>
      </c>
      <c r="AN11" s="107" t="str" cm="1">
        <f t="array" aca="1" ref="AN11" ca="1">IF(OR(Formulas!AO9=0,Formulas!AO9=""),"",HYPERLINK("["&amp;Archivo_Nombre&amp;"]Datos!"&amp;LEFT(SUBSTITUTE(ADDRESS(1,Formulas!AO9+2),"$",""))&amp;Formulas!AN9+1,
IFERROR(INDEX(Datos!$A$2:$L$101,Formulas!AN9,Formulas!AO9+2),"")))</f>
        <v/>
      </c>
      <c r="AO11" s="13"/>
      <c r="AP11" s="6"/>
      <c r="AQ11" s="24" t="str" cm="1">
        <f t="array" aca="1" ref="AQ11" ca="1">IF(OR(Formulas!AS8=0,Formulas!AS8="",RIGHT(Formulas!AT8)="0"),"",
HYPERLINK("["&amp;Archivo_Nombre&amp;"]Datos!"&amp;LEFT(SUBSTITUTE(ADDRESS(1,IF(Formulas!AS8=1,1,RIGHT(Formulas!AT8)+2)),"$",""))&amp;Formulas!AR8+1,
IFERROR(INDEX(Datos!$A$1:$L$1,1,RIGHT(Formulas!AT8)+2)&amp;IF(Formulas!AS8=1," "&amp;Formulas!AR8,"")&amp;":","")))</f>
        <v/>
      </c>
      <c r="AR11" s="107" t="str" cm="1">
        <f t="array" aca="1" ref="AR11" ca="1">IF(OR(Formulas!AS8=0,Formulas!AS8="",RIGHT(Formulas!AT8)="0"),"",
HYPERLINK("["&amp;Archivo_Nombre&amp;"]Datos!"&amp;LEFT(SUBSTITUTE(ADDRESS(1,RIGHT(Formulas!AT8)+2),"$",""))&amp;Formulas!AR8+1,
IFERROR(INDEX(Datos!$A$2:$L$101,Formulas!AR8,RIGHT(Formulas!AT8)+2),"")))</f>
        <v/>
      </c>
      <c r="AS11" s="107" t="str" cm="1">
        <f t="array" aca="1" ref="AS11" ca="1">IF(OR(Formulas!AT9=0,Formulas!AT9=""),"",HYPERLINK("["&amp;Archivo_Nombre&amp;"]Datos!"&amp;LEFT(SUBSTITUTE(ADDRESS(1,Formulas!AT9+2),"$",""))&amp;Formulas!AS9+1,
IFERROR(INDEX(Datos!$A$2:$L$101,Formulas!AS9,Formulas!AT9+2),"")))</f>
        <v/>
      </c>
      <c r="AT11" s="13"/>
      <c r="AU11" s="6"/>
      <c r="AV11" s="24" t="str" cm="1">
        <f t="array" aca="1" ref="AV11" ca="1">IF(OR(Formulas!AX8=0,Formulas!AX8="",RIGHT(Formulas!AY8)="0"),"",
HYPERLINK("["&amp;Archivo_Nombre&amp;"]Datos!"&amp;LEFT(SUBSTITUTE(ADDRESS(1,IF(Formulas!AX8=1,1,RIGHT(Formulas!AY8)+2)),"$",""))&amp;Formulas!AW8+1,
IFERROR(INDEX(Datos!$A$1:$L$1,1,RIGHT(Formulas!AY8)+2)&amp;IF(Formulas!AX8=1," "&amp;Formulas!AW8,"")&amp;":","")))</f>
        <v/>
      </c>
      <c r="AW11" s="107" t="str" cm="1">
        <f t="array" aca="1" ref="AW11" ca="1">IF(OR(Formulas!AX8=0,Formulas!AX8="",RIGHT(Formulas!AY8)="0"),"",
HYPERLINK("["&amp;Archivo_Nombre&amp;"]Datos!"&amp;LEFT(SUBSTITUTE(ADDRESS(1,RIGHT(Formulas!AY8)+2),"$",""))&amp;Formulas!AW8+1,
IFERROR(INDEX(Datos!$A$2:$L$101,Formulas!AW8,RIGHT(Formulas!AY8)+2),"")))</f>
        <v/>
      </c>
      <c r="AX11" s="107" t="str" cm="1">
        <f t="array" aca="1" ref="AX11" ca="1">IF(OR(Formulas!AY9=0,Formulas!AY9=""),"",HYPERLINK("["&amp;Archivo_Nombre&amp;"]Datos!"&amp;LEFT(SUBSTITUTE(ADDRESS(1,Formulas!AY9+2),"$",""))&amp;Formulas!AX9+1,
IFERROR(INDEX(Datos!$A$2:$L$101,Formulas!AX9,Formulas!AY9+2),"")))</f>
        <v/>
      </c>
      <c r="AY11" s="13"/>
    </row>
    <row r="12" spans="2:51" x14ac:dyDescent="0.25">
      <c r="B12" s="11"/>
      <c r="C12" t="str" cm="1">
        <f t="array" aca="1" ref="C12" ca="1">IF(OR(Formulas!E9=0,Formulas!E9="",RIGHT(Formulas!F9)="0"),"",
HYPERLINK("["&amp;Archivo_Nombre&amp;"]Datos!"&amp;LEFT(SUBSTITUTE(ADDRESS(1,IF(Formulas!E9=1,1,RIGHT(Formulas!F9)+2)),"$",""))&amp;Formulas!D9+1,
IFERROR(INDEX(Datos!$A$1:$L$1,1,RIGHT(Formulas!F9)+2)&amp;IF(Formulas!E9=1," "&amp;Formulas!D9,"")&amp;":","")))</f>
        <v/>
      </c>
      <c r="D12" s="107" t="str" cm="1">
        <f t="array" aca="1" ref="D12" ca="1">IF(OR(Formulas!E9=0,Formulas!E9="",RIGHT(Formulas!F9)="0"),"",
HYPERLINK("["&amp;Archivo_Nombre&amp;"]Datos!"&amp;LEFT(SUBSTITUTE(ADDRESS(1,RIGHT(Formulas!F9)+2),"$",""))&amp;Formulas!D9+1,
IFERROR(INDEX(Datos!$A$2:$L$101,Formulas!D9,RIGHT(Formulas!F9)+2),"")))</f>
        <v/>
      </c>
      <c r="E12" s="107" t="str" cm="1">
        <f t="array" aca="1" ref="E12" ca="1">IF(OR(Formulas!F10=0,Formulas!F10=""),"",HYPERLINK("["&amp;Archivo_Nombre&amp;"]Datos!"&amp;LEFT(SUBSTITUTE(ADDRESS(1,Formulas!F10+2),"$",""))&amp;Formulas!E10+1,
IFERROR(INDEX(Datos!$A$2:$L$101,Formulas!E10,Formulas!F10+2),"")))</f>
        <v/>
      </c>
      <c r="F12" s="5"/>
      <c r="G12" s="6"/>
      <c r="H12" t="str" cm="1">
        <f t="array" aca="1" ref="H12" ca="1">IF(OR(Formulas!J9=0,Formulas!J9="",RIGHT(Formulas!K9)="0"),"",
HYPERLINK("["&amp;Archivo_Nombre&amp;"]Datos!"&amp;LEFT(SUBSTITUTE(ADDRESS(1,IF(Formulas!J9=1,1,RIGHT(Formulas!K9)+2)),"$",""))&amp;Formulas!I9+1,
IFERROR(INDEX(Datos!$A$1:$L$1,1,RIGHT(Formulas!K9)+2)&amp;IF(Formulas!J9=1," "&amp;Formulas!I9,"")&amp;":","")))</f>
        <v>Duración:</v>
      </c>
      <c r="I12" s="107" t="str" cm="1">
        <f t="array" aca="1" ref="I12" ca="1">IF(OR(Formulas!J9=0,Formulas!J9="",RIGHT(Formulas!K9)="0"),"",
HYPERLINK("["&amp;Archivo_Nombre&amp;"]Datos!"&amp;LEFT(SUBSTITUTE(ADDRESS(1,RIGHT(Formulas!K9)+2),"$",""))&amp;Formulas!I9+1,
IFERROR(INDEX(Datos!$A$2:$L$101,Formulas!I9,RIGHT(Formulas!K9)+2),"")))</f>
        <v/>
      </c>
      <c r="J12" s="107" t="e" cm="1">
        <f t="array" aca="1" ref="J12" ca="1">IF(OR(Formulas!K10=0,Formulas!K10=""),"",HYPERLINK("["&amp;Archivo_Nombre&amp;"]Datos!"&amp;LEFT(SUBSTITUTE(ADDRESS(1,Formulas!K10+2),"$",""))&amp;Formulas!J10+1,
IFERROR(INDEX(Datos!$A$2:$L$101,Formulas!J10,Formulas!K10+2),"")))</f>
        <v>#VALUE!</v>
      </c>
      <c r="K12" s="5"/>
      <c r="L12" s="6"/>
      <c r="M12" t="str" cm="1">
        <f t="array" aca="1" ref="M12" ca="1">IF(OR(Formulas!O9=0,Formulas!O9="",RIGHT(Formulas!P9)="0"),"",
HYPERLINK("["&amp;Archivo_Nombre&amp;"]Datos!"&amp;LEFT(SUBSTITUTE(ADDRESS(1,IF(Formulas!O9=1,1,RIGHT(Formulas!P9)+2)),"$",""))&amp;Formulas!N9+1,
IFERROR(INDEX(Datos!$A$1:$L$1,1,RIGHT(Formulas!P9)+2)&amp;IF(Formulas!O9=1," "&amp;Formulas!N9,"")&amp;":","")))</f>
        <v/>
      </c>
      <c r="N12" s="107" t="str" cm="1">
        <f t="array" aca="1" ref="N12" ca="1">IF(OR(Formulas!O9=0,Formulas!O9="",RIGHT(Formulas!P9)="0"),"",
HYPERLINK("["&amp;Archivo_Nombre&amp;"]Datos!"&amp;LEFT(SUBSTITUTE(ADDRESS(1,RIGHT(Formulas!P9)+2),"$",""))&amp;Formulas!N9+1,
IFERROR(INDEX(Datos!$A$2:$L$101,Formulas!N9,RIGHT(Formulas!P9)+2),"")))</f>
        <v/>
      </c>
      <c r="O12" s="107" t="str" cm="1">
        <f t="array" aca="1" ref="O12" ca="1">IF(OR(Formulas!P10=0,Formulas!P10=""),"",HYPERLINK("["&amp;Archivo_Nombre&amp;"]Datos!"&amp;LEFT(SUBSTITUTE(ADDRESS(1,Formulas!P10+2),"$",""))&amp;Formulas!O10+1,
IFERROR(INDEX(Datos!$A$2:$L$101,Formulas!O10,Formulas!P10+2),"")))</f>
        <v/>
      </c>
      <c r="P12" s="5"/>
      <c r="Q12" s="6"/>
      <c r="R12" t="str" cm="1">
        <f t="array" aca="1" ref="R12" ca="1">IF(OR(Formulas!T9=0,Formulas!T9="",RIGHT(Formulas!U9)="0"),"",
HYPERLINK("["&amp;Archivo_Nombre&amp;"]Datos!"&amp;LEFT(SUBSTITUTE(ADDRESS(1,IF(Formulas!T9=1,1,RIGHT(Formulas!U9)+2)),"$",""))&amp;Formulas!S9+1,
IFERROR(INDEX(Datos!$A$1:$L$1,1,RIGHT(Formulas!U9)+2)&amp;IF(Formulas!T9=1," "&amp;Formulas!S9,"")&amp;":","")))</f>
        <v>Duración:</v>
      </c>
      <c r="S12" s="107" t="str" cm="1">
        <f t="array" aca="1" ref="S12" ca="1">IF(OR(Formulas!T9=0,Formulas!T9="",RIGHT(Formulas!U9)="0"),"",
HYPERLINK("["&amp;Archivo_Nombre&amp;"]Datos!"&amp;LEFT(SUBSTITUTE(ADDRESS(1,RIGHT(Formulas!U9)+2),"$",""))&amp;Formulas!S9+1,
IFERROR(INDEX(Datos!$A$2:$L$101,Formulas!S9,RIGHT(Formulas!U9)+2),"")))</f>
        <v/>
      </c>
      <c r="T12" s="107" t="e" cm="1">
        <f t="array" aca="1" ref="T12" ca="1">IF(OR(Formulas!U10=0,Formulas!U10=""),"",HYPERLINK("["&amp;Archivo_Nombre&amp;"]Datos!"&amp;LEFT(SUBSTITUTE(ADDRESS(1,Formulas!U10+2),"$",""))&amp;Formulas!T10+1,
IFERROR(INDEX(Datos!$A$2:$L$101,Formulas!T10,Formulas!U10+2),"")))</f>
        <v>#VALUE!</v>
      </c>
      <c r="U12" s="5"/>
      <c r="V12" s="6"/>
      <c r="W12" t="str" cm="1">
        <f t="array" aca="1" ref="W12" ca="1">IF(OR(Formulas!Y9=0,Formulas!Y9="",RIGHT(Formulas!Z9)="0"),"",
HYPERLINK("["&amp;Archivo_Nombre&amp;"]Datos!"&amp;LEFT(SUBSTITUTE(ADDRESS(1,IF(Formulas!Y9=1,1,RIGHT(Formulas!Z9)+2)),"$",""))&amp;Formulas!X9+1,
IFERROR(INDEX(Datos!$A$1:$L$1,1,RIGHT(Formulas!Z9)+2)&amp;IF(Formulas!Y9=1," "&amp;Formulas!X9,"")&amp;":","")))</f>
        <v/>
      </c>
      <c r="X12" s="107" t="str" cm="1">
        <f t="array" aca="1" ref="X12" ca="1">IF(OR(Formulas!Y9=0,Formulas!Y9="",RIGHT(Formulas!Z9)="0"),"",
HYPERLINK("["&amp;Archivo_Nombre&amp;"]Datos!"&amp;LEFT(SUBSTITUTE(ADDRESS(1,RIGHT(Formulas!Z9)+2),"$",""))&amp;Formulas!X9+1,
IFERROR(INDEX(Datos!$A$2:$L$101,Formulas!X9,RIGHT(Formulas!Z9)+2),"")))</f>
        <v/>
      </c>
      <c r="Y12" s="107" t="str" cm="1">
        <f t="array" aca="1" ref="Y12" ca="1">IF(OR(Formulas!Z10=0,Formulas!Z10=""),"",HYPERLINK("["&amp;Archivo_Nombre&amp;"]Datos!"&amp;LEFT(SUBSTITUTE(ADDRESS(1,Formulas!Z10+2),"$",""))&amp;Formulas!Y10+1,
IFERROR(INDEX(Datos!$A$2:$L$101,Formulas!Y10,Formulas!Z10+2),"")))</f>
        <v/>
      </c>
      <c r="Z12" s="13"/>
      <c r="AA12" s="6"/>
      <c r="AB12" t="str" cm="1">
        <f t="array" aca="1" ref="AB12" ca="1">IF(OR(Formulas!AD9=0,Formulas!AD9="",RIGHT(Formulas!AE9)="0"),"",
HYPERLINK("["&amp;Archivo_Nombre&amp;"]Datos!"&amp;LEFT(SUBSTITUTE(ADDRESS(1,IF(Formulas!AD9=1,1,RIGHT(Formulas!AE9)+2)),"$",""))&amp;Formulas!AC9+1,
IFERROR(INDEX(Datos!$A$1:$L$1,1,RIGHT(Formulas!AE9)+2)&amp;IF(Formulas!AD9=1," "&amp;Formulas!AC9,"")&amp;":","")))</f>
        <v/>
      </c>
      <c r="AC12" s="107" t="str" cm="1">
        <f t="array" aca="1" ref="AC12" ca="1">IF(OR(Formulas!AD9=0,Formulas!AD9="",RIGHT(Formulas!AE9)="0"),"",
HYPERLINK("["&amp;Archivo_Nombre&amp;"]Datos!"&amp;LEFT(SUBSTITUTE(ADDRESS(1,RIGHT(Formulas!AE9)+2),"$",""))&amp;Formulas!AC9+1,
IFERROR(INDEX(Datos!$A$2:$L$101,Formulas!AC9,RIGHT(Formulas!AE9)+2),"")))</f>
        <v/>
      </c>
      <c r="AD12" s="107" t="str" cm="1">
        <f t="array" aca="1" ref="AD12" ca="1">IF(OR(Formulas!AE10=0,Formulas!AE10=""),"",HYPERLINK("["&amp;Archivo_Nombre&amp;"]Datos!"&amp;LEFT(SUBSTITUTE(ADDRESS(1,Formulas!AE10+2),"$",""))&amp;Formulas!AD10+1,
IFERROR(INDEX(Datos!$A$2:$L$101,Formulas!AD10,Formulas!AE10+2),"")))</f>
        <v/>
      </c>
      <c r="AE12" s="13"/>
      <c r="AF12" s="6"/>
      <c r="AG12" t="str" cm="1">
        <f t="array" aca="1" ref="AG12" ca="1">IF(OR(Formulas!AI9=0,Formulas!AI9="",RIGHT(Formulas!AJ9)="0"),"",
HYPERLINK("["&amp;Archivo_Nombre&amp;"]Datos!"&amp;LEFT(SUBSTITUTE(ADDRESS(1,IF(Formulas!AI9=1,1,RIGHT(Formulas!AJ9)+2)),"$",""))&amp;Formulas!AH9+1,
IFERROR(INDEX(Datos!$A$1:$L$1,1,RIGHT(Formulas!AJ9)+2)&amp;IF(Formulas!AI9=1," "&amp;Formulas!AH9,"")&amp;":","")))</f>
        <v/>
      </c>
      <c r="AH12" s="107" t="str" cm="1">
        <f t="array" aca="1" ref="AH12" ca="1">IF(OR(Formulas!AI9=0,Formulas!AI9="",RIGHT(Formulas!AJ9)="0"),"",
HYPERLINK("["&amp;Archivo_Nombre&amp;"]Datos!"&amp;LEFT(SUBSTITUTE(ADDRESS(1,RIGHT(Formulas!AJ9)+2),"$",""))&amp;Formulas!AH9+1,
IFERROR(INDEX(Datos!$A$2:$L$101,Formulas!AH9,RIGHT(Formulas!AJ9)+2),"")))</f>
        <v/>
      </c>
      <c r="AI12" s="107" t="str" cm="1">
        <f t="array" aca="1" ref="AI12" ca="1">IF(OR(Formulas!AJ10=0,Formulas!AJ10=""),"",HYPERLINK("["&amp;Archivo_Nombre&amp;"]Datos!"&amp;LEFT(SUBSTITUTE(ADDRESS(1,Formulas!AJ10+2),"$",""))&amp;Formulas!AI10+1,
IFERROR(INDEX(Datos!$A$2:$L$101,Formulas!AI10,Formulas!AJ10+2),"")))</f>
        <v/>
      </c>
      <c r="AJ12" s="13"/>
      <c r="AK12" s="6"/>
      <c r="AL12" t="str" cm="1">
        <f t="array" aca="1" ref="AL12" ca="1">IF(OR(Formulas!AN9=0,Formulas!AN9="",RIGHT(Formulas!AO9)="0"),"",
HYPERLINK("["&amp;Archivo_Nombre&amp;"]Datos!"&amp;LEFT(SUBSTITUTE(ADDRESS(1,IF(Formulas!AN9=1,1,RIGHT(Formulas!AO9)+2)),"$",""))&amp;Formulas!AM9+1,
IFERROR(INDEX(Datos!$A$1:$L$1,1,RIGHT(Formulas!AO9)+2)&amp;IF(Formulas!AN9=1," "&amp;Formulas!AM9,"")&amp;":","")))</f>
        <v/>
      </c>
      <c r="AM12" s="107" t="str" cm="1">
        <f t="array" aca="1" ref="AM12" ca="1">IF(OR(Formulas!AN9=0,Formulas!AN9="",RIGHT(Formulas!AO9)="0"),"",
HYPERLINK("["&amp;Archivo_Nombre&amp;"]Datos!"&amp;LEFT(SUBSTITUTE(ADDRESS(1,RIGHT(Formulas!AO9)+2),"$",""))&amp;Formulas!AM9+1,
IFERROR(INDEX(Datos!$A$2:$L$101,Formulas!AM9,RIGHT(Formulas!AO9)+2),"")))</f>
        <v/>
      </c>
      <c r="AN12" s="107" t="str" cm="1">
        <f t="array" aca="1" ref="AN12" ca="1">IF(OR(Formulas!AO10=0,Formulas!AO10=""),"",HYPERLINK("["&amp;Archivo_Nombre&amp;"]Datos!"&amp;LEFT(SUBSTITUTE(ADDRESS(1,Formulas!AO10+2),"$",""))&amp;Formulas!AN10+1,
IFERROR(INDEX(Datos!$A$2:$L$101,Formulas!AN10,Formulas!AO10+2),"")))</f>
        <v/>
      </c>
      <c r="AO12" s="13"/>
      <c r="AP12" s="6"/>
      <c r="AQ12" t="str" cm="1">
        <f t="array" aca="1" ref="AQ12" ca="1">IF(OR(Formulas!AS9=0,Formulas!AS9="",RIGHT(Formulas!AT9)="0"),"",
HYPERLINK("["&amp;Archivo_Nombre&amp;"]Datos!"&amp;LEFT(SUBSTITUTE(ADDRESS(1,IF(Formulas!AS9=1,1,RIGHT(Formulas!AT9)+2)),"$",""))&amp;Formulas!AR9+1,
IFERROR(INDEX(Datos!$A$1:$L$1,1,RIGHT(Formulas!AT9)+2)&amp;IF(Formulas!AS9=1," "&amp;Formulas!AR9,"")&amp;":","")))</f>
        <v/>
      </c>
      <c r="AR12" s="107" t="str" cm="1">
        <f t="array" aca="1" ref="AR12" ca="1">IF(OR(Formulas!AS9=0,Formulas!AS9="",RIGHT(Formulas!AT9)="0"),"",
HYPERLINK("["&amp;Archivo_Nombre&amp;"]Datos!"&amp;LEFT(SUBSTITUTE(ADDRESS(1,RIGHT(Formulas!AT9)+2),"$",""))&amp;Formulas!AR9+1,
IFERROR(INDEX(Datos!$A$2:$L$101,Formulas!AR9,RIGHT(Formulas!AT9)+2),"")))</f>
        <v/>
      </c>
      <c r="AS12" s="107" t="str" cm="1">
        <f t="array" aca="1" ref="AS12" ca="1">IF(OR(Formulas!AT10=0,Formulas!AT10=""),"",HYPERLINK("["&amp;Archivo_Nombre&amp;"]Datos!"&amp;LEFT(SUBSTITUTE(ADDRESS(1,Formulas!AT10+2),"$",""))&amp;Formulas!AS10+1,
IFERROR(INDEX(Datos!$A$2:$L$101,Formulas!AS10,Formulas!AT10+2),"")))</f>
        <v/>
      </c>
      <c r="AT12" s="13"/>
      <c r="AU12" s="6"/>
      <c r="AV12" t="str" cm="1">
        <f t="array" aca="1" ref="AV12" ca="1">IF(OR(Formulas!AX9=0,Formulas!AX9="",RIGHT(Formulas!AY9)="0"),"",
HYPERLINK("["&amp;Archivo_Nombre&amp;"]Datos!"&amp;LEFT(SUBSTITUTE(ADDRESS(1,IF(Formulas!AX9=1,1,RIGHT(Formulas!AY9)+2)),"$",""))&amp;Formulas!AW9+1,
IFERROR(INDEX(Datos!$A$1:$L$1,1,RIGHT(Formulas!AY9)+2)&amp;IF(Formulas!AX9=1," "&amp;Formulas!AW9,"")&amp;":","")))</f>
        <v/>
      </c>
      <c r="AW12" s="107" t="str" cm="1">
        <f t="array" aca="1" ref="AW12" ca="1">IF(OR(Formulas!AX9=0,Formulas!AX9="",RIGHT(Formulas!AY9)="0"),"",
HYPERLINK("["&amp;Archivo_Nombre&amp;"]Datos!"&amp;LEFT(SUBSTITUTE(ADDRESS(1,RIGHT(Formulas!AY9)+2),"$",""))&amp;Formulas!AW9+1,
IFERROR(INDEX(Datos!$A$2:$L$101,Formulas!AW9,RIGHT(Formulas!AY9)+2),"")))</f>
        <v/>
      </c>
      <c r="AX12" s="107" t="str" cm="1">
        <f t="array" aca="1" ref="AX12" ca="1">IF(OR(Formulas!AY10=0,Formulas!AY10=""),"",HYPERLINK("["&amp;Archivo_Nombre&amp;"]Datos!"&amp;LEFT(SUBSTITUTE(ADDRESS(1,Formulas!AY10+2),"$",""))&amp;Formulas!AX10+1,
IFERROR(INDEX(Datos!$A$2:$L$101,Formulas!AX10,Formulas!AY10+2),"")))</f>
        <v/>
      </c>
      <c r="AY12" s="13"/>
    </row>
    <row r="13" spans="2:51" x14ac:dyDescent="0.25">
      <c r="B13" s="11"/>
      <c r="C13" s="24" t="str" cm="1">
        <f t="array" aca="1" ref="C13" ca="1">IF(OR(Formulas!E10=0,Formulas!E10="",RIGHT(Formulas!F10)="0"),"",
HYPERLINK("["&amp;Archivo_Nombre&amp;"]Datos!"&amp;LEFT(SUBSTITUTE(ADDRESS(1,IF(Formulas!E10=1,1,RIGHT(Formulas!F10)+2)),"$",""))&amp;Formulas!D10+1,
IFERROR(INDEX(Datos!$A$1:$L$1,1,RIGHT(Formulas!F10)+2)&amp;IF(Formulas!E10=1," "&amp;Formulas!D10,"")&amp;":","")))</f>
        <v/>
      </c>
      <c r="D13" s="107" t="str" cm="1">
        <f t="array" aca="1" ref="D13" ca="1">IF(OR(Formulas!E10=0,Formulas!E10="",RIGHT(Formulas!F10)="0"),"",
HYPERLINK("["&amp;Archivo_Nombre&amp;"]Datos!"&amp;LEFT(SUBSTITUTE(ADDRESS(1,RIGHT(Formulas!F10)+2),"$",""))&amp;Formulas!D10+1,
IFERROR(INDEX(Datos!$A$2:$L$101,Formulas!D10,RIGHT(Formulas!F10)+2),"")))</f>
        <v/>
      </c>
      <c r="E13" s="107" t="str" cm="1">
        <f t="array" aca="1" ref="E13" ca="1">IF(OR(Formulas!F11=0,Formulas!F11=""),"",HYPERLINK("["&amp;Archivo_Nombre&amp;"]Datos!"&amp;LEFT(SUBSTITUTE(ADDRESS(1,Formulas!F11+2),"$",""))&amp;Formulas!E11+1,
IFERROR(INDEX(Datos!$A$2:$L$101,Formulas!E11,Formulas!F11+2),"")))</f>
        <v/>
      </c>
      <c r="F13" s="5"/>
      <c r="G13" s="6"/>
      <c r="H13" s="24" t="str" cm="1">
        <f t="array" aca="1" ref="H13" ca="1">IF(OR(Formulas!J10=0,Formulas!J10="",RIGHT(Formulas!K10)="0"),"",
HYPERLINK("["&amp;Archivo_Nombre&amp;"]Datos!"&amp;LEFT(SUBSTITUTE(ADDRESS(1,IF(Formulas!J10=1,1,RIGHT(Formulas!K10)+2)),"$",""))&amp;Formulas!I10+1,
IFERROR(INDEX(Datos!$A$1:$L$1,1,RIGHT(Formulas!K10)+2)&amp;IF(Formulas!J10=1," "&amp;Formulas!I10,"")&amp;":","")))</f>
        <v>Retraso:</v>
      </c>
      <c r="I13" s="107" t="str" cm="1">
        <f t="array" aca="1" ref="I13" ca="1">IF(OR(Formulas!J10=0,Formulas!J10="",RIGHT(Formulas!K10)="0"),"",
HYPERLINK("["&amp;Archivo_Nombre&amp;"]Datos!"&amp;LEFT(SUBSTITUTE(ADDRESS(1,RIGHT(Formulas!K10)+2),"$",""))&amp;Formulas!I10+1,
IFERROR(INDEX(Datos!$A$2:$L$101,Formulas!I10,RIGHT(Formulas!K10)+2),"")))</f>
        <v/>
      </c>
      <c r="J13" s="107" t="e" cm="1">
        <f t="array" aca="1" ref="J13" ca="1">IF(OR(Formulas!K11=0,Formulas!K11=""),"",HYPERLINK("["&amp;Archivo_Nombre&amp;"]Datos!"&amp;LEFT(SUBSTITUTE(ADDRESS(1,Formulas!K11+2),"$",""))&amp;Formulas!J11+1,
IFERROR(INDEX(Datos!$A$2:$L$101,Formulas!J11,Formulas!K11+2),"")))</f>
        <v>#VALUE!</v>
      </c>
      <c r="K13" s="5"/>
      <c r="L13" s="6"/>
      <c r="M13" s="24" t="str" cm="1">
        <f t="array" aca="1" ref="M13" ca="1">IF(OR(Formulas!O10=0,Formulas!O10="",RIGHT(Formulas!P10)="0"),"",
HYPERLINK("["&amp;Archivo_Nombre&amp;"]Datos!"&amp;LEFT(SUBSTITUTE(ADDRESS(1,IF(Formulas!O10=1,1,RIGHT(Formulas!P10)+2)),"$",""))&amp;Formulas!N10+1,
IFERROR(INDEX(Datos!$A$1:$L$1,1,RIGHT(Formulas!P10)+2)&amp;IF(Formulas!O10=1," "&amp;Formulas!N10,"")&amp;":","")))</f>
        <v/>
      </c>
      <c r="N13" s="107" t="str" cm="1">
        <f t="array" aca="1" ref="N13" ca="1">IF(OR(Formulas!O10=0,Formulas!O10="",RIGHT(Formulas!P10)="0"),"",
HYPERLINK("["&amp;Archivo_Nombre&amp;"]Datos!"&amp;LEFT(SUBSTITUTE(ADDRESS(1,RIGHT(Formulas!P10)+2),"$",""))&amp;Formulas!N10+1,
IFERROR(INDEX(Datos!$A$2:$L$101,Formulas!N10,RIGHT(Formulas!P10)+2),"")))</f>
        <v/>
      </c>
      <c r="O13" s="107" t="str" cm="1">
        <f t="array" aca="1" ref="O13" ca="1">IF(OR(Formulas!P11=0,Formulas!P11=""),"",HYPERLINK("["&amp;Archivo_Nombre&amp;"]Datos!"&amp;LEFT(SUBSTITUTE(ADDRESS(1,Formulas!P11+2),"$",""))&amp;Formulas!O11+1,
IFERROR(INDEX(Datos!$A$2:$L$101,Formulas!O11,Formulas!P11+2),"")))</f>
        <v/>
      </c>
      <c r="P13" s="5"/>
      <c r="Q13" s="6"/>
      <c r="R13" s="24" t="str" cm="1">
        <f t="array" aca="1" ref="R13" ca="1">IF(OR(Formulas!T10=0,Formulas!T10="",RIGHT(Formulas!U10)="0"),"",
HYPERLINK("["&amp;Archivo_Nombre&amp;"]Datos!"&amp;LEFT(SUBSTITUTE(ADDRESS(1,IF(Formulas!T10=1,1,RIGHT(Formulas!U10)+2)),"$",""))&amp;Formulas!S10+1,
IFERROR(INDEX(Datos!$A$1:$L$1,1,RIGHT(Formulas!U10)+2)&amp;IF(Formulas!T10=1," "&amp;Formulas!S10,"")&amp;":","")))</f>
        <v>Retraso:</v>
      </c>
      <c r="S13" s="107" t="str" cm="1">
        <f t="array" aca="1" ref="S13" ca="1">IF(OR(Formulas!T10=0,Formulas!T10="",RIGHT(Formulas!U10)="0"),"",
HYPERLINK("["&amp;Archivo_Nombre&amp;"]Datos!"&amp;LEFT(SUBSTITUTE(ADDRESS(1,RIGHT(Formulas!U10)+2),"$",""))&amp;Formulas!S10+1,
IFERROR(INDEX(Datos!$A$2:$L$101,Formulas!S10,RIGHT(Formulas!U10)+2),"")))</f>
        <v/>
      </c>
      <c r="T13" s="107" t="e" cm="1">
        <f t="array" aca="1" ref="T13" ca="1">IF(OR(Formulas!U11=0,Formulas!U11=""),"",HYPERLINK("["&amp;Archivo_Nombre&amp;"]Datos!"&amp;LEFT(SUBSTITUTE(ADDRESS(1,Formulas!U11+2),"$",""))&amp;Formulas!T11+1,
IFERROR(INDEX(Datos!$A$2:$L$101,Formulas!T11,Formulas!U11+2),"")))</f>
        <v>#VALUE!</v>
      </c>
      <c r="U13" s="5"/>
      <c r="V13" s="6"/>
      <c r="W13" s="24" t="str" cm="1">
        <f t="array" aca="1" ref="W13" ca="1">IF(OR(Formulas!Y10=0,Formulas!Y10="",RIGHT(Formulas!Z10)="0"),"",
HYPERLINK("["&amp;Archivo_Nombre&amp;"]Datos!"&amp;LEFT(SUBSTITUTE(ADDRESS(1,IF(Formulas!Y10=1,1,RIGHT(Formulas!Z10)+2)),"$",""))&amp;Formulas!X10+1,
IFERROR(INDEX(Datos!$A$1:$L$1,1,RIGHT(Formulas!Z10)+2)&amp;IF(Formulas!Y10=1," "&amp;Formulas!X10,"")&amp;":","")))</f>
        <v/>
      </c>
      <c r="X13" s="107" t="str" cm="1">
        <f t="array" aca="1" ref="X13" ca="1">IF(OR(Formulas!Y10=0,Formulas!Y10="",RIGHT(Formulas!Z10)="0"),"",
HYPERLINK("["&amp;Archivo_Nombre&amp;"]Datos!"&amp;LEFT(SUBSTITUTE(ADDRESS(1,RIGHT(Formulas!Z10)+2),"$",""))&amp;Formulas!X10+1,
IFERROR(INDEX(Datos!$A$2:$L$101,Formulas!X10,RIGHT(Formulas!Z10)+2),"")))</f>
        <v/>
      </c>
      <c r="Y13" s="107" t="str" cm="1">
        <f t="array" aca="1" ref="Y13" ca="1">IF(OR(Formulas!Z11=0,Formulas!Z11=""),"",HYPERLINK("["&amp;Archivo_Nombre&amp;"]Datos!"&amp;LEFT(SUBSTITUTE(ADDRESS(1,Formulas!Z11+2),"$",""))&amp;Formulas!Y11+1,
IFERROR(INDEX(Datos!$A$2:$L$101,Formulas!Y11,Formulas!Z11+2),"")))</f>
        <v/>
      </c>
      <c r="Z13" s="13"/>
      <c r="AA13" s="6"/>
      <c r="AB13" s="24" t="str" cm="1">
        <f t="array" aca="1" ref="AB13" ca="1">IF(OR(Formulas!AD10=0,Formulas!AD10="",RIGHT(Formulas!AE10)="0"),"",
HYPERLINK("["&amp;Archivo_Nombre&amp;"]Datos!"&amp;LEFT(SUBSTITUTE(ADDRESS(1,IF(Formulas!AD10=1,1,RIGHT(Formulas!AE10)+2)),"$",""))&amp;Formulas!AC10+1,
IFERROR(INDEX(Datos!$A$1:$L$1,1,RIGHT(Formulas!AE10)+2)&amp;IF(Formulas!AD10=1," "&amp;Formulas!AC10,"")&amp;":","")))</f>
        <v/>
      </c>
      <c r="AC13" s="107" t="str" cm="1">
        <f t="array" aca="1" ref="AC13" ca="1">IF(OR(Formulas!AD10=0,Formulas!AD10="",RIGHT(Formulas!AE10)="0"),"",
HYPERLINK("["&amp;Archivo_Nombre&amp;"]Datos!"&amp;LEFT(SUBSTITUTE(ADDRESS(1,RIGHT(Formulas!AE10)+2),"$",""))&amp;Formulas!AC10+1,
IFERROR(INDEX(Datos!$A$2:$L$101,Formulas!AC10,RIGHT(Formulas!AE10)+2),"")))</f>
        <v/>
      </c>
      <c r="AD13" s="107" t="str" cm="1">
        <f t="array" aca="1" ref="AD13" ca="1">IF(OR(Formulas!AE11=0,Formulas!AE11=""),"",HYPERLINK("["&amp;Archivo_Nombre&amp;"]Datos!"&amp;LEFT(SUBSTITUTE(ADDRESS(1,Formulas!AE11+2),"$",""))&amp;Formulas!AD11+1,
IFERROR(INDEX(Datos!$A$2:$L$101,Formulas!AD11,Formulas!AE11+2),"")))</f>
        <v/>
      </c>
      <c r="AE13" s="13"/>
      <c r="AF13" s="6"/>
      <c r="AG13" s="24" t="str" cm="1">
        <f t="array" aca="1" ref="AG13" ca="1">IF(OR(Formulas!AI10=0,Formulas!AI10="",RIGHT(Formulas!AJ10)="0"),"",
HYPERLINK("["&amp;Archivo_Nombre&amp;"]Datos!"&amp;LEFT(SUBSTITUTE(ADDRESS(1,IF(Formulas!AI10=1,1,RIGHT(Formulas!AJ10)+2)),"$",""))&amp;Formulas!AH10+1,
IFERROR(INDEX(Datos!$A$1:$L$1,1,RIGHT(Formulas!AJ10)+2)&amp;IF(Formulas!AI10=1," "&amp;Formulas!AH10,"")&amp;":","")))</f>
        <v/>
      </c>
      <c r="AH13" s="107" t="str" cm="1">
        <f t="array" aca="1" ref="AH13" ca="1">IF(OR(Formulas!AI10=0,Formulas!AI10="",RIGHT(Formulas!AJ10)="0"),"",
HYPERLINK("["&amp;Archivo_Nombre&amp;"]Datos!"&amp;LEFT(SUBSTITUTE(ADDRESS(1,RIGHT(Formulas!AJ10)+2),"$",""))&amp;Formulas!AH10+1,
IFERROR(INDEX(Datos!$A$2:$L$101,Formulas!AH10,RIGHT(Formulas!AJ10)+2),"")))</f>
        <v/>
      </c>
      <c r="AI13" s="107" t="str" cm="1">
        <f t="array" aca="1" ref="AI13" ca="1">IF(OR(Formulas!AJ11=0,Formulas!AJ11=""),"",HYPERLINK("["&amp;Archivo_Nombre&amp;"]Datos!"&amp;LEFT(SUBSTITUTE(ADDRESS(1,Formulas!AJ11+2),"$",""))&amp;Formulas!AI11+1,
IFERROR(INDEX(Datos!$A$2:$L$101,Formulas!AI11,Formulas!AJ11+2),"")))</f>
        <v/>
      </c>
      <c r="AJ13" s="13"/>
      <c r="AK13" s="6"/>
      <c r="AL13" s="24" t="str" cm="1">
        <f t="array" aca="1" ref="AL13" ca="1">IF(OR(Formulas!AN10=0,Formulas!AN10="",RIGHT(Formulas!AO10)="0"),"",
HYPERLINK("["&amp;Archivo_Nombre&amp;"]Datos!"&amp;LEFT(SUBSTITUTE(ADDRESS(1,IF(Formulas!AN10=1,1,RIGHT(Formulas!AO10)+2)),"$",""))&amp;Formulas!AM10+1,
IFERROR(INDEX(Datos!$A$1:$L$1,1,RIGHT(Formulas!AO10)+2)&amp;IF(Formulas!AN10=1," "&amp;Formulas!AM10,"")&amp;":","")))</f>
        <v/>
      </c>
      <c r="AM13" s="107" t="str" cm="1">
        <f t="array" aca="1" ref="AM13" ca="1">IF(OR(Formulas!AN10=0,Formulas!AN10="",RIGHT(Formulas!AO10)="0"),"",
HYPERLINK("["&amp;Archivo_Nombre&amp;"]Datos!"&amp;LEFT(SUBSTITUTE(ADDRESS(1,RIGHT(Formulas!AO10)+2),"$",""))&amp;Formulas!AM10+1,
IFERROR(INDEX(Datos!$A$2:$L$101,Formulas!AM10,RIGHT(Formulas!AO10)+2),"")))</f>
        <v/>
      </c>
      <c r="AN13" s="107" t="str" cm="1">
        <f t="array" aca="1" ref="AN13" ca="1">IF(OR(Formulas!AO11=0,Formulas!AO11=""),"",HYPERLINK("["&amp;Archivo_Nombre&amp;"]Datos!"&amp;LEFT(SUBSTITUTE(ADDRESS(1,Formulas!AO11+2),"$",""))&amp;Formulas!AN11+1,
IFERROR(INDEX(Datos!$A$2:$L$101,Formulas!AN11,Formulas!AO11+2),"")))</f>
        <v/>
      </c>
      <c r="AO13" s="13"/>
      <c r="AP13" s="6"/>
      <c r="AQ13" s="24" t="str" cm="1">
        <f t="array" aca="1" ref="AQ13" ca="1">IF(OR(Formulas!AS10=0,Formulas!AS10="",RIGHT(Formulas!AT10)="0"),"",
HYPERLINK("["&amp;Archivo_Nombre&amp;"]Datos!"&amp;LEFT(SUBSTITUTE(ADDRESS(1,IF(Formulas!AS10=1,1,RIGHT(Formulas!AT10)+2)),"$",""))&amp;Formulas!AR10+1,
IFERROR(INDEX(Datos!$A$1:$L$1,1,RIGHT(Formulas!AT10)+2)&amp;IF(Formulas!AS10=1," "&amp;Formulas!AR10,"")&amp;":","")))</f>
        <v/>
      </c>
      <c r="AR13" s="107" t="str" cm="1">
        <f t="array" aca="1" ref="AR13" ca="1">IF(OR(Formulas!AS10=0,Formulas!AS10="",RIGHT(Formulas!AT10)="0"),"",
HYPERLINK("["&amp;Archivo_Nombre&amp;"]Datos!"&amp;LEFT(SUBSTITUTE(ADDRESS(1,RIGHT(Formulas!AT10)+2),"$",""))&amp;Formulas!AR10+1,
IFERROR(INDEX(Datos!$A$2:$L$101,Formulas!AR10,RIGHT(Formulas!AT10)+2),"")))</f>
        <v/>
      </c>
      <c r="AS13" s="107" t="str" cm="1">
        <f t="array" aca="1" ref="AS13" ca="1">IF(OR(Formulas!AT11=0,Formulas!AT11=""),"",HYPERLINK("["&amp;Archivo_Nombre&amp;"]Datos!"&amp;LEFT(SUBSTITUTE(ADDRESS(1,Formulas!AT11+2),"$",""))&amp;Formulas!AS11+1,
IFERROR(INDEX(Datos!$A$2:$L$101,Formulas!AS11,Formulas!AT11+2),"")))</f>
        <v/>
      </c>
      <c r="AT13" s="13"/>
      <c r="AU13" s="6"/>
      <c r="AV13" s="24" t="str" cm="1">
        <f t="array" aca="1" ref="AV13" ca="1">IF(OR(Formulas!AX10=0,Formulas!AX10="",RIGHT(Formulas!AY10)="0"),"",
HYPERLINK("["&amp;Archivo_Nombre&amp;"]Datos!"&amp;LEFT(SUBSTITUTE(ADDRESS(1,IF(Formulas!AX10=1,1,RIGHT(Formulas!AY10)+2)),"$",""))&amp;Formulas!AW10+1,
IFERROR(INDEX(Datos!$A$1:$L$1,1,RIGHT(Formulas!AY10)+2)&amp;IF(Formulas!AX10=1," "&amp;Formulas!AW10,"")&amp;":","")))</f>
        <v/>
      </c>
      <c r="AW13" s="107" t="str" cm="1">
        <f t="array" aca="1" ref="AW13" ca="1">IF(OR(Formulas!AX10=0,Formulas!AX10="",RIGHT(Formulas!AY10)="0"),"",
HYPERLINK("["&amp;Archivo_Nombre&amp;"]Datos!"&amp;LEFT(SUBSTITUTE(ADDRESS(1,RIGHT(Formulas!AY10)+2),"$",""))&amp;Formulas!AW10+1,
IFERROR(INDEX(Datos!$A$2:$L$101,Formulas!AW10,RIGHT(Formulas!AY10)+2),"")))</f>
        <v/>
      </c>
      <c r="AX13" s="107" t="str" cm="1">
        <f t="array" aca="1" ref="AX13" ca="1">IF(OR(Formulas!AY11=0,Formulas!AY11=""),"",HYPERLINK("["&amp;Archivo_Nombre&amp;"]Datos!"&amp;LEFT(SUBSTITUTE(ADDRESS(1,Formulas!AY11+2),"$",""))&amp;Formulas!AX11+1,
IFERROR(INDEX(Datos!$A$2:$L$101,Formulas!AX11,Formulas!AY11+2),"")))</f>
        <v/>
      </c>
      <c r="AY13" s="13"/>
    </row>
    <row r="14" spans="2:51" x14ac:dyDescent="0.25">
      <c r="B14" s="11"/>
      <c r="C14" s="24" t="str" cm="1">
        <f t="array" aca="1" ref="C14" ca="1">IF(OR(Formulas!E11=0,Formulas!E11="",RIGHT(Formulas!F11)="0"),"",
HYPERLINK("["&amp;Archivo_Nombre&amp;"]Datos!"&amp;LEFT(SUBSTITUTE(ADDRESS(1,IF(Formulas!E11=1,1,RIGHT(Formulas!F11)+2)),"$",""))&amp;Formulas!D11+1,
IFERROR(INDEX(Datos!$A$1:$L$1,1,RIGHT(Formulas!F11)+2)&amp;IF(Formulas!E11=1," "&amp;Formulas!D11,"")&amp;":","")))</f>
        <v/>
      </c>
      <c r="D14" s="107" t="str" cm="1">
        <f t="array" aca="1" ref="D14" ca="1">IF(OR(Formulas!E11=0,Formulas!E11="",RIGHT(Formulas!F11)="0"),"",
HYPERLINK("["&amp;Archivo_Nombre&amp;"]Datos!"&amp;LEFT(SUBSTITUTE(ADDRESS(1,RIGHT(Formulas!F11)+2),"$",""))&amp;Formulas!D11+1,
IFERROR(INDEX(Datos!$A$2:$L$101,Formulas!D11,RIGHT(Formulas!F11)+2),"")))</f>
        <v/>
      </c>
      <c r="E14" s="107" t="str" cm="1">
        <f t="array" aca="1" ref="E14" ca="1">IF(OR(Formulas!F12=0,Formulas!F12=""),"",HYPERLINK("["&amp;Archivo_Nombre&amp;"]Datos!"&amp;LEFT(SUBSTITUTE(ADDRESS(1,Formulas!F12+2),"$",""))&amp;Formulas!E12+1,
IFERROR(INDEX(Datos!$A$2:$L$101,Formulas!E12,Formulas!F12+2),"")))</f>
        <v/>
      </c>
      <c r="F14" s="5"/>
      <c r="G14" s="6"/>
      <c r="H14" s="24" t="str" cm="1">
        <f t="array" aca="1" ref="H14" ca="1">IF(OR(Formulas!J11=0,Formulas!J11="",RIGHT(Formulas!K11)="0"),"",
HYPERLINK("["&amp;Archivo_Nombre&amp;"]Datos!"&amp;LEFT(SUBSTITUTE(ADDRESS(1,IF(Formulas!J11=1,1,RIGHT(Formulas!K11)+2)),"$",""))&amp;Formulas!I11+1,
IFERROR(INDEX(Datos!$A$1:$L$1,1,RIGHT(Formulas!K11)+2)&amp;IF(Formulas!J11=1," "&amp;Formulas!I11,"")&amp;":","")))</f>
        <v/>
      </c>
      <c r="I14" s="107" t="str" cm="1">
        <f t="array" aca="1" ref="I14" ca="1">IF(OR(Formulas!J11=0,Formulas!J11="",RIGHT(Formulas!K11)="0"),"",
HYPERLINK("["&amp;Archivo_Nombre&amp;"]Datos!"&amp;LEFT(SUBSTITUTE(ADDRESS(1,RIGHT(Formulas!K11)+2),"$",""))&amp;Formulas!I11+1,
IFERROR(INDEX(Datos!$A$2:$L$101,Formulas!I11,RIGHT(Formulas!K11)+2),"")))</f>
        <v/>
      </c>
      <c r="J14" s="107" t="str" cm="1">
        <f t="array" aca="1" ref="J14" ca="1">IF(OR(Formulas!K12=0,Formulas!K12=""),"",HYPERLINK("["&amp;Archivo_Nombre&amp;"]Datos!"&amp;LEFT(SUBSTITUTE(ADDRESS(1,Formulas!K12+2),"$",""))&amp;Formulas!J12+1,
IFERROR(INDEX(Datos!$A$2:$L$101,Formulas!J12,Formulas!K12+2),"")))</f>
        <v/>
      </c>
      <c r="K14" s="5"/>
      <c r="L14" s="6"/>
      <c r="M14" s="24" t="str" cm="1">
        <f t="array" aca="1" ref="M14" ca="1">IF(OR(Formulas!O11=0,Formulas!O11="",RIGHT(Formulas!P11)="0"),"",
HYPERLINK("["&amp;Archivo_Nombre&amp;"]Datos!"&amp;LEFT(SUBSTITUTE(ADDRESS(1,IF(Formulas!O11=1,1,RIGHT(Formulas!P11)+2)),"$",""))&amp;Formulas!N11+1,
IFERROR(INDEX(Datos!$A$1:$L$1,1,RIGHT(Formulas!P11)+2)&amp;IF(Formulas!O11=1," "&amp;Formulas!N11,"")&amp;":","")))</f>
        <v/>
      </c>
      <c r="N14" s="107" t="str" cm="1">
        <f t="array" aca="1" ref="N14" ca="1">IF(OR(Formulas!O11=0,Formulas!O11="",RIGHT(Formulas!P11)="0"),"",
HYPERLINK("["&amp;Archivo_Nombre&amp;"]Datos!"&amp;LEFT(SUBSTITUTE(ADDRESS(1,RIGHT(Formulas!P11)+2),"$",""))&amp;Formulas!N11+1,
IFERROR(INDEX(Datos!$A$2:$L$101,Formulas!N11,RIGHT(Formulas!P11)+2),"")))</f>
        <v/>
      </c>
      <c r="O14" s="107" t="str" cm="1">
        <f t="array" aca="1" ref="O14" ca="1">IF(OR(Formulas!P12=0,Formulas!P12=""),"",HYPERLINK("["&amp;Archivo_Nombre&amp;"]Datos!"&amp;LEFT(SUBSTITUTE(ADDRESS(1,Formulas!P12+2),"$",""))&amp;Formulas!O12+1,
IFERROR(INDEX(Datos!$A$2:$L$101,Formulas!O12,Formulas!P12+2),"")))</f>
        <v/>
      </c>
      <c r="P14" s="5"/>
      <c r="Q14" s="6"/>
      <c r="R14" s="24" t="str" cm="1">
        <f t="array" aca="1" ref="R14" ca="1">IF(OR(Formulas!T11=0,Formulas!T11="",RIGHT(Formulas!U11)="0"),"",
HYPERLINK("["&amp;Archivo_Nombre&amp;"]Datos!"&amp;LEFT(SUBSTITUTE(ADDRESS(1,IF(Formulas!T11=1,1,RIGHT(Formulas!U11)+2)),"$",""))&amp;Formulas!S11+1,
IFERROR(INDEX(Datos!$A$1:$L$1,1,RIGHT(Formulas!U11)+2)&amp;IF(Formulas!T11=1," "&amp;Formulas!S11,"")&amp;":","")))</f>
        <v/>
      </c>
      <c r="S14" s="107" t="str" cm="1">
        <f t="array" aca="1" ref="S14" ca="1">IF(OR(Formulas!T11=0,Formulas!T11="",RIGHT(Formulas!U11)="0"),"",
HYPERLINK("["&amp;Archivo_Nombre&amp;"]Datos!"&amp;LEFT(SUBSTITUTE(ADDRESS(1,RIGHT(Formulas!U11)+2),"$",""))&amp;Formulas!S11+1,
IFERROR(INDEX(Datos!$A$2:$L$101,Formulas!S11,RIGHT(Formulas!U11)+2),"")))</f>
        <v/>
      </c>
      <c r="T14" s="107" t="str" cm="1">
        <f t="array" aca="1" ref="T14" ca="1">IF(OR(Formulas!U12=0,Formulas!U12=""),"",HYPERLINK("["&amp;Archivo_Nombre&amp;"]Datos!"&amp;LEFT(SUBSTITUTE(ADDRESS(1,Formulas!U12+2),"$",""))&amp;Formulas!T12+1,
IFERROR(INDEX(Datos!$A$2:$L$101,Formulas!T12,Formulas!U12+2),"")))</f>
        <v/>
      </c>
      <c r="U14" s="5"/>
      <c r="V14" s="6"/>
      <c r="W14" s="24" t="str" cm="1">
        <f t="array" aca="1" ref="W14" ca="1">IF(OR(Formulas!Y11=0,Formulas!Y11="",RIGHT(Formulas!Z11)="0"),"",
HYPERLINK("["&amp;Archivo_Nombre&amp;"]Datos!"&amp;LEFT(SUBSTITUTE(ADDRESS(1,IF(Formulas!Y11=1,1,RIGHT(Formulas!Z11)+2)),"$",""))&amp;Formulas!X11+1,
IFERROR(INDEX(Datos!$A$1:$L$1,1,RIGHT(Formulas!Z11)+2)&amp;IF(Formulas!Y11=1," "&amp;Formulas!X11,"")&amp;":","")))</f>
        <v/>
      </c>
      <c r="X14" s="107" t="str" cm="1">
        <f t="array" aca="1" ref="X14" ca="1">IF(OR(Formulas!Y11=0,Formulas!Y11="",RIGHT(Formulas!Z11)="0"),"",
HYPERLINK("["&amp;Archivo_Nombre&amp;"]Datos!"&amp;LEFT(SUBSTITUTE(ADDRESS(1,RIGHT(Formulas!Z11)+2),"$",""))&amp;Formulas!X11+1,
IFERROR(INDEX(Datos!$A$2:$L$101,Formulas!X11,RIGHT(Formulas!Z11)+2),"")))</f>
        <v/>
      </c>
      <c r="Y14" s="107" t="str" cm="1">
        <f t="array" aca="1" ref="Y14" ca="1">IF(OR(Formulas!Z12=0,Formulas!Z12=""),"",HYPERLINK("["&amp;Archivo_Nombre&amp;"]Datos!"&amp;LEFT(SUBSTITUTE(ADDRESS(1,Formulas!Z12+2),"$",""))&amp;Formulas!Y12+1,
IFERROR(INDEX(Datos!$A$2:$L$101,Formulas!Y12,Formulas!Z12+2),"")))</f>
        <v/>
      </c>
      <c r="Z14" s="13"/>
      <c r="AA14" s="6"/>
      <c r="AB14" s="24" t="str" cm="1">
        <f t="array" aca="1" ref="AB14" ca="1">IF(OR(Formulas!AD11=0,Formulas!AD11="",RIGHT(Formulas!AE11)="0"),"",
HYPERLINK("["&amp;Archivo_Nombre&amp;"]Datos!"&amp;LEFT(SUBSTITUTE(ADDRESS(1,IF(Formulas!AD11=1,1,RIGHT(Formulas!AE11)+2)),"$",""))&amp;Formulas!AC11+1,
IFERROR(INDEX(Datos!$A$1:$L$1,1,RIGHT(Formulas!AE11)+2)&amp;IF(Formulas!AD11=1," "&amp;Formulas!AC11,"")&amp;":","")))</f>
        <v/>
      </c>
      <c r="AC14" s="107" t="str" cm="1">
        <f t="array" aca="1" ref="AC14" ca="1">IF(OR(Formulas!AD11=0,Formulas!AD11="",RIGHT(Formulas!AE11)="0"),"",
HYPERLINK("["&amp;Archivo_Nombre&amp;"]Datos!"&amp;LEFT(SUBSTITUTE(ADDRESS(1,RIGHT(Formulas!AE11)+2),"$",""))&amp;Formulas!AC11+1,
IFERROR(INDEX(Datos!$A$2:$L$101,Formulas!AC11,RIGHT(Formulas!AE11)+2),"")))</f>
        <v/>
      </c>
      <c r="AD14" s="107" t="str" cm="1">
        <f t="array" aca="1" ref="AD14" ca="1">IF(OR(Formulas!AE12=0,Formulas!AE12=""),"",HYPERLINK("["&amp;Archivo_Nombre&amp;"]Datos!"&amp;LEFT(SUBSTITUTE(ADDRESS(1,Formulas!AE12+2),"$",""))&amp;Formulas!AD12+1,
IFERROR(INDEX(Datos!$A$2:$L$101,Formulas!AD12,Formulas!AE12+2),"")))</f>
        <v/>
      </c>
      <c r="AE14" s="13"/>
      <c r="AF14" s="6"/>
      <c r="AG14" s="24" t="str" cm="1">
        <f t="array" aca="1" ref="AG14" ca="1">IF(OR(Formulas!AI11=0,Formulas!AI11="",RIGHT(Formulas!AJ11)="0"),"",
HYPERLINK("["&amp;Archivo_Nombre&amp;"]Datos!"&amp;LEFT(SUBSTITUTE(ADDRESS(1,IF(Formulas!AI11=1,1,RIGHT(Formulas!AJ11)+2)),"$",""))&amp;Formulas!AH11+1,
IFERROR(INDEX(Datos!$A$1:$L$1,1,RIGHT(Formulas!AJ11)+2)&amp;IF(Formulas!AI11=1," "&amp;Formulas!AH11,"")&amp;":","")))</f>
        <v/>
      </c>
      <c r="AH14" s="107" t="str" cm="1">
        <f t="array" aca="1" ref="AH14" ca="1">IF(OR(Formulas!AI11=0,Formulas!AI11="",RIGHT(Formulas!AJ11)="0"),"",
HYPERLINK("["&amp;Archivo_Nombre&amp;"]Datos!"&amp;LEFT(SUBSTITUTE(ADDRESS(1,RIGHT(Formulas!AJ11)+2),"$",""))&amp;Formulas!AH11+1,
IFERROR(INDEX(Datos!$A$2:$L$101,Formulas!AH11,RIGHT(Formulas!AJ11)+2),"")))</f>
        <v/>
      </c>
      <c r="AI14" s="107" t="str" cm="1">
        <f t="array" aca="1" ref="AI14" ca="1">IF(OR(Formulas!AJ12=0,Formulas!AJ12=""),"",HYPERLINK("["&amp;Archivo_Nombre&amp;"]Datos!"&amp;LEFT(SUBSTITUTE(ADDRESS(1,Formulas!AJ12+2),"$",""))&amp;Formulas!AI12+1,
IFERROR(INDEX(Datos!$A$2:$L$101,Formulas!AI12,Formulas!AJ12+2),"")))</f>
        <v/>
      </c>
      <c r="AJ14" s="13"/>
      <c r="AK14" s="6"/>
      <c r="AL14" s="24" t="str" cm="1">
        <f t="array" aca="1" ref="AL14" ca="1">IF(OR(Formulas!AN11=0,Formulas!AN11="",RIGHT(Formulas!AO11)="0"),"",
HYPERLINK("["&amp;Archivo_Nombre&amp;"]Datos!"&amp;LEFT(SUBSTITUTE(ADDRESS(1,IF(Formulas!AN11=1,1,RIGHT(Formulas!AO11)+2)),"$",""))&amp;Formulas!AM11+1,
IFERROR(INDEX(Datos!$A$1:$L$1,1,RIGHT(Formulas!AO11)+2)&amp;IF(Formulas!AN11=1," "&amp;Formulas!AM11,"")&amp;":","")))</f>
        <v/>
      </c>
      <c r="AM14" s="107" t="str" cm="1">
        <f t="array" aca="1" ref="AM14" ca="1">IF(OR(Formulas!AN11=0,Formulas!AN11="",RIGHT(Formulas!AO11)="0"),"",
HYPERLINK("["&amp;Archivo_Nombre&amp;"]Datos!"&amp;LEFT(SUBSTITUTE(ADDRESS(1,RIGHT(Formulas!AO11)+2),"$",""))&amp;Formulas!AM11+1,
IFERROR(INDEX(Datos!$A$2:$L$101,Formulas!AM11,RIGHT(Formulas!AO11)+2),"")))</f>
        <v/>
      </c>
      <c r="AN14" s="107" t="str" cm="1">
        <f t="array" aca="1" ref="AN14" ca="1">IF(OR(Formulas!AO12=0,Formulas!AO12=""),"",HYPERLINK("["&amp;Archivo_Nombre&amp;"]Datos!"&amp;LEFT(SUBSTITUTE(ADDRESS(1,Formulas!AO12+2),"$",""))&amp;Formulas!AN12+1,
IFERROR(INDEX(Datos!$A$2:$L$101,Formulas!AN12,Formulas!AO12+2),"")))</f>
        <v/>
      </c>
      <c r="AO14" s="13"/>
      <c r="AP14" s="6"/>
      <c r="AQ14" s="24" t="str" cm="1">
        <f t="array" aca="1" ref="AQ14" ca="1">IF(OR(Formulas!AS11=0,Formulas!AS11="",RIGHT(Formulas!AT11)="0"),"",
HYPERLINK("["&amp;Archivo_Nombre&amp;"]Datos!"&amp;LEFT(SUBSTITUTE(ADDRESS(1,IF(Formulas!AS11=1,1,RIGHT(Formulas!AT11)+2)),"$",""))&amp;Formulas!AR11+1,
IFERROR(INDEX(Datos!$A$1:$L$1,1,RIGHT(Formulas!AT11)+2)&amp;IF(Formulas!AS11=1," "&amp;Formulas!AR11,"")&amp;":","")))</f>
        <v/>
      </c>
      <c r="AR14" s="107" t="str" cm="1">
        <f t="array" aca="1" ref="AR14" ca="1">IF(OR(Formulas!AS11=0,Formulas!AS11="",RIGHT(Formulas!AT11)="0"),"",
HYPERLINK("["&amp;Archivo_Nombre&amp;"]Datos!"&amp;LEFT(SUBSTITUTE(ADDRESS(1,RIGHT(Formulas!AT11)+2),"$",""))&amp;Formulas!AR11+1,
IFERROR(INDEX(Datos!$A$2:$L$101,Formulas!AR11,RIGHT(Formulas!AT11)+2),"")))</f>
        <v/>
      </c>
      <c r="AS14" s="107" t="str" cm="1">
        <f t="array" aca="1" ref="AS14" ca="1">IF(OR(Formulas!AT12=0,Formulas!AT12=""),"",HYPERLINK("["&amp;Archivo_Nombre&amp;"]Datos!"&amp;LEFT(SUBSTITUTE(ADDRESS(1,Formulas!AT12+2),"$",""))&amp;Formulas!AS12+1,
IFERROR(INDEX(Datos!$A$2:$L$101,Formulas!AS12,Formulas!AT12+2),"")))</f>
        <v/>
      </c>
      <c r="AT14" s="13"/>
      <c r="AU14" s="6"/>
      <c r="AV14" s="24" t="str" cm="1">
        <f t="array" aca="1" ref="AV14" ca="1">IF(OR(Formulas!AX11=0,Formulas!AX11="",RIGHT(Formulas!AY11)="0"),"",
HYPERLINK("["&amp;Archivo_Nombre&amp;"]Datos!"&amp;LEFT(SUBSTITUTE(ADDRESS(1,IF(Formulas!AX11=1,1,RIGHT(Formulas!AY11)+2)),"$",""))&amp;Formulas!AW11+1,
IFERROR(INDEX(Datos!$A$1:$L$1,1,RIGHT(Formulas!AY11)+2)&amp;IF(Formulas!AX11=1," "&amp;Formulas!AW11,"")&amp;":","")))</f>
        <v/>
      </c>
      <c r="AW14" s="107" t="str" cm="1">
        <f t="array" aca="1" ref="AW14" ca="1">IF(OR(Formulas!AX11=0,Formulas!AX11="",RIGHT(Formulas!AY11)="0"),"",
HYPERLINK("["&amp;Archivo_Nombre&amp;"]Datos!"&amp;LEFT(SUBSTITUTE(ADDRESS(1,RIGHT(Formulas!AY11)+2),"$",""))&amp;Formulas!AW11+1,
IFERROR(INDEX(Datos!$A$2:$L$101,Formulas!AW11,RIGHT(Formulas!AY11)+2),"")))</f>
        <v/>
      </c>
      <c r="AX14" s="107" t="str" cm="1">
        <f t="array" aca="1" ref="AX14" ca="1">IF(OR(Formulas!AY12=0,Formulas!AY12=""),"",HYPERLINK("["&amp;Archivo_Nombre&amp;"]Datos!"&amp;LEFT(SUBSTITUTE(ADDRESS(1,Formulas!AY12+2),"$",""))&amp;Formulas!AX12+1,
IFERROR(INDEX(Datos!$A$2:$L$101,Formulas!AX12,Formulas!AY12+2),"")))</f>
        <v/>
      </c>
      <c r="AY14" s="13"/>
    </row>
    <row r="15" spans="2:51" x14ac:dyDescent="0.25">
      <c r="B15" s="11"/>
      <c r="C15" s="24" t="str" cm="1">
        <f t="array" aca="1" ref="C15" ca="1">IF(OR(Formulas!E12=0,Formulas!E12="",RIGHT(Formulas!F12)="0"),"",
HYPERLINK("["&amp;Archivo_Nombre&amp;"]Datos!"&amp;LEFT(SUBSTITUTE(ADDRESS(1,IF(Formulas!E12=1,1,RIGHT(Formulas!F12)+2)),"$",""))&amp;Formulas!D12+1,
IFERROR(INDEX(Datos!$A$1:$L$1,1,RIGHT(Formulas!F12)+2)&amp;IF(Formulas!E12=1," "&amp;Formulas!D12,"")&amp;":","")))</f>
        <v/>
      </c>
      <c r="D15" s="107" t="str" cm="1">
        <f t="array" aca="1" ref="D15" ca="1">IF(OR(Formulas!E12=0,Formulas!E12="",RIGHT(Formulas!F12)="0"),"",
HYPERLINK("["&amp;Archivo_Nombre&amp;"]Datos!"&amp;LEFT(SUBSTITUTE(ADDRESS(1,RIGHT(Formulas!F12)+2),"$",""))&amp;Formulas!D12+1,
IFERROR(INDEX(Datos!$A$2:$L$101,Formulas!D12,RIGHT(Formulas!F12)+2),"")))</f>
        <v/>
      </c>
      <c r="E15" s="107" t="str" cm="1">
        <f t="array" aca="1" ref="E15" ca="1">IF(OR(Formulas!F13=0,Formulas!F13=""),"",HYPERLINK("["&amp;Archivo_Nombre&amp;"]Datos!"&amp;LEFT(SUBSTITUTE(ADDRESS(1,Formulas!F13+2),"$",""))&amp;Formulas!E13+1,
IFERROR(INDEX(Datos!$A$2:$L$101,Formulas!E13,Formulas!F13+2),"")))</f>
        <v/>
      </c>
      <c r="F15" s="5"/>
      <c r="G15" s="6"/>
      <c r="H15" s="24" t="str" cm="1">
        <f t="array" aca="1" ref="H15" ca="1">IF(OR(Formulas!J12=0,Formulas!J12="",RIGHT(Formulas!K12)="0"),"",
HYPERLINK("["&amp;Archivo_Nombre&amp;"]Datos!"&amp;LEFT(SUBSTITUTE(ADDRESS(1,IF(Formulas!J12=1,1,RIGHT(Formulas!K12)+2)),"$",""))&amp;Formulas!I12+1,
IFERROR(INDEX(Datos!$A$1:$L$1,1,RIGHT(Formulas!K12)+2)&amp;IF(Formulas!J12=1," "&amp;Formulas!I12,"")&amp;":","")))</f>
        <v/>
      </c>
      <c r="I15" s="107" t="str" cm="1">
        <f t="array" aca="1" ref="I15" ca="1">IF(OR(Formulas!J12=0,Formulas!J12="",RIGHT(Formulas!K12)="0"),"",
HYPERLINK("["&amp;Archivo_Nombre&amp;"]Datos!"&amp;LEFT(SUBSTITUTE(ADDRESS(1,RIGHT(Formulas!K12)+2),"$",""))&amp;Formulas!I12+1,
IFERROR(INDEX(Datos!$A$2:$L$101,Formulas!I12,RIGHT(Formulas!K12)+2),"")))</f>
        <v/>
      </c>
      <c r="J15" s="107" t="e" cm="1">
        <f t="array" aca="1" ref="J15" ca="1">IF(OR(Formulas!K13=0,Formulas!K13=""),"",HYPERLINK("["&amp;Archivo_Nombre&amp;"]Datos!"&amp;LEFT(SUBSTITUTE(ADDRESS(1,Formulas!K13+2),"$",""))&amp;Formulas!J13+1,
IFERROR(INDEX(Datos!$A$2:$L$101,Formulas!J13,Formulas!K13+2),"")))</f>
        <v>#VALUE!</v>
      </c>
      <c r="K15" s="5"/>
      <c r="L15" s="6"/>
      <c r="M15" s="24" t="str" cm="1">
        <f t="array" aca="1" ref="M15" ca="1">IF(OR(Formulas!O12=0,Formulas!O12="",RIGHT(Formulas!P12)="0"),"",
HYPERLINK("["&amp;Archivo_Nombre&amp;"]Datos!"&amp;LEFT(SUBSTITUTE(ADDRESS(1,IF(Formulas!O12=1,1,RIGHT(Formulas!P12)+2)),"$",""))&amp;Formulas!N12+1,
IFERROR(INDEX(Datos!$A$1:$L$1,1,RIGHT(Formulas!P12)+2)&amp;IF(Formulas!O12=1," "&amp;Formulas!N12,"")&amp;":","")))</f>
        <v/>
      </c>
      <c r="N15" s="107" t="str" cm="1">
        <f t="array" aca="1" ref="N15" ca="1">IF(OR(Formulas!O12=0,Formulas!O12="",RIGHT(Formulas!P12)="0"),"",
HYPERLINK("["&amp;Archivo_Nombre&amp;"]Datos!"&amp;LEFT(SUBSTITUTE(ADDRESS(1,RIGHT(Formulas!P12)+2),"$",""))&amp;Formulas!N12+1,
IFERROR(INDEX(Datos!$A$2:$L$101,Formulas!N12,RIGHT(Formulas!P12)+2),"")))</f>
        <v/>
      </c>
      <c r="O15" s="107" t="str" cm="1">
        <f t="array" aca="1" ref="O15" ca="1">IF(OR(Formulas!P13=0,Formulas!P13=""),"",HYPERLINK("["&amp;Archivo_Nombre&amp;"]Datos!"&amp;LEFT(SUBSTITUTE(ADDRESS(1,Formulas!P13+2),"$",""))&amp;Formulas!O13+1,
IFERROR(INDEX(Datos!$A$2:$L$101,Formulas!O13,Formulas!P13+2),"")))</f>
        <v/>
      </c>
      <c r="P15" s="5"/>
      <c r="Q15" s="6"/>
      <c r="R15" s="24" t="str" cm="1">
        <f t="array" aca="1" ref="R15" ca="1">IF(OR(Formulas!T12=0,Formulas!T12="",RIGHT(Formulas!U12)="0"),"",
HYPERLINK("["&amp;Archivo_Nombre&amp;"]Datos!"&amp;LEFT(SUBSTITUTE(ADDRESS(1,IF(Formulas!T12=1,1,RIGHT(Formulas!U12)+2)),"$",""))&amp;Formulas!S12+1,
IFERROR(INDEX(Datos!$A$1:$L$1,1,RIGHT(Formulas!U12)+2)&amp;IF(Formulas!T12=1," "&amp;Formulas!S12,"")&amp;":","")))</f>
        <v/>
      </c>
      <c r="S15" s="107" t="str" cm="1">
        <f t="array" aca="1" ref="S15" ca="1">IF(OR(Formulas!T12=0,Formulas!T12="",RIGHT(Formulas!U12)="0"),"",
HYPERLINK("["&amp;Archivo_Nombre&amp;"]Datos!"&amp;LEFT(SUBSTITUTE(ADDRESS(1,RIGHT(Formulas!U12)+2),"$",""))&amp;Formulas!S12+1,
IFERROR(INDEX(Datos!$A$2:$L$101,Formulas!S12,RIGHT(Formulas!U12)+2),"")))</f>
        <v/>
      </c>
      <c r="T15" s="107" t="e" cm="1">
        <f t="array" aca="1" ref="T15" ca="1">IF(OR(Formulas!U13=0,Formulas!U13=""),"",HYPERLINK("["&amp;Archivo_Nombre&amp;"]Datos!"&amp;LEFT(SUBSTITUTE(ADDRESS(1,Formulas!U13+2),"$",""))&amp;Formulas!T13+1,
IFERROR(INDEX(Datos!$A$2:$L$101,Formulas!T13,Formulas!U13+2),"")))</f>
        <v>#VALUE!</v>
      </c>
      <c r="U15" s="5"/>
      <c r="V15" s="6"/>
      <c r="W15" s="24" t="str" cm="1">
        <f t="array" aca="1" ref="W15" ca="1">IF(OR(Formulas!Y12=0,Formulas!Y12="",RIGHT(Formulas!Z12)="0"),"",
HYPERLINK("["&amp;Archivo_Nombre&amp;"]Datos!"&amp;LEFT(SUBSTITUTE(ADDRESS(1,IF(Formulas!Y12=1,1,RIGHT(Formulas!Z12)+2)),"$",""))&amp;Formulas!X12+1,
IFERROR(INDEX(Datos!$A$1:$L$1,1,RIGHT(Formulas!Z12)+2)&amp;IF(Formulas!Y12=1," "&amp;Formulas!X12,"")&amp;":","")))</f>
        <v/>
      </c>
      <c r="X15" s="107" t="str" cm="1">
        <f t="array" aca="1" ref="X15" ca="1">IF(OR(Formulas!Y12=0,Formulas!Y12="",RIGHT(Formulas!Z12)="0"),"",
HYPERLINK("["&amp;Archivo_Nombre&amp;"]Datos!"&amp;LEFT(SUBSTITUTE(ADDRESS(1,RIGHT(Formulas!Z12)+2),"$",""))&amp;Formulas!X12+1,
IFERROR(INDEX(Datos!$A$2:$L$101,Formulas!X12,RIGHT(Formulas!Z12)+2),"")))</f>
        <v/>
      </c>
      <c r="Y15" s="107" t="str" cm="1">
        <f t="array" aca="1" ref="Y15" ca="1">IF(OR(Formulas!Z13=0,Formulas!Z13=""),"",HYPERLINK("["&amp;Archivo_Nombre&amp;"]Datos!"&amp;LEFT(SUBSTITUTE(ADDRESS(1,Formulas!Z13+2),"$",""))&amp;Formulas!Y13+1,
IFERROR(INDEX(Datos!$A$2:$L$101,Formulas!Y13,Formulas!Z13+2),"")))</f>
        <v/>
      </c>
      <c r="Z15" s="13"/>
      <c r="AA15" s="6"/>
      <c r="AB15" s="24" t="str" cm="1">
        <f t="array" aca="1" ref="AB15" ca="1">IF(OR(Formulas!AD12=0,Formulas!AD12="",RIGHT(Formulas!AE12)="0"),"",
HYPERLINK("["&amp;Archivo_Nombre&amp;"]Datos!"&amp;LEFT(SUBSTITUTE(ADDRESS(1,IF(Formulas!AD12=1,1,RIGHT(Formulas!AE12)+2)),"$",""))&amp;Formulas!AC12+1,
IFERROR(INDEX(Datos!$A$1:$L$1,1,RIGHT(Formulas!AE12)+2)&amp;IF(Formulas!AD12=1," "&amp;Formulas!AC12,"")&amp;":","")))</f>
        <v/>
      </c>
      <c r="AC15" s="107" t="str" cm="1">
        <f t="array" aca="1" ref="AC15" ca="1">IF(OR(Formulas!AD12=0,Formulas!AD12="",RIGHT(Formulas!AE12)="0"),"",
HYPERLINK("["&amp;Archivo_Nombre&amp;"]Datos!"&amp;LEFT(SUBSTITUTE(ADDRESS(1,RIGHT(Formulas!AE12)+2),"$",""))&amp;Formulas!AC12+1,
IFERROR(INDEX(Datos!$A$2:$L$101,Formulas!AC12,RIGHT(Formulas!AE12)+2),"")))</f>
        <v/>
      </c>
      <c r="AD15" s="107" t="str" cm="1">
        <f t="array" aca="1" ref="AD15" ca="1">IF(OR(Formulas!AE13=0,Formulas!AE13=""),"",HYPERLINK("["&amp;Archivo_Nombre&amp;"]Datos!"&amp;LEFT(SUBSTITUTE(ADDRESS(1,Formulas!AE13+2),"$",""))&amp;Formulas!AD13+1,
IFERROR(INDEX(Datos!$A$2:$L$101,Formulas!AD13,Formulas!AE13+2),"")))</f>
        <v/>
      </c>
      <c r="AE15" s="13"/>
      <c r="AF15" s="6"/>
      <c r="AG15" s="24" t="str" cm="1">
        <f t="array" aca="1" ref="AG15" ca="1">IF(OR(Formulas!AI12=0,Formulas!AI12="",RIGHT(Formulas!AJ12)="0"),"",
HYPERLINK("["&amp;Archivo_Nombre&amp;"]Datos!"&amp;LEFT(SUBSTITUTE(ADDRESS(1,IF(Formulas!AI12=1,1,RIGHT(Formulas!AJ12)+2)),"$",""))&amp;Formulas!AH12+1,
IFERROR(INDEX(Datos!$A$1:$L$1,1,RIGHT(Formulas!AJ12)+2)&amp;IF(Formulas!AI12=1," "&amp;Formulas!AH12,"")&amp;":","")))</f>
        <v/>
      </c>
      <c r="AH15" s="107" t="str" cm="1">
        <f t="array" aca="1" ref="AH15" ca="1">IF(OR(Formulas!AI12=0,Formulas!AI12="",RIGHT(Formulas!AJ12)="0"),"",
HYPERLINK("["&amp;Archivo_Nombre&amp;"]Datos!"&amp;LEFT(SUBSTITUTE(ADDRESS(1,RIGHT(Formulas!AJ12)+2),"$",""))&amp;Formulas!AH12+1,
IFERROR(INDEX(Datos!$A$2:$L$101,Formulas!AH12,RIGHT(Formulas!AJ12)+2),"")))</f>
        <v/>
      </c>
      <c r="AI15" s="107" t="str" cm="1">
        <f t="array" aca="1" ref="AI15" ca="1">IF(OR(Formulas!AJ13=0,Formulas!AJ13=""),"",HYPERLINK("["&amp;Archivo_Nombre&amp;"]Datos!"&amp;LEFT(SUBSTITUTE(ADDRESS(1,Formulas!AJ13+2),"$",""))&amp;Formulas!AI13+1,
IFERROR(INDEX(Datos!$A$2:$L$101,Formulas!AI13,Formulas!AJ13+2),"")))</f>
        <v/>
      </c>
      <c r="AJ15" s="13"/>
      <c r="AK15" s="6"/>
      <c r="AL15" s="24" t="str" cm="1">
        <f t="array" aca="1" ref="AL15" ca="1">IF(OR(Formulas!AN12=0,Formulas!AN12="",RIGHT(Formulas!AO12)="0"),"",
HYPERLINK("["&amp;Archivo_Nombre&amp;"]Datos!"&amp;LEFT(SUBSTITUTE(ADDRESS(1,IF(Formulas!AN12=1,1,RIGHT(Formulas!AO12)+2)),"$",""))&amp;Formulas!AM12+1,
IFERROR(INDEX(Datos!$A$1:$L$1,1,RIGHT(Formulas!AO12)+2)&amp;IF(Formulas!AN12=1," "&amp;Formulas!AM12,"")&amp;":","")))</f>
        <v/>
      </c>
      <c r="AM15" s="107" t="str" cm="1">
        <f t="array" aca="1" ref="AM15" ca="1">IF(OR(Formulas!AN12=0,Formulas!AN12="",RIGHT(Formulas!AO12)="0"),"",
HYPERLINK("["&amp;Archivo_Nombre&amp;"]Datos!"&amp;LEFT(SUBSTITUTE(ADDRESS(1,RIGHT(Formulas!AO12)+2),"$",""))&amp;Formulas!AM12+1,
IFERROR(INDEX(Datos!$A$2:$L$101,Formulas!AM12,RIGHT(Formulas!AO12)+2),"")))</f>
        <v/>
      </c>
      <c r="AN15" s="107" t="str" cm="1">
        <f t="array" aca="1" ref="AN15" ca="1">IF(OR(Formulas!AO13=0,Formulas!AO13=""),"",HYPERLINK("["&amp;Archivo_Nombre&amp;"]Datos!"&amp;LEFT(SUBSTITUTE(ADDRESS(1,Formulas!AO13+2),"$",""))&amp;Formulas!AN13+1,
IFERROR(INDEX(Datos!$A$2:$L$101,Formulas!AN13,Formulas!AO13+2),"")))</f>
        <v/>
      </c>
      <c r="AO15" s="13"/>
      <c r="AP15" s="6"/>
      <c r="AQ15" s="24" t="str" cm="1">
        <f t="array" aca="1" ref="AQ15" ca="1">IF(OR(Formulas!AS12=0,Formulas!AS12="",RIGHT(Formulas!AT12)="0"),"",
HYPERLINK("["&amp;Archivo_Nombre&amp;"]Datos!"&amp;LEFT(SUBSTITUTE(ADDRESS(1,IF(Formulas!AS12=1,1,RIGHT(Formulas!AT12)+2)),"$",""))&amp;Formulas!AR12+1,
IFERROR(INDEX(Datos!$A$1:$L$1,1,RIGHT(Formulas!AT12)+2)&amp;IF(Formulas!AS12=1," "&amp;Formulas!AR12,"")&amp;":","")))</f>
        <v/>
      </c>
      <c r="AR15" s="107" t="str" cm="1">
        <f t="array" aca="1" ref="AR15" ca="1">IF(OR(Formulas!AS12=0,Formulas!AS12="",RIGHT(Formulas!AT12)="0"),"",
HYPERLINK("["&amp;Archivo_Nombre&amp;"]Datos!"&amp;LEFT(SUBSTITUTE(ADDRESS(1,RIGHT(Formulas!AT12)+2),"$",""))&amp;Formulas!AR12+1,
IFERROR(INDEX(Datos!$A$2:$L$101,Formulas!AR12,RIGHT(Formulas!AT12)+2),"")))</f>
        <v/>
      </c>
      <c r="AS15" s="107" t="str" cm="1">
        <f t="array" aca="1" ref="AS15" ca="1">IF(OR(Formulas!AT13=0,Formulas!AT13=""),"",HYPERLINK("["&amp;Archivo_Nombre&amp;"]Datos!"&amp;LEFT(SUBSTITUTE(ADDRESS(1,Formulas!AT13+2),"$",""))&amp;Formulas!AS13+1,
IFERROR(INDEX(Datos!$A$2:$L$101,Formulas!AS13,Formulas!AT13+2),"")))</f>
        <v/>
      </c>
      <c r="AT15" s="13"/>
      <c r="AU15" s="6"/>
      <c r="AV15" s="24" t="str" cm="1">
        <f t="array" aca="1" ref="AV15" ca="1">IF(OR(Formulas!AX12=0,Formulas!AX12="",RIGHT(Formulas!AY12)="0"),"",
HYPERLINK("["&amp;Archivo_Nombre&amp;"]Datos!"&amp;LEFT(SUBSTITUTE(ADDRESS(1,IF(Formulas!AX12=1,1,RIGHT(Formulas!AY12)+2)),"$",""))&amp;Formulas!AW12+1,
IFERROR(INDEX(Datos!$A$1:$L$1,1,RIGHT(Formulas!AY12)+2)&amp;IF(Formulas!AX12=1," "&amp;Formulas!AW12,"")&amp;":","")))</f>
        <v/>
      </c>
      <c r="AW15" s="107" t="str" cm="1">
        <f t="array" aca="1" ref="AW15" ca="1">IF(OR(Formulas!AX12=0,Formulas!AX12="",RIGHT(Formulas!AY12)="0"),"",
HYPERLINK("["&amp;Archivo_Nombre&amp;"]Datos!"&amp;LEFT(SUBSTITUTE(ADDRESS(1,RIGHT(Formulas!AY12)+2),"$",""))&amp;Formulas!AW12+1,
IFERROR(INDEX(Datos!$A$2:$L$101,Formulas!AW12,RIGHT(Formulas!AY12)+2),"")))</f>
        <v/>
      </c>
      <c r="AX15" s="107" t="str" cm="1">
        <f t="array" aca="1" ref="AX15" ca="1">IF(OR(Formulas!AY13=0,Formulas!AY13=""),"",HYPERLINK("["&amp;Archivo_Nombre&amp;"]Datos!"&amp;LEFT(SUBSTITUTE(ADDRESS(1,Formulas!AY13+2),"$",""))&amp;Formulas!AX13+1,
IFERROR(INDEX(Datos!$A$2:$L$101,Formulas!AX13,Formulas!AY13+2),"")))</f>
        <v/>
      </c>
      <c r="AY15" s="13"/>
    </row>
    <row r="16" spans="2:51" x14ac:dyDescent="0.25">
      <c r="B16" s="11"/>
      <c r="C16" s="24" t="str" cm="1">
        <f t="array" aca="1" ref="C16" ca="1">IF(OR(Formulas!E13=0,Formulas!E13="",RIGHT(Formulas!F13)="0"),"",
HYPERLINK("["&amp;Archivo_Nombre&amp;"]Datos!"&amp;LEFT(SUBSTITUTE(ADDRESS(1,IF(Formulas!E13=1,1,RIGHT(Formulas!F13)+2)),"$",""))&amp;Formulas!D13+1,
IFERROR(INDEX(Datos!$A$1:$L$1,1,RIGHT(Formulas!F13)+2)&amp;IF(Formulas!E13=1," "&amp;Formulas!D13,"")&amp;":","")))</f>
        <v/>
      </c>
      <c r="D16" s="107" t="str" cm="1">
        <f t="array" aca="1" ref="D16" ca="1">IF(OR(Formulas!E13=0,Formulas!E13="",RIGHT(Formulas!F13)="0"),"",
HYPERLINK("["&amp;Archivo_Nombre&amp;"]Datos!"&amp;LEFT(SUBSTITUTE(ADDRESS(1,RIGHT(Formulas!F13)+2),"$",""))&amp;Formulas!D13+1,
IFERROR(INDEX(Datos!$A$2:$L$101,Formulas!D13,RIGHT(Formulas!F13)+2),"")))</f>
        <v/>
      </c>
      <c r="E16" s="107" t="str" cm="1">
        <f t="array" aca="1" ref="E16" ca="1">IF(OR(Formulas!F14=0,Formulas!F14=""),"",HYPERLINK("["&amp;Archivo_Nombre&amp;"]Datos!"&amp;LEFT(SUBSTITUTE(ADDRESS(1,Formulas!F14+2),"$",""))&amp;Formulas!E14+1,
IFERROR(INDEX(Datos!$A$2:$L$101,Formulas!E14,Formulas!F14+2),"")))</f>
        <v/>
      </c>
      <c r="F16" s="5"/>
      <c r="G16" s="6"/>
      <c r="H16" s="24" t="str" cm="1">
        <f t="array" aca="1" ref="H16" ca="1">IF(OR(Formulas!J13=0,Formulas!J13="",RIGHT(Formulas!K13)="0"),"",
HYPERLINK("["&amp;Archivo_Nombre&amp;"]Datos!"&amp;LEFT(SUBSTITUTE(ADDRESS(1,IF(Formulas!J13=1,1,RIGHT(Formulas!K13)+2)),"$",""))&amp;Formulas!I13+1,
IFERROR(INDEX(Datos!$A$1:$L$1,1,RIGHT(Formulas!K13)+2)&amp;IF(Formulas!J13=1," "&amp;Formulas!I13,"")&amp;":","")))</f>
        <v>ORDEN PCRONOLOGICO 32:</v>
      </c>
      <c r="I16" s="107" cm="1">
        <f t="array" aca="1" ref="I16" ca="1">IF(OR(Formulas!J13=0,Formulas!J13="",RIGHT(Formulas!K13)="0"),"",
HYPERLINK("["&amp;Archivo_Nombre&amp;"]Datos!"&amp;LEFT(SUBSTITUTE(ADDRESS(1,RIGHT(Formulas!K13)+2),"$",""))&amp;Formulas!I13+1,
IFERROR(INDEX(Datos!$A$2:$L$101,Formulas!I13,RIGHT(Formulas!K13)+2),"")))</f>
        <v>0</v>
      </c>
      <c r="J16" s="107" t="e" cm="1">
        <f t="array" aca="1" ref="J16" ca="1">IF(OR(Formulas!K14=0,Formulas!K14=""),"",HYPERLINK("["&amp;Archivo_Nombre&amp;"]Datos!"&amp;LEFT(SUBSTITUTE(ADDRESS(1,Formulas!K14+2),"$",""))&amp;Formulas!J14+1,
IFERROR(INDEX(Datos!$A$2:$L$101,Formulas!J14,Formulas!K14+2),"")))</f>
        <v>#VALUE!</v>
      </c>
      <c r="K16" s="5"/>
      <c r="L16" s="6"/>
      <c r="M16" s="24" t="str" cm="1">
        <f t="array" aca="1" ref="M16" ca="1">IF(OR(Formulas!O13=0,Formulas!O13="",RIGHT(Formulas!P13)="0"),"",
HYPERLINK("["&amp;Archivo_Nombre&amp;"]Datos!"&amp;LEFT(SUBSTITUTE(ADDRESS(1,IF(Formulas!O13=1,1,RIGHT(Formulas!P13)+2)),"$",""))&amp;Formulas!N13+1,
IFERROR(INDEX(Datos!$A$1:$L$1,1,RIGHT(Formulas!P13)+2)&amp;IF(Formulas!O13=1," "&amp;Formulas!N13,"")&amp;":","")))</f>
        <v/>
      </c>
      <c r="N16" s="107" t="str" cm="1">
        <f t="array" aca="1" ref="N16" ca="1">IF(OR(Formulas!O13=0,Formulas!O13="",RIGHT(Formulas!P13)="0"),"",
HYPERLINK("["&amp;Archivo_Nombre&amp;"]Datos!"&amp;LEFT(SUBSTITUTE(ADDRESS(1,RIGHT(Formulas!P13)+2),"$",""))&amp;Formulas!N13+1,
IFERROR(INDEX(Datos!$A$2:$L$101,Formulas!N13,RIGHT(Formulas!P13)+2),"")))</f>
        <v/>
      </c>
      <c r="O16" s="107" t="str" cm="1">
        <f t="array" aca="1" ref="O16" ca="1">IF(OR(Formulas!P14=0,Formulas!P14=""),"",HYPERLINK("["&amp;Archivo_Nombre&amp;"]Datos!"&amp;LEFT(SUBSTITUTE(ADDRESS(1,Formulas!P14+2),"$",""))&amp;Formulas!O14+1,
IFERROR(INDEX(Datos!$A$2:$L$101,Formulas!O14,Formulas!P14+2),"")))</f>
        <v/>
      </c>
      <c r="P16" s="5"/>
      <c r="Q16" s="6"/>
      <c r="R16" s="24" t="str" cm="1">
        <f t="array" aca="1" ref="R16" ca="1">IF(OR(Formulas!T13=0,Formulas!T13="",RIGHT(Formulas!U13)="0"),"",
HYPERLINK("["&amp;Archivo_Nombre&amp;"]Datos!"&amp;LEFT(SUBSTITUTE(ADDRESS(1,IF(Formulas!T13=1,1,RIGHT(Formulas!U13)+2)),"$",""))&amp;Formulas!S13+1,
IFERROR(INDEX(Datos!$A$1:$L$1,1,RIGHT(Formulas!U13)+2)&amp;IF(Formulas!T13=1," "&amp;Formulas!S13,"")&amp;":","")))</f>
        <v>ORDEN PCRONOLOGICO 28:</v>
      </c>
      <c r="S16" s="107" cm="1">
        <f t="array" aca="1" ref="S16" ca="1">IF(OR(Formulas!T13=0,Formulas!T13="",RIGHT(Formulas!U13)="0"),"",
HYPERLINK("["&amp;Archivo_Nombre&amp;"]Datos!"&amp;LEFT(SUBSTITUTE(ADDRESS(1,RIGHT(Formulas!U13)+2),"$",""))&amp;Formulas!S13+1,
IFERROR(INDEX(Datos!$A$2:$L$101,Formulas!S13,RIGHT(Formulas!U13)+2),"")))</f>
        <v>28</v>
      </c>
      <c r="T16" s="107" t="e" cm="1">
        <f t="array" aca="1" ref="T16" ca="1">IF(OR(Formulas!U14=0,Formulas!U14=""),"",HYPERLINK("["&amp;Archivo_Nombre&amp;"]Datos!"&amp;LEFT(SUBSTITUTE(ADDRESS(1,Formulas!U14+2),"$",""))&amp;Formulas!T14+1,
IFERROR(INDEX(Datos!$A$2:$L$101,Formulas!T14,Formulas!U14+2),"")))</f>
        <v>#VALUE!</v>
      </c>
      <c r="U16" s="5"/>
      <c r="V16" s="6"/>
      <c r="W16" s="24" t="str" cm="1">
        <f t="array" aca="1" ref="W16" ca="1">IF(OR(Formulas!Y13=0,Formulas!Y13="",RIGHT(Formulas!Z13)="0"),"",
HYPERLINK("["&amp;Archivo_Nombre&amp;"]Datos!"&amp;LEFT(SUBSTITUTE(ADDRESS(1,IF(Formulas!Y13=1,1,RIGHT(Formulas!Z13)+2)),"$",""))&amp;Formulas!X13+1,
IFERROR(INDEX(Datos!$A$1:$L$1,1,RIGHT(Formulas!Z13)+2)&amp;IF(Formulas!Y13=1," "&amp;Formulas!X13,"")&amp;":","")))</f>
        <v/>
      </c>
      <c r="X16" s="107" t="str" cm="1">
        <f t="array" aca="1" ref="X16" ca="1">IF(OR(Formulas!Y13=0,Formulas!Y13="",RIGHT(Formulas!Z13)="0"),"",
HYPERLINK("["&amp;Archivo_Nombre&amp;"]Datos!"&amp;LEFT(SUBSTITUTE(ADDRESS(1,RIGHT(Formulas!Z13)+2),"$",""))&amp;Formulas!X13+1,
IFERROR(INDEX(Datos!$A$2:$L$101,Formulas!X13,RIGHT(Formulas!Z13)+2),"")))</f>
        <v/>
      </c>
      <c r="Y16" s="107" t="str" cm="1">
        <f t="array" aca="1" ref="Y16" ca="1">IF(OR(Formulas!Z14=0,Formulas!Z14=""),"",HYPERLINK("["&amp;Archivo_Nombre&amp;"]Datos!"&amp;LEFT(SUBSTITUTE(ADDRESS(1,Formulas!Z14+2),"$",""))&amp;Formulas!Y14+1,
IFERROR(INDEX(Datos!$A$2:$L$101,Formulas!Y14,Formulas!Z14+2),"")))</f>
        <v/>
      </c>
      <c r="Z16" s="13"/>
      <c r="AA16" s="6"/>
      <c r="AB16" s="24" t="str" cm="1">
        <f t="array" aca="1" ref="AB16" ca="1">IF(OR(Formulas!AD13=0,Formulas!AD13="",RIGHT(Formulas!AE13)="0"),"",
HYPERLINK("["&amp;Archivo_Nombre&amp;"]Datos!"&amp;LEFT(SUBSTITUTE(ADDRESS(1,IF(Formulas!AD13=1,1,RIGHT(Formulas!AE13)+2)),"$",""))&amp;Formulas!AC13+1,
IFERROR(INDEX(Datos!$A$1:$L$1,1,RIGHT(Formulas!AE13)+2)&amp;IF(Formulas!AD13=1," "&amp;Formulas!AC13,"")&amp;":","")))</f>
        <v/>
      </c>
      <c r="AC16" s="107" t="str" cm="1">
        <f t="array" aca="1" ref="AC16" ca="1">IF(OR(Formulas!AD13=0,Formulas!AD13="",RIGHT(Formulas!AE13)="0"),"",
HYPERLINK("["&amp;Archivo_Nombre&amp;"]Datos!"&amp;LEFT(SUBSTITUTE(ADDRESS(1,RIGHT(Formulas!AE13)+2),"$",""))&amp;Formulas!AC13+1,
IFERROR(INDEX(Datos!$A$2:$L$101,Formulas!AC13,RIGHT(Formulas!AE13)+2),"")))</f>
        <v/>
      </c>
      <c r="AD16" s="107" t="str" cm="1">
        <f t="array" aca="1" ref="AD16" ca="1">IF(OR(Formulas!AE14=0,Formulas!AE14=""),"",HYPERLINK("["&amp;Archivo_Nombre&amp;"]Datos!"&amp;LEFT(SUBSTITUTE(ADDRESS(1,Formulas!AE14+2),"$",""))&amp;Formulas!AD14+1,
IFERROR(INDEX(Datos!$A$2:$L$101,Formulas!AD14,Formulas!AE14+2),"")))</f>
        <v/>
      </c>
      <c r="AE16" s="13"/>
      <c r="AF16" s="6"/>
      <c r="AG16" s="24" t="str" cm="1">
        <f t="array" aca="1" ref="AG16" ca="1">IF(OR(Formulas!AI13=0,Formulas!AI13="",RIGHT(Formulas!AJ13)="0"),"",
HYPERLINK("["&amp;Archivo_Nombre&amp;"]Datos!"&amp;LEFT(SUBSTITUTE(ADDRESS(1,IF(Formulas!AI13=1,1,RIGHT(Formulas!AJ13)+2)),"$",""))&amp;Formulas!AH13+1,
IFERROR(INDEX(Datos!$A$1:$L$1,1,RIGHT(Formulas!AJ13)+2)&amp;IF(Formulas!AI13=1," "&amp;Formulas!AH13,"")&amp;":","")))</f>
        <v/>
      </c>
      <c r="AH16" s="107" t="str" cm="1">
        <f t="array" aca="1" ref="AH16" ca="1">IF(OR(Formulas!AI13=0,Formulas!AI13="",RIGHT(Formulas!AJ13)="0"),"",
HYPERLINK("["&amp;Archivo_Nombre&amp;"]Datos!"&amp;LEFT(SUBSTITUTE(ADDRESS(1,RIGHT(Formulas!AJ13)+2),"$",""))&amp;Formulas!AH13+1,
IFERROR(INDEX(Datos!$A$2:$L$101,Formulas!AH13,RIGHT(Formulas!AJ13)+2),"")))</f>
        <v/>
      </c>
      <c r="AI16" s="107" t="str" cm="1">
        <f t="array" aca="1" ref="AI16" ca="1">IF(OR(Formulas!AJ14=0,Formulas!AJ14=""),"",HYPERLINK("["&amp;Archivo_Nombre&amp;"]Datos!"&amp;LEFT(SUBSTITUTE(ADDRESS(1,Formulas!AJ14+2),"$",""))&amp;Formulas!AI14+1,
IFERROR(INDEX(Datos!$A$2:$L$101,Formulas!AI14,Formulas!AJ14+2),"")))</f>
        <v/>
      </c>
      <c r="AJ16" s="13"/>
      <c r="AK16" s="6"/>
      <c r="AL16" s="24" t="str" cm="1">
        <f t="array" aca="1" ref="AL16" ca="1">IF(OR(Formulas!AN13=0,Formulas!AN13="",RIGHT(Formulas!AO13)="0"),"",
HYPERLINK("["&amp;Archivo_Nombre&amp;"]Datos!"&amp;LEFT(SUBSTITUTE(ADDRESS(1,IF(Formulas!AN13=1,1,RIGHT(Formulas!AO13)+2)),"$",""))&amp;Formulas!AM13+1,
IFERROR(INDEX(Datos!$A$1:$L$1,1,RIGHT(Formulas!AO13)+2)&amp;IF(Formulas!AN13=1," "&amp;Formulas!AM13,"")&amp;":","")))</f>
        <v/>
      </c>
      <c r="AM16" s="107" t="str" cm="1">
        <f t="array" aca="1" ref="AM16" ca="1">IF(OR(Formulas!AN13=0,Formulas!AN13="",RIGHT(Formulas!AO13)="0"),"",
HYPERLINK("["&amp;Archivo_Nombre&amp;"]Datos!"&amp;LEFT(SUBSTITUTE(ADDRESS(1,RIGHT(Formulas!AO13)+2),"$",""))&amp;Formulas!AM13+1,
IFERROR(INDEX(Datos!$A$2:$L$101,Formulas!AM13,RIGHT(Formulas!AO13)+2),"")))</f>
        <v/>
      </c>
      <c r="AN16" s="107" t="str" cm="1">
        <f t="array" aca="1" ref="AN16" ca="1">IF(OR(Formulas!AO14=0,Formulas!AO14=""),"",HYPERLINK("["&amp;Archivo_Nombre&amp;"]Datos!"&amp;LEFT(SUBSTITUTE(ADDRESS(1,Formulas!AO14+2),"$",""))&amp;Formulas!AN14+1,
IFERROR(INDEX(Datos!$A$2:$L$101,Formulas!AN14,Formulas!AO14+2),"")))</f>
        <v/>
      </c>
      <c r="AO16" s="13"/>
      <c r="AP16" s="6"/>
      <c r="AQ16" s="24" t="str" cm="1">
        <f t="array" aca="1" ref="AQ16" ca="1">IF(OR(Formulas!AS13=0,Formulas!AS13="",RIGHT(Formulas!AT13)="0"),"",
HYPERLINK("["&amp;Archivo_Nombre&amp;"]Datos!"&amp;LEFT(SUBSTITUTE(ADDRESS(1,IF(Formulas!AS13=1,1,RIGHT(Formulas!AT13)+2)),"$",""))&amp;Formulas!AR13+1,
IFERROR(INDEX(Datos!$A$1:$L$1,1,RIGHT(Formulas!AT13)+2)&amp;IF(Formulas!AS13=1," "&amp;Formulas!AR13,"")&amp;":","")))</f>
        <v/>
      </c>
      <c r="AR16" s="107" t="str" cm="1">
        <f t="array" aca="1" ref="AR16" ca="1">IF(OR(Formulas!AS13=0,Formulas!AS13="",RIGHT(Formulas!AT13)="0"),"",
HYPERLINK("["&amp;Archivo_Nombre&amp;"]Datos!"&amp;LEFT(SUBSTITUTE(ADDRESS(1,RIGHT(Formulas!AT13)+2),"$",""))&amp;Formulas!AR13+1,
IFERROR(INDEX(Datos!$A$2:$L$101,Formulas!AR13,RIGHT(Formulas!AT13)+2),"")))</f>
        <v/>
      </c>
      <c r="AS16" s="107" t="str" cm="1">
        <f t="array" aca="1" ref="AS16" ca="1">IF(OR(Formulas!AT14=0,Formulas!AT14=""),"",HYPERLINK("["&amp;Archivo_Nombre&amp;"]Datos!"&amp;LEFT(SUBSTITUTE(ADDRESS(1,Formulas!AT14+2),"$",""))&amp;Formulas!AS14+1,
IFERROR(INDEX(Datos!$A$2:$L$101,Formulas!AS14,Formulas!AT14+2),"")))</f>
        <v/>
      </c>
      <c r="AT16" s="13"/>
      <c r="AU16" s="6"/>
      <c r="AV16" s="24" t="str" cm="1">
        <f t="array" aca="1" ref="AV16" ca="1">IF(OR(Formulas!AX13=0,Formulas!AX13="",RIGHT(Formulas!AY13)="0"),"",
HYPERLINK("["&amp;Archivo_Nombre&amp;"]Datos!"&amp;LEFT(SUBSTITUTE(ADDRESS(1,IF(Formulas!AX13=1,1,RIGHT(Formulas!AY13)+2)),"$",""))&amp;Formulas!AW13+1,
IFERROR(INDEX(Datos!$A$1:$L$1,1,RIGHT(Formulas!AY13)+2)&amp;IF(Formulas!AX13=1," "&amp;Formulas!AW13,"")&amp;":","")))</f>
        <v/>
      </c>
      <c r="AW16" s="107" t="str" cm="1">
        <f t="array" aca="1" ref="AW16" ca="1">IF(OR(Formulas!AX13=0,Formulas!AX13="",RIGHT(Formulas!AY13)="0"),"",
HYPERLINK("["&amp;Archivo_Nombre&amp;"]Datos!"&amp;LEFT(SUBSTITUTE(ADDRESS(1,RIGHT(Formulas!AY13)+2),"$",""))&amp;Formulas!AW13+1,
IFERROR(INDEX(Datos!$A$2:$L$101,Formulas!AW13,RIGHT(Formulas!AY13)+2),"")))</f>
        <v/>
      </c>
      <c r="AX16" s="107" t="str" cm="1">
        <f t="array" aca="1" ref="AX16" ca="1">IF(OR(Formulas!AY14=0,Formulas!AY14=""),"",HYPERLINK("["&amp;Archivo_Nombre&amp;"]Datos!"&amp;LEFT(SUBSTITUTE(ADDRESS(1,Formulas!AY14+2),"$",""))&amp;Formulas!AX14+1,
IFERROR(INDEX(Datos!$A$2:$L$101,Formulas!AX14,Formulas!AY14+2),"")))</f>
        <v/>
      </c>
      <c r="AY16" s="13"/>
    </row>
    <row r="17" spans="2:51" x14ac:dyDescent="0.25">
      <c r="B17" s="11"/>
      <c r="C17" s="24" t="str" cm="1">
        <f t="array" aca="1" ref="C17" ca="1">IF(OR(Formulas!E14=0,Formulas!E14="",RIGHT(Formulas!F14)="0"),"",
HYPERLINK("["&amp;Archivo_Nombre&amp;"]Datos!"&amp;LEFT(SUBSTITUTE(ADDRESS(1,IF(Formulas!E14=1,1,RIGHT(Formulas!F14)+2)),"$",""))&amp;Formulas!D14+1,
IFERROR(INDEX(Datos!$A$1:$L$1,1,RIGHT(Formulas!F14)+2)&amp;IF(Formulas!E14=1," "&amp;Formulas!D14,"")&amp;":","")))</f>
        <v/>
      </c>
      <c r="D17" s="107" t="str" cm="1">
        <f t="array" aca="1" ref="D17" ca="1">IF(OR(Formulas!E14=0,Formulas!E14="",RIGHT(Formulas!F14)="0"),"",
HYPERLINK("["&amp;Archivo_Nombre&amp;"]Datos!"&amp;LEFT(SUBSTITUTE(ADDRESS(1,RIGHT(Formulas!F14)+2),"$",""))&amp;Formulas!D14+1,
IFERROR(INDEX(Datos!$A$2:$L$101,Formulas!D14,RIGHT(Formulas!F14)+2),"")))</f>
        <v/>
      </c>
      <c r="E17" s="107" t="str" cm="1">
        <f t="array" aca="1" ref="E17" ca="1">IF(OR(Formulas!F15=0,Formulas!F15=""),"",HYPERLINK("["&amp;Archivo_Nombre&amp;"]Datos!"&amp;LEFT(SUBSTITUTE(ADDRESS(1,Formulas!F15+2),"$",""))&amp;Formulas!E15+1,
IFERROR(INDEX(Datos!$A$2:$L$101,Formulas!E15,Formulas!F15+2),"")))</f>
        <v/>
      </c>
      <c r="F17" s="5"/>
      <c r="G17" s="6"/>
      <c r="H17" s="24" t="str" cm="1">
        <f t="array" aca="1" ref="H17" ca="1">IF(OR(Formulas!J14=0,Formulas!J14="",RIGHT(Formulas!K14)="0"),"",
HYPERLINK("["&amp;Archivo_Nombre&amp;"]Datos!"&amp;LEFT(SUBSTITUTE(ADDRESS(1,IF(Formulas!J14=1,1,RIGHT(Formulas!K14)+2)),"$",""))&amp;Formulas!I14+1,
IFERROR(INDEX(Datos!$A$1:$L$1,1,RIGHT(Formulas!K14)+2)&amp;IF(Formulas!J14=1," "&amp;Formulas!I14,"")&amp;":","")))</f>
        <v>Tarea:</v>
      </c>
      <c r="I17" s="107" t="str" cm="1">
        <f t="array" aca="1" ref="I17" ca="1">IF(OR(Formulas!J14=0,Formulas!J14="",RIGHT(Formulas!K14)="0"),"",
HYPERLINK("["&amp;Archivo_Nombre&amp;"]Datos!"&amp;LEFT(SUBSTITUTE(ADDRESS(1,RIGHT(Formulas!K14)+2),"$",""))&amp;Formulas!I14+1,
IFERROR(INDEX(Datos!$A$2:$L$101,Formulas!I14,RIGHT(Formulas!K14)+2),"")))</f>
        <v>REQ006 Creación de mensajes</v>
      </c>
      <c r="J17" s="107" t="e" cm="1">
        <f t="array" aca="1" ref="J17" ca="1">IF(OR(Formulas!K15=0,Formulas!K15=""),"",HYPERLINK("["&amp;Archivo_Nombre&amp;"]Datos!"&amp;LEFT(SUBSTITUTE(ADDRESS(1,Formulas!K15+2),"$",""))&amp;Formulas!J15+1,
IFERROR(INDEX(Datos!$A$2:$L$101,Formulas!J15,Formulas!K15+2),"")))</f>
        <v>#VALUE!</v>
      </c>
      <c r="K17" s="5"/>
      <c r="L17" s="6"/>
      <c r="M17" s="24" t="str" cm="1">
        <f t="array" aca="1" ref="M17" ca="1">IF(OR(Formulas!O14=0,Formulas!O14="",RIGHT(Formulas!P14)="0"),"",
HYPERLINK("["&amp;Archivo_Nombre&amp;"]Datos!"&amp;LEFT(SUBSTITUTE(ADDRESS(1,IF(Formulas!O14=1,1,RIGHT(Formulas!P14)+2)),"$",""))&amp;Formulas!N14+1,
IFERROR(INDEX(Datos!$A$1:$L$1,1,RIGHT(Formulas!P14)+2)&amp;IF(Formulas!O14=1," "&amp;Formulas!N14,"")&amp;":","")))</f>
        <v/>
      </c>
      <c r="N17" s="107" t="str" cm="1">
        <f t="array" aca="1" ref="N17" ca="1">IF(OR(Formulas!O14=0,Formulas!O14="",RIGHT(Formulas!P14)="0"),"",
HYPERLINK("["&amp;Archivo_Nombre&amp;"]Datos!"&amp;LEFT(SUBSTITUTE(ADDRESS(1,RIGHT(Formulas!P14)+2),"$",""))&amp;Formulas!N14+1,
IFERROR(INDEX(Datos!$A$2:$L$101,Formulas!N14,RIGHT(Formulas!P14)+2),"")))</f>
        <v/>
      </c>
      <c r="O17" s="107" t="str" cm="1">
        <f t="array" aca="1" ref="O17" ca="1">IF(OR(Formulas!P15=0,Formulas!P15=""),"",HYPERLINK("["&amp;Archivo_Nombre&amp;"]Datos!"&amp;LEFT(SUBSTITUTE(ADDRESS(1,Formulas!P15+2),"$",""))&amp;Formulas!O15+1,
IFERROR(INDEX(Datos!$A$2:$L$101,Formulas!O15,Formulas!P15+2),"")))</f>
        <v/>
      </c>
      <c r="P17" s="5"/>
      <c r="Q17" s="6"/>
      <c r="R17" s="24" t="str" cm="1">
        <f t="array" aca="1" ref="R17" ca="1">IF(OR(Formulas!T14=0,Formulas!T14="",RIGHT(Formulas!U14)="0"),"",
HYPERLINK("["&amp;Archivo_Nombre&amp;"]Datos!"&amp;LEFT(SUBSTITUTE(ADDRESS(1,IF(Formulas!T14=1,1,RIGHT(Formulas!U14)+2)),"$",""))&amp;Formulas!S14+1,
IFERROR(INDEX(Datos!$A$1:$L$1,1,RIGHT(Formulas!U14)+2)&amp;IF(Formulas!T14=1," "&amp;Formulas!S14,"")&amp;":","")))</f>
        <v>Tarea:</v>
      </c>
      <c r="S17" s="107" t="str" cm="1">
        <f t="array" aca="1" ref="S17" ca="1">IF(OR(Formulas!T14=0,Formulas!T14="",RIGHT(Formulas!U14)="0"),"",
HYPERLINK("["&amp;Archivo_Nombre&amp;"]Datos!"&amp;LEFT(SUBSTITUTE(ADDRESS(1,RIGHT(Formulas!U14)+2),"$",""))&amp;Formulas!S14+1,
IFERROR(INDEX(Datos!$A$2:$L$101,Formulas!S14,RIGHT(Formulas!U14)+2),"")))</f>
        <v>Finalización del sprint 2</v>
      </c>
      <c r="T17" s="107" t="e" cm="1">
        <f t="array" aca="1" ref="T17" ca="1">IF(OR(Formulas!U15=0,Formulas!U15=""),"",HYPERLINK("["&amp;Archivo_Nombre&amp;"]Datos!"&amp;LEFT(SUBSTITUTE(ADDRESS(1,Formulas!U15+2),"$",""))&amp;Formulas!T15+1,
IFERROR(INDEX(Datos!$A$2:$L$101,Formulas!T15,Formulas!U15+2),"")))</f>
        <v>#VALUE!</v>
      </c>
      <c r="U17" s="5"/>
      <c r="V17" s="6"/>
      <c r="W17" s="24" t="str" cm="1">
        <f t="array" aca="1" ref="W17" ca="1">IF(OR(Formulas!Y14=0,Formulas!Y14="",RIGHT(Formulas!Z14)="0"),"",
HYPERLINK("["&amp;Archivo_Nombre&amp;"]Datos!"&amp;LEFT(SUBSTITUTE(ADDRESS(1,IF(Formulas!Y14=1,1,RIGHT(Formulas!Z14)+2)),"$",""))&amp;Formulas!X14+1,
IFERROR(INDEX(Datos!$A$1:$L$1,1,RIGHT(Formulas!Z14)+2)&amp;IF(Formulas!Y14=1," "&amp;Formulas!X14,"")&amp;":","")))</f>
        <v/>
      </c>
      <c r="X17" s="107" t="str" cm="1">
        <f t="array" aca="1" ref="X17" ca="1">IF(OR(Formulas!Y14=0,Formulas!Y14="",RIGHT(Formulas!Z14)="0"),"",
HYPERLINK("["&amp;Archivo_Nombre&amp;"]Datos!"&amp;LEFT(SUBSTITUTE(ADDRESS(1,RIGHT(Formulas!Z14)+2),"$",""))&amp;Formulas!X14+1,
IFERROR(INDEX(Datos!$A$2:$L$101,Formulas!X14,RIGHT(Formulas!Z14)+2),"")))</f>
        <v/>
      </c>
      <c r="Y17" s="107" t="str" cm="1">
        <f t="array" aca="1" ref="Y17" ca="1">IF(OR(Formulas!Z15=0,Formulas!Z15=""),"",HYPERLINK("["&amp;Archivo_Nombre&amp;"]Datos!"&amp;LEFT(SUBSTITUTE(ADDRESS(1,Formulas!Z15+2),"$",""))&amp;Formulas!Y15+1,
IFERROR(INDEX(Datos!$A$2:$L$101,Formulas!Y15,Formulas!Z15+2),"")))</f>
        <v/>
      </c>
      <c r="Z17" s="13"/>
      <c r="AA17" s="6"/>
      <c r="AB17" s="24" t="str" cm="1">
        <f t="array" aca="1" ref="AB17" ca="1">IF(OR(Formulas!AD14=0,Formulas!AD14="",RIGHT(Formulas!AE14)="0"),"",
HYPERLINK("["&amp;Archivo_Nombre&amp;"]Datos!"&amp;LEFT(SUBSTITUTE(ADDRESS(1,IF(Formulas!AD14=1,1,RIGHT(Formulas!AE14)+2)),"$",""))&amp;Formulas!AC14+1,
IFERROR(INDEX(Datos!$A$1:$L$1,1,RIGHT(Formulas!AE14)+2)&amp;IF(Formulas!AD14=1," "&amp;Formulas!AC14,"")&amp;":","")))</f>
        <v/>
      </c>
      <c r="AC17" s="107" t="str" cm="1">
        <f t="array" aca="1" ref="AC17" ca="1">IF(OR(Formulas!AD14=0,Formulas!AD14="",RIGHT(Formulas!AE14)="0"),"",
HYPERLINK("["&amp;Archivo_Nombre&amp;"]Datos!"&amp;LEFT(SUBSTITUTE(ADDRESS(1,RIGHT(Formulas!AE14)+2),"$",""))&amp;Formulas!AC14+1,
IFERROR(INDEX(Datos!$A$2:$L$101,Formulas!AC14,RIGHT(Formulas!AE14)+2),"")))</f>
        <v/>
      </c>
      <c r="AD17" s="107" t="str" cm="1">
        <f t="array" aca="1" ref="AD17" ca="1">IF(OR(Formulas!AE15=0,Formulas!AE15=""),"",HYPERLINK("["&amp;Archivo_Nombre&amp;"]Datos!"&amp;LEFT(SUBSTITUTE(ADDRESS(1,Formulas!AE15+2),"$",""))&amp;Formulas!AD15+1,
IFERROR(INDEX(Datos!$A$2:$L$101,Formulas!AD15,Formulas!AE15+2),"")))</f>
        <v/>
      </c>
      <c r="AE17" s="13"/>
      <c r="AF17" s="6"/>
      <c r="AG17" s="24" t="str" cm="1">
        <f t="array" aca="1" ref="AG17" ca="1">IF(OR(Formulas!AI14=0,Formulas!AI14="",RIGHT(Formulas!AJ14)="0"),"",
HYPERLINK("["&amp;Archivo_Nombre&amp;"]Datos!"&amp;LEFT(SUBSTITUTE(ADDRESS(1,IF(Formulas!AI14=1,1,RIGHT(Formulas!AJ14)+2)),"$",""))&amp;Formulas!AH14+1,
IFERROR(INDEX(Datos!$A$1:$L$1,1,RIGHT(Formulas!AJ14)+2)&amp;IF(Formulas!AI14=1," "&amp;Formulas!AH14,"")&amp;":","")))</f>
        <v/>
      </c>
      <c r="AH17" s="107" t="str" cm="1">
        <f t="array" aca="1" ref="AH17" ca="1">IF(OR(Formulas!AI14=0,Formulas!AI14="",RIGHT(Formulas!AJ14)="0"),"",
HYPERLINK("["&amp;Archivo_Nombre&amp;"]Datos!"&amp;LEFT(SUBSTITUTE(ADDRESS(1,RIGHT(Formulas!AJ14)+2),"$",""))&amp;Formulas!AH14+1,
IFERROR(INDEX(Datos!$A$2:$L$101,Formulas!AH14,RIGHT(Formulas!AJ14)+2),"")))</f>
        <v/>
      </c>
      <c r="AI17" s="107" t="str" cm="1">
        <f t="array" aca="1" ref="AI17" ca="1">IF(OR(Formulas!AJ15=0,Formulas!AJ15=""),"",HYPERLINK("["&amp;Archivo_Nombre&amp;"]Datos!"&amp;LEFT(SUBSTITUTE(ADDRESS(1,Formulas!AJ15+2),"$",""))&amp;Formulas!AI15+1,
IFERROR(INDEX(Datos!$A$2:$L$101,Formulas!AI15,Formulas!AJ15+2),"")))</f>
        <v/>
      </c>
      <c r="AJ17" s="13"/>
      <c r="AK17" s="6"/>
      <c r="AL17" s="24" t="str" cm="1">
        <f t="array" aca="1" ref="AL17" ca="1">IF(OR(Formulas!AN14=0,Formulas!AN14="",RIGHT(Formulas!AO14)="0"),"",
HYPERLINK("["&amp;Archivo_Nombre&amp;"]Datos!"&amp;LEFT(SUBSTITUTE(ADDRESS(1,IF(Formulas!AN14=1,1,RIGHT(Formulas!AO14)+2)),"$",""))&amp;Formulas!AM14+1,
IFERROR(INDEX(Datos!$A$1:$L$1,1,RIGHT(Formulas!AO14)+2)&amp;IF(Formulas!AN14=1," "&amp;Formulas!AM14,"")&amp;":","")))</f>
        <v/>
      </c>
      <c r="AM17" s="107" t="str" cm="1">
        <f t="array" aca="1" ref="AM17" ca="1">IF(OR(Formulas!AN14=0,Formulas!AN14="",RIGHT(Formulas!AO14)="0"),"",
HYPERLINK("["&amp;Archivo_Nombre&amp;"]Datos!"&amp;LEFT(SUBSTITUTE(ADDRESS(1,RIGHT(Formulas!AO14)+2),"$",""))&amp;Formulas!AM14+1,
IFERROR(INDEX(Datos!$A$2:$L$101,Formulas!AM14,RIGHT(Formulas!AO14)+2),"")))</f>
        <v/>
      </c>
      <c r="AN17" s="107" t="str" cm="1">
        <f t="array" aca="1" ref="AN17" ca="1">IF(OR(Formulas!AO15=0,Formulas!AO15=""),"",HYPERLINK("["&amp;Archivo_Nombre&amp;"]Datos!"&amp;LEFT(SUBSTITUTE(ADDRESS(1,Formulas!AO15+2),"$",""))&amp;Formulas!AN15+1,
IFERROR(INDEX(Datos!$A$2:$L$101,Formulas!AN15,Formulas!AO15+2),"")))</f>
        <v/>
      </c>
      <c r="AO17" s="13"/>
      <c r="AP17" s="6"/>
      <c r="AQ17" s="24" t="str" cm="1">
        <f t="array" aca="1" ref="AQ17" ca="1">IF(OR(Formulas!AS14=0,Formulas!AS14="",RIGHT(Formulas!AT14)="0"),"",
HYPERLINK("["&amp;Archivo_Nombre&amp;"]Datos!"&amp;LEFT(SUBSTITUTE(ADDRESS(1,IF(Formulas!AS14=1,1,RIGHT(Formulas!AT14)+2)),"$",""))&amp;Formulas!AR14+1,
IFERROR(INDEX(Datos!$A$1:$L$1,1,RIGHT(Formulas!AT14)+2)&amp;IF(Formulas!AS14=1," "&amp;Formulas!AR14,"")&amp;":","")))</f>
        <v/>
      </c>
      <c r="AR17" s="107" t="str" cm="1">
        <f t="array" aca="1" ref="AR17" ca="1">IF(OR(Formulas!AS14=0,Formulas!AS14="",RIGHT(Formulas!AT14)="0"),"",
HYPERLINK("["&amp;Archivo_Nombre&amp;"]Datos!"&amp;LEFT(SUBSTITUTE(ADDRESS(1,RIGHT(Formulas!AT14)+2),"$",""))&amp;Formulas!AR14+1,
IFERROR(INDEX(Datos!$A$2:$L$101,Formulas!AR14,RIGHT(Formulas!AT14)+2),"")))</f>
        <v/>
      </c>
      <c r="AS17" s="107" t="str" cm="1">
        <f t="array" aca="1" ref="AS17" ca="1">IF(OR(Formulas!AT15=0,Formulas!AT15=""),"",HYPERLINK("["&amp;Archivo_Nombre&amp;"]Datos!"&amp;LEFT(SUBSTITUTE(ADDRESS(1,Formulas!AT15+2),"$",""))&amp;Formulas!AS15+1,
IFERROR(INDEX(Datos!$A$2:$L$101,Formulas!AS15,Formulas!AT15+2),"")))</f>
        <v/>
      </c>
      <c r="AT17" s="13"/>
      <c r="AU17" s="6"/>
      <c r="AV17" s="24" t="str" cm="1">
        <f t="array" aca="1" ref="AV17" ca="1">IF(OR(Formulas!AX14=0,Formulas!AX14="",RIGHT(Formulas!AY14)="0"),"",
HYPERLINK("["&amp;Archivo_Nombre&amp;"]Datos!"&amp;LEFT(SUBSTITUTE(ADDRESS(1,IF(Formulas!AX14=1,1,RIGHT(Formulas!AY14)+2)),"$",""))&amp;Formulas!AW14+1,
IFERROR(INDEX(Datos!$A$1:$L$1,1,RIGHT(Formulas!AY14)+2)&amp;IF(Formulas!AX14=1," "&amp;Formulas!AW14,"")&amp;":","")))</f>
        <v/>
      </c>
      <c r="AW17" s="107" t="str" cm="1">
        <f t="array" aca="1" ref="AW17" ca="1">IF(OR(Formulas!AX14=0,Formulas!AX14="",RIGHT(Formulas!AY14)="0"),"",
HYPERLINK("["&amp;Archivo_Nombre&amp;"]Datos!"&amp;LEFT(SUBSTITUTE(ADDRESS(1,RIGHT(Formulas!AY14)+2),"$",""))&amp;Formulas!AW14+1,
IFERROR(INDEX(Datos!$A$2:$L$101,Formulas!AW14,RIGHT(Formulas!AY14)+2),"")))</f>
        <v/>
      </c>
      <c r="AX17" s="107" t="str" cm="1">
        <f t="array" aca="1" ref="AX17" ca="1">IF(OR(Formulas!AY15=0,Formulas!AY15=""),"",HYPERLINK("["&amp;Archivo_Nombre&amp;"]Datos!"&amp;LEFT(SUBSTITUTE(ADDRESS(1,Formulas!AY15+2),"$",""))&amp;Formulas!AX15+1,
IFERROR(INDEX(Datos!$A$2:$L$101,Formulas!AX15,Formulas!AY15+2),"")))</f>
        <v/>
      </c>
      <c r="AY17" s="13"/>
    </row>
    <row r="18" spans="2:51" x14ac:dyDescent="0.25">
      <c r="B18" s="11"/>
      <c r="C18" s="24" t="str" cm="1">
        <f t="array" aca="1" ref="C18" ca="1">IF(OR(Formulas!E15=0,Formulas!E15="",RIGHT(Formulas!F15)="0"),"",
HYPERLINK("["&amp;Archivo_Nombre&amp;"]Datos!"&amp;LEFT(SUBSTITUTE(ADDRESS(1,IF(Formulas!E15=1,1,RIGHT(Formulas!F15)+2)),"$",""))&amp;Formulas!D15+1,
IFERROR(INDEX(Datos!$A$1:$L$1,1,RIGHT(Formulas!F15)+2)&amp;IF(Formulas!E15=1," "&amp;Formulas!D15,"")&amp;":","")))</f>
        <v/>
      </c>
      <c r="D18" s="107" t="str" cm="1">
        <f t="array" aca="1" ref="D18" ca="1">IF(OR(Formulas!E15=0,Formulas!E15="",RIGHT(Formulas!F15)="0"),"",
HYPERLINK("["&amp;Archivo_Nombre&amp;"]Datos!"&amp;LEFT(SUBSTITUTE(ADDRESS(1,RIGHT(Formulas!F15)+2),"$",""))&amp;Formulas!D15+1,
IFERROR(INDEX(Datos!$A$2:$L$101,Formulas!D15,RIGHT(Formulas!F15)+2),"")))</f>
        <v/>
      </c>
      <c r="E18" s="107" t="str" cm="1">
        <f t="array" aca="1" ref="E18" ca="1">IF(OR(Formulas!F16=0,Formulas!F16=""),"",HYPERLINK("["&amp;Archivo_Nombre&amp;"]Datos!"&amp;LEFT(SUBSTITUTE(ADDRESS(1,Formulas!F16+2),"$",""))&amp;Formulas!E16+1,
IFERROR(INDEX(Datos!$A$2:$L$101,Formulas!E16,Formulas!F16+2),"")))</f>
        <v/>
      </c>
      <c r="F18" s="5"/>
      <c r="G18" s="6"/>
      <c r="H18" s="24" t="str" cm="1">
        <f t="array" aca="1" ref="H18" ca="1">IF(OR(Formulas!J15=0,Formulas!J15="",RIGHT(Formulas!K15)="0"),"",
HYPERLINK("["&amp;Archivo_Nombre&amp;"]Datos!"&amp;LEFT(SUBSTITUTE(ADDRESS(1,IF(Formulas!J15=1,1,RIGHT(Formulas!K15)+2)),"$",""))&amp;Formulas!I15+1,
IFERROR(INDEX(Datos!$A$1:$L$1,1,RIGHT(Formulas!K15)+2)&amp;IF(Formulas!J15=1," "&amp;Formulas!I15,"")&amp;":","")))</f>
        <v>Descripción:</v>
      </c>
      <c r="I18" s="107" t="str" cm="1">
        <f t="array" aca="1" ref="I18" ca="1">IF(OR(Formulas!J15=0,Formulas!J15="",RIGHT(Formulas!K15)="0"),"",
HYPERLINK("["&amp;Archivo_Nombre&amp;"]Datos!"&amp;LEFT(SUBSTITUTE(ADDRESS(1,RIGHT(Formulas!K15)+2),"$",""))&amp;Formulas!I15+1,
IFERROR(INDEX(Datos!$A$2:$L$101,Formulas!I15,RIGHT(Formulas!K15)+2),"")))</f>
        <v xml:space="preserve">Opción de mandar mensajes dentro del programa </v>
      </c>
      <c r="J18" s="107" t="e" cm="1">
        <f t="array" aca="1" ref="J18" ca="1">IF(OR(Formulas!K16=0,Formulas!K16=""),"",HYPERLINK("["&amp;Archivo_Nombre&amp;"]Datos!"&amp;LEFT(SUBSTITUTE(ADDRESS(1,Formulas!K16+2),"$",""))&amp;Formulas!J16+1,
IFERROR(INDEX(Datos!$A$2:$L$101,Formulas!J16,Formulas!K16+2),"")))</f>
        <v>#VALUE!</v>
      </c>
      <c r="K18" s="5"/>
      <c r="L18" s="6"/>
      <c r="M18" s="24" t="str" cm="1">
        <f t="array" aca="1" ref="M18" ca="1">IF(OR(Formulas!O15=0,Formulas!O15="",RIGHT(Formulas!P15)="0"),"",
HYPERLINK("["&amp;Archivo_Nombre&amp;"]Datos!"&amp;LEFT(SUBSTITUTE(ADDRESS(1,IF(Formulas!O15=1,1,RIGHT(Formulas!P15)+2)),"$",""))&amp;Formulas!N15+1,
IFERROR(INDEX(Datos!$A$1:$L$1,1,RIGHT(Formulas!P15)+2)&amp;IF(Formulas!O15=1," "&amp;Formulas!N15,"")&amp;":","")))</f>
        <v/>
      </c>
      <c r="N18" s="107" t="str" cm="1">
        <f t="array" aca="1" ref="N18" ca="1">IF(OR(Formulas!O15=0,Formulas!O15="",RIGHT(Formulas!P15)="0"),"",
HYPERLINK("["&amp;Archivo_Nombre&amp;"]Datos!"&amp;LEFT(SUBSTITUTE(ADDRESS(1,RIGHT(Formulas!P15)+2),"$",""))&amp;Formulas!N15+1,
IFERROR(INDEX(Datos!$A$2:$L$101,Formulas!N15,RIGHT(Formulas!P15)+2),"")))</f>
        <v/>
      </c>
      <c r="O18" s="107" t="str" cm="1">
        <f t="array" aca="1" ref="O18" ca="1">IF(OR(Formulas!P16=0,Formulas!P16=""),"",HYPERLINK("["&amp;Archivo_Nombre&amp;"]Datos!"&amp;LEFT(SUBSTITUTE(ADDRESS(1,Formulas!P16+2),"$",""))&amp;Formulas!O16+1,
IFERROR(INDEX(Datos!$A$2:$L$101,Formulas!O16,Formulas!P16+2),"")))</f>
        <v/>
      </c>
      <c r="P18" s="5"/>
      <c r="Q18" s="6"/>
      <c r="R18" s="24" t="str" cm="1">
        <f t="array" aca="1" ref="R18" ca="1">IF(OR(Formulas!T15=0,Formulas!T15="",RIGHT(Formulas!U15)="0"),"",
HYPERLINK("["&amp;Archivo_Nombre&amp;"]Datos!"&amp;LEFT(SUBSTITUTE(ADDRESS(1,IF(Formulas!T15=1,1,RIGHT(Formulas!U15)+2)),"$",""))&amp;Formulas!S15+1,
IFERROR(INDEX(Datos!$A$1:$L$1,1,RIGHT(Formulas!U15)+2)&amp;IF(Formulas!T15=1," "&amp;Formulas!S15,"")&amp;":","")))</f>
        <v>Descripción:</v>
      </c>
      <c r="S18" s="107" t="str" cm="1">
        <f t="array" aca="1" ref="S18" ca="1">IF(OR(Formulas!T15=0,Formulas!T15="",RIGHT(Formulas!U15)="0"),"",
HYPERLINK("["&amp;Archivo_Nombre&amp;"]Datos!"&amp;LEFT(SUBSTITUTE(ADDRESS(1,RIGHT(Formulas!U15)+2),"$",""))&amp;Formulas!S15+1,
IFERROR(INDEX(Datos!$A$2:$L$101,Formulas!S15,RIGHT(Formulas!U15)+2),"")))</f>
        <v>Finalización del sprint 2</v>
      </c>
      <c r="T18" s="107" t="e" cm="1">
        <f t="array" aca="1" ref="T18" ca="1">IF(OR(Formulas!U16=0,Formulas!U16=""),"",HYPERLINK("["&amp;Archivo_Nombre&amp;"]Datos!"&amp;LEFT(SUBSTITUTE(ADDRESS(1,Formulas!U16+2),"$",""))&amp;Formulas!T16+1,
IFERROR(INDEX(Datos!$A$2:$L$101,Formulas!T16,Formulas!U16+2),"")))</f>
        <v>#VALUE!</v>
      </c>
      <c r="U18" s="5"/>
      <c r="V18" s="6"/>
      <c r="W18" s="24" t="str" cm="1">
        <f t="array" aca="1" ref="W18" ca="1">IF(OR(Formulas!Y15=0,Formulas!Y15="",RIGHT(Formulas!Z15)="0"),"",
HYPERLINK("["&amp;Archivo_Nombre&amp;"]Datos!"&amp;LEFT(SUBSTITUTE(ADDRESS(1,IF(Formulas!Y15=1,1,RIGHT(Formulas!Z15)+2)),"$",""))&amp;Formulas!X15+1,
IFERROR(INDEX(Datos!$A$1:$L$1,1,RIGHT(Formulas!Z15)+2)&amp;IF(Formulas!Y15=1," "&amp;Formulas!X15,"")&amp;":","")))</f>
        <v/>
      </c>
      <c r="X18" s="107" t="str" cm="1">
        <f t="array" aca="1" ref="X18" ca="1">IF(OR(Formulas!Y15=0,Formulas!Y15="",RIGHT(Formulas!Z15)="0"),"",
HYPERLINK("["&amp;Archivo_Nombre&amp;"]Datos!"&amp;LEFT(SUBSTITUTE(ADDRESS(1,RIGHT(Formulas!Z15)+2),"$",""))&amp;Formulas!X15+1,
IFERROR(INDEX(Datos!$A$2:$L$101,Formulas!X15,RIGHT(Formulas!Z15)+2),"")))</f>
        <v/>
      </c>
      <c r="Y18" s="107" t="str" cm="1">
        <f t="array" aca="1" ref="Y18" ca="1">IF(OR(Formulas!Z16=0,Formulas!Z16=""),"",HYPERLINK("["&amp;Archivo_Nombre&amp;"]Datos!"&amp;LEFT(SUBSTITUTE(ADDRESS(1,Formulas!Z16+2),"$",""))&amp;Formulas!Y16+1,
IFERROR(INDEX(Datos!$A$2:$L$101,Formulas!Y16,Formulas!Z16+2),"")))</f>
        <v/>
      </c>
      <c r="Z18" s="13"/>
      <c r="AA18" s="6"/>
      <c r="AB18" s="24" t="str" cm="1">
        <f t="array" aca="1" ref="AB18" ca="1">IF(OR(Formulas!AD15=0,Formulas!AD15="",RIGHT(Formulas!AE15)="0"),"",
HYPERLINK("["&amp;Archivo_Nombre&amp;"]Datos!"&amp;LEFT(SUBSTITUTE(ADDRESS(1,IF(Formulas!AD15=1,1,RIGHT(Formulas!AE15)+2)),"$",""))&amp;Formulas!AC15+1,
IFERROR(INDEX(Datos!$A$1:$L$1,1,RIGHT(Formulas!AE15)+2)&amp;IF(Formulas!AD15=1," "&amp;Formulas!AC15,"")&amp;":","")))</f>
        <v/>
      </c>
      <c r="AC18" s="107" t="str" cm="1">
        <f t="array" aca="1" ref="AC18" ca="1">IF(OR(Formulas!AD15=0,Formulas!AD15="",RIGHT(Formulas!AE15)="0"),"",
HYPERLINK("["&amp;Archivo_Nombre&amp;"]Datos!"&amp;LEFT(SUBSTITUTE(ADDRESS(1,RIGHT(Formulas!AE15)+2),"$",""))&amp;Formulas!AC15+1,
IFERROR(INDEX(Datos!$A$2:$L$101,Formulas!AC15,RIGHT(Formulas!AE15)+2),"")))</f>
        <v/>
      </c>
      <c r="AD18" s="107" t="str" cm="1">
        <f t="array" aca="1" ref="AD18" ca="1">IF(OR(Formulas!AE16=0,Formulas!AE16=""),"",HYPERLINK("["&amp;Archivo_Nombre&amp;"]Datos!"&amp;LEFT(SUBSTITUTE(ADDRESS(1,Formulas!AE16+2),"$",""))&amp;Formulas!AD16+1,
IFERROR(INDEX(Datos!$A$2:$L$101,Formulas!AD16,Formulas!AE16+2),"")))</f>
        <v/>
      </c>
      <c r="AE18" s="13"/>
      <c r="AF18" s="6"/>
      <c r="AG18" s="24" t="str" cm="1">
        <f t="array" aca="1" ref="AG18" ca="1">IF(OR(Formulas!AI15=0,Formulas!AI15="",RIGHT(Formulas!AJ15)="0"),"",
HYPERLINK("["&amp;Archivo_Nombre&amp;"]Datos!"&amp;LEFT(SUBSTITUTE(ADDRESS(1,IF(Formulas!AI15=1,1,RIGHT(Formulas!AJ15)+2)),"$",""))&amp;Formulas!AH15+1,
IFERROR(INDEX(Datos!$A$1:$L$1,1,RIGHT(Formulas!AJ15)+2)&amp;IF(Formulas!AI15=1," "&amp;Formulas!AH15,"")&amp;":","")))</f>
        <v/>
      </c>
      <c r="AH18" s="107" t="str" cm="1">
        <f t="array" aca="1" ref="AH18" ca="1">IF(OR(Formulas!AI15=0,Formulas!AI15="",RIGHT(Formulas!AJ15)="0"),"",
HYPERLINK("["&amp;Archivo_Nombre&amp;"]Datos!"&amp;LEFT(SUBSTITUTE(ADDRESS(1,RIGHT(Formulas!AJ15)+2),"$",""))&amp;Formulas!AH15+1,
IFERROR(INDEX(Datos!$A$2:$L$101,Formulas!AH15,RIGHT(Formulas!AJ15)+2),"")))</f>
        <v/>
      </c>
      <c r="AI18" s="107" t="str" cm="1">
        <f t="array" aca="1" ref="AI18" ca="1">IF(OR(Formulas!AJ16=0,Formulas!AJ16=""),"",HYPERLINK("["&amp;Archivo_Nombre&amp;"]Datos!"&amp;LEFT(SUBSTITUTE(ADDRESS(1,Formulas!AJ16+2),"$",""))&amp;Formulas!AI16+1,
IFERROR(INDEX(Datos!$A$2:$L$101,Formulas!AI16,Formulas!AJ16+2),"")))</f>
        <v/>
      </c>
      <c r="AJ18" s="13"/>
      <c r="AK18" s="6"/>
      <c r="AL18" s="24" t="str" cm="1">
        <f t="array" aca="1" ref="AL18" ca="1">IF(OR(Formulas!AN15=0,Formulas!AN15="",RIGHT(Formulas!AO15)="0"),"",
HYPERLINK("["&amp;Archivo_Nombre&amp;"]Datos!"&amp;LEFT(SUBSTITUTE(ADDRESS(1,IF(Formulas!AN15=1,1,RIGHT(Formulas!AO15)+2)),"$",""))&amp;Formulas!AM15+1,
IFERROR(INDEX(Datos!$A$1:$L$1,1,RIGHT(Formulas!AO15)+2)&amp;IF(Formulas!AN15=1," "&amp;Formulas!AM15,"")&amp;":","")))</f>
        <v/>
      </c>
      <c r="AM18" s="107" t="str" cm="1">
        <f t="array" aca="1" ref="AM18" ca="1">IF(OR(Formulas!AN15=0,Formulas!AN15="",RIGHT(Formulas!AO15)="0"),"",
HYPERLINK("["&amp;Archivo_Nombre&amp;"]Datos!"&amp;LEFT(SUBSTITUTE(ADDRESS(1,RIGHT(Formulas!AO15)+2),"$",""))&amp;Formulas!AM15+1,
IFERROR(INDEX(Datos!$A$2:$L$101,Formulas!AM15,RIGHT(Formulas!AO15)+2),"")))</f>
        <v/>
      </c>
      <c r="AN18" s="107" t="str" cm="1">
        <f t="array" aca="1" ref="AN18" ca="1">IF(OR(Formulas!AO16=0,Formulas!AO16=""),"",HYPERLINK("["&amp;Archivo_Nombre&amp;"]Datos!"&amp;LEFT(SUBSTITUTE(ADDRESS(1,Formulas!AO16+2),"$",""))&amp;Formulas!AN16+1,
IFERROR(INDEX(Datos!$A$2:$L$101,Formulas!AN16,Formulas!AO16+2),"")))</f>
        <v/>
      </c>
      <c r="AO18" s="13"/>
      <c r="AP18" s="6"/>
      <c r="AQ18" s="24" t="str" cm="1">
        <f t="array" aca="1" ref="AQ18" ca="1">IF(OR(Formulas!AS15=0,Formulas!AS15="",RIGHT(Formulas!AT15)="0"),"",
HYPERLINK("["&amp;Archivo_Nombre&amp;"]Datos!"&amp;LEFT(SUBSTITUTE(ADDRESS(1,IF(Formulas!AS15=1,1,RIGHT(Formulas!AT15)+2)),"$",""))&amp;Formulas!AR15+1,
IFERROR(INDEX(Datos!$A$1:$L$1,1,RIGHT(Formulas!AT15)+2)&amp;IF(Formulas!AS15=1," "&amp;Formulas!AR15,"")&amp;":","")))</f>
        <v/>
      </c>
      <c r="AR18" s="107" t="str" cm="1">
        <f t="array" aca="1" ref="AR18" ca="1">IF(OR(Formulas!AS15=0,Formulas!AS15="",RIGHT(Formulas!AT15)="0"),"",
HYPERLINK("["&amp;Archivo_Nombre&amp;"]Datos!"&amp;LEFT(SUBSTITUTE(ADDRESS(1,RIGHT(Formulas!AT15)+2),"$",""))&amp;Formulas!AR15+1,
IFERROR(INDEX(Datos!$A$2:$L$101,Formulas!AR15,RIGHT(Formulas!AT15)+2),"")))</f>
        <v/>
      </c>
      <c r="AS18" s="107" t="str" cm="1">
        <f t="array" aca="1" ref="AS18" ca="1">IF(OR(Formulas!AT16=0,Formulas!AT16=""),"",HYPERLINK("["&amp;Archivo_Nombre&amp;"]Datos!"&amp;LEFT(SUBSTITUTE(ADDRESS(1,Formulas!AT16+2),"$",""))&amp;Formulas!AS16+1,
IFERROR(INDEX(Datos!$A$2:$L$101,Formulas!AS16,Formulas!AT16+2),"")))</f>
        <v/>
      </c>
      <c r="AT18" s="13"/>
      <c r="AU18" s="6"/>
      <c r="AV18" s="24" t="str" cm="1">
        <f t="array" aca="1" ref="AV18" ca="1">IF(OR(Formulas!AX15=0,Formulas!AX15="",RIGHT(Formulas!AY15)="0"),"",
HYPERLINK("["&amp;Archivo_Nombre&amp;"]Datos!"&amp;LEFT(SUBSTITUTE(ADDRESS(1,IF(Formulas!AX15=1,1,RIGHT(Formulas!AY15)+2)),"$",""))&amp;Formulas!AW15+1,
IFERROR(INDEX(Datos!$A$1:$L$1,1,RIGHT(Formulas!AY15)+2)&amp;IF(Formulas!AX15=1," "&amp;Formulas!AW15,"")&amp;":","")))</f>
        <v/>
      </c>
      <c r="AW18" s="107" t="str" cm="1">
        <f t="array" aca="1" ref="AW18" ca="1">IF(OR(Formulas!AX15=0,Formulas!AX15="",RIGHT(Formulas!AY15)="0"),"",
HYPERLINK("["&amp;Archivo_Nombre&amp;"]Datos!"&amp;LEFT(SUBSTITUTE(ADDRESS(1,RIGHT(Formulas!AY15)+2),"$",""))&amp;Formulas!AW15+1,
IFERROR(INDEX(Datos!$A$2:$L$101,Formulas!AW15,RIGHT(Formulas!AY15)+2),"")))</f>
        <v/>
      </c>
      <c r="AX18" s="107" t="str" cm="1">
        <f t="array" aca="1" ref="AX18" ca="1">IF(OR(Formulas!AY16=0,Formulas!AY16=""),"",HYPERLINK("["&amp;Archivo_Nombre&amp;"]Datos!"&amp;LEFT(SUBSTITUTE(ADDRESS(1,Formulas!AY16+2),"$",""))&amp;Formulas!AX16+1,
IFERROR(INDEX(Datos!$A$2:$L$101,Formulas!AX16,Formulas!AY16+2),"")))</f>
        <v/>
      </c>
      <c r="AY18" s="13"/>
    </row>
    <row r="19" spans="2:51" x14ac:dyDescent="0.25">
      <c r="B19" s="11"/>
      <c r="C19" s="24" t="str" cm="1">
        <f t="array" aca="1" ref="C19" ca="1">IF(OR(Formulas!E16=0,Formulas!E16="",RIGHT(Formulas!F16)="0"),"",
HYPERLINK("["&amp;Archivo_Nombre&amp;"]Datos!"&amp;LEFT(SUBSTITUTE(ADDRESS(1,IF(Formulas!E16=1,1,RIGHT(Formulas!F16)+2)),"$",""))&amp;Formulas!D16+1,
IFERROR(INDEX(Datos!$A$1:$L$1,1,RIGHT(Formulas!F16)+2)&amp;IF(Formulas!E16=1," "&amp;Formulas!D16,"")&amp;":","")))</f>
        <v/>
      </c>
      <c r="D19" s="107" t="str" cm="1">
        <f t="array" aca="1" ref="D19" ca="1">IF(OR(Formulas!E16=0,Formulas!E16="",RIGHT(Formulas!F16)="0"),"",
HYPERLINK("["&amp;Archivo_Nombre&amp;"]Datos!"&amp;LEFT(SUBSTITUTE(ADDRESS(1,RIGHT(Formulas!F16)+2),"$",""))&amp;Formulas!D16+1,
IFERROR(INDEX(Datos!$A$2:$L$101,Formulas!D16,RIGHT(Formulas!F16)+2),"")))</f>
        <v/>
      </c>
      <c r="E19" s="107" t="str" cm="1">
        <f t="array" aca="1" ref="E19" ca="1">IF(OR(Formulas!F17=0,Formulas!F17=""),"",HYPERLINK("["&amp;Archivo_Nombre&amp;"]Datos!"&amp;LEFT(SUBSTITUTE(ADDRESS(1,Formulas!F17+2),"$",""))&amp;Formulas!E17+1,
IFERROR(INDEX(Datos!$A$2:$L$101,Formulas!E17,Formulas!F17+2),"")))</f>
        <v/>
      </c>
      <c r="F19" s="5"/>
      <c r="G19" s="6"/>
      <c r="H19" s="24" t="str" cm="1">
        <f t="array" aca="1" ref="H19" ca="1">IF(OR(Formulas!J16=0,Formulas!J16="",RIGHT(Formulas!K16)="0"),"",
HYPERLINK("["&amp;Archivo_Nombre&amp;"]Datos!"&amp;LEFT(SUBSTITUTE(ADDRESS(1,IF(Formulas!J16=1,1,RIGHT(Formulas!K16)+2)),"$",""))&amp;Formulas!I16+1,
IFERROR(INDEX(Datos!$A$1:$L$1,1,RIGHT(Formulas!K16)+2)&amp;IF(Formulas!J16=1," "&amp;Formulas!I16,"")&amp;":","")))</f>
        <v>Inicio:</v>
      </c>
      <c r="I19" s="107" cm="1">
        <f t="array" aca="1" ref="I19" ca="1">IF(OR(Formulas!J16=0,Formulas!J16="",RIGHT(Formulas!K16)="0"),"",
HYPERLINK("["&amp;Archivo_Nombre&amp;"]Datos!"&amp;LEFT(SUBSTITUTE(ADDRESS(1,RIGHT(Formulas!K16)+2),"$",""))&amp;Formulas!I16+1,
IFERROR(INDEX(Datos!$A$2:$L$101,Formulas!I16,RIGHT(Formulas!K16)+2),"")))</f>
        <v>45856</v>
      </c>
      <c r="J19" s="107" t="e" cm="1">
        <f t="array" aca="1" ref="J19" ca="1">IF(OR(Formulas!K17=0,Formulas!K17=""),"",HYPERLINK("["&amp;Archivo_Nombre&amp;"]Datos!"&amp;LEFT(SUBSTITUTE(ADDRESS(1,Formulas!K17+2),"$",""))&amp;Formulas!J17+1,
IFERROR(INDEX(Datos!$A$2:$L$101,Formulas!J17,Formulas!K17+2),"")))</f>
        <v>#VALUE!</v>
      </c>
      <c r="K19" s="5"/>
      <c r="L19" s="6"/>
      <c r="M19" s="24" t="str" cm="1">
        <f t="array" aca="1" ref="M19" ca="1">IF(OR(Formulas!O16=0,Formulas!O16="",RIGHT(Formulas!P16)="0"),"",
HYPERLINK("["&amp;Archivo_Nombre&amp;"]Datos!"&amp;LEFT(SUBSTITUTE(ADDRESS(1,IF(Formulas!O16=1,1,RIGHT(Formulas!P16)+2)),"$",""))&amp;Formulas!N16+1,
IFERROR(INDEX(Datos!$A$1:$L$1,1,RIGHT(Formulas!P16)+2)&amp;IF(Formulas!O16=1," "&amp;Formulas!N16,"")&amp;":","")))</f>
        <v/>
      </c>
      <c r="N19" s="107" t="str" cm="1">
        <f t="array" aca="1" ref="N19" ca="1">IF(OR(Formulas!O16=0,Formulas!O16="",RIGHT(Formulas!P16)="0"),"",
HYPERLINK("["&amp;Archivo_Nombre&amp;"]Datos!"&amp;LEFT(SUBSTITUTE(ADDRESS(1,RIGHT(Formulas!P16)+2),"$",""))&amp;Formulas!N16+1,
IFERROR(INDEX(Datos!$A$2:$L$101,Formulas!N16,RIGHT(Formulas!P16)+2),"")))</f>
        <v/>
      </c>
      <c r="O19" s="107" t="str" cm="1">
        <f t="array" aca="1" ref="O19" ca="1">IF(OR(Formulas!P17=0,Formulas!P17=""),"",HYPERLINK("["&amp;Archivo_Nombre&amp;"]Datos!"&amp;LEFT(SUBSTITUTE(ADDRESS(1,Formulas!P17+2),"$",""))&amp;Formulas!O17+1,
IFERROR(INDEX(Datos!$A$2:$L$101,Formulas!O17,Formulas!P17+2),"")))</f>
        <v/>
      </c>
      <c r="P19" s="5"/>
      <c r="Q19" s="6"/>
      <c r="R19" s="24" t="str" cm="1">
        <f t="array" aca="1" ref="R19" ca="1">IF(OR(Formulas!T16=0,Formulas!T16="",RIGHT(Formulas!U16)="0"),"",
HYPERLINK("["&amp;Archivo_Nombre&amp;"]Datos!"&amp;LEFT(SUBSTITUTE(ADDRESS(1,IF(Formulas!T16=1,1,RIGHT(Formulas!U16)+2)),"$",""))&amp;Formulas!S16+1,
IFERROR(INDEX(Datos!$A$1:$L$1,1,RIGHT(Formulas!U16)+2)&amp;IF(Formulas!T16=1," "&amp;Formulas!S16,"")&amp;":","")))</f>
        <v>Inicio:</v>
      </c>
      <c r="S19" s="107" cm="1">
        <f t="array" aca="1" ref="S19" ca="1">IF(OR(Formulas!T16=0,Formulas!T16="",RIGHT(Formulas!U16)="0"),"",
HYPERLINK("["&amp;Archivo_Nombre&amp;"]Datos!"&amp;LEFT(SUBSTITUTE(ADDRESS(1,RIGHT(Formulas!U16)+2),"$",""))&amp;Formulas!S16+1,
IFERROR(INDEX(Datos!$A$2:$L$101,Formulas!S16,RIGHT(Formulas!U16)+2),"")))</f>
        <v>45821</v>
      </c>
      <c r="T19" s="107" t="e" cm="1">
        <f t="array" aca="1" ref="T19" ca="1">IF(OR(Formulas!U17=0,Formulas!U17=""),"",HYPERLINK("["&amp;Archivo_Nombre&amp;"]Datos!"&amp;LEFT(SUBSTITUTE(ADDRESS(1,Formulas!U17+2),"$",""))&amp;Formulas!T17+1,
IFERROR(INDEX(Datos!$A$2:$L$101,Formulas!T17,Formulas!U17+2),"")))</f>
        <v>#VALUE!</v>
      </c>
      <c r="U19" s="5"/>
      <c r="V19" s="6"/>
      <c r="W19" s="24" t="str" cm="1">
        <f t="array" aca="1" ref="W19" ca="1">IF(OR(Formulas!Y16=0,Formulas!Y16="",RIGHT(Formulas!Z16)="0"),"",
HYPERLINK("["&amp;Archivo_Nombre&amp;"]Datos!"&amp;LEFT(SUBSTITUTE(ADDRESS(1,IF(Formulas!Y16=1,1,RIGHT(Formulas!Z16)+2)),"$",""))&amp;Formulas!X16+1,
IFERROR(INDEX(Datos!$A$1:$L$1,1,RIGHT(Formulas!Z16)+2)&amp;IF(Formulas!Y16=1," "&amp;Formulas!X16,"")&amp;":","")))</f>
        <v/>
      </c>
      <c r="X19" s="107" t="str" cm="1">
        <f t="array" aca="1" ref="X19" ca="1">IF(OR(Formulas!Y16=0,Formulas!Y16="",RIGHT(Formulas!Z16)="0"),"",
HYPERLINK("["&amp;Archivo_Nombre&amp;"]Datos!"&amp;LEFT(SUBSTITUTE(ADDRESS(1,RIGHT(Formulas!Z16)+2),"$",""))&amp;Formulas!X16+1,
IFERROR(INDEX(Datos!$A$2:$L$101,Formulas!X16,RIGHT(Formulas!Z16)+2),"")))</f>
        <v/>
      </c>
      <c r="Y19" s="107" t="str" cm="1">
        <f t="array" aca="1" ref="Y19" ca="1">IF(OR(Formulas!Z17=0,Formulas!Z17=""),"",HYPERLINK("["&amp;Archivo_Nombre&amp;"]Datos!"&amp;LEFT(SUBSTITUTE(ADDRESS(1,Formulas!Z17+2),"$",""))&amp;Formulas!Y17+1,
IFERROR(INDEX(Datos!$A$2:$L$101,Formulas!Y17,Formulas!Z17+2),"")))</f>
        <v/>
      </c>
      <c r="Z19" s="13"/>
      <c r="AA19" s="6"/>
      <c r="AB19" s="24" t="str" cm="1">
        <f t="array" aca="1" ref="AB19" ca="1">IF(OR(Formulas!AD16=0,Formulas!AD16="",RIGHT(Formulas!AE16)="0"),"",
HYPERLINK("["&amp;Archivo_Nombre&amp;"]Datos!"&amp;LEFT(SUBSTITUTE(ADDRESS(1,IF(Formulas!AD16=1,1,RIGHT(Formulas!AE16)+2)),"$",""))&amp;Formulas!AC16+1,
IFERROR(INDEX(Datos!$A$1:$L$1,1,RIGHT(Formulas!AE16)+2)&amp;IF(Formulas!AD16=1," "&amp;Formulas!AC16,"")&amp;":","")))</f>
        <v/>
      </c>
      <c r="AC19" s="107" t="str" cm="1">
        <f t="array" aca="1" ref="AC19" ca="1">IF(OR(Formulas!AD16=0,Formulas!AD16="",RIGHT(Formulas!AE16)="0"),"",
HYPERLINK("["&amp;Archivo_Nombre&amp;"]Datos!"&amp;LEFT(SUBSTITUTE(ADDRESS(1,RIGHT(Formulas!AE16)+2),"$",""))&amp;Formulas!AC16+1,
IFERROR(INDEX(Datos!$A$2:$L$101,Formulas!AC16,RIGHT(Formulas!AE16)+2),"")))</f>
        <v/>
      </c>
      <c r="AD19" s="107" t="str" cm="1">
        <f t="array" aca="1" ref="AD19" ca="1">IF(OR(Formulas!AE17=0,Formulas!AE17=""),"",HYPERLINK("["&amp;Archivo_Nombre&amp;"]Datos!"&amp;LEFT(SUBSTITUTE(ADDRESS(1,Formulas!AE17+2),"$",""))&amp;Formulas!AD17+1,
IFERROR(INDEX(Datos!$A$2:$L$101,Formulas!AD17,Formulas!AE17+2),"")))</f>
        <v/>
      </c>
      <c r="AE19" s="13"/>
      <c r="AF19" s="6"/>
      <c r="AG19" s="24" t="str" cm="1">
        <f t="array" aca="1" ref="AG19" ca="1">IF(OR(Formulas!AI16=0,Formulas!AI16="",RIGHT(Formulas!AJ16)="0"),"",
HYPERLINK("["&amp;Archivo_Nombre&amp;"]Datos!"&amp;LEFT(SUBSTITUTE(ADDRESS(1,IF(Formulas!AI16=1,1,RIGHT(Formulas!AJ16)+2)),"$",""))&amp;Formulas!AH16+1,
IFERROR(INDEX(Datos!$A$1:$L$1,1,RIGHT(Formulas!AJ16)+2)&amp;IF(Formulas!AI16=1," "&amp;Formulas!AH16,"")&amp;":","")))</f>
        <v/>
      </c>
      <c r="AH19" s="107" t="str" cm="1">
        <f t="array" aca="1" ref="AH19" ca="1">IF(OR(Formulas!AI16=0,Formulas!AI16="",RIGHT(Formulas!AJ16)="0"),"",
HYPERLINK("["&amp;Archivo_Nombre&amp;"]Datos!"&amp;LEFT(SUBSTITUTE(ADDRESS(1,RIGHT(Formulas!AJ16)+2),"$",""))&amp;Formulas!AH16+1,
IFERROR(INDEX(Datos!$A$2:$L$101,Formulas!AH16,RIGHT(Formulas!AJ16)+2),"")))</f>
        <v/>
      </c>
      <c r="AI19" s="107" t="str" cm="1">
        <f t="array" aca="1" ref="AI19" ca="1">IF(OR(Formulas!AJ17=0,Formulas!AJ17=""),"",HYPERLINK("["&amp;Archivo_Nombre&amp;"]Datos!"&amp;LEFT(SUBSTITUTE(ADDRESS(1,Formulas!AJ17+2),"$",""))&amp;Formulas!AI17+1,
IFERROR(INDEX(Datos!$A$2:$L$101,Formulas!AI17,Formulas!AJ17+2),"")))</f>
        <v/>
      </c>
      <c r="AJ19" s="13"/>
      <c r="AK19" s="6"/>
      <c r="AL19" s="24" t="str" cm="1">
        <f t="array" aca="1" ref="AL19" ca="1">IF(OR(Formulas!AN16=0,Formulas!AN16="",RIGHT(Formulas!AO16)="0"),"",
HYPERLINK("["&amp;Archivo_Nombre&amp;"]Datos!"&amp;LEFT(SUBSTITUTE(ADDRESS(1,IF(Formulas!AN16=1,1,RIGHT(Formulas!AO16)+2)),"$",""))&amp;Formulas!AM16+1,
IFERROR(INDEX(Datos!$A$1:$L$1,1,RIGHT(Formulas!AO16)+2)&amp;IF(Formulas!AN16=1," "&amp;Formulas!AM16,"")&amp;":","")))</f>
        <v/>
      </c>
      <c r="AM19" s="107" t="str" cm="1">
        <f t="array" aca="1" ref="AM19" ca="1">IF(OR(Formulas!AN16=0,Formulas!AN16="",RIGHT(Formulas!AO16)="0"),"",
HYPERLINK("["&amp;Archivo_Nombre&amp;"]Datos!"&amp;LEFT(SUBSTITUTE(ADDRESS(1,RIGHT(Formulas!AO16)+2),"$",""))&amp;Formulas!AM16+1,
IFERROR(INDEX(Datos!$A$2:$L$101,Formulas!AM16,RIGHT(Formulas!AO16)+2),"")))</f>
        <v/>
      </c>
      <c r="AN19" s="107" t="str" cm="1">
        <f t="array" aca="1" ref="AN19" ca="1">IF(OR(Formulas!AO17=0,Formulas!AO17=""),"",HYPERLINK("["&amp;Archivo_Nombre&amp;"]Datos!"&amp;LEFT(SUBSTITUTE(ADDRESS(1,Formulas!AO17+2),"$",""))&amp;Formulas!AN17+1,
IFERROR(INDEX(Datos!$A$2:$L$101,Formulas!AN17,Formulas!AO17+2),"")))</f>
        <v/>
      </c>
      <c r="AO19" s="13"/>
      <c r="AP19" s="6"/>
      <c r="AQ19" s="24" t="str" cm="1">
        <f t="array" aca="1" ref="AQ19" ca="1">IF(OR(Formulas!AS16=0,Formulas!AS16="",RIGHT(Formulas!AT16)="0"),"",
HYPERLINK("["&amp;Archivo_Nombre&amp;"]Datos!"&amp;LEFT(SUBSTITUTE(ADDRESS(1,IF(Formulas!AS16=1,1,RIGHT(Formulas!AT16)+2)),"$",""))&amp;Formulas!AR16+1,
IFERROR(INDEX(Datos!$A$1:$L$1,1,RIGHT(Formulas!AT16)+2)&amp;IF(Formulas!AS16=1," "&amp;Formulas!AR16,"")&amp;":","")))</f>
        <v/>
      </c>
      <c r="AR19" s="107" t="str" cm="1">
        <f t="array" aca="1" ref="AR19" ca="1">IF(OR(Formulas!AS16=0,Formulas!AS16="",RIGHT(Formulas!AT16)="0"),"",
HYPERLINK("["&amp;Archivo_Nombre&amp;"]Datos!"&amp;LEFT(SUBSTITUTE(ADDRESS(1,RIGHT(Formulas!AT16)+2),"$",""))&amp;Formulas!AR16+1,
IFERROR(INDEX(Datos!$A$2:$L$101,Formulas!AR16,RIGHT(Formulas!AT16)+2),"")))</f>
        <v/>
      </c>
      <c r="AS19" s="107" t="str" cm="1">
        <f t="array" aca="1" ref="AS19" ca="1">IF(OR(Formulas!AT17=0,Formulas!AT17=""),"",HYPERLINK("["&amp;Archivo_Nombre&amp;"]Datos!"&amp;LEFT(SUBSTITUTE(ADDRESS(1,Formulas!AT17+2),"$",""))&amp;Formulas!AS17+1,
IFERROR(INDEX(Datos!$A$2:$L$101,Formulas!AS17,Formulas!AT17+2),"")))</f>
        <v/>
      </c>
      <c r="AT19" s="13"/>
      <c r="AU19" s="6"/>
      <c r="AV19" s="24" t="str" cm="1">
        <f t="array" aca="1" ref="AV19" ca="1">IF(OR(Formulas!AX16=0,Formulas!AX16="",RIGHT(Formulas!AY16)="0"),"",
HYPERLINK("["&amp;Archivo_Nombre&amp;"]Datos!"&amp;LEFT(SUBSTITUTE(ADDRESS(1,IF(Formulas!AX16=1,1,RIGHT(Formulas!AY16)+2)),"$",""))&amp;Formulas!AW16+1,
IFERROR(INDEX(Datos!$A$1:$L$1,1,RIGHT(Formulas!AY16)+2)&amp;IF(Formulas!AX16=1," "&amp;Formulas!AW16,"")&amp;":","")))</f>
        <v/>
      </c>
      <c r="AW19" s="107" t="str" cm="1">
        <f t="array" aca="1" ref="AW19" ca="1">IF(OR(Formulas!AX16=0,Formulas!AX16="",RIGHT(Formulas!AY16)="0"),"",
HYPERLINK("["&amp;Archivo_Nombre&amp;"]Datos!"&amp;LEFT(SUBSTITUTE(ADDRESS(1,RIGHT(Formulas!AY16)+2),"$",""))&amp;Formulas!AW16+1,
IFERROR(INDEX(Datos!$A$2:$L$101,Formulas!AW16,RIGHT(Formulas!AY16)+2),"")))</f>
        <v/>
      </c>
      <c r="AX19" s="107" t="str" cm="1">
        <f t="array" aca="1" ref="AX19" ca="1">IF(OR(Formulas!AY17=0,Formulas!AY17=""),"",HYPERLINK("["&amp;Archivo_Nombre&amp;"]Datos!"&amp;LEFT(SUBSTITUTE(ADDRESS(1,Formulas!AY17+2),"$",""))&amp;Formulas!AX17+1,
IFERROR(INDEX(Datos!$A$2:$L$101,Formulas!AX17,Formulas!AY17+2),"")))</f>
        <v/>
      </c>
      <c r="AY19" s="13"/>
    </row>
    <row r="20" spans="2:51" x14ac:dyDescent="0.25">
      <c r="B20" s="11"/>
      <c r="C20" s="24" t="str" cm="1">
        <f t="array" aca="1" ref="C20" ca="1">IF(OR(Formulas!E17=0,Formulas!E17="",RIGHT(Formulas!F17)="0"),"",
HYPERLINK("["&amp;Archivo_Nombre&amp;"]Datos!"&amp;LEFT(SUBSTITUTE(ADDRESS(1,IF(Formulas!E17=1,1,RIGHT(Formulas!F17)+2)),"$",""))&amp;Formulas!D17+1,
IFERROR(INDEX(Datos!$A$1:$L$1,1,RIGHT(Formulas!F17)+2)&amp;IF(Formulas!E17=1," "&amp;Formulas!D17,"")&amp;":","")))</f>
        <v/>
      </c>
      <c r="D20" s="107" t="str" cm="1">
        <f t="array" aca="1" ref="D20" ca="1">IF(OR(Formulas!E17=0,Formulas!E17="",RIGHT(Formulas!F17)="0"),"",
HYPERLINK("["&amp;Archivo_Nombre&amp;"]Datos!"&amp;LEFT(SUBSTITUTE(ADDRESS(1,RIGHT(Formulas!F17)+2),"$",""))&amp;Formulas!D17+1,
IFERROR(INDEX(Datos!$A$2:$L$101,Formulas!D17,RIGHT(Formulas!F17)+2),"")))</f>
        <v/>
      </c>
      <c r="E20" s="107" t="str" cm="1">
        <f t="array" aca="1" ref="E20" ca="1">IF(OR(Formulas!F18=0,Formulas!F18=""),"",HYPERLINK("["&amp;Archivo_Nombre&amp;"]Datos!"&amp;LEFT(SUBSTITUTE(ADDRESS(1,Formulas!F18+2),"$",""))&amp;Formulas!E18+1,
IFERROR(INDEX(Datos!$A$2:$L$101,Formulas!E18,Formulas!F18+2),"")))</f>
        <v/>
      </c>
      <c r="F20" s="5"/>
      <c r="G20" s="6"/>
      <c r="H20" s="24" t="str" cm="1">
        <f t="array" aca="1" ref="H20" ca="1">IF(OR(Formulas!J17=0,Formulas!J17="",RIGHT(Formulas!K17)="0"),"",
HYPERLINK("["&amp;Archivo_Nombre&amp;"]Datos!"&amp;LEFT(SUBSTITUTE(ADDRESS(1,IF(Formulas!J17=1,1,RIGHT(Formulas!K17)+2)),"$",""))&amp;Formulas!I17+1,
IFERROR(INDEX(Datos!$A$1:$L$1,1,RIGHT(Formulas!K17)+2)&amp;IF(Formulas!J17=1," "&amp;Formulas!I17,"")&amp;":","")))</f>
        <v>Previsto:</v>
      </c>
      <c r="I20" s="107" cm="1">
        <f t="array" aca="1" ref="I20" ca="1">IF(OR(Formulas!J17=0,Formulas!J17="",RIGHT(Formulas!K17)="0"),"",
HYPERLINK("["&amp;Archivo_Nombre&amp;"]Datos!"&amp;LEFT(SUBSTITUTE(ADDRESS(1,RIGHT(Formulas!K17)+2),"$",""))&amp;Formulas!I17+1,
IFERROR(INDEX(Datos!$A$2:$L$101,Formulas!I17,RIGHT(Formulas!K17)+2),"")))</f>
        <v>45858</v>
      </c>
      <c r="J20" s="107" t="e" cm="1">
        <f t="array" aca="1" ref="J20" ca="1">IF(OR(Formulas!K18=0,Formulas!K18=""),"",HYPERLINK("["&amp;Archivo_Nombre&amp;"]Datos!"&amp;LEFT(SUBSTITUTE(ADDRESS(1,Formulas!K18+2),"$",""))&amp;Formulas!J18+1,
IFERROR(INDEX(Datos!$A$2:$L$101,Formulas!J18,Formulas!K18+2),"")))</f>
        <v>#VALUE!</v>
      </c>
      <c r="K20" s="5"/>
      <c r="L20" s="6"/>
      <c r="M20" s="24" t="str" cm="1">
        <f t="array" aca="1" ref="M20" ca="1">IF(OR(Formulas!O17=0,Formulas!O17="",RIGHT(Formulas!P17)="0"),"",
HYPERLINK("["&amp;Archivo_Nombre&amp;"]Datos!"&amp;LEFT(SUBSTITUTE(ADDRESS(1,IF(Formulas!O17=1,1,RIGHT(Formulas!P17)+2)),"$",""))&amp;Formulas!N17+1,
IFERROR(INDEX(Datos!$A$1:$L$1,1,RIGHT(Formulas!P17)+2)&amp;IF(Formulas!O17=1," "&amp;Formulas!N17,"")&amp;":","")))</f>
        <v/>
      </c>
      <c r="N20" s="107" t="str" cm="1">
        <f t="array" aca="1" ref="N20" ca="1">IF(OR(Formulas!O17=0,Formulas!O17="",RIGHT(Formulas!P17)="0"),"",
HYPERLINK("["&amp;Archivo_Nombre&amp;"]Datos!"&amp;LEFT(SUBSTITUTE(ADDRESS(1,RIGHT(Formulas!P17)+2),"$",""))&amp;Formulas!N17+1,
IFERROR(INDEX(Datos!$A$2:$L$101,Formulas!N17,RIGHT(Formulas!P17)+2),"")))</f>
        <v/>
      </c>
      <c r="O20" s="107" t="str" cm="1">
        <f t="array" aca="1" ref="O20" ca="1">IF(OR(Formulas!P18=0,Formulas!P18=""),"",HYPERLINK("["&amp;Archivo_Nombre&amp;"]Datos!"&amp;LEFT(SUBSTITUTE(ADDRESS(1,Formulas!P18+2),"$",""))&amp;Formulas!O18+1,
IFERROR(INDEX(Datos!$A$2:$L$101,Formulas!O18,Formulas!P18+2),"")))</f>
        <v/>
      </c>
      <c r="P20" s="5"/>
      <c r="Q20" s="6"/>
      <c r="R20" s="24" t="str" cm="1">
        <f t="array" aca="1" ref="R20" ca="1">IF(OR(Formulas!T17=0,Formulas!T17="",RIGHT(Formulas!U17)="0"),"",
HYPERLINK("["&amp;Archivo_Nombre&amp;"]Datos!"&amp;LEFT(SUBSTITUTE(ADDRESS(1,IF(Formulas!T17=1,1,RIGHT(Formulas!U17)+2)),"$",""))&amp;Formulas!S17+1,
IFERROR(INDEX(Datos!$A$1:$L$1,1,RIGHT(Formulas!U17)+2)&amp;IF(Formulas!T17=1," "&amp;Formulas!S17,"")&amp;":","")))</f>
        <v>Previsto:</v>
      </c>
      <c r="S20" s="107" cm="1">
        <f t="array" aca="1" ref="S20" ca="1">IF(OR(Formulas!T17=0,Formulas!T17="",RIGHT(Formulas!U17)="0"),"",
HYPERLINK("["&amp;Archivo_Nombre&amp;"]Datos!"&amp;LEFT(SUBSTITUTE(ADDRESS(1,RIGHT(Formulas!U17)+2),"$",""))&amp;Formulas!S17+1,
IFERROR(INDEX(Datos!$A$2:$L$101,Formulas!S17,RIGHT(Formulas!U17)+2),"")))</f>
        <v>45822</v>
      </c>
      <c r="T20" s="107" t="e" cm="1">
        <f t="array" aca="1" ref="T20" ca="1">IF(OR(Formulas!U18=0,Formulas!U18=""),"",HYPERLINK("["&amp;Archivo_Nombre&amp;"]Datos!"&amp;LEFT(SUBSTITUTE(ADDRESS(1,Formulas!U18+2),"$",""))&amp;Formulas!T18+1,
IFERROR(INDEX(Datos!$A$2:$L$101,Formulas!T18,Formulas!U18+2),"")))</f>
        <v>#VALUE!</v>
      </c>
      <c r="U20" s="5"/>
      <c r="V20" s="6"/>
      <c r="W20" s="24" t="str" cm="1">
        <f t="array" aca="1" ref="W20" ca="1">IF(OR(Formulas!Y17=0,Formulas!Y17="",RIGHT(Formulas!Z17)="0"),"",
HYPERLINK("["&amp;Archivo_Nombre&amp;"]Datos!"&amp;LEFT(SUBSTITUTE(ADDRESS(1,IF(Formulas!Y17=1,1,RIGHT(Formulas!Z17)+2)),"$",""))&amp;Formulas!X17+1,
IFERROR(INDEX(Datos!$A$1:$L$1,1,RIGHT(Formulas!Z17)+2)&amp;IF(Formulas!Y17=1," "&amp;Formulas!X17,"")&amp;":","")))</f>
        <v/>
      </c>
      <c r="X20" s="107" t="str" cm="1">
        <f t="array" aca="1" ref="X20" ca="1">IF(OR(Formulas!Y17=0,Formulas!Y17="",RIGHT(Formulas!Z17)="0"),"",
HYPERLINK("["&amp;Archivo_Nombre&amp;"]Datos!"&amp;LEFT(SUBSTITUTE(ADDRESS(1,RIGHT(Formulas!Z17)+2),"$",""))&amp;Formulas!X17+1,
IFERROR(INDEX(Datos!$A$2:$L$101,Formulas!X17,RIGHT(Formulas!Z17)+2),"")))</f>
        <v/>
      </c>
      <c r="Y20" s="107" t="str" cm="1">
        <f t="array" aca="1" ref="Y20" ca="1">IF(OR(Formulas!Z18=0,Formulas!Z18=""),"",HYPERLINK("["&amp;Archivo_Nombre&amp;"]Datos!"&amp;LEFT(SUBSTITUTE(ADDRESS(1,Formulas!Z18+2),"$",""))&amp;Formulas!Y18+1,
IFERROR(INDEX(Datos!$A$2:$L$101,Formulas!Y18,Formulas!Z18+2),"")))</f>
        <v/>
      </c>
      <c r="Z20" s="13"/>
      <c r="AA20" s="6"/>
      <c r="AB20" s="24" t="str" cm="1">
        <f t="array" aca="1" ref="AB20" ca="1">IF(OR(Formulas!AD17=0,Formulas!AD17="",RIGHT(Formulas!AE17)="0"),"",
HYPERLINK("["&amp;Archivo_Nombre&amp;"]Datos!"&amp;LEFT(SUBSTITUTE(ADDRESS(1,IF(Formulas!AD17=1,1,RIGHT(Formulas!AE17)+2)),"$",""))&amp;Formulas!AC17+1,
IFERROR(INDEX(Datos!$A$1:$L$1,1,RIGHT(Formulas!AE17)+2)&amp;IF(Formulas!AD17=1," "&amp;Formulas!AC17,"")&amp;":","")))</f>
        <v/>
      </c>
      <c r="AC20" s="107" t="str" cm="1">
        <f t="array" aca="1" ref="AC20" ca="1">IF(OR(Formulas!AD17=0,Formulas!AD17="",RIGHT(Formulas!AE17)="0"),"",
HYPERLINK("["&amp;Archivo_Nombre&amp;"]Datos!"&amp;LEFT(SUBSTITUTE(ADDRESS(1,RIGHT(Formulas!AE17)+2),"$",""))&amp;Formulas!AC17+1,
IFERROR(INDEX(Datos!$A$2:$L$101,Formulas!AC17,RIGHT(Formulas!AE17)+2),"")))</f>
        <v/>
      </c>
      <c r="AD20" s="107" t="str" cm="1">
        <f t="array" aca="1" ref="AD20" ca="1">IF(OR(Formulas!AE18=0,Formulas!AE18=""),"",HYPERLINK("["&amp;Archivo_Nombre&amp;"]Datos!"&amp;LEFT(SUBSTITUTE(ADDRESS(1,Formulas!AE18+2),"$",""))&amp;Formulas!AD18+1,
IFERROR(INDEX(Datos!$A$2:$L$101,Formulas!AD18,Formulas!AE18+2),"")))</f>
        <v/>
      </c>
      <c r="AE20" s="13"/>
      <c r="AF20" s="6"/>
      <c r="AG20" s="24" t="str" cm="1">
        <f t="array" aca="1" ref="AG20" ca="1">IF(OR(Formulas!AI17=0,Formulas!AI17="",RIGHT(Formulas!AJ17)="0"),"",
HYPERLINK("["&amp;Archivo_Nombre&amp;"]Datos!"&amp;LEFT(SUBSTITUTE(ADDRESS(1,IF(Formulas!AI17=1,1,RIGHT(Formulas!AJ17)+2)),"$",""))&amp;Formulas!AH17+1,
IFERROR(INDEX(Datos!$A$1:$L$1,1,RIGHT(Formulas!AJ17)+2)&amp;IF(Formulas!AI17=1," "&amp;Formulas!AH17,"")&amp;":","")))</f>
        <v/>
      </c>
      <c r="AH20" s="107" t="str" cm="1">
        <f t="array" aca="1" ref="AH20" ca="1">IF(OR(Formulas!AI17=0,Formulas!AI17="",RIGHT(Formulas!AJ17)="0"),"",
HYPERLINK("["&amp;Archivo_Nombre&amp;"]Datos!"&amp;LEFT(SUBSTITUTE(ADDRESS(1,RIGHT(Formulas!AJ17)+2),"$",""))&amp;Formulas!AH17+1,
IFERROR(INDEX(Datos!$A$2:$L$101,Formulas!AH17,RIGHT(Formulas!AJ17)+2),"")))</f>
        <v/>
      </c>
      <c r="AI20" s="107" t="str" cm="1">
        <f t="array" aca="1" ref="AI20" ca="1">IF(OR(Formulas!AJ18=0,Formulas!AJ18=""),"",HYPERLINK("["&amp;Archivo_Nombre&amp;"]Datos!"&amp;LEFT(SUBSTITUTE(ADDRESS(1,Formulas!AJ18+2),"$",""))&amp;Formulas!AI18+1,
IFERROR(INDEX(Datos!$A$2:$L$101,Formulas!AI18,Formulas!AJ18+2),"")))</f>
        <v/>
      </c>
      <c r="AJ20" s="13"/>
      <c r="AK20" s="6"/>
      <c r="AL20" s="24" t="str" cm="1">
        <f t="array" aca="1" ref="AL20" ca="1">IF(OR(Formulas!AN17=0,Formulas!AN17="",RIGHT(Formulas!AO17)="0"),"",
HYPERLINK("["&amp;Archivo_Nombre&amp;"]Datos!"&amp;LEFT(SUBSTITUTE(ADDRESS(1,IF(Formulas!AN17=1,1,RIGHT(Formulas!AO17)+2)),"$",""))&amp;Formulas!AM17+1,
IFERROR(INDEX(Datos!$A$1:$L$1,1,RIGHT(Formulas!AO17)+2)&amp;IF(Formulas!AN17=1," "&amp;Formulas!AM17,"")&amp;":","")))</f>
        <v/>
      </c>
      <c r="AM20" s="107" t="str" cm="1">
        <f t="array" aca="1" ref="AM20" ca="1">IF(OR(Formulas!AN17=0,Formulas!AN17="",RIGHT(Formulas!AO17)="0"),"",
HYPERLINK("["&amp;Archivo_Nombre&amp;"]Datos!"&amp;LEFT(SUBSTITUTE(ADDRESS(1,RIGHT(Formulas!AO17)+2),"$",""))&amp;Formulas!AM17+1,
IFERROR(INDEX(Datos!$A$2:$L$101,Formulas!AM17,RIGHT(Formulas!AO17)+2),"")))</f>
        <v/>
      </c>
      <c r="AN20" s="107" t="str" cm="1">
        <f t="array" aca="1" ref="AN20" ca="1">IF(OR(Formulas!AO18=0,Formulas!AO18=""),"",HYPERLINK("["&amp;Archivo_Nombre&amp;"]Datos!"&amp;LEFT(SUBSTITUTE(ADDRESS(1,Formulas!AO18+2),"$",""))&amp;Formulas!AN18+1,
IFERROR(INDEX(Datos!$A$2:$L$101,Formulas!AN18,Formulas!AO18+2),"")))</f>
        <v/>
      </c>
      <c r="AO20" s="13"/>
      <c r="AP20" s="6"/>
      <c r="AQ20" s="24" t="str" cm="1">
        <f t="array" aca="1" ref="AQ20" ca="1">IF(OR(Formulas!AS17=0,Formulas!AS17="",RIGHT(Formulas!AT17)="0"),"",
HYPERLINK("["&amp;Archivo_Nombre&amp;"]Datos!"&amp;LEFT(SUBSTITUTE(ADDRESS(1,IF(Formulas!AS17=1,1,RIGHT(Formulas!AT17)+2)),"$",""))&amp;Formulas!AR17+1,
IFERROR(INDEX(Datos!$A$1:$L$1,1,RIGHT(Formulas!AT17)+2)&amp;IF(Formulas!AS17=1," "&amp;Formulas!AR17,"")&amp;":","")))</f>
        <v/>
      </c>
      <c r="AR20" s="107" t="str" cm="1">
        <f t="array" aca="1" ref="AR20" ca="1">IF(OR(Formulas!AS17=0,Formulas!AS17="",RIGHT(Formulas!AT17)="0"),"",
HYPERLINK("["&amp;Archivo_Nombre&amp;"]Datos!"&amp;LEFT(SUBSTITUTE(ADDRESS(1,RIGHT(Formulas!AT17)+2),"$",""))&amp;Formulas!AR17+1,
IFERROR(INDEX(Datos!$A$2:$L$101,Formulas!AR17,RIGHT(Formulas!AT17)+2),"")))</f>
        <v/>
      </c>
      <c r="AS20" s="107" t="str" cm="1">
        <f t="array" aca="1" ref="AS20" ca="1">IF(OR(Formulas!AT18=0,Formulas!AT18=""),"",HYPERLINK("["&amp;Archivo_Nombre&amp;"]Datos!"&amp;LEFT(SUBSTITUTE(ADDRESS(1,Formulas!AT18+2),"$",""))&amp;Formulas!AS18+1,
IFERROR(INDEX(Datos!$A$2:$L$101,Formulas!AS18,Formulas!AT18+2),"")))</f>
        <v/>
      </c>
      <c r="AT20" s="13"/>
      <c r="AU20" s="6"/>
      <c r="AV20" s="24" t="str" cm="1">
        <f t="array" aca="1" ref="AV20" ca="1">IF(OR(Formulas!AX17=0,Formulas!AX17="",RIGHT(Formulas!AY17)="0"),"",
HYPERLINK("["&amp;Archivo_Nombre&amp;"]Datos!"&amp;LEFT(SUBSTITUTE(ADDRESS(1,IF(Formulas!AX17=1,1,RIGHT(Formulas!AY17)+2)),"$",""))&amp;Formulas!AW17+1,
IFERROR(INDEX(Datos!$A$1:$L$1,1,RIGHT(Formulas!AY17)+2)&amp;IF(Formulas!AX17=1," "&amp;Formulas!AW17,"")&amp;":","")))</f>
        <v/>
      </c>
      <c r="AW20" s="107" t="str" cm="1">
        <f t="array" aca="1" ref="AW20" ca="1">IF(OR(Formulas!AX17=0,Formulas!AX17="",RIGHT(Formulas!AY17)="0"),"",
HYPERLINK("["&amp;Archivo_Nombre&amp;"]Datos!"&amp;LEFT(SUBSTITUTE(ADDRESS(1,RIGHT(Formulas!AY17)+2),"$",""))&amp;Formulas!AW17+1,
IFERROR(INDEX(Datos!$A$2:$L$101,Formulas!AW17,RIGHT(Formulas!AY17)+2),"")))</f>
        <v/>
      </c>
      <c r="AX20" s="107" t="str" cm="1">
        <f t="array" aca="1" ref="AX20" ca="1">IF(OR(Formulas!AY18=0,Formulas!AY18=""),"",HYPERLINK("["&amp;Archivo_Nombre&amp;"]Datos!"&amp;LEFT(SUBSTITUTE(ADDRESS(1,Formulas!AY18+2),"$",""))&amp;Formulas!AX18+1,
IFERROR(INDEX(Datos!$A$2:$L$101,Formulas!AX18,Formulas!AY18+2),"")))</f>
        <v/>
      </c>
      <c r="AY20" s="13"/>
    </row>
    <row r="21" spans="2:51" x14ac:dyDescent="0.25">
      <c r="B21" s="11"/>
      <c r="C21" s="24" t="str" cm="1">
        <f t="array" aca="1" ref="C21" ca="1">IF(OR(Formulas!E18=0,Formulas!E18="",RIGHT(Formulas!F18)="0"),"",
HYPERLINK("["&amp;Archivo_Nombre&amp;"]Datos!"&amp;LEFT(SUBSTITUTE(ADDRESS(1,IF(Formulas!E18=1,1,RIGHT(Formulas!F18)+2)),"$",""))&amp;Formulas!D18+1,
IFERROR(INDEX(Datos!$A$1:$L$1,1,RIGHT(Formulas!F18)+2)&amp;IF(Formulas!E18=1," "&amp;Formulas!D18,"")&amp;":","")))</f>
        <v/>
      </c>
      <c r="D21" s="107" t="str" cm="1">
        <f t="array" aca="1" ref="D21" ca="1">IF(OR(Formulas!E18=0,Formulas!E18="",RIGHT(Formulas!F18)="0"),"",
HYPERLINK("["&amp;Archivo_Nombre&amp;"]Datos!"&amp;LEFT(SUBSTITUTE(ADDRESS(1,RIGHT(Formulas!F18)+2),"$",""))&amp;Formulas!D18+1,
IFERROR(INDEX(Datos!$A$2:$L$101,Formulas!D18,RIGHT(Formulas!F18)+2),"")))</f>
        <v/>
      </c>
      <c r="E21" s="107" t="str" cm="1">
        <f t="array" aca="1" ref="E21" ca="1">IF(OR(Formulas!F19=0,Formulas!F19=""),"",HYPERLINK("["&amp;Archivo_Nombre&amp;"]Datos!"&amp;LEFT(SUBSTITUTE(ADDRESS(1,Formulas!F19+2),"$",""))&amp;Formulas!E19+1,
IFERROR(INDEX(Datos!$A$2:$L$101,Formulas!E19,Formulas!F19+2),"")))</f>
        <v/>
      </c>
      <c r="F21" s="5"/>
      <c r="G21" s="6"/>
      <c r="H21" s="24" t="str" cm="1">
        <f t="array" aca="1" ref="H21" ca="1">IF(OR(Formulas!J18=0,Formulas!J18="",RIGHT(Formulas!K18)="0"),"",
HYPERLINK("["&amp;Archivo_Nombre&amp;"]Datos!"&amp;LEFT(SUBSTITUTE(ADDRESS(1,IF(Formulas!J18=1,1,RIGHT(Formulas!K18)+2)),"$",""))&amp;Formulas!I18+1,
IFERROR(INDEX(Datos!$A$1:$L$1,1,RIGHT(Formulas!K18)+2)&amp;IF(Formulas!J18=1," "&amp;Formulas!I18,"")&amp;":","")))</f>
        <v>Final:</v>
      </c>
      <c r="I21" s="107" cm="1">
        <f t="array" aca="1" ref="I21" ca="1">IF(OR(Formulas!J18=0,Formulas!J18="",RIGHT(Formulas!K18)="0"),"",
HYPERLINK("["&amp;Archivo_Nombre&amp;"]Datos!"&amp;LEFT(SUBSTITUTE(ADDRESS(1,RIGHT(Formulas!K18)+2),"$",""))&amp;Formulas!I18+1,
IFERROR(INDEX(Datos!$A$2:$L$101,Formulas!I18,RIGHT(Formulas!K18)+2),"")))</f>
        <v>0</v>
      </c>
      <c r="J21" s="107" t="e" cm="1">
        <f t="array" aca="1" ref="J21" ca="1">IF(OR(Formulas!K19=0,Formulas!K19=""),"",HYPERLINK("["&amp;Archivo_Nombre&amp;"]Datos!"&amp;LEFT(SUBSTITUTE(ADDRESS(1,Formulas!K19+2),"$",""))&amp;Formulas!J19+1,
IFERROR(INDEX(Datos!$A$2:$L$101,Formulas!J19,Formulas!K19+2),"")))</f>
        <v>#VALUE!</v>
      </c>
      <c r="K21" s="5"/>
      <c r="L21" s="6"/>
      <c r="M21" s="24" t="str" cm="1">
        <f t="array" aca="1" ref="M21" ca="1">IF(OR(Formulas!O18=0,Formulas!O18="",RIGHT(Formulas!P18)="0"),"",
HYPERLINK("["&amp;Archivo_Nombre&amp;"]Datos!"&amp;LEFT(SUBSTITUTE(ADDRESS(1,IF(Formulas!O18=1,1,RIGHT(Formulas!P18)+2)),"$",""))&amp;Formulas!N18+1,
IFERROR(INDEX(Datos!$A$1:$L$1,1,RIGHT(Formulas!P18)+2)&amp;IF(Formulas!O18=1," "&amp;Formulas!N18,"")&amp;":","")))</f>
        <v/>
      </c>
      <c r="N21" s="107" t="str" cm="1">
        <f t="array" aca="1" ref="N21" ca="1">IF(OR(Formulas!O18=0,Formulas!O18="",RIGHT(Formulas!P18)="0"),"",
HYPERLINK("["&amp;Archivo_Nombre&amp;"]Datos!"&amp;LEFT(SUBSTITUTE(ADDRESS(1,RIGHT(Formulas!P18)+2),"$",""))&amp;Formulas!N18+1,
IFERROR(INDEX(Datos!$A$2:$L$101,Formulas!N18,RIGHT(Formulas!P18)+2),"")))</f>
        <v/>
      </c>
      <c r="O21" s="107" t="str" cm="1">
        <f t="array" aca="1" ref="O21" ca="1">IF(OR(Formulas!P19=0,Formulas!P19=""),"",HYPERLINK("["&amp;Archivo_Nombre&amp;"]Datos!"&amp;LEFT(SUBSTITUTE(ADDRESS(1,Formulas!P19+2),"$",""))&amp;Formulas!O19+1,
IFERROR(INDEX(Datos!$A$2:$L$101,Formulas!O19,Formulas!P19+2),"")))</f>
        <v/>
      </c>
      <c r="P21" s="5"/>
      <c r="Q21" s="6"/>
      <c r="R21" s="24" t="str" cm="1">
        <f t="array" aca="1" ref="R21" ca="1">IF(OR(Formulas!T18=0,Formulas!T18="",RIGHT(Formulas!U18)="0"),"",
HYPERLINK("["&amp;Archivo_Nombre&amp;"]Datos!"&amp;LEFT(SUBSTITUTE(ADDRESS(1,IF(Formulas!T18=1,1,RIGHT(Formulas!U18)+2)),"$",""))&amp;Formulas!S18+1,
IFERROR(INDEX(Datos!$A$1:$L$1,1,RIGHT(Formulas!U18)+2)&amp;IF(Formulas!T18=1," "&amp;Formulas!S18,"")&amp;":","")))</f>
        <v>Final:</v>
      </c>
      <c r="S21" s="107" cm="1">
        <f t="array" aca="1" ref="S21" ca="1">IF(OR(Formulas!T18=0,Formulas!T18="",RIGHT(Formulas!U18)="0"),"",
HYPERLINK("["&amp;Archivo_Nombre&amp;"]Datos!"&amp;LEFT(SUBSTITUTE(ADDRESS(1,RIGHT(Formulas!U18)+2),"$",""))&amp;Formulas!S18+1,
IFERROR(INDEX(Datos!$A$2:$L$101,Formulas!S18,RIGHT(Formulas!U18)+2),"")))</f>
        <v>45822</v>
      </c>
      <c r="T21" s="107" t="e" cm="1">
        <f t="array" aca="1" ref="T21" ca="1">IF(OR(Formulas!U19=0,Formulas!U19=""),"",HYPERLINK("["&amp;Archivo_Nombre&amp;"]Datos!"&amp;LEFT(SUBSTITUTE(ADDRESS(1,Formulas!U19+2),"$",""))&amp;Formulas!T19+1,
IFERROR(INDEX(Datos!$A$2:$L$101,Formulas!T19,Formulas!U19+2),"")))</f>
        <v>#VALUE!</v>
      </c>
      <c r="U21" s="5"/>
      <c r="V21" s="6"/>
      <c r="W21" s="24" t="str" cm="1">
        <f t="array" aca="1" ref="W21" ca="1">IF(OR(Formulas!Y18=0,Formulas!Y18="",RIGHT(Formulas!Z18)="0"),"",
HYPERLINK("["&amp;Archivo_Nombre&amp;"]Datos!"&amp;LEFT(SUBSTITUTE(ADDRESS(1,IF(Formulas!Y18=1,1,RIGHT(Formulas!Z18)+2)),"$",""))&amp;Formulas!X18+1,
IFERROR(INDEX(Datos!$A$1:$L$1,1,RIGHT(Formulas!Z18)+2)&amp;IF(Formulas!Y18=1," "&amp;Formulas!X18,"")&amp;":","")))</f>
        <v/>
      </c>
      <c r="X21" s="107" t="str" cm="1">
        <f t="array" aca="1" ref="X21" ca="1">IF(OR(Formulas!Y18=0,Formulas!Y18="",RIGHT(Formulas!Z18)="0"),"",
HYPERLINK("["&amp;Archivo_Nombre&amp;"]Datos!"&amp;LEFT(SUBSTITUTE(ADDRESS(1,RIGHT(Formulas!Z18)+2),"$",""))&amp;Formulas!X18+1,
IFERROR(INDEX(Datos!$A$2:$L$101,Formulas!X18,RIGHT(Formulas!Z18)+2),"")))</f>
        <v/>
      </c>
      <c r="Y21" s="107" t="str" cm="1">
        <f t="array" aca="1" ref="Y21" ca="1">IF(OR(Formulas!Z19=0,Formulas!Z19=""),"",HYPERLINK("["&amp;Archivo_Nombre&amp;"]Datos!"&amp;LEFT(SUBSTITUTE(ADDRESS(1,Formulas!Z19+2),"$",""))&amp;Formulas!Y19+1,
IFERROR(INDEX(Datos!$A$2:$L$101,Formulas!Y19,Formulas!Z19+2),"")))</f>
        <v/>
      </c>
      <c r="Z21" s="13"/>
      <c r="AA21" s="6"/>
      <c r="AB21" s="24" t="str" cm="1">
        <f t="array" aca="1" ref="AB21" ca="1">IF(OR(Formulas!AD18=0,Formulas!AD18="",RIGHT(Formulas!AE18)="0"),"",
HYPERLINK("["&amp;Archivo_Nombre&amp;"]Datos!"&amp;LEFT(SUBSTITUTE(ADDRESS(1,IF(Formulas!AD18=1,1,RIGHT(Formulas!AE18)+2)),"$",""))&amp;Formulas!AC18+1,
IFERROR(INDEX(Datos!$A$1:$L$1,1,RIGHT(Formulas!AE18)+2)&amp;IF(Formulas!AD18=1," "&amp;Formulas!AC18,"")&amp;":","")))</f>
        <v/>
      </c>
      <c r="AC21" s="107" t="str" cm="1">
        <f t="array" aca="1" ref="AC21" ca="1">IF(OR(Formulas!AD18=0,Formulas!AD18="",RIGHT(Formulas!AE18)="0"),"",
HYPERLINK("["&amp;Archivo_Nombre&amp;"]Datos!"&amp;LEFT(SUBSTITUTE(ADDRESS(1,RIGHT(Formulas!AE18)+2),"$",""))&amp;Formulas!AC18+1,
IFERROR(INDEX(Datos!$A$2:$L$101,Formulas!AC18,RIGHT(Formulas!AE18)+2),"")))</f>
        <v/>
      </c>
      <c r="AD21" s="107" t="str" cm="1">
        <f t="array" aca="1" ref="AD21" ca="1">IF(OR(Formulas!AE19=0,Formulas!AE19=""),"",HYPERLINK("["&amp;Archivo_Nombre&amp;"]Datos!"&amp;LEFT(SUBSTITUTE(ADDRESS(1,Formulas!AE19+2),"$",""))&amp;Formulas!AD19+1,
IFERROR(INDEX(Datos!$A$2:$L$101,Formulas!AD19,Formulas!AE19+2),"")))</f>
        <v/>
      </c>
      <c r="AE21" s="13"/>
      <c r="AF21" s="6"/>
      <c r="AG21" s="24" t="str" cm="1">
        <f t="array" aca="1" ref="AG21" ca="1">IF(OR(Formulas!AI18=0,Formulas!AI18="",RIGHT(Formulas!AJ18)="0"),"",
HYPERLINK("["&amp;Archivo_Nombre&amp;"]Datos!"&amp;LEFT(SUBSTITUTE(ADDRESS(1,IF(Formulas!AI18=1,1,RIGHT(Formulas!AJ18)+2)),"$",""))&amp;Formulas!AH18+1,
IFERROR(INDEX(Datos!$A$1:$L$1,1,RIGHT(Formulas!AJ18)+2)&amp;IF(Formulas!AI18=1," "&amp;Formulas!AH18,"")&amp;":","")))</f>
        <v/>
      </c>
      <c r="AH21" s="107" t="str" cm="1">
        <f t="array" aca="1" ref="AH21" ca="1">IF(OR(Formulas!AI18=0,Formulas!AI18="",RIGHT(Formulas!AJ18)="0"),"",
HYPERLINK("["&amp;Archivo_Nombre&amp;"]Datos!"&amp;LEFT(SUBSTITUTE(ADDRESS(1,RIGHT(Formulas!AJ18)+2),"$",""))&amp;Formulas!AH18+1,
IFERROR(INDEX(Datos!$A$2:$L$101,Formulas!AH18,RIGHT(Formulas!AJ18)+2),"")))</f>
        <v/>
      </c>
      <c r="AI21" s="107" t="str" cm="1">
        <f t="array" aca="1" ref="AI21" ca="1">IF(OR(Formulas!AJ19=0,Formulas!AJ19=""),"",HYPERLINK("["&amp;Archivo_Nombre&amp;"]Datos!"&amp;LEFT(SUBSTITUTE(ADDRESS(1,Formulas!AJ19+2),"$",""))&amp;Formulas!AI19+1,
IFERROR(INDEX(Datos!$A$2:$L$101,Formulas!AI19,Formulas!AJ19+2),"")))</f>
        <v/>
      </c>
      <c r="AJ21" s="13"/>
      <c r="AK21" s="6"/>
      <c r="AL21" s="24" t="str" cm="1">
        <f t="array" aca="1" ref="AL21" ca="1">IF(OR(Formulas!AN18=0,Formulas!AN18="",RIGHT(Formulas!AO18)="0"),"",
HYPERLINK("["&amp;Archivo_Nombre&amp;"]Datos!"&amp;LEFT(SUBSTITUTE(ADDRESS(1,IF(Formulas!AN18=1,1,RIGHT(Formulas!AO18)+2)),"$",""))&amp;Formulas!AM18+1,
IFERROR(INDEX(Datos!$A$1:$L$1,1,RIGHT(Formulas!AO18)+2)&amp;IF(Formulas!AN18=1," "&amp;Formulas!AM18,"")&amp;":","")))</f>
        <v/>
      </c>
      <c r="AM21" s="107" t="str" cm="1">
        <f t="array" aca="1" ref="AM21" ca="1">IF(OR(Formulas!AN18=0,Formulas!AN18="",RIGHT(Formulas!AO18)="0"),"",
HYPERLINK("["&amp;Archivo_Nombre&amp;"]Datos!"&amp;LEFT(SUBSTITUTE(ADDRESS(1,RIGHT(Formulas!AO18)+2),"$",""))&amp;Formulas!AM18+1,
IFERROR(INDEX(Datos!$A$2:$L$101,Formulas!AM18,RIGHT(Formulas!AO18)+2),"")))</f>
        <v/>
      </c>
      <c r="AN21" s="107" t="str" cm="1">
        <f t="array" aca="1" ref="AN21" ca="1">IF(OR(Formulas!AO19=0,Formulas!AO19=""),"",HYPERLINK("["&amp;Archivo_Nombre&amp;"]Datos!"&amp;LEFT(SUBSTITUTE(ADDRESS(1,Formulas!AO19+2),"$",""))&amp;Formulas!AN19+1,
IFERROR(INDEX(Datos!$A$2:$L$101,Formulas!AN19,Formulas!AO19+2),"")))</f>
        <v/>
      </c>
      <c r="AO21" s="13"/>
      <c r="AP21" s="6"/>
      <c r="AQ21" s="24" t="str" cm="1">
        <f t="array" aca="1" ref="AQ21" ca="1">IF(OR(Formulas!AS18=0,Formulas!AS18="",RIGHT(Formulas!AT18)="0"),"",
HYPERLINK("["&amp;Archivo_Nombre&amp;"]Datos!"&amp;LEFT(SUBSTITUTE(ADDRESS(1,IF(Formulas!AS18=1,1,RIGHT(Formulas!AT18)+2)),"$",""))&amp;Formulas!AR18+1,
IFERROR(INDEX(Datos!$A$1:$L$1,1,RIGHT(Formulas!AT18)+2)&amp;IF(Formulas!AS18=1," "&amp;Formulas!AR18,"")&amp;":","")))</f>
        <v/>
      </c>
      <c r="AR21" s="107" t="str" cm="1">
        <f t="array" aca="1" ref="AR21" ca="1">IF(OR(Formulas!AS18=0,Formulas!AS18="",RIGHT(Formulas!AT18)="0"),"",
HYPERLINK("["&amp;Archivo_Nombre&amp;"]Datos!"&amp;LEFT(SUBSTITUTE(ADDRESS(1,RIGHT(Formulas!AT18)+2),"$",""))&amp;Formulas!AR18+1,
IFERROR(INDEX(Datos!$A$2:$L$101,Formulas!AR18,RIGHT(Formulas!AT18)+2),"")))</f>
        <v/>
      </c>
      <c r="AS21" s="107" t="str" cm="1">
        <f t="array" aca="1" ref="AS21" ca="1">IF(OR(Formulas!AT19=0,Formulas!AT19=""),"",HYPERLINK("["&amp;Archivo_Nombre&amp;"]Datos!"&amp;LEFT(SUBSTITUTE(ADDRESS(1,Formulas!AT19+2),"$",""))&amp;Formulas!AS19+1,
IFERROR(INDEX(Datos!$A$2:$L$101,Formulas!AS19,Formulas!AT19+2),"")))</f>
        <v/>
      </c>
      <c r="AT21" s="13"/>
      <c r="AU21" s="6"/>
      <c r="AV21" s="24" t="str" cm="1">
        <f t="array" aca="1" ref="AV21" ca="1">IF(OR(Formulas!AX18=0,Formulas!AX18="",RIGHT(Formulas!AY18)="0"),"",
HYPERLINK("["&amp;Archivo_Nombre&amp;"]Datos!"&amp;LEFT(SUBSTITUTE(ADDRESS(1,IF(Formulas!AX18=1,1,RIGHT(Formulas!AY18)+2)),"$",""))&amp;Formulas!AW18+1,
IFERROR(INDEX(Datos!$A$1:$L$1,1,RIGHT(Formulas!AY18)+2)&amp;IF(Formulas!AX18=1," "&amp;Formulas!AW18,"")&amp;":","")))</f>
        <v/>
      </c>
      <c r="AW21" s="107" t="str" cm="1">
        <f t="array" aca="1" ref="AW21" ca="1">IF(OR(Formulas!AX18=0,Formulas!AX18="",RIGHT(Formulas!AY18)="0"),"",
HYPERLINK("["&amp;Archivo_Nombre&amp;"]Datos!"&amp;LEFT(SUBSTITUTE(ADDRESS(1,RIGHT(Formulas!AY18)+2),"$",""))&amp;Formulas!AW18+1,
IFERROR(INDEX(Datos!$A$2:$L$101,Formulas!AW18,RIGHT(Formulas!AY18)+2),"")))</f>
        <v/>
      </c>
      <c r="AX21" s="107" t="str" cm="1">
        <f t="array" aca="1" ref="AX21" ca="1">IF(OR(Formulas!AY19=0,Formulas!AY19=""),"",HYPERLINK("["&amp;Archivo_Nombre&amp;"]Datos!"&amp;LEFT(SUBSTITUTE(ADDRESS(1,Formulas!AY19+2),"$",""))&amp;Formulas!AX19+1,
IFERROR(INDEX(Datos!$A$2:$L$101,Formulas!AX19,Formulas!AY19+2),"")))</f>
        <v/>
      </c>
      <c r="AY21" s="13"/>
    </row>
    <row r="22" spans="2:51" x14ac:dyDescent="0.25">
      <c r="B22" s="11"/>
      <c r="C22" s="24" t="str" cm="1">
        <f t="array" aca="1" ref="C22" ca="1">IF(OR(Formulas!E19=0,Formulas!E19="",RIGHT(Formulas!F19)="0"),"",
HYPERLINK("["&amp;Archivo_Nombre&amp;"]Datos!"&amp;LEFT(SUBSTITUTE(ADDRESS(1,IF(Formulas!E19=1,1,RIGHT(Formulas!F19)+2)),"$",""))&amp;Formulas!D19+1,
IFERROR(INDEX(Datos!$A$1:$L$1,1,RIGHT(Formulas!F19)+2)&amp;IF(Formulas!E19=1," "&amp;Formulas!D19,"")&amp;":","")))</f>
        <v/>
      </c>
      <c r="D22" s="107" t="str" cm="1">
        <f t="array" aca="1" ref="D22" ca="1">IF(OR(Formulas!E19=0,Formulas!E19="",RIGHT(Formulas!F19)="0"),"",
HYPERLINK("["&amp;Archivo_Nombre&amp;"]Datos!"&amp;LEFT(SUBSTITUTE(ADDRESS(1,RIGHT(Formulas!F19)+2),"$",""))&amp;Formulas!D19+1,
IFERROR(INDEX(Datos!$A$2:$L$101,Formulas!D19,RIGHT(Formulas!F19)+2),"")))</f>
        <v/>
      </c>
      <c r="E22" s="107" t="str" cm="1">
        <f t="array" aca="1" ref="E22" ca="1">IF(OR(Formulas!F20=0,Formulas!F20=""),"",HYPERLINK("["&amp;Archivo_Nombre&amp;"]Datos!"&amp;LEFT(SUBSTITUTE(ADDRESS(1,Formulas!F20+2),"$",""))&amp;Formulas!E20+1,
IFERROR(INDEX(Datos!$A$2:$L$101,Formulas!E20,Formulas!F20+2),"")))</f>
        <v/>
      </c>
      <c r="F22" s="5"/>
      <c r="G22" s="6"/>
      <c r="H22" s="24" t="str" cm="1">
        <f t="array" aca="1" ref="H22" ca="1">IF(OR(Formulas!J19=0,Formulas!J19="",RIGHT(Formulas!K19)="0"),"",
HYPERLINK("["&amp;Archivo_Nombre&amp;"]Datos!"&amp;LEFT(SUBSTITUTE(ADDRESS(1,IF(Formulas!J19=1,1,RIGHT(Formulas!K19)+2)),"$",""))&amp;Formulas!I19+1,
IFERROR(INDEX(Datos!$A$1:$L$1,1,RIGHT(Formulas!K19)+2)&amp;IF(Formulas!J19=1," "&amp;Formulas!I19,"")&amp;":","")))</f>
        <v>Duración:</v>
      </c>
      <c r="I22" s="107" t="str" cm="1">
        <f t="array" aca="1" ref="I22" ca="1">IF(OR(Formulas!J19=0,Formulas!J19="",RIGHT(Formulas!K19)="0"),"",
HYPERLINK("["&amp;Archivo_Nombre&amp;"]Datos!"&amp;LEFT(SUBSTITUTE(ADDRESS(1,RIGHT(Formulas!K19)+2),"$",""))&amp;Formulas!I19+1,
IFERROR(INDEX(Datos!$A$2:$L$101,Formulas!I19,RIGHT(Formulas!K19)+2),"")))</f>
        <v/>
      </c>
      <c r="J22" s="107" t="e" cm="1">
        <f t="array" aca="1" ref="J22" ca="1">IF(OR(Formulas!K20=0,Formulas!K20=""),"",HYPERLINK("["&amp;Archivo_Nombre&amp;"]Datos!"&amp;LEFT(SUBSTITUTE(ADDRESS(1,Formulas!K20+2),"$",""))&amp;Formulas!J20+1,
IFERROR(INDEX(Datos!$A$2:$L$101,Formulas!J20,Formulas!K20+2),"")))</f>
        <v>#VALUE!</v>
      </c>
      <c r="K22" s="5"/>
      <c r="L22" s="6"/>
      <c r="M22" s="24" t="str" cm="1">
        <f t="array" aca="1" ref="M22" ca="1">IF(OR(Formulas!O19=0,Formulas!O19="",RIGHT(Formulas!P19)="0"),"",
HYPERLINK("["&amp;Archivo_Nombre&amp;"]Datos!"&amp;LEFT(SUBSTITUTE(ADDRESS(1,IF(Formulas!O19=1,1,RIGHT(Formulas!P19)+2)),"$",""))&amp;Formulas!N19+1,
IFERROR(INDEX(Datos!$A$1:$L$1,1,RIGHT(Formulas!P19)+2)&amp;IF(Formulas!O19=1," "&amp;Formulas!N19,"")&amp;":","")))</f>
        <v/>
      </c>
      <c r="N22" s="107" t="str" cm="1">
        <f t="array" aca="1" ref="N22" ca="1">IF(OR(Formulas!O19=0,Formulas!O19="",RIGHT(Formulas!P19)="0"),"",
HYPERLINK("["&amp;Archivo_Nombre&amp;"]Datos!"&amp;LEFT(SUBSTITUTE(ADDRESS(1,RIGHT(Formulas!P19)+2),"$",""))&amp;Formulas!N19+1,
IFERROR(INDEX(Datos!$A$2:$L$101,Formulas!N19,RIGHT(Formulas!P19)+2),"")))</f>
        <v/>
      </c>
      <c r="O22" s="107" t="str" cm="1">
        <f t="array" aca="1" ref="O22" ca="1">IF(OR(Formulas!P20=0,Formulas!P20=""),"",HYPERLINK("["&amp;Archivo_Nombre&amp;"]Datos!"&amp;LEFT(SUBSTITUTE(ADDRESS(1,Formulas!P20+2),"$",""))&amp;Formulas!O20+1,
IFERROR(INDEX(Datos!$A$2:$L$101,Formulas!O20,Formulas!P20+2),"")))</f>
        <v/>
      </c>
      <c r="P22" s="5"/>
      <c r="Q22" s="6"/>
      <c r="R22" s="24" t="str" cm="1">
        <f t="array" aca="1" ref="R22" ca="1">IF(OR(Formulas!T19=0,Formulas!T19="",RIGHT(Formulas!U19)="0"),"",
HYPERLINK("["&amp;Archivo_Nombre&amp;"]Datos!"&amp;LEFT(SUBSTITUTE(ADDRESS(1,IF(Formulas!T19=1,1,RIGHT(Formulas!U19)+2)),"$",""))&amp;Formulas!S19+1,
IFERROR(INDEX(Datos!$A$1:$L$1,1,RIGHT(Formulas!U19)+2)&amp;IF(Formulas!T19=1," "&amp;Formulas!S19,"")&amp;":","")))</f>
        <v>Duración:</v>
      </c>
      <c r="S22" s="107" t="str" cm="1">
        <f t="array" aca="1" ref="S22" ca="1">IF(OR(Formulas!T19=0,Formulas!T19="",RIGHT(Formulas!U19)="0"),"",
HYPERLINK("["&amp;Archivo_Nombre&amp;"]Datos!"&amp;LEFT(SUBSTITUTE(ADDRESS(1,RIGHT(Formulas!U19)+2),"$",""))&amp;Formulas!S19+1,
IFERROR(INDEX(Datos!$A$2:$L$101,Formulas!S19,RIGHT(Formulas!U19)+2),"")))</f>
        <v>2 días</v>
      </c>
      <c r="T22" s="107" t="e" cm="1">
        <f t="array" aca="1" ref="T22" ca="1">IF(OR(Formulas!U20=0,Formulas!U20=""),"",HYPERLINK("["&amp;Archivo_Nombre&amp;"]Datos!"&amp;LEFT(SUBSTITUTE(ADDRESS(1,Formulas!U20+2),"$",""))&amp;Formulas!T20+1,
IFERROR(INDEX(Datos!$A$2:$L$101,Formulas!T20,Formulas!U20+2),"")))</f>
        <v>#VALUE!</v>
      </c>
      <c r="U22" s="5"/>
      <c r="V22" s="6"/>
      <c r="W22" s="24" t="str" cm="1">
        <f t="array" aca="1" ref="W22" ca="1">IF(OR(Formulas!Y19=0,Formulas!Y19="",RIGHT(Formulas!Z19)="0"),"",
HYPERLINK("["&amp;Archivo_Nombre&amp;"]Datos!"&amp;LEFT(SUBSTITUTE(ADDRESS(1,IF(Formulas!Y19=1,1,RIGHT(Formulas!Z19)+2)),"$",""))&amp;Formulas!X19+1,
IFERROR(INDEX(Datos!$A$1:$L$1,1,RIGHT(Formulas!Z19)+2)&amp;IF(Formulas!Y19=1," "&amp;Formulas!X19,"")&amp;":","")))</f>
        <v/>
      </c>
      <c r="X22" s="107" t="str" cm="1">
        <f t="array" aca="1" ref="X22" ca="1">IF(OR(Formulas!Y19=0,Formulas!Y19="",RIGHT(Formulas!Z19)="0"),"",
HYPERLINK("["&amp;Archivo_Nombre&amp;"]Datos!"&amp;LEFT(SUBSTITUTE(ADDRESS(1,RIGHT(Formulas!Z19)+2),"$",""))&amp;Formulas!X19+1,
IFERROR(INDEX(Datos!$A$2:$L$101,Formulas!X19,RIGHT(Formulas!Z19)+2),"")))</f>
        <v/>
      </c>
      <c r="Y22" s="107" t="str" cm="1">
        <f t="array" aca="1" ref="Y22" ca="1">IF(OR(Formulas!Z20=0,Formulas!Z20=""),"",HYPERLINK("["&amp;Archivo_Nombre&amp;"]Datos!"&amp;LEFT(SUBSTITUTE(ADDRESS(1,Formulas!Z20+2),"$",""))&amp;Formulas!Y20+1,
IFERROR(INDEX(Datos!$A$2:$L$101,Formulas!Y20,Formulas!Z20+2),"")))</f>
        <v/>
      </c>
      <c r="Z22" s="13"/>
      <c r="AA22" s="6"/>
      <c r="AB22" s="24" t="str" cm="1">
        <f t="array" aca="1" ref="AB22" ca="1">IF(OR(Formulas!AD19=0,Formulas!AD19="",RIGHT(Formulas!AE19)="0"),"",
HYPERLINK("["&amp;Archivo_Nombre&amp;"]Datos!"&amp;LEFT(SUBSTITUTE(ADDRESS(1,IF(Formulas!AD19=1,1,RIGHT(Formulas!AE19)+2)),"$",""))&amp;Formulas!AC19+1,
IFERROR(INDEX(Datos!$A$1:$L$1,1,RIGHT(Formulas!AE19)+2)&amp;IF(Formulas!AD19=1," "&amp;Formulas!AC19,"")&amp;":","")))</f>
        <v/>
      </c>
      <c r="AC22" s="107" t="str" cm="1">
        <f t="array" aca="1" ref="AC22" ca="1">IF(OR(Formulas!AD19=0,Formulas!AD19="",RIGHT(Formulas!AE19)="0"),"",
HYPERLINK("["&amp;Archivo_Nombre&amp;"]Datos!"&amp;LEFT(SUBSTITUTE(ADDRESS(1,RIGHT(Formulas!AE19)+2),"$",""))&amp;Formulas!AC19+1,
IFERROR(INDEX(Datos!$A$2:$L$101,Formulas!AC19,RIGHT(Formulas!AE19)+2),"")))</f>
        <v/>
      </c>
      <c r="AD22" s="107" t="str" cm="1">
        <f t="array" aca="1" ref="AD22" ca="1">IF(OR(Formulas!AE20=0,Formulas!AE20=""),"",HYPERLINK("["&amp;Archivo_Nombre&amp;"]Datos!"&amp;LEFT(SUBSTITUTE(ADDRESS(1,Formulas!AE20+2),"$",""))&amp;Formulas!AD20+1,
IFERROR(INDEX(Datos!$A$2:$L$101,Formulas!AD20,Formulas!AE20+2),"")))</f>
        <v/>
      </c>
      <c r="AE22" s="13"/>
      <c r="AF22" s="6"/>
      <c r="AG22" s="24" t="str" cm="1">
        <f t="array" aca="1" ref="AG22" ca="1">IF(OR(Formulas!AI19=0,Formulas!AI19="",RIGHT(Formulas!AJ19)="0"),"",
HYPERLINK("["&amp;Archivo_Nombre&amp;"]Datos!"&amp;LEFT(SUBSTITUTE(ADDRESS(1,IF(Formulas!AI19=1,1,RIGHT(Formulas!AJ19)+2)),"$",""))&amp;Formulas!AH19+1,
IFERROR(INDEX(Datos!$A$1:$L$1,1,RIGHT(Formulas!AJ19)+2)&amp;IF(Formulas!AI19=1," "&amp;Formulas!AH19,"")&amp;":","")))</f>
        <v/>
      </c>
      <c r="AH22" s="107" t="str" cm="1">
        <f t="array" aca="1" ref="AH22" ca="1">IF(OR(Formulas!AI19=0,Formulas!AI19="",RIGHT(Formulas!AJ19)="0"),"",
HYPERLINK("["&amp;Archivo_Nombre&amp;"]Datos!"&amp;LEFT(SUBSTITUTE(ADDRESS(1,RIGHT(Formulas!AJ19)+2),"$",""))&amp;Formulas!AH19+1,
IFERROR(INDEX(Datos!$A$2:$L$101,Formulas!AH19,RIGHT(Formulas!AJ19)+2),"")))</f>
        <v/>
      </c>
      <c r="AI22" s="107" t="str" cm="1">
        <f t="array" aca="1" ref="AI22" ca="1">IF(OR(Formulas!AJ20=0,Formulas!AJ20=""),"",HYPERLINK("["&amp;Archivo_Nombre&amp;"]Datos!"&amp;LEFT(SUBSTITUTE(ADDRESS(1,Formulas!AJ20+2),"$",""))&amp;Formulas!AI20+1,
IFERROR(INDEX(Datos!$A$2:$L$101,Formulas!AI20,Formulas!AJ20+2),"")))</f>
        <v/>
      </c>
      <c r="AJ22" s="13"/>
      <c r="AK22" s="6"/>
      <c r="AL22" s="24" t="str" cm="1">
        <f t="array" aca="1" ref="AL22" ca="1">IF(OR(Formulas!AN19=0,Formulas!AN19="",RIGHT(Formulas!AO19)="0"),"",
HYPERLINK("["&amp;Archivo_Nombre&amp;"]Datos!"&amp;LEFT(SUBSTITUTE(ADDRESS(1,IF(Formulas!AN19=1,1,RIGHT(Formulas!AO19)+2)),"$",""))&amp;Formulas!AM19+1,
IFERROR(INDEX(Datos!$A$1:$L$1,1,RIGHT(Formulas!AO19)+2)&amp;IF(Formulas!AN19=1," "&amp;Formulas!AM19,"")&amp;":","")))</f>
        <v/>
      </c>
      <c r="AM22" s="107" t="str" cm="1">
        <f t="array" aca="1" ref="AM22" ca="1">IF(OR(Formulas!AN19=0,Formulas!AN19="",RIGHT(Formulas!AO19)="0"),"",
HYPERLINK("["&amp;Archivo_Nombre&amp;"]Datos!"&amp;LEFT(SUBSTITUTE(ADDRESS(1,RIGHT(Formulas!AO19)+2),"$",""))&amp;Formulas!AM19+1,
IFERROR(INDEX(Datos!$A$2:$L$101,Formulas!AM19,RIGHT(Formulas!AO19)+2),"")))</f>
        <v/>
      </c>
      <c r="AN22" s="107" t="str" cm="1">
        <f t="array" aca="1" ref="AN22" ca="1">IF(OR(Formulas!AO20=0,Formulas!AO20=""),"",HYPERLINK("["&amp;Archivo_Nombre&amp;"]Datos!"&amp;LEFT(SUBSTITUTE(ADDRESS(1,Formulas!AO20+2),"$",""))&amp;Formulas!AN20+1,
IFERROR(INDEX(Datos!$A$2:$L$101,Formulas!AN20,Formulas!AO20+2),"")))</f>
        <v/>
      </c>
      <c r="AO22" s="13"/>
      <c r="AP22" s="6"/>
      <c r="AQ22" s="24" t="str" cm="1">
        <f t="array" aca="1" ref="AQ22" ca="1">IF(OR(Formulas!AS19=0,Formulas!AS19="",RIGHT(Formulas!AT19)="0"),"",
HYPERLINK("["&amp;Archivo_Nombre&amp;"]Datos!"&amp;LEFT(SUBSTITUTE(ADDRESS(1,IF(Formulas!AS19=1,1,RIGHT(Formulas!AT19)+2)),"$",""))&amp;Formulas!AR19+1,
IFERROR(INDEX(Datos!$A$1:$L$1,1,RIGHT(Formulas!AT19)+2)&amp;IF(Formulas!AS19=1," "&amp;Formulas!AR19,"")&amp;":","")))</f>
        <v/>
      </c>
      <c r="AR22" s="107" t="str" cm="1">
        <f t="array" aca="1" ref="AR22" ca="1">IF(OR(Formulas!AS19=0,Formulas!AS19="",RIGHT(Formulas!AT19)="0"),"",
HYPERLINK("["&amp;Archivo_Nombre&amp;"]Datos!"&amp;LEFT(SUBSTITUTE(ADDRESS(1,RIGHT(Formulas!AT19)+2),"$",""))&amp;Formulas!AR19+1,
IFERROR(INDEX(Datos!$A$2:$L$101,Formulas!AR19,RIGHT(Formulas!AT19)+2),"")))</f>
        <v/>
      </c>
      <c r="AS22" s="107" t="str" cm="1">
        <f t="array" aca="1" ref="AS22" ca="1">IF(OR(Formulas!AT20=0,Formulas!AT20=""),"",HYPERLINK("["&amp;Archivo_Nombre&amp;"]Datos!"&amp;LEFT(SUBSTITUTE(ADDRESS(1,Formulas!AT20+2),"$",""))&amp;Formulas!AS20+1,
IFERROR(INDEX(Datos!$A$2:$L$101,Formulas!AS20,Formulas!AT20+2),"")))</f>
        <v/>
      </c>
      <c r="AT22" s="13"/>
      <c r="AU22" s="6"/>
      <c r="AV22" s="24" t="str" cm="1">
        <f t="array" aca="1" ref="AV22" ca="1">IF(OR(Formulas!AX19=0,Formulas!AX19="",RIGHT(Formulas!AY19)="0"),"",
HYPERLINK("["&amp;Archivo_Nombre&amp;"]Datos!"&amp;LEFT(SUBSTITUTE(ADDRESS(1,IF(Formulas!AX19=1,1,RIGHT(Formulas!AY19)+2)),"$",""))&amp;Formulas!AW19+1,
IFERROR(INDEX(Datos!$A$1:$L$1,1,RIGHT(Formulas!AY19)+2)&amp;IF(Formulas!AX19=1," "&amp;Formulas!AW19,"")&amp;":","")))</f>
        <v/>
      </c>
      <c r="AW22" s="107" t="str" cm="1">
        <f t="array" aca="1" ref="AW22" ca="1">IF(OR(Formulas!AX19=0,Formulas!AX19="",RIGHT(Formulas!AY19)="0"),"",
HYPERLINK("["&amp;Archivo_Nombre&amp;"]Datos!"&amp;LEFT(SUBSTITUTE(ADDRESS(1,RIGHT(Formulas!AY19)+2),"$",""))&amp;Formulas!AW19+1,
IFERROR(INDEX(Datos!$A$2:$L$101,Formulas!AW19,RIGHT(Formulas!AY19)+2),"")))</f>
        <v/>
      </c>
      <c r="AX22" s="107" t="str" cm="1">
        <f t="array" aca="1" ref="AX22" ca="1">IF(OR(Formulas!AY20=0,Formulas!AY20=""),"",HYPERLINK("["&amp;Archivo_Nombre&amp;"]Datos!"&amp;LEFT(SUBSTITUTE(ADDRESS(1,Formulas!AY20+2),"$",""))&amp;Formulas!AX20+1,
IFERROR(INDEX(Datos!$A$2:$L$101,Formulas!AX20,Formulas!AY20+2),"")))</f>
        <v/>
      </c>
      <c r="AY22" s="13"/>
    </row>
    <row r="23" spans="2:51" x14ac:dyDescent="0.25">
      <c r="B23" s="11"/>
      <c r="C23" s="24" t="str" cm="1">
        <f t="array" aca="1" ref="C23" ca="1">IF(OR(Formulas!E20=0,Formulas!E20="",RIGHT(Formulas!F20)="0"),"",
HYPERLINK("["&amp;Archivo_Nombre&amp;"]Datos!"&amp;LEFT(SUBSTITUTE(ADDRESS(1,IF(Formulas!E20=1,1,RIGHT(Formulas!F20)+2)),"$",""))&amp;Formulas!D20+1,
IFERROR(INDEX(Datos!$A$1:$L$1,1,RIGHT(Formulas!F20)+2)&amp;IF(Formulas!E20=1," "&amp;Formulas!D20,"")&amp;":","")))</f>
        <v/>
      </c>
      <c r="D23" s="107" t="str" cm="1">
        <f t="array" aca="1" ref="D23" ca="1">IF(OR(Formulas!E20=0,Formulas!E20="",RIGHT(Formulas!F20)="0"),"",
HYPERLINK("["&amp;Archivo_Nombre&amp;"]Datos!"&amp;LEFT(SUBSTITUTE(ADDRESS(1,RIGHT(Formulas!F20)+2),"$",""))&amp;Formulas!D20+1,
IFERROR(INDEX(Datos!$A$2:$L$101,Formulas!D20,RIGHT(Formulas!F20)+2),"")))</f>
        <v/>
      </c>
      <c r="E23" s="107" t="str" cm="1">
        <f t="array" aca="1" ref="E23" ca="1">IF(OR(Formulas!F21=0,Formulas!F21=""),"",HYPERLINK("["&amp;Archivo_Nombre&amp;"]Datos!"&amp;LEFT(SUBSTITUTE(ADDRESS(1,Formulas!F21+2),"$",""))&amp;Formulas!E21+1,
IFERROR(INDEX(Datos!$A$2:$L$101,Formulas!E21,Formulas!F21+2),"")))</f>
        <v/>
      </c>
      <c r="F23" s="5"/>
      <c r="G23" s="6"/>
      <c r="H23" s="24" t="str" cm="1">
        <f t="array" aca="1" ref="H23" ca="1">IF(OR(Formulas!J20=0,Formulas!J20="",RIGHT(Formulas!K20)="0"),"",
HYPERLINK("["&amp;Archivo_Nombre&amp;"]Datos!"&amp;LEFT(SUBSTITUTE(ADDRESS(1,IF(Formulas!J20=1,1,RIGHT(Formulas!K20)+2)),"$",""))&amp;Formulas!I20+1,
IFERROR(INDEX(Datos!$A$1:$L$1,1,RIGHT(Formulas!K20)+2)&amp;IF(Formulas!J20=1," "&amp;Formulas!I20,"")&amp;":","")))</f>
        <v>Retraso:</v>
      </c>
      <c r="I23" s="107" t="str" cm="1">
        <f t="array" aca="1" ref="I23" ca="1">IF(OR(Formulas!J20=0,Formulas!J20="",RIGHT(Formulas!K20)="0"),"",
HYPERLINK("["&amp;Archivo_Nombre&amp;"]Datos!"&amp;LEFT(SUBSTITUTE(ADDRESS(1,RIGHT(Formulas!K20)+2),"$",""))&amp;Formulas!I20+1,
IFERROR(INDEX(Datos!$A$2:$L$101,Formulas!I20,RIGHT(Formulas!K20)+2),"")))</f>
        <v/>
      </c>
      <c r="J23" s="107" t="e" cm="1">
        <f t="array" aca="1" ref="J23" ca="1">IF(OR(Formulas!K21=0,Formulas!K21=""),"",HYPERLINK("["&amp;Archivo_Nombre&amp;"]Datos!"&amp;LEFT(SUBSTITUTE(ADDRESS(1,Formulas!K21+2),"$",""))&amp;Formulas!J21+1,
IFERROR(INDEX(Datos!$A$2:$L$101,Formulas!J21,Formulas!K21+2),"")))</f>
        <v>#VALUE!</v>
      </c>
      <c r="K23" s="5"/>
      <c r="L23" s="6"/>
      <c r="M23" s="24" t="str" cm="1">
        <f t="array" aca="1" ref="M23" ca="1">IF(OR(Formulas!O20=0,Formulas!O20="",RIGHT(Formulas!P20)="0"),"",
HYPERLINK("["&amp;Archivo_Nombre&amp;"]Datos!"&amp;LEFT(SUBSTITUTE(ADDRESS(1,IF(Formulas!O20=1,1,RIGHT(Formulas!P20)+2)),"$",""))&amp;Formulas!N20+1,
IFERROR(INDEX(Datos!$A$1:$L$1,1,RIGHT(Formulas!P20)+2)&amp;IF(Formulas!O20=1," "&amp;Formulas!N20,"")&amp;":","")))</f>
        <v/>
      </c>
      <c r="N23" s="107" t="str" cm="1">
        <f t="array" aca="1" ref="N23" ca="1">IF(OR(Formulas!O20=0,Formulas!O20="",RIGHT(Formulas!P20)="0"),"",
HYPERLINK("["&amp;Archivo_Nombre&amp;"]Datos!"&amp;LEFT(SUBSTITUTE(ADDRESS(1,RIGHT(Formulas!P20)+2),"$",""))&amp;Formulas!N20+1,
IFERROR(INDEX(Datos!$A$2:$L$101,Formulas!N20,RIGHT(Formulas!P20)+2),"")))</f>
        <v/>
      </c>
      <c r="O23" s="107" t="str" cm="1">
        <f t="array" aca="1" ref="O23" ca="1">IF(OR(Formulas!P21=0,Formulas!P21=""),"",HYPERLINK("["&amp;Archivo_Nombre&amp;"]Datos!"&amp;LEFT(SUBSTITUTE(ADDRESS(1,Formulas!P21+2),"$",""))&amp;Formulas!O21+1,
IFERROR(INDEX(Datos!$A$2:$L$101,Formulas!O21,Formulas!P21+2),"")))</f>
        <v/>
      </c>
      <c r="P23" s="5"/>
      <c r="Q23" s="6"/>
      <c r="R23" s="24" t="str" cm="1">
        <f t="array" aca="1" ref="R23" ca="1">IF(OR(Formulas!T20=0,Formulas!T20="",RIGHT(Formulas!U20)="0"),"",
HYPERLINK("["&amp;Archivo_Nombre&amp;"]Datos!"&amp;LEFT(SUBSTITUTE(ADDRESS(1,IF(Formulas!T20=1,1,RIGHT(Formulas!U20)+2)),"$",""))&amp;Formulas!S20+1,
IFERROR(INDEX(Datos!$A$1:$L$1,1,RIGHT(Formulas!U20)+2)&amp;IF(Formulas!T20=1," "&amp;Formulas!S20,"")&amp;":","")))</f>
        <v>Retraso:</v>
      </c>
      <c r="S23" s="107" t="str" cm="1">
        <f t="array" aca="1" ref="S23" ca="1">IF(OR(Formulas!T20=0,Formulas!T20="",RIGHT(Formulas!U20)="0"),"",
HYPERLINK("["&amp;Archivo_Nombre&amp;"]Datos!"&amp;LEFT(SUBSTITUTE(ADDRESS(1,RIGHT(Formulas!U20)+2),"$",""))&amp;Formulas!S20+1,
IFERROR(INDEX(Datos!$A$2:$L$101,Formulas!S20,RIGHT(Formulas!U20)+2),"")))</f>
        <v>0 días</v>
      </c>
      <c r="T23" s="107" t="e" cm="1">
        <f t="array" aca="1" ref="T23" ca="1">IF(OR(Formulas!U21=0,Formulas!U21=""),"",HYPERLINK("["&amp;Archivo_Nombre&amp;"]Datos!"&amp;LEFT(SUBSTITUTE(ADDRESS(1,Formulas!U21+2),"$",""))&amp;Formulas!T21+1,
IFERROR(INDEX(Datos!$A$2:$L$101,Formulas!T21,Formulas!U21+2),"")))</f>
        <v>#VALUE!</v>
      </c>
      <c r="U23" s="5"/>
      <c r="V23" s="6"/>
      <c r="W23" s="24" t="str" cm="1">
        <f t="array" aca="1" ref="W23" ca="1">IF(OR(Formulas!Y20=0,Formulas!Y20="",RIGHT(Formulas!Z20)="0"),"",
HYPERLINK("["&amp;Archivo_Nombre&amp;"]Datos!"&amp;LEFT(SUBSTITUTE(ADDRESS(1,IF(Formulas!Y20=1,1,RIGHT(Formulas!Z20)+2)),"$",""))&amp;Formulas!X20+1,
IFERROR(INDEX(Datos!$A$1:$L$1,1,RIGHT(Formulas!Z20)+2)&amp;IF(Formulas!Y20=1," "&amp;Formulas!X20,"")&amp;":","")))</f>
        <v/>
      </c>
      <c r="X23" s="107" t="str" cm="1">
        <f t="array" aca="1" ref="X23" ca="1">IF(OR(Formulas!Y20=0,Formulas!Y20="",RIGHT(Formulas!Z20)="0"),"",
HYPERLINK("["&amp;Archivo_Nombre&amp;"]Datos!"&amp;LEFT(SUBSTITUTE(ADDRESS(1,RIGHT(Formulas!Z20)+2),"$",""))&amp;Formulas!X20+1,
IFERROR(INDEX(Datos!$A$2:$L$101,Formulas!X20,RIGHT(Formulas!Z20)+2),"")))</f>
        <v/>
      </c>
      <c r="Y23" s="107" t="str" cm="1">
        <f t="array" aca="1" ref="Y23" ca="1">IF(OR(Formulas!Z21=0,Formulas!Z21=""),"",HYPERLINK("["&amp;Archivo_Nombre&amp;"]Datos!"&amp;LEFT(SUBSTITUTE(ADDRESS(1,Formulas!Z21+2),"$",""))&amp;Formulas!Y21+1,
IFERROR(INDEX(Datos!$A$2:$L$101,Formulas!Y21,Formulas!Z21+2),"")))</f>
        <v/>
      </c>
      <c r="Z23" s="13"/>
      <c r="AA23" s="6"/>
      <c r="AB23" s="24" t="str" cm="1">
        <f t="array" aca="1" ref="AB23" ca="1">IF(OR(Formulas!AD20=0,Formulas!AD20="",RIGHT(Formulas!AE20)="0"),"",
HYPERLINK("["&amp;Archivo_Nombre&amp;"]Datos!"&amp;LEFT(SUBSTITUTE(ADDRESS(1,IF(Formulas!AD20=1,1,RIGHT(Formulas!AE20)+2)),"$",""))&amp;Formulas!AC20+1,
IFERROR(INDEX(Datos!$A$1:$L$1,1,RIGHT(Formulas!AE20)+2)&amp;IF(Formulas!AD20=1," "&amp;Formulas!AC20,"")&amp;":","")))</f>
        <v/>
      </c>
      <c r="AC23" s="107" t="str" cm="1">
        <f t="array" aca="1" ref="AC23" ca="1">IF(OR(Formulas!AD20=0,Formulas!AD20="",RIGHT(Formulas!AE20)="0"),"",
HYPERLINK("["&amp;Archivo_Nombre&amp;"]Datos!"&amp;LEFT(SUBSTITUTE(ADDRESS(1,RIGHT(Formulas!AE20)+2),"$",""))&amp;Formulas!AC20+1,
IFERROR(INDEX(Datos!$A$2:$L$101,Formulas!AC20,RIGHT(Formulas!AE20)+2),"")))</f>
        <v/>
      </c>
      <c r="AD23" s="107" t="str" cm="1">
        <f t="array" aca="1" ref="AD23" ca="1">IF(OR(Formulas!AE21=0,Formulas!AE21=""),"",HYPERLINK("["&amp;Archivo_Nombre&amp;"]Datos!"&amp;LEFT(SUBSTITUTE(ADDRESS(1,Formulas!AE21+2),"$",""))&amp;Formulas!AD21+1,
IFERROR(INDEX(Datos!$A$2:$L$101,Formulas!AD21,Formulas!AE21+2),"")))</f>
        <v/>
      </c>
      <c r="AE23" s="13"/>
      <c r="AF23" s="6"/>
      <c r="AG23" s="24" t="str" cm="1">
        <f t="array" aca="1" ref="AG23" ca="1">IF(OR(Formulas!AI20=0,Formulas!AI20="",RIGHT(Formulas!AJ20)="0"),"",
HYPERLINK("["&amp;Archivo_Nombre&amp;"]Datos!"&amp;LEFT(SUBSTITUTE(ADDRESS(1,IF(Formulas!AI20=1,1,RIGHT(Formulas!AJ20)+2)),"$",""))&amp;Formulas!AH20+1,
IFERROR(INDEX(Datos!$A$1:$L$1,1,RIGHT(Formulas!AJ20)+2)&amp;IF(Formulas!AI20=1," "&amp;Formulas!AH20,"")&amp;":","")))</f>
        <v/>
      </c>
      <c r="AH23" s="107" t="str" cm="1">
        <f t="array" aca="1" ref="AH23" ca="1">IF(OR(Formulas!AI20=0,Formulas!AI20="",RIGHT(Formulas!AJ20)="0"),"",
HYPERLINK("["&amp;Archivo_Nombre&amp;"]Datos!"&amp;LEFT(SUBSTITUTE(ADDRESS(1,RIGHT(Formulas!AJ20)+2),"$",""))&amp;Formulas!AH20+1,
IFERROR(INDEX(Datos!$A$2:$L$101,Formulas!AH20,RIGHT(Formulas!AJ20)+2),"")))</f>
        <v/>
      </c>
      <c r="AI23" s="107" t="str" cm="1">
        <f t="array" aca="1" ref="AI23" ca="1">IF(OR(Formulas!AJ21=0,Formulas!AJ21=""),"",HYPERLINK("["&amp;Archivo_Nombre&amp;"]Datos!"&amp;LEFT(SUBSTITUTE(ADDRESS(1,Formulas!AJ21+2),"$",""))&amp;Formulas!AI21+1,
IFERROR(INDEX(Datos!$A$2:$L$101,Formulas!AI21,Formulas!AJ21+2),"")))</f>
        <v/>
      </c>
      <c r="AJ23" s="13"/>
      <c r="AK23" s="6"/>
      <c r="AL23" s="24" t="str" cm="1">
        <f t="array" aca="1" ref="AL23" ca="1">IF(OR(Formulas!AN20=0,Formulas!AN20="",RIGHT(Formulas!AO20)="0"),"",
HYPERLINK("["&amp;Archivo_Nombre&amp;"]Datos!"&amp;LEFT(SUBSTITUTE(ADDRESS(1,IF(Formulas!AN20=1,1,RIGHT(Formulas!AO20)+2)),"$",""))&amp;Formulas!AM20+1,
IFERROR(INDEX(Datos!$A$1:$L$1,1,RIGHT(Formulas!AO20)+2)&amp;IF(Formulas!AN20=1," "&amp;Formulas!AM20,"")&amp;":","")))</f>
        <v/>
      </c>
      <c r="AM23" s="107" t="str" cm="1">
        <f t="array" aca="1" ref="AM23" ca="1">IF(OR(Formulas!AN20=0,Formulas!AN20="",RIGHT(Formulas!AO20)="0"),"",
HYPERLINK("["&amp;Archivo_Nombre&amp;"]Datos!"&amp;LEFT(SUBSTITUTE(ADDRESS(1,RIGHT(Formulas!AO20)+2),"$",""))&amp;Formulas!AM20+1,
IFERROR(INDEX(Datos!$A$2:$L$101,Formulas!AM20,RIGHT(Formulas!AO20)+2),"")))</f>
        <v/>
      </c>
      <c r="AN23" s="107" t="str" cm="1">
        <f t="array" aca="1" ref="AN23" ca="1">IF(OR(Formulas!AO21=0,Formulas!AO21=""),"",HYPERLINK("["&amp;Archivo_Nombre&amp;"]Datos!"&amp;LEFT(SUBSTITUTE(ADDRESS(1,Formulas!AO21+2),"$",""))&amp;Formulas!AN21+1,
IFERROR(INDEX(Datos!$A$2:$L$101,Formulas!AN21,Formulas!AO21+2),"")))</f>
        <v/>
      </c>
      <c r="AO23" s="13"/>
      <c r="AP23" s="6"/>
      <c r="AQ23" s="24" t="str" cm="1">
        <f t="array" aca="1" ref="AQ23" ca="1">IF(OR(Formulas!AS20=0,Formulas!AS20="",RIGHT(Formulas!AT20)="0"),"",
HYPERLINK("["&amp;Archivo_Nombre&amp;"]Datos!"&amp;LEFT(SUBSTITUTE(ADDRESS(1,IF(Formulas!AS20=1,1,RIGHT(Formulas!AT20)+2)),"$",""))&amp;Formulas!AR20+1,
IFERROR(INDEX(Datos!$A$1:$L$1,1,RIGHT(Formulas!AT20)+2)&amp;IF(Formulas!AS20=1," "&amp;Formulas!AR20,"")&amp;":","")))</f>
        <v/>
      </c>
      <c r="AR23" s="107" t="str" cm="1">
        <f t="array" aca="1" ref="AR23" ca="1">IF(OR(Formulas!AS20=0,Formulas!AS20="",RIGHT(Formulas!AT20)="0"),"",
HYPERLINK("["&amp;Archivo_Nombre&amp;"]Datos!"&amp;LEFT(SUBSTITUTE(ADDRESS(1,RIGHT(Formulas!AT20)+2),"$",""))&amp;Formulas!AR20+1,
IFERROR(INDEX(Datos!$A$2:$L$101,Formulas!AR20,RIGHT(Formulas!AT20)+2),"")))</f>
        <v/>
      </c>
      <c r="AS23" s="107" t="str" cm="1">
        <f t="array" aca="1" ref="AS23" ca="1">IF(OR(Formulas!AT21=0,Formulas!AT21=""),"",HYPERLINK("["&amp;Archivo_Nombre&amp;"]Datos!"&amp;LEFT(SUBSTITUTE(ADDRESS(1,Formulas!AT21+2),"$",""))&amp;Formulas!AS21+1,
IFERROR(INDEX(Datos!$A$2:$L$101,Formulas!AS21,Formulas!AT21+2),"")))</f>
        <v/>
      </c>
      <c r="AT23" s="13"/>
      <c r="AU23" s="6"/>
      <c r="AV23" s="24" t="str" cm="1">
        <f t="array" aca="1" ref="AV23" ca="1">IF(OR(Formulas!AX20=0,Formulas!AX20="",RIGHT(Formulas!AY20)="0"),"",
HYPERLINK("["&amp;Archivo_Nombre&amp;"]Datos!"&amp;LEFT(SUBSTITUTE(ADDRESS(1,IF(Formulas!AX20=1,1,RIGHT(Formulas!AY20)+2)),"$",""))&amp;Formulas!AW20+1,
IFERROR(INDEX(Datos!$A$1:$L$1,1,RIGHT(Formulas!AY20)+2)&amp;IF(Formulas!AX20=1," "&amp;Formulas!AW20,"")&amp;":","")))</f>
        <v/>
      </c>
      <c r="AW23" s="107" t="str" cm="1">
        <f t="array" aca="1" ref="AW23" ca="1">IF(OR(Formulas!AX20=0,Formulas!AX20="",RIGHT(Formulas!AY20)="0"),"",
HYPERLINK("["&amp;Archivo_Nombre&amp;"]Datos!"&amp;LEFT(SUBSTITUTE(ADDRESS(1,RIGHT(Formulas!AY20)+2),"$",""))&amp;Formulas!AW20+1,
IFERROR(INDEX(Datos!$A$2:$L$101,Formulas!AW20,RIGHT(Formulas!AY20)+2),"")))</f>
        <v/>
      </c>
      <c r="AX23" s="107" t="str" cm="1">
        <f t="array" aca="1" ref="AX23" ca="1">IF(OR(Formulas!AY21=0,Formulas!AY21=""),"",HYPERLINK("["&amp;Archivo_Nombre&amp;"]Datos!"&amp;LEFT(SUBSTITUTE(ADDRESS(1,Formulas!AY21+2),"$",""))&amp;Formulas!AX21+1,
IFERROR(INDEX(Datos!$A$2:$L$101,Formulas!AX21,Formulas!AY21+2),"")))</f>
        <v/>
      </c>
      <c r="AY23" s="13"/>
    </row>
    <row r="24" spans="2:51" x14ac:dyDescent="0.25">
      <c r="B24" s="11"/>
      <c r="C24" s="24" t="str" cm="1">
        <f t="array" aca="1" ref="C24" ca="1">IF(OR(Formulas!E21=0,Formulas!E21="",RIGHT(Formulas!F21)="0"),"",
HYPERLINK("["&amp;Archivo_Nombre&amp;"]Datos!"&amp;LEFT(SUBSTITUTE(ADDRESS(1,IF(Formulas!E21=1,1,RIGHT(Formulas!F21)+2)),"$",""))&amp;Formulas!D21+1,
IFERROR(INDEX(Datos!$A$1:$L$1,1,RIGHT(Formulas!F21)+2)&amp;IF(Formulas!E21=1," "&amp;Formulas!D21,"")&amp;":","")))</f>
        <v/>
      </c>
      <c r="D24" s="107" t="str" cm="1">
        <f t="array" aca="1" ref="D24" ca="1">IF(OR(Formulas!E21=0,Formulas!E21="",RIGHT(Formulas!F21)="0"),"",
HYPERLINK("["&amp;Archivo_Nombre&amp;"]Datos!"&amp;LEFT(SUBSTITUTE(ADDRESS(1,RIGHT(Formulas!F21)+2),"$",""))&amp;Formulas!D21+1,
IFERROR(INDEX(Datos!$A$2:$L$101,Formulas!D21,RIGHT(Formulas!F21)+2),"")))</f>
        <v/>
      </c>
      <c r="E24" s="107" t="str" cm="1">
        <f t="array" aca="1" ref="E24" ca="1">IF(OR(Formulas!F22=0,Formulas!F22=""),"",HYPERLINK("["&amp;Archivo_Nombre&amp;"]Datos!"&amp;LEFT(SUBSTITUTE(ADDRESS(1,Formulas!F22+2),"$",""))&amp;Formulas!E22+1,
IFERROR(INDEX(Datos!$A$2:$L$101,Formulas!E22,Formulas!F22+2),"")))</f>
        <v/>
      </c>
      <c r="F24" s="5"/>
      <c r="G24" s="6"/>
      <c r="H24" s="24" t="str" cm="1">
        <f t="array" aca="1" ref="H24" ca="1">IF(OR(Formulas!J21=0,Formulas!J21="",RIGHT(Formulas!K21)="0"),"",
HYPERLINK("["&amp;Archivo_Nombre&amp;"]Datos!"&amp;LEFT(SUBSTITUTE(ADDRESS(1,IF(Formulas!J21=1,1,RIGHT(Formulas!K21)+2)),"$",""))&amp;Formulas!I21+1,
IFERROR(INDEX(Datos!$A$1:$L$1,1,RIGHT(Formulas!K21)+2)&amp;IF(Formulas!J21=1," "&amp;Formulas!I21,"")&amp;":","")))</f>
        <v/>
      </c>
      <c r="I24" s="107" t="str" cm="1">
        <f t="array" aca="1" ref="I24" ca="1">IF(OR(Formulas!J21=0,Formulas!J21="",RIGHT(Formulas!K21)="0"),"",
HYPERLINK("["&amp;Archivo_Nombre&amp;"]Datos!"&amp;LEFT(SUBSTITUTE(ADDRESS(1,RIGHT(Formulas!K21)+2),"$",""))&amp;Formulas!I21+1,
IFERROR(INDEX(Datos!$A$2:$L$101,Formulas!I21,RIGHT(Formulas!K21)+2),"")))</f>
        <v/>
      </c>
      <c r="J24" s="107" t="str" cm="1">
        <f t="array" aca="1" ref="J24" ca="1">IF(OR(Formulas!K22=0,Formulas!K22=""),"",HYPERLINK("["&amp;Archivo_Nombre&amp;"]Datos!"&amp;LEFT(SUBSTITUTE(ADDRESS(1,Formulas!K22+2),"$",""))&amp;Formulas!J22+1,
IFERROR(INDEX(Datos!$A$2:$L$101,Formulas!J22,Formulas!K22+2),"")))</f>
        <v/>
      </c>
      <c r="K24" s="5"/>
      <c r="L24" s="6"/>
      <c r="M24" s="24" t="str" cm="1">
        <f t="array" aca="1" ref="M24" ca="1">IF(OR(Formulas!O21=0,Formulas!O21="",RIGHT(Formulas!P21)="0"),"",
HYPERLINK("["&amp;Archivo_Nombre&amp;"]Datos!"&amp;LEFT(SUBSTITUTE(ADDRESS(1,IF(Formulas!O21=1,1,RIGHT(Formulas!P21)+2)),"$",""))&amp;Formulas!N21+1,
IFERROR(INDEX(Datos!$A$1:$L$1,1,RIGHT(Formulas!P21)+2)&amp;IF(Formulas!O21=1," "&amp;Formulas!N21,"")&amp;":","")))</f>
        <v/>
      </c>
      <c r="N24" s="107" t="str" cm="1">
        <f t="array" aca="1" ref="N24" ca="1">IF(OR(Formulas!O21=0,Formulas!O21="",RIGHT(Formulas!P21)="0"),"",
HYPERLINK("["&amp;Archivo_Nombre&amp;"]Datos!"&amp;LEFT(SUBSTITUTE(ADDRESS(1,RIGHT(Formulas!P21)+2),"$",""))&amp;Formulas!N21+1,
IFERROR(INDEX(Datos!$A$2:$L$101,Formulas!N21,RIGHT(Formulas!P21)+2),"")))</f>
        <v/>
      </c>
      <c r="O24" s="107" t="str" cm="1">
        <f t="array" aca="1" ref="O24" ca="1">IF(OR(Formulas!P22=0,Formulas!P22=""),"",HYPERLINK("["&amp;Archivo_Nombre&amp;"]Datos!"&amp;LEFT(SUBSTITUTE(ADDRESS(1,Formulas!P22+2),"$",""))&amp;Formulas!O22+1,
IFERROR(INDEX(Datos!$A$2:$L$101,Formulas!O22,Formulas!P22+2),"")))</f>
        <v/>
      </c>
      <c r="P24" s="5"/>
      <c r="Q24" s="6"/>
      <c r="R24" s="24" t="str" cm="1">
        <f t="array" aca="1" ref="R24" ca="1">IF(OR(Formulas!T21=0,Formulas!T21="",RIGHT(Formulas!U21)="0"),"",
HYPERLINK("["&amp;Archivo_Nombre&amp;"]Datos!"&amp;LEFT(SUBSTITUTE(ADDRESS(1,IF(Formulas!T21=1,1,RIGHT(Formulas!U21)+2)),"$",""))&amp;Formulas!S21+1,
IFERROR(INDEX(Datos!$A$1:$L$1,1,RIGHT(Formulas!U21)+2)&amp;IF(Formulas!T21=1," "&amp;Formulas!S21,"")&amp;":","")))</f>
        <v/>
      </c>
      <c r="S24" s="107" t="str" cm="1">
        <f t="array" aca="1" ref="S24" ca="1">IF(OR(Formulas!T21=0,Formulas!T21="",RIGHT(Formulas!U21)="0"),"",
HYPERLINK("["&amp;Archivo_Nombre&amp;"]Datos!"&amp;LEFT(SUBSTITUTE(ADDRESS(1,RIGHT(Formulas!U21)+2),"$",""))&amp;Formulas!S21+1,
IFERROR(INDEX(Datos!$A$2:$L$101,Formulas!S21,RIGHT(Formulas!U21)+2),"")))</f>
        <v/>
      </c>
      <c r="T24" s="107" t="str" cm="1">
        <f t="array" aca="1" ref="T24" ca="1">IF(OR(Formulas!U22=0,Formulas!U22=""),"",HYPERLINK("["&amp;Archivo_Nombre&amp;"]Datos!"&amp;LEFT(SUBSTITUTE(ADDRESS(1,Formulas!U22+2),"$",""))&amp;Formulas!T22+1,
IFERROR(INDEX(Datos!$A$2:$L$101,Formulas!T22,Formulas!U22+2),"")))</f>
        <v/>
      </c>
      <c r="U24" s="5"/>
      <c r="V24" s="6"/>
      <c r="W24" s="24" t="str" cm="1">
        <f t="array" aca="1" ref="W24" ca="1">IF(OR(Formulas!Y21=0,Formulas!Y21="",RIGHT(Formulas!Z21)="0"),"",
HYPERLINK("["&amp;Archivo_Nombre&amp;"]Datos!"&amp;LEFT(SUBSTITUTE(ADDRESS(1,IF(Formulas!Y21=1,1,RIGHT(Formulas!Z21)+2)),"$",""))&amp;Formulas!X21+1,
IFERROR(INDEX(Datos!$A$1:$L$1,1,RIGHT(Formulas!Z21)+2)&amp;IF(Formulas!Y21=1," "&amp;Formulas!X21,"")&amp;":","")))</f>
        <v/>
      </c>
      <c r="X24" s="107" t="str" cm="1">
        <f t="array" aca="1" ref="X24" ca="1">IF(OR(Formulas!Y21=0,Formulas!Y21="",RIGHT(Formulas!Z21)="0"),"",
HYPERLINK("["&amp;Archivo_Nombre&amp;"]Datos!"&amp;LEFT(SUBSTITUTE(ADDRESS(1,RIGHT(Formulas!Z21)+2),"$",""))&amp;Formulas!X21+1,
IFERROR(INDEX(Datos!$A$2:$L$101,Formulas!X21,RIGHT(Formulas!Z21)+2),"")))</f>
        <v/>
      </c>
      <c r="Y24" s="107" t="str" cm="1">
        <f t="array" aca="1" ref="Y24" ca="1">IF(OR(Formulas!Z22=0,Formulas!Z22=""),"",HYPERLINK("["&amp;Archivo_Nombre&amp;"]Datos!"&amp;LEFT(SUBSTITUTE(ADDRESS(1,Formulas!Z22+2),"$",""))&amp;Formulas!Y22+1,
IFERROR(INDEX(Datos!$A$2:$L$101,Formulas!Y22,Formulas!Z22+2),"")))</f>
        <v/>
      </c>
      <c r="Z24" s="13"/>
      <c r="AA24" s="6"/>
      <c r="AB24" s="24" t="str" cm="1">
        <f t="array" aca="1" ref="AB24" ca="1">IF(OR(Formulas!AD21=0,Formulas!AD21="",RIGHT(Formulas!AE21)="0"),"",
HYPERLINK("["&amp;Archivo_Nombre&amp;"]Datos!"&amp;LEFT(SUBSTITUTE(ADDRESS(1,IF(Formulas!AD21=1,1,RIGHT(Formulas!AE21)+2)),"$",""))&amp;Formulas!AC21+1,
IFERROR(INDEX(Datos!$A$1:$L$1,1,RIGHT(Formulas!AE21)+2)&amp;IF(Formulas!AD21=1," "&amp;Formulas!AC21,"")&amp;":","")))</f>
        <v/>
      </c>
      <c r="AC24" s="107" t="str" cm="1">
        <f t="array" aca="1" ref="AC24" ca="1">IF(OR(Formulas!AD21=0,Formulas!AD21="",RIGHT(Formulas!AE21)="0"),"",
HYPERLINK("["&amp;Archivo_Nombre&amp;"]Datos!"&amp;LEFT(SUBSTITUTE(ADDRESS(1,RIGHT(Formulas!AE21)+2),"$",""))&amp;Formulas!AC21+1,
IFERROR(INDEX(Datos!$A$2:$L$101,Formulas!AC21,RIGHT(Formulas!AE21)+2),"")))</f>
        <v/>
      </c>
      <c r="AD24" s="107" t="str" cm="1">
        <f t="array" aca="1" ref="AD24" ca="1">IF(OR(Formulas!AE22=0,Formulas!AE22=""),"",HYPERLINK("["&amp;Archivo_Nombre&amp;"]Datos!"&amp;LEFT(SUBSTITUTE(ADDRESS(1,Formulas!AE22+2),"$",""))&amp;Formulas!AD22+1,
IFERROR(INDEX(Datos!$A$2:$L$101,Formulas!AD22,Formulas!AE22+2),"")))</f>
        <v/>
      </c>
      <c r="AE24" s="13"/>
      <c r="AF24" s="6"/>
      <c r="AG24" s="24" t="str" cm="1">
        <f t="array" aca="1" ref="AG24" ca="1">IF(OR(Formulas!AI21=0,Formulas!AI21="",RIGHT(Formulas!AJ21)="0"),"",
HYPERLINK("["&amp;Archivo_Nombre&amp;"]Datos!"&amp;LEFT(SUBSTITUTE(ADDRESS(1,IF(Formulas!AI21=1,1,RIGHT(Formulas!AJ21)+2)),"$",""))&amp;Formulas!AH21+1,
IFERROR(INDEX(Datos!$A$1:$L$1,1,RIGHT(Formulas!AJ21)+2)&amp;IF(Formulas!AI21=1," "&amp;Formulas!AH21,"")&amp;":","")))</f>
        <v/>
      </c>
      <c r="AH24" s="107" t="str" cm="1">
        <f t="array" aca="1" ref="AH24" ca="1">IF(OR(Formulas!AI21=0,Formulas!AI21="",RIGHT(Formulas!AJ21)="0"),"",
HYPERLINK("["&amp;Archivo_Nombre&amp;"]Datos!"&amp;LEFT(SUBSTITUTE(ADDRESS(1,RIGHT(Formulas!AJ21)+2),"$",""))&amp;Formulas!AH21+1,
IFERROR(INDEX(Datos!$A$2:$L$101,Formulas!AH21,RIGHT(Formulas!AJ21)+2),"")))</f>
        <v/>
      </c>
      <c r="AI24" s="107" t="str" cm="1">
        <f t="array" aca="1" ref="AI24" ca="1">IF(OR(Formulas!AJ22=0,Formulas!AJ22=""),"",HYPERLINK("["&amp;Archivo_Nombre&amp;"]Datos!"&amp;LEFT(SUBSTITUTE(ADDRESS(1,Formulas!AJ22+2),"$",""))&amp;Formulas!AI22+1,
IFERROR(INDEX(Datos!$A$2:$L$101,Formulas!AI22,Formulas!AJ22+2),"")))</f>
        <v/>
      </c>
      <c r="AJ24" s="13"/>
      <c r="AK24" s="6"/>
      <c r="AL24" s="24" t="str" cm="1">
        <f t="array" aca="1" ref="AL24" ca="1">IF(OR(Formulas!AN21=0,Formulas!AN21="",RIGHT(Formulas!AO21)="0"),"",
HYPERLINK("["&amp;Archivo_Nombre&amp;"]Datos!"&amp;LEFT(SUBSTITUTE(ADDRESS(1,IF(Formulas!AN21=1,1,RIGHT(Formulas!AO21)+2)),"$",""))&amp;Formulas!AM21+1,
IFERROR(INDEX(Datos!$A$1:$L$1,1,RIGHT(Formulas!AO21)+2)&amp;IF(Formulas!AN21=1," "&amp;Formulas!AM21,"")&amp;":","")))</f>
        <v/>
      </c>
      <c r="AM24" s="107" t="str" cm="1">
        <f t="array" aca="1" ref="AM24" ca="1">IF(OR(Formulas!AN21=0,Formulas!AN21="",RIGHT(Formulas!AO21)="0"),"",
HYPERLINK("["&amp;Archivo_Nombre&amp;"]Datos!"&amp;LEFT(SUBSTITUTE(ADDRESS(1,RIGHT(Formulas!AO21)+2),"$",""))&amp;Formulas!AM21+1,
IFERROR(INDEX(Datos!$A$2:$L$101,Formulas!AM21,RIGHT(Formulas!AO21)+2),"")))</f>
        <v/>
      </c>
      <c r="AN24" s="107" t="str" cm="1">
        <f t="array" aca="1" ref="AN24" ca="1">IF(OR(Formulas!AO22=0,Formulas!AO22=""),"",HYPERLINK("["&amp;Archivo_Nombre&amp;"]Datos!"&amp;LEFT(SUBSTITUTE(ADDRESS(1,Formulas!AO22+2),"$",""))&amp;Formulas!AN22+1,
IFERROR(INDEX(Datos!$A$2:$L$101,Formulas!AN22,Formulas!AO22+2),"")))</f>
        <v/>
      </c>
      <c r="AO24" s="13"/>
      <c r="AP24" s="6"/>
      <c r="AQ24" s="24" t="str" cm="1">
        <f t="array" aca="1" ref="AQ24" ca="1">IF(OR(Formulas!AS21=0,Formulas!AS21="",RIGHT(Formulas!AT21)="0"),"",
HYPERLINK("["&amp;Archivo_Nombre&amp;"]Datos!"&amp;LEFT(SUBSTITUTE(ADDRESS(1,IF(Formulas!AS21=1,1,RIGHT(Formulas!AT21)+2)),"$",""))&amp;Formulas!AR21+1,
IFERROR(INDEX(Datos!$A$1:$L$1,1,RIGHT(Formulas!AT21)+2)&amp;IF(Formulas!AS21=1," "&amp;Formulas!AR21,"")&amp;":","")))</f>
        <v/>
      </c>
      <c r="AR24" s="107" t="str" cm="1">
        <f t="array" aca="1" ref="AR24" ca="1">IF(OR(Formulas!AS21=0,Formulas!AS21="",RIGHT(Formulas!AT21)="0"),"",
HYPERLINK("["&amp;Archivo_Nombre&amp;"]Datos!"&amp;LEFT(SUBSTITUTE(ADDRESS(1,RIGHT(Formulas!AT21)+2),"$",""))&amp;Formulas!AR21+1,
IFERROR(INDEX(Datos!$A$2:$L$101,Formulas!AR21,RIGHT(Formulas!AT21)+2),"")))</f>
        <v/>
      </c>
      <c r="AS24" s="107" t="str" cm="1">
        <f t="array" aca="1" ref="AS24" ca="1">IF(OR(Formulas!AT22=0,Formulas!AT22=""),"",HYPERLINK("["&amp;Archivo_Nombre&amp;"]Datos!"&amp;LEFT(SUBSTITUTE(ADDRESS(1,Formulas!AT22+2),"$",""))&amp;Formulas!AS22+1,
IFERROR(INDEX(Datos!$A$2:$L$101,Formulas!AS22,Formulas!AT22+2),"")))</f>
        <v/>
      </c>
      <c r="AT24" s="13"/>
      <c r="AU24" s="6"/>
      <c r="AV24" s="24" t="str" cm="1">
        <f t="array" aca="1" ref="AV24" ca="1">IF(OR(Formulas!AX21=0,Formulas!AX21="",RIGHT(Formulas!AY21)="0"),"",
HYPERLINK("["&amp;Archivo_Nombre&amp;"]Datos!"&amp;LEFT(SUBSTITUTE(ADDRESS(1,IF(Formulas!AX21=1,1,RIGHT(Formulas!AY21)+2)),"$",""))&amp;Formulas!AW21+1,
IFERROR(INDEX(Datos!$A$1:$L$1,1,RIGHT(Formulas!AY21)+2)&amp;IF(Formulas!AX21=1," "&amp;Formulas!AW21,"")&amp;":","")))</f>
        <v/>
      </c>
      <c r="AW24" s="107" t="str" cm="1">
        <f t="array" aca="1" ref="AW24" ca="1">IF(OR(Formulas!AX21=0,Formulas!AX21="",RIGHT(Formulas!AY21)="0"),"",
HYPERLINK("["&amp;Archivo_Nombre&amp;"]Datos!"&amp;LEFT(SUBSTITUTE(ADDRESS(1,RIGHT(Formulas!AY21)+2),"$",""))&amp;Formulas!AW21+1,
IFERROR(INDEX(Datos!$A$2:$L$101,Formulas!AW21,RIGHT(Formulas!AY21)+2),"")))</f>
        <v/>
      </c>
      <c r="AX24" s="107" t="str" cm="1">
        <f t="array" aca="1" ref="AX24" ca="1">IF(OR(Formulas!AY22=0,Formulas!AY22=""),"",HYPERLINK("["&amp;Archivo_Nombre&amp;"]Datos!"&amp;LEFT(SUBSTITUTE(ADDRESS(1,Formulas!AY22+2),"$",""))&amp;Formulas!AX22+1,
IFERROR(INDEX(Datos!$A$2:$L$101,Formulas!AX22,Formulas!AY22+2),"")))</f>
        <v/>
      </c>
      <c r="AY24" s="13"/>
    </row>
    <row r="25" spans="2:51" x14ac:dyDescent="0.25">
      <c r="B25" s="11"/>
      <c r="C25" s="24" t="str" cm="1">
        <f t="array" aca="1" ref="C25" ca="1">IF(OR(Formulas!E22=0,Formulas!E22="",RIGHT(Formulas!F22)="0"),"",
HYPERLINK("["&amp;Archivo_Nombre&amp;"]Datos!"&amp;LEFT(SUBSTITUTE(ADDRESS(1,IF(Formulas!E22=1,1,RIGHT(Formulas!F22)+2)),"$",""))&amp;Formulas!D22+1,
IFERROR(INDEX(Datos!$A$1:$L$1,1,RIGHT(Formulas!F22)+2)&amp;IF(Formulas!E22=1," "&amp;Formulas!D22,"")&amp;":","")))</f>
        <v/>
      </c>
      <c r="D25" s="107" t="str" cm="1">
        <f t="array" aca="1" ref="D25" ca="1">IF(OR(Formulas!E22=0,Formulas!E22="",RIGHT(Formulas!F22)="0"),"",
HYPERLINK("["&amp;Archivo_Nombre&amp;"]Datos!"&amp;LEFT(SUBSTITUTE(ADDRESS(1,RIGHT(Formulas!F22)+2),"$",""))&amp;Formulas!D22+1,
IFERROR(INDEX(Datos!$A$2:$L$101,Formulas!D22,RIGHT(Formulas!F22)+2),"")))</f>
        <v/>
      </c>
      <c r="E25" s="107" t="str" cm="1">
        <f t="array" aca="1" ref="E25" ca="1">IF(OR(Formulas!F23=0,Formulas!F23=""),"",HYPERLINK("["&amp;Archivo_Nombre&amp;"]Datos!"&amp;LEFT(SUBSTITUTE(ADDRESS(1,Formulas!F23+2),"$",""))&amp;Formulas!E23+1,
IFERROR(INDEX(Datos!$A$2:$L$101,Formulas!E23,Formulas!F23+2),"")))</f>
        <v/>
      </c>
      <c r="F25" s="5"/>
      <c r="G25" s="6"/>
      <c r="H25" s="24" t="str" cm="1">
        <f t="array" aca="1" ref="H25" ca="1">IF(OR(Formulas!J22=0,Formulas!J22="",RIGHT(Formulas!K22)="0"),"",
HYPERLINK("["&amp;Archivo_Nombre&amp;"]Datos!"&amp;LEFT(SUBSTITUTE(ADDRESS(1,IF(Formulas!J22=1,1,RIGHT(Formulas!K22)+2)),"$",""))&amp;Formulas!I22+1,
IFERROR(INDEX(Datos!$A$1:$L$1,1,RIGHT(Formulas!K22)+2)&amp;IF(Formulas!J22=1," "&amp;Formulas!I22,"")&amp;":","")))</f>
        <v/>
      </c>
      <c r="I25" s="107" t="str" cm="1">
        <f t="array" aca="1" ref="I25" ca="1">IF(OR(Formulas!J22=0,Formulas!J22="",RIGHT(Formulas!K22)="0"),"",
HYPERLINK("["&amp;Archivo_Nombre&amp;"]Datos!"&amp;LEFT(SUBSTITUTE(ADDRESS(1,RIGHT(Formulas!K22)+2),"$",""))&amp;Formulas!I22+1,
IFERROR(INDEX(Datos!$A$2:$L$101,Formulas!I22,RIGHT(Formulas!K22)+2),"")))</f>
        <v/>
      </c>
      <c r="J25" s="107" t="e" cm="1">
        <f t="array" aca="1" ref="J25" ca="1">IF(OR(Formulas!K23=0,Formulas!K23=""),"",HYPERLINK("["&amp;Archivo_Nombre&amp;"]Datos!"&amp;LEFT(SUBSTITUTE(ADDRESS(1,Formulas!K23+2),"$",""))&amp;Formulas!J23+1,
IFERROR(INDEX(Datos!$A$2:$L$101,Formulas!J23,Formulas!K23+2),"")))</f>
        <v>#VALUE!</v>
      </c>
      <c r="K25" s="5"/>
      <c r="L25" s="6"/>
      <c r="M25" s="24" t="str" cm="1">
        <f t="array" aca="1" ref="M25" ca="1">IF(OR(Formulas!O22=0,Formulas!O22="",RIGHT(Formulas!P22)="0"),"",
HYPERLINK("["&amp;Archivo_Nombre&amp;"]Datos!"&amp;LEFT(SUBSTITUTE(ADDRESS(1,IF(Formulas!O22=1,1,RIGHT(Formulas!P22)+2)),"$",""))&amp;Formulas!N22+1,
IFERROR(INDEX(Datos!$A$1:$L$1,1,RIGHT(Formulas!P22)+2)&amp;IF(Formulas!O22=1," "&amp;Formulas!N22,"")&amp;":","")))</f>
        <v/>
      </c>
      <c r="N25" s="107" t="str" cm="1">
        <f t="array" aca="1" ref="N25" ca="1">IF(OR(Formulas!O22=0,Formulas!O22="",RIGHT(Formulas!P22)="0"),"",
HYPERLINK("["&amp;Archivo_Nombre&amp;"]Datos!"&amp;LEFT(SUBSTITUTE(ADDRESS(1,RIGHT(Formulas!P22)+2),"$",""))&amp;Formulas!N22+1,
IFERROR(INDEX(Datos!$A$2:$L$101,Formulas!N22,RIGHT(Formulas!P22)+2),"")))</f>
        <v/>
      </c>
      <c r="O25" s="107" t="str" cm="1">
        <f t="array" aca="1" ref="O25" ca="1">IF(OR(Formulas!P23=0,Formulas!P23=""),"",HYPERLINK("["&amp;Archivo_Nombre&amp;"]Datos!"&amp;LEFT(SUBSTITUTE(ADDRESS(1,Formulas!P23+2),"$",""))&amp;Formulas!O23+1,
IFERROR(INDEX(Datos!$A$2:$L$101,Formulas!O23,Formulas!P23+2),"")))</f>
        <v/>
      </c>
      <c r="P25" s="5"/>
      <c r="Q25" s="6"/>
      <c r="R25" s="24" t="str" cm="1">
        <f t="array" aca="1" ref="R25" ca="1">IF(OR(Formulas!T22=0,Formulas!T22="",RIGHT(Formulas!U22)="0"),"",
HYPERLINK("["&amp;Archivo_Nombre&amp;"]Datos!"&amp;LEFT(SUBSTITUTE(ADDRESS(1,IF(Formulas!T22=1,1,RIGHT(Formulas!U22)+2)),"$",""))&amp;Formulas!S22+1,
IFERROR(INDEX(Datos!$A$1:$L$1,1,RIGHT(Formulas!U22)+2)&amp;IF(Formulas!T22=1," "&amp;Formulas!S22,"")&amp;":","")))</f>
        <v/>
      </c>
      <c r="S25" s="107" t="str" cm="1">
        <f t="array" aca="1" ref="S25" ca="1">IF(OR(Formulas!T22=0,Formulas!T22="",RIGHT(Formulas!U22)="0"),"",
HYPERLINK("["&amp;Archivo_Nombre&amp;"]Datos!"&amp;LEFT(SUBSTITUTE(ADDRESS(1,RIGHT(Formulas!U22)+2),"$",""))&amp;Formulas!S22+1,
IFERROR(INDEX(Datos!$A$2:$L$101,Formulas!S22,RIGHT(Formulas!U22)+2),"")))</f>
        <v/>
      </c>
      <c r="T25" s="107" t="e" cm="1">
        <f t="array" aca="1" ref="T25" ca="1">IF(OR(Formulas!U23=0,Formulas!U23=""),"",HYPERLINK("["&amp;Archivo_Nombre&amp;"]Datos!"&amp;LEFT(SUBSTITUTE(ADDRESS(1,Formulas!U23+2),"$",""))&amp;Formulas!T23+1,
IFERROR(INDEX(Datos!$A$2:$L$101,Formulas!T23,Formulas!U23+2),"")))</f>
        <v>#VALUE!</v>
      </c>
      <c r="U25" s="5"/>
      <c r="V25" s="6"/>
      <c r="W25" s="24" t="str" cm="1">
        <f t="array" aca="1" ref="W25" ca="1">IF(OR(Formulas!Y22=0,Formulas!Y22="",RIGHT(Formulas!Z22)="0"),"",
HYPERLINK("["&amp;Archivo_Nombre&amp;"]Datos!"&amp;LEFT(SUBSTITUTE(ADDRESS(1,IF(Formulas!Y22=1,1,RIGHT(Formulas!Z22)+2)),"$",""))&amp;Formulas!X22+1,
IFERROR(INDEX(Datos!$A$1:$L$1,1,RIGHT(Formulas!Z22)+2)&amp;IF(Formulas!Y22=1," "&amp;Formulas!X22,"")&amp;":","")))</f>
        <v/>
      </c>
      <c r="X25" s="107" t="str" cm="1">
        <f t="array" aca="1" ref="X25" ca="1">IF(OR(Formulas!Y22=0,Formulas!Y22="",RIGHT(Formulas!Z22)="0"),"",
HYPERLINK("["&amp;Archivo_Nombre&amp;"]Datos!"&amp;LEFT(SUBSTITUTE(ADDRESS(1,RIGHT(Formulas!Z22)+2),"$",""))&amp;Formulas!X22+1,
IFERROR(INDEX(Datos!$A$2:$L$101,Formulas!X22,RIGHT(Formulas!Z22)+2),"")))</f>
        <v/>
      </c>
      <c r="Y25" s="107" t="str" cm="1">
        <f t="array" aca="1" ref="Y25" ca="1">IF(OR(Formulas!Z23=0,Formulas!Z23=""),"",HYPERLINK("["&amp;Archivo_Nombre&amp;"]Datos!"&amp;LEFT(SUBSTITUTE(ADDRESS(1,Formulas!Z23+2),"$",""))&amp;Formulas!Y23+1,
IFERROR(INDEX(Datos!$A$2:$L$101,Formulas!Y23,Formulas!Z23+2),"")))</f>
        <v/>
      </c>
      <c r="Z25" s="13"/>
      <c r="AA25" s="6"/>
      <c r="AB25" s="24" t="str" cm="1">
        <f t="array" aca="1" ref="AB25" ca="1">IF(OR(Formulas!AD22=0,Formulas!AD22="",RIGHT(Formulas!AE22)="0"),"",
HYPERLINK("["&amp;Archivo_Nombre&amp;"]Datos!"&amp;LEFT(SUBSTITUTE(ADDRESS(1,IF(Formulas!AD22=1,1,RIGHT(Formulas!AE22)+2)),"$",""))&amp;Formulas!AC22+1,
IFERROR(INDEX(Datos!$A$1:$L$1,1,RIGHT(Formulas!AE22)+2)&amp;IF(Formulas!AD22=1," "&amp;Formulas!AC22,"")&amp;":","")))</f>
        <v/>
      </c>
      <c r="AC25" s="107" t="str" cm="1">
        <f t="array" aca="1" ref="AC25" ca="1">IF(OR(Formulas!AD22=0,Formulas!AD22="",RIGHT(Formulas!AE22)="0"),"",
HYPERLINK("["&amp;Archivo_Nombre&amp;"]Datos!"&amp;LEFT(SUBSTITUTE(ADDRESS(1,RIGHT(Formulas!AE22)+2),"$",""))&amp;Formulas!AC22+1,
IFERROR(INDEX(Datos!$A$2:$L$101,Formulas!AC22,RIGHT(Formulas!AE22)+2),"")))</f>
        <v/>
      </c>
      <c r="AD25" s="107" t="str" cm="1">
        <f t="array" aca="1" ref="AD25" ca="1">IF(OR(Formulas!AE23=0,Formulas!AE23=""),"",HYPERLINK("["&amp;Archivo_Nombre&amp;"]Datos!"&amp;LEFT(SUBSTITUTE(ADDRESS(1,Formulas!AE23+2),"$",""))&amp;Formulas!AD23+1,
IFERROR(INDEX(Datos!$A$2:$L$101,Formulas!AD23,Formulas!AE23+2),"")))</f>
        <v/>
      </c>
      <c r="AE25" s="13"/>
      <c r="AF25" s="6"/>
      <c r="AG25" s="24" t="str" cm="1">
        <f t="array" aca="1" ref="AG25" ca="1">IF(OR(Formulas!AI22=0,Formulas!AI22="",RIGHT(Formulas!AJ22)="0"),"",
HYPERLINK("["&amp;Archivo_Nombre&amp;"]Datos!"&amp;LEFT(SUBSTITUTE(ADDRESS(1,IF(Formulas!AI22=1,1,RIGHT(Formulas!AJ22)+2)),"$",""))&amp;Formulas!AH22+1,
IFERROR(INDEX(Datos!$A$1:$L$1,1,RIGHT(Formulas!AJ22)+2)&amp;IF(Formulas!AI22=1," "&amp;Formulas!AH22,"")&amp;":","")))</f>
        <v/>
      </c>
      <c r="AH25" s="107" t="str" cm="1">
        <f t="array" aca="1" ref="AH25" ca="1">IF(OR(Formulas!AI22=0,Formulas!AI22="",RIGHT(Formulas!AJ22)="0"),"",
HYPERLINK("["&amp;Archivo_Nombre&amp;"]Datos!"&amp;LEFT(SUBSTITUTE(ADDRESS(1,RIGHT(Formulas!AJ22)+2),"$",""))&amp;Formulas!AH22+1,
IFERROR(INDEX(Datos!$A$2:$L$101,Formulas!AH22,RIGHT(Formulas!AJ22)+2),"")))</f>
        <v/>
      </c>
      <c r="AI25" s="107" t="str" cm="1">
        <f t="array" aca="1" ref="AI25" ca="1">IF(OR(Formulas!AJ23=0,Formulas!AJ23=""),"",HYPERLINK("["&amp;Archivo_Nombre&amp;"]Datos!"&amp;LEFT(SUBSTITUTE(ADDRESS(1,Formulas!AJ23+2),"$",""))&amp;Formulas!AI23+1,
IFERROR(INDEX(Datos!$A$2:$L$101,Formulas!AI23,Formulas!AJ23+2),"")))</f>
        <v/>
      </c>
      <c r="AJ25" s="13"/>
      <c r="AK25" s="6"/>
      <c r="AL25" s="24" t="str" cm="1">
        <f t="array" aca="1" ref="AL25" ca="1">IF(OR(Formulas!AN22=0,Formulas!AN22="",RIGHT(Formulas!AO22)="0"),"",
HYPERLINK("["&amp;Archivo_Nombre&amp;"]Datos!"&amp;LEFT(SUBSTITUTE(ADDRESS(1,IF(Formulas!AN22=1,1,RIGHT(Formulas!AO22)+2)),"$",""))&amp;Formulas!AM22+1,
IFERROR(INDEX(Datos!$A$1:$L$1,1,RIGHT(Formulas!AO22)+2)&amp;IF(Formulas!AN22=1," "&amp;Formulas!AM22,"")&amp;":","")))</f>
        <v/>
      </c>
      <c r="AM25" s="107" t="str" cm="1">
        <f t="array" aca="1" ref="AM25" ca="1">IF(OR(Formulas!AN22=0,Formulas!AN22="",RIGHT(Formulas!AO22)="0"),"",
HYPERLINK("["&amp;Archivo_Nombre&amp;"]Datos!"&amp;LEFT(SUBSTITUTE(ADDRESS(1,RIGHT(Formulas!AO22)+2),"$",""))&amp;Formulas!AM22+1,
IFERROR(INDEX(Datos!$A$2:$L$101,Formulas!AM22,RIGHT(Formulas!AO22)+2),"")))</f>
        <v/>
      </c>
      <c r="AN25" s="107" t="str" cm="1">
        <f t="array" aca="1" ref="AN25" ca="1">IF(OR(Formulas!AO23=0,Formulas!AO23=""),"",HYPERLINK("["&amp;Archivo_Nombre&amp;"]Datos!"&amp;LEFT(SUBSTITUTE(ADDRESS(1,Formulas!AO23+2),"$",""))&amp;Formulas!AN23+1,
IFERROR(INDEX(Datos!$A$2:$L$101,Formulas!AN23,Formulas!AO23+2),"")))</f>
        <v/>
      </c>
      <c r="AO25" s="13"/>
      <c r="AP25" s="6"/>
      <c r="AQ25" s="24" t="str" cm="1">
        <f t="array" aca="1" ref="AQ25" ca="1">IF(OR(Formulas!AS22=0,Formulas!AS22="",RIGHT(Formulas!AT22)="0"),"",
HYPERLINK("["&amp;Archivo_Nombre&amp;"]Datos!"&amp;LEFT(SUBSTITUTE(ADDRESS(1,IF(Formulas!AS22=1,1,RIGHT(Formulas!AT22)+2)),"$",""))&amp;Formulas!AR22+1,
IFERROR(INDEX(Datos!$A$1:$L$1,1,RIGHT(Formulas!AT22)+2)&amp;IF(Formulas!AS22=1," "&amp;Formulas!AR22,"")&amp;":","")))</f>
        <v/>
      </c>
      <c r="AR25" s="107" t="str" cm="1">
        <f t="array" aca="1" ref="AR25" ca="1">IF(OR(Formulas!AS22=0,Formulas!AS22="",RIGHT(Formulas!AT22)="0"),"",
HYPERLINK("["&amp;Archivo_Nombre&amp;"]Datos!"&amp;LEFT(SUBSTITUTE(ADDRESS(1,RIGHT(Formulas!AT22)+2),"$",""))&amp;Formulas!AR22+1,
IFERROR(INDEX(Datos!$A$2:$L$101,Formulas!AR22,RIGHT(Formulas!AT22)+2),"")))</f>
        <v/>
      </c>
      <c r="AS25" s="107" t="str" cm="1">
        <f t="array" aca="1" ref="AS25" ca="1">IF(OR(Formulas!AT23=0,Formulas!AT23=""),"",HYPERLINK("["&amp;Archivo_Nombre&amp;"]Datos!"&amp;LEFT(SUBSTITUTE(ADDRESS(1,Formulas!AT23+2),"$",""))&amp;Formulas!AS23+1,
IFERROR(INDEX(Datos!$A$2:$L$101,Formulas!AS23,Formulas!AT23+2),"")))</f>
        <v/>
      </c>
      <c r="AT25" s="13"/>
      <c r="AU25" s="6"/>
      <c r="AV25" s="24" t="str" cm="1">
        <f t="array" aca="1" ref="AV25" ca="1">IF(OR(Formulas!AX22=0,Formulas!AX22="",RIGHT(Formulas!AY22)="0"),"",
HYPERLINK("["&amp;Archivo_Nombre&amp;"]Datos!"&amp;LEFT(SUBSTITUTE(ADDRESS(1,IF(Formulas!AX22=1,1,RIGHT(Formulas!AY22)+2)),"$",""))&amp;Formulas!AW22+1,
IFERROR(INDEX(Datos!$A$1:$L$1,1,RIGHT(Formulas!AY22)+2)&amp;IF(Formulas!AX22=1," "&amp;Formulas!AW22,"")&amp;":","")))</f>
        <v/>
      </c>
      <c r="AW25" s="107" t="str" cm="1">
        <f t="array" aca="1" ref="AW25" ca="1">IF(OR(Formulas!AX22=0,Formulas!AX22="",RIGHT(Formulas!AY22)="0"),"",
HYPERLINK("["&amp;Archivo_Nombre&amp;"]Datos!"&amp;LEFT(SUBSTITUTE(ADDRESS(1,RIGHT(Formulas!AY22)+2),"$",""))&amp;Formulas!AW22+1,
IFERROR(INDEX(Datos!$A$2:$L$101,Formulas!AW22,RIGHT(Formulas!AY22)+2),"")))</f>
        <v/>
      </c>
      <c r="AX25" s="107" t="str" cm="1">
        <f t="array" aca="1" ref="AX25" ca="1">IF(OR(Formulas!AY23=0,Formulas!AY23=""),"",HYPERLINK("["&amp;Archivo_Nombre&amp;"]Datos!"&amp;LEFT(SUBSTITUTE(ADDRESS(1,Formulas!AY23+2),"$",""))&amp;Formulas!AX23+1,
IFERROR(INDEX(Datos!$A$2:$L$101,Formulas!AX23,Formulas!AY23+2),"")))</f>
        <v/>
      </c>
      <c r="AY25" s="13"/>
    </row>
    <row r="26" spans="2:51" x14ac:dyDescent="0.25">
      <c r="B26" s="11"/>
      <c r="C26" s="24" t="str" cm="1">
        <f t="array" aca="1" ref="C26" ca="1">IF(OR(Formulas!E23=0,Formulas!E23="",RIGHT(Formulas!F23)="0"),"",
HYPERLINK("["&amp;Archivo_Nombre&amp;"]Datos!"&amp;LEFT(SUBSTITUTE(ADDRESS(1,IF(Formulas!E23=1,1,RIGHT(Formulas!F23)+2)),"$",""))&amp;Formulas!D23+1,
IFERROR(INDEX(Datos!$A$1:$L$1,1,RIGHT(Formulas!F23)+2)&amp;IF(Formulas!E23=1," "&amp;Formulas!D23,"")&amp;":","")))</f>
        <v/>
      </c>
      <c r="D26" s="107" t="str" cm="1">
        <f t="array" aca="1" ref="D26" ca="1">IF(OR(Formulas!E23=0,Formulas!E23="",RIGHT(Formulas!F23)="0"),"",
HYPERLINK("["&amp;Archivo_Nombre&amp;"]Datos!"&amp;LEFT(SUBSTITUTE(ADDRESS(1,RIGHT(Formulas!F23)+2),"$",""))&amp;Formulas!D23+1,
IFERROR(INDEX(Datos!$A$2:$L$101,Formulas!D23,RIGHT(Formulas!F23)+2),"")))</f>
        <v/>
      </c>
      <c r="E26" s="107" t="str" cm="1">
        <f t="array" aca="1" ref="E26" ca="1">IF(OR(Formulas!F24=0,Formulas!F24=""),"",HYPERLINK("["&amp;Archivo_Nombre&amp;"]Datos!"&amp;LEFT(SUBSTITUTE(ADDRESS(1,Formulas!F24+2),"$",""))&amp;Formulas!E24+1,
IFERROR(INDEX(Datos!$A$2:$L$101,Formulas!E24,Formulas!F24+2),"")))</f>
        <v/>
      </c>
      <c r="F26" s="5"/>
      <c r="G26" s="6"/>
      <c r="H26" s="24" t="str" cm="1">
        <f t="array" aca="1" ref="H26" ca="1">IF(OR(Formulas!J23=0,Formulas!J23="",RIGHT(Formulas!K23)="0"),"",
HYPERLINK("["&amp;Archivo_Nombre&amp;"]Datos!"&amp;LEFT(SUBSTITUTE(ADDRESS(1,IF(Formulas!J23=1,1,RIGHT(Formulas!K23)+2)),"$",""))&amp;Formulas!I23+1,
IFERROR(INDEX(Datos!$A$1:$L$1,1,RIGHT(Formulas!K23)+2)&amp;IF(Formulas!J23=1," "&amp;Formulas!I23,"")&amp;":","")))</f>
        <v>ORDEN PCRONOLOGICO 31:</v>
      </c>
      <c r="I26" s="107" cm="1">
        <f t="array" aca="1" ref="I26" ca="1">IF(OR(Formulas!J23=0,Formulas!J23="",RIGHT(Formulas!K23)="0"),"",
HYPERLINK("["&amp;Archivo_Nombre&amp;"]Datos!"&amp;LEFT(SUBSTITUTE(ADDRESS(1,RIGHT(Formulas!K23)+2),"$",""))&amp;Formulas!I23+1,
IFERROR(INDEX(Datos!$A$2:$L$101,Formulas!I23,RIGHT(Formulas!K23)+2),"")))</f>
        <v>0</v>
      </c>
      <c r="J26" s="107" t="e" cm="1">
        <f t="array" aca="1" ref="J26" ca="1">IF(OR(Formulas!K24=0,Formulas!K24=""),"",HYPERLINK("["&amp;Archivo_Nombre&amp;"]Datos!"&amp;LEFT(SUBSTITUTE(ADDRESS(1,Formulas!K24+2),"$",""))&amp;Formulas!J24+1,
IFERROR(INDEX(Datos!$A$2:$L$101,Formulas!J24,Formulas!K24+2),"")))</f>
        <v>#VALUE!</v>
      </c>
      <c r="K26" s="5"/>
      <c r="L26" s="6"/>
      <c r="M26" s="24" t="str" cm="1">
        <f t="array" aca="1" ref="M26" ca="1">IF(OR(Formulas!O23=0,Formulas!O23="",RIGHT(Formulas!P23)="0"),"",
HYPERLINK("["&amp;Archivo_Nombre&amp;"]Datos!"&amp;LEFT(SUBSTITUTE(ADDRESS(1,IF(Formulas!O23=1,1,RIGHT(Formulas!P23)+2)),"$",""))&amp;Formulas!N23+1,
IFERROR(INDEX(Datos!$A$1:$L$1,1,RIGHT(Formulas!P23)+2)&amp;IF(Formulas!O23=1," "&amp;Formulas!N23,"")&amp;":","")))</f>
        <v/>
      </c>
      <c r="N26" s="107" t="str" cm="1">
        <f t="array" aca="1" ref="N26" ca="1">IF(OR(Formulas!O23=0,Formulas!O23="",RIGHT(Formulas!P23)="0"),"",
HYPERLINK("["&amp;Archivo_Nombre&amp;"]Datos!"&amp;LEFT(SUBSTITUTE(ADDRESS(1,RIGHT(Formulas!P23)+2),"$",""))&amp;Formulas!N23+1,
IFERROR(INDEX(Datos!$A$2:$L$101,Formulas!N23,RIGHT(Formulas!P23)+2),"")))</f>
        <v/>
      </c>
      <c r="O26" s="107" t="str" cm="1">
        <f t="array" aca="1" ref="O26" ca="1">IF(OR(Formulas!P24=0,Formulas!P24=""),"",HYPERLINK("["&amp;Archivo_Nombre&amp;"]Datos!"&amp;LEFT(SUBSTITUTE(ADDRESS(1,Formulas!P24+2),"$",""))&amp;Formulas!O24+1,
IFERROR(INDEX(Datos!$A$2:$L$101,Formulas!O24,Formulas!P24+2),"")))</f>
        <v/>
      </c>
      <c r="P26" s="5"/>
      <c r="Q26" s="6"/>
      <c r="R26" s="24" t="str" cm="1">
        <f t="array" aca="1" ref="R26" ca="1">IF(OR(Formulas!T23=0,Formulas!T23="",RIGHT(Formulas!U23)="0"),"",
HYPERLINK("["&amp;Archivo_Nombre&amp;"]Datos!"&amp;LEFT(SUBSTITUTE(ADDRESS(1,IF(Formulas!T23=1,1,RIGHT(Formulas!U23)+2)),"$",""))&amp;Formulas!S23+1,
IFERROR(INDEX(Datos!$A$1:$L$1,1,RIGHT(Formulas!U23)+2)&amp;IF(Formulas!T23=1," "&amp;Formulas!S23,"")&amp;":","")))</f>
        <v>ORDEN PCRONOLOGICO 27:</v>
      </c>
      <c r="S26" s="107" cm="1">
        <f t="array" aca="1" ref="S26" ca="1">IF(OR(Formulas!T23=0,Formulas!T23="",RIGHT(Formulas!U23)="0"),"",
HYPERLINK("["&amp;Archivo_Nombre&amp;"]Datos!"&amp;LEFT(SUBSTITUTE(ADDRESS(1,RIGHT(Formulas!U23)+2),"$",""))&amp;Formulas!S23+1,
IFERROR(INDEX(Datos!$A$2:$L$101,Formulas!S23,RIGHT(Formulas!U23)+2),"")))</f>
        <v>27</v>
      </c>
      <c r="T26" s="107" t="e" cm="1">
        <f t="array" aca="1" ref="T26" ca="1">IF(OR(Formulas!U24=0,Formulas!U24=""),"",HYPERLINK("["&amp;Archivo_Nombre&amp;"]Datos!"&amp;LEFT(SUBSTITUTE(ADDRESS(1,Formulas!U24+2),"$",""))&amp;Formulas!T24+1,
IFERROR(INDEX(Datos!$A$2:$L$101,Formulas!T24,Formulas!U24+2),"")))</f>
        <v>#VALUE!</v>
      </c>
      <c r="U26" s="5"/>
      <c r="V26" s="6"/>
      <c r="W26" s="24" t="str" cm="1">
        <f t="array" aca="1" ref="W26" ca="1">IF(OR(Formulas!Y23=0,Formulas!Y23="",RIGHT(Formulas!Z23)="0"),"",
HYPERLINK("["&amp;Archivo_Nombre&amp;"]Datos!"&amp;LEFT(SUBSTITUTE(ADDRESS(1,IF(Formulas!Y23=1,1,RIGHT(Formulas!Z23)+2)),"$",""))&amp;Formulas!X23+1,
IFERROR(INDEX(Datos!$A$1:$L$1,1,RIGHT(Formulas!Z23)+2)&amp;IF(Formulas!Y23=1," "&amp;Formulas!X23,"")&amp;":","")))</f>
        <v/>
      </c>
      <c r="X26" s="107" t="str" cm="1">
        <f t="array" aca="1" ref="X26" ca="1">IF(OR(Formulas!Y23=0,Formulas!Y23="",RIGHT(Formulas!Z23)="0"),"",
HYPERLINK("["&amp;Archivo_Nombre&amp;"]Datos!"&amp;LEFT(SUBSTITUTE(ADDRESS(1,RIGHT(Formulas!Z23)+2),"$",""))&amp;Formulas!X23+1,
IFERROR(INDEX(Datos!$A$2:$L$101,Formulas!X23,RIGHT(Formulas!Z23)+2),"")))</f>
        <v/>
      </c>
      <c r="Y26" s="107" t="str" cm="1">
        <f t="array" aca="1" ref="Y26" ca="1">IF(OR(Formulas!Z24=0,Formulas!Z24=""),"",HYPERLINK("["&amp;Archivo_Nombre&amp;"]Datos!"&amp;LEFT(SUBSTITUTE(ADDRESS(1,Formulas!Z24+2),"$",""))&amp;Formulas!Y24+1,
IFERROR(INDEX(Datos!$A$2:$L$101,Formulas!Y24,Formulas!Z24+2),"")))</f>
        <v/>
      </c>
      <c r="Z26" s="13"/>
      <c r="AA26" s="6"/>
      <c r="AB26" s="24" t="str" cm="1">
        <f t="array" aca="1" ref="AB26" ca="1">IF(OR(Formulas!AD23=0,Formulas!AD23="",RIGHT(Formulas!AE23)="0"),"",
HYPERLINK("["&amp;Archivo_Nombre&amp;"]Datos!"&amp;LEFT(SUBSTITUTE(ADDRESS(1,IF(Formulas!AD23=1,1,RIGHT(Formulas!AE23)+2)),"$",""))&amp;Formulas!AC23+1,
IFERROR(INDEX(Datos!$A$1:$L$1,1,RIGHT(Formulas!AE23)+2)&amp;IF(Formulas!AD23=1," "&amp;Formulas!AC23,"")&amp;":","")))</f>
        <v/>
      </c>
      <c r="AC26" s="107" t="str" cm="1">
        <f t="array" aca="1" ref="AC26" ca="1">IF(OR(Formulas!AD23=0,Formulas!AD23="",RIGHT(Formulas!AE23)="0"),"",
HYPERLINK("["&amp;Archivo_Nombre&amp;"]Datos!"&amp;LEFT(SUBSTITUTE(ADDRESS(1,RIGHT(Formulas!AE23)+2),"$",""))&amp;Formulas!AC23+1,
IFERROR(INDEX(Datos!$A$2:$L$101,Formulas!AC23,RIGHT(Formulas!AE23)+2),"")))</f>
        <v/>
      </c>
      <c r="AD26" s="107" t="str" cm="1">
        <f t="array" aca="1" ref="AD26" ca="1">IF(OR(Formulas!AE24=0,Formulas!AE24=""),"",HYPERLINK("["&amp;Archivo_Nombre&amp;"]Datos!"&amp;LEFT(SUBSTITUTE(ADDRESS(1,Formulas!AE24+2),"$",""))&amp;Formulas!AD24+1,
IFERROR(INDEX(Datos!$A$2:$L$101,Formulas!AD24,Formulas!AE24+2),"")))</f>
        <v/>
      </c>
      <c r="AE26" s="13"/>
      <c r="AF26" s="6"/>
      <c r="AG26" s="24" t="str" cm="1">
        <f t="array" aca="1" ref="AG26" ca="1">IF(OR(Formulas!AI23=0,Formulas!AI23="",RIGHT(Formulas!AJ23)="0"),"",
HYPERLINK("["&amp;Archivo_Nombre&amp;"]Datos!"&amp;LEFT(SUBSTITUTE(ADDRESS(1,IF(Formulas!AI23=1,1,RIGHT(Formulas!AJ23)+2)),"$",""))&amp;Formulas!AH23+1,
IFERROR(INDEX(Datos!$A$1:$L$1,1,RIGHT(Formulas!AJ23)+2)&amp;IF(Formulas!AI23=1," "&amp;Formulas!AH23,"")&amp;":","")))</f>
        <v/>
      </c>
      <c r="AH26" s="107" t="str" cm="1">
        <f t="array" aca="1" ref="AH26" ca="1">IF(OR(Formulas!AI23=0,Formulas!AI23="",RIGHT(Formulas!AJ23)="0"),"",
HYPERLINK("["&amp;Archivo_Nombre&amp;"]Datos!"&amp;LEFT(SUBSTITUTE(ADDRESS(1,RIGHT(Formulas!AJ23)+2),"$",""))&amp;Formulas!AH23+1,
IFERROR(INDEX(Datos!$A$2:$L$101,Formulas!AH23,RIGHT(Formulas!AJ23)+2),"")))</f>
        <v/>
      </c>
      <c r="AI26" s="107" t="str" cm="1">
        <f t="array" aca="1" ref="AI26" ca="1">IF(OR(Formulas!AJ24=0,Formulas!AJ24=""),"",HYPERLINK("["&amp;Archivo_Nombre&amp;"]Datos!"&amp;LEFT(SUBSTITUTE(ADDRESS(1,Formulas!AJ24+2),"$",""))&amp;Formulas!AI24+1,
IFERROR(INDEX(Datos!$A$2:$L$101,Formulas!AI24,Formulas!AJ24+2),"")))</f>
        <v/>
      </c>
      <c r="AJ26" s="13"/>
      <c r="AK26" s="6"/>
      <c r="AL26" s="24" t="str" cm="1">
        <f t="array" aca="1" ref="AL26" ca="1">IF(OR(Formulas!AN23=0,Formulas!AN23="",RIGHT(Formulas!AO23)="0"),"",
HYPERLINK("["&amp;Archivo_Nombre&amp;"]Datos!"&amp;LEFT(SUBSTITUTE(ADDRESS(1,IF(Formulas!AN23=1,1,RIGHT(Formulas!AO23)+2)),"$",""))&amp;Formulas!AM23+1,
IFERROR(INDEX(Datos!$A$1:$L$1,1,RIGHT(Formulas!AO23)+2)&amp;IF(Formulas!AN23=1," "&amp;Formulas!AM23,"")&amp;":","")))</f>
        <v/>
      </c>
      <c r="AM26" s="107" t="str" cm="1">
        <f t="array" aca="1" ref="AM26" ca="1">IF(OR(Formulas!AN23=0,Formulas!AN23="",RIGHT(Formulas!AO23)="0"),"",
HYPERLINK("["&amp;Archivo_Nombre&amp;"]Datos!"&amp;LEFT(SUBSTITUTE(ADDRESS(1,RIGHT(Formulas!AO23)+2),"$",""))&amp;Formulas!AM23+1,
IFERROR(INDEX(Datos!$A$2:$L$101,Formulas!AM23,RIGHT(Formulas!AO23)+2),"")))</f>
        <v/>
      </c>
      <c r="AN26" s="107" t="str" cm="1">
        <f t="array" aca="1" ref="AN26" ca="1">IF(OR(Formulas!AO24=0,Formulas!AO24=""),"",HYPERLINK("["&amp;Archivo_Nombre&amp;"]Datos!"&amp;LEFT(SUBSTITUTE(ADDRESS(1,Formulas!AO24+2),"$",""))&amp;Formulas!AN24+1,
IFERROR(INDEX(Datos!$A$2:$L$101,Formulas!AN24,Formulas!AO24+2),"")))</f>
        <v/>
      </c>
      <c r="AO26" s="13"/>
      <c r="AP26" s="6"/>
      <c r="AQ26" s="24" t="str" cm="1">
        <f t="array" aca="1" ref="AQ26" ca="1">IF(OR(Formulas!AS23=0,Formulas!AS23="",RIGHT(Formulas!AT23)="0"),"",
HYPERLINK("["&amp;Archivo_Nombre&amp;"]Datos!"&amp;LEFT(SUBSTITUTE(ADDRESS(1,IF(Formulas!AS23=1,1,RIGHT(Formulas!AT23)+2)),"$",""))&amp;Formulas!AR23+1,
IFERROR(INDEX(Datos!$A$1:$L$1,1,RIGHT(Formulas!AT23)+2)&amp;IF(Formulas!AS23=1," "&amp;Formulas!AR23,"")&amp;":","")))</f>
        <v/>
      </c>
      <c r="AR26" s="107" t="str" cm="1">
        <f t="array" aca="1" ref="AR26" ca="1">IF(OR(Formulas!AS23=0,Formulas!AS23="",RIGHT(Formulas!AT23)="0"),"",
HYPERLINK("["&amp;Archivo_Nombre&amp;"]Datos!"&amp;LEFT(SUBSTITUTE(ADDRESS(1,RIGHT(Formulas!AT23)+2),"$",""))&amp;Formulas!AR23+1,
IFERROR(INDEX(Datos!$A$2:$L$101,Formulas!AR23,RIGHT(Formulas!AT23)+2),"")))</f>
        <v/>
      </c>
      <c r="AS26" s="107" t="str" cm="1">
        <f t="array" aca="1" ref="AS26" ca="1">IF(OR(Formulas!AT24=0,Formulas!AT24=""),"",HYPERLINK("["&amp;Archivo_Nombre&amp;"]Datos!"&amp;LEFT(SUBSTITUTE(ADDRESS(1,Formulas!AT24+2),"$",""))&amp;Formulas!AS24+1,
IFERROR(INDEX(Datos!$A$2:$L$101,Formulas!AS24,Formulas!AT24+2),"")))</f>
        <v/>
      </c>
      <c r="AT26" s="13"/>
      <c r="AU26" s="6"/>
      <c r="AV26" s="24" t="str" cm="1">
        <f t="array" aca="1" ref="AV26" ca="1">IF(OR(Formulas!AX23=0,Formulas!AX23="",RIGHT(Formulas!AY23)="0"),"",
HYPERLINK("["&amp;Archivo_Nombre&amp;"]Datos!"&amp;LEFT(SUBSTITUTE(ADDRESS(1,IF(Formulas!AX23=1,1,RIGHT(Formulas!AY23)+2)),"$",""))&amp;Formulas!AW23+1,
IFERROR(INDEX(Datos!$A$1:$L$1,1,RIGHT(Formulas!AY23)+2)&amp;IF(Formulas!AX23=1," "&amp;Formulas!AW23,"")&amp;":","")))</f>
        <v/>
      </c>
      <c r="AW26" s="107" t="str" cm="1">
        <f t="array" aca="1" ref="AW26" ca="1">IF(OR(Formulas!AX23=0,Formulas!AX23="",RIGHT(Formulas!AY23)="0"),"",
HYPERLINK("["&amp;Archivo_Nombre&amp;"]Datos!"&amp;LEFT(SUBSTITUTE(ADDRESS(1,RIGHT(Formulas!AY23)+2),"$",""))&amp;Formulas!AW23+1,
IFERROR(INDEX(Datos!$A$2:$L$101,Formulas!AW23,RIGHT(Formulas!AY23)+2),"")))</f>
        <v/>
      </c>
      <c r="AX26" s="107" t="str" cm="1">
        <f t="array" aca="1" ref="AX26" ca="1">IF(OR(Formulas!AY24=0,Formulas!AY24=""),"",HYPERLINK("["&amp;Archivo_Nombre&amp;"]Datos!"&amp;LEFT(SUBSTITUTE(ADDRESS(1,Formulas!AY24+2),"$",""))&amp;Formulas!AX24+1,
IFERROR(INDEX(Datos!$A$2:$L$101,Formulas!AX24,Formulas!AY24+2),"")))</f>
        <v/>
      </c>
      <c r="AY26" s="13"/>
    </row>
    <row r="27" spans="2:51" x14ac:dyDescent="0.25">
      <c r="B27" s="11"/>
      <c r="C27" s="24" t="str" cm="1">
        <f t="array" aca="1" ref="C27" ca="1">IF(OR(Formulas!E24=0,Formulas!E24="",RIGHT(Formulas!F24)="0"),"",
HYPERLINK("["&amp;Archivo_Nombre&amp;"]Datos!"&amp;LEFT(SUBSTITUTE(ADDRESS(1,IF(Formulas!E24=1,1,RIGHT(Formulas!F24)+2)),"$",""))&amp;Formulas!D24+1,
IFERROR(INDEX(Datos!$A$1:$L$1,1,RIGHT(Formulas!F24)+2)&amp;IF(Formulas!E24=1," "&amp;Formulas!D24,"")&amp;":","")))</f>
        <v/>
      </c>
      <c r="D27" s="107" t="str" cm="1">
        <f t="array" aca="1" ref="D27" ca="1">IF(OR(Formulas!E24=0,Formulas!E24="",RIGHT(Formulas!F24)="0"),"",
HYPERLINK("["&amp;Archivo_Nombre&amp;"]Datos!"&amp;LEFT(SUBSTITUTE(ADDRESS(1,RIGHT(Formulas!F24)+2),"$",""))&amp;Formulas!D24+1,
IFERROR(INDEX(Datos!$A$2:$L$101,Formulas!D24,RIGHT(Formulas!F24)+2),"")))</f>
        <v/>
      </c>
      <c r="E27" s="107" t="str" cm="1">
        <f t="array" aca="1" ref="E27" ca="1">IF(OR(Formulas!F25=0,Formulas!F25=""),"",HYPERLINK("["&amp;Archivo_Nombre&amp;"]Datos!"&amp;LEFT(SUBSTITUTE(ADDRESS(1,Formulas!F25+2),"$",""))&amp;Formulas!E25+1,
IFERROR(INDEX(Datos!$A$2:$L$101,Formulas!E25,Formulas!F25+2),"")))</f>
        <v/>
      </c>
      <c r="F27" s="5"/>
      <c r="G27" s="6"/>
      <c r="H27" s="24" t="str" cm="1">
        <f t="array" aca="1" ref="H27" ca="1">IF(OR(Formulas!J24=0,Formulas!J24="",RIGHT(Formulas!K24)="0"),"",
HYPERLINK("["&amp;Archivo_Nombre&amp;"]Datos!"&amp;LEFT(SUBSTITUTE(ADDRESS(1,IF(Formulas!J24=1,1,RIGHT(Formulas!K24)+2)),"$",""))&amp;Formulas!I24+1,
IFERROR(INDEX(Datos!$A$1:$L$1,1,RIGHT(Formulas!K24)+2)&amp;IF(Formulas!J24=1," "&amp;Formulas!I24,"")&amp;":","")))</f>
        <v>Tarea:</v>
      </c>
      <c r="I27" s="107" t="str" cm="1">
        <f t="array" aca="1" ref="I27" ca="1">IF(OR(Formulas!J24=0,Formulas!J24="",RIGHT(Formulas!K24)="0"),"",
HYPERLINK("["&amp;Archivo_Nombre&amp;"]Datos!"&amp;LEFT(SUBSTITUTE(ADDRESS(1,RIGHT(Formulas!K24)+2),"$",""))&amp;Formulas!I24+1,
IFERROR(INDEX(Datos!$A$2:$L$101,Formulas!I24,RIGHT(Formulas!K24)+2),"")))</f>
        <v>REQ005 Filtración atributos clientes</v>
      </c>
      <c r="J27" s="107" t="e" cm="1">
        <f t="array" aca="1" ref="J27" ca="1">IF(OR(Formulas!K25=0,Formulas!K25=""),"",HYPERLINK("["&amp;Archivo_Nombre&amp;"]Datos!"&amp;LEFT(SUBSTITUTE(ADDRESS(1,Formulas!K25+2),"$",""))&amp;Formulas!J25+1,
IFERROR(INDEX(Datos!$A$2:$L$101,Formulas!J25,Formulas!K25+2),"")))</f>
        <v>#VALUE!</v>
      </c>
      <c r="K27" s="5"/>
      <c r="L27" s="6"/>
      <c r="M27" s="24" t="str" cm="1">
        <f t="array" aca="1" ref="M27" ca="1">IF(OR(Formulas!O24=0,Formulas!O24="",RIGHT(Formulas!P24)="0"),"",
HYPERLINK("["&amp;Archivo_Nombre&amp;"]Datos!"&amp;LEFT(SUBSTITUTE(ADDRESS(1,IF(Formulas!O24=1,1,RIGHT(Formulas!P24)+2)),"$",""))&amp;Formulas!N24+1,
IFERROR(INDEX(Datos!$A$1:$L$1,1,RIGHT(Formulas!P24)+2)&amp;IF(Formulas!O24=1," "&amp;Formulas!N24,"")&amp;":","")))</f>
        <v/>
      </c>
      <c r="N27" s="107" t="str" cm="1">
        <f t="array" aca="1" ref="N27" ca="1">IF(OR(Formulas!O24=0,Formulas!O24="",RIGHT(Formulas!P24)="0"),"",
HYPERLINK("["&amp;Archivo_Nombre&amp;"]Datos!"&amp;LEFT(SUBSTITUTE(ADDRESS(1,RIGHT(Formulas!P24)+2),"$",""))&amp;Formulas!N24+1,
IFERROR(INDEX(Datos!$A$2:$L$101,Formulas!N24,RIGHT(Formulas!P24)+2),"")))</f>
        <v/>
      </c>
      <c r="O27" s="107" t="str" cm="1">
        <f t="array" aca="1" ref="O27" ca="1">IF(OR(Formulas!P25=0,Formulas!P25=""),"",HYPERLINK("["&amp;Archivo_Nombre&amp;"]Datos!"&amp;LEFT(SUBSTITUTE(ADDRESS(1,Formulas!P25+2),"$",""))&amp;Formulas!O25+1,
IFERROR(INDEX(Datos!$A$2:$L$101,Formulas!O25,Formulas!P25+2),"")))</f>
        <v/>
      </c>
      <c r="P27" s="5"/>
      <c r="Q27" s="6"/>
      <c r="R27" s="24" t="str" cm="1">
        <f t="array" aca="1" ref="R27" ca="1">IF(OR(Formulas!T24=0,Formulas!T24="",RIGHT(Formulas!U24)="0"),"",
HYPERLINK("["&amp;Archivo_Nombre&amp;"]Datos!"&amp;LEFT(SUBSTITUTE(ADDRESS(1,IF(Formulas!T24=1,1,RIGHT(Formulas!U24)+2)),"$",""))&amp;Formulas!S24+1,
IFERROR(INDEX(Datos!$A$1:$L$1,1,RIGHT(Formulas!U24)+2)&amp;IF(Formulas!T24=1," "&amp;Formulas!S24,"")&amp;":","")))</f>
        <v>Tarea:</v>
      </c>
      <c r="S27" s="107" t="str" cm="1">
        <f t="array" aca="1" ref="S27" ca="1">IF(OR(Formulas!T24=0,Formulas!T24="",RIGHT(Formulas!U24)="0"),"",
HYPERLINK("["&amp;Archivo_Nombre&amp;"]Datos!"&amp;LEFT(SUBSTITUTE(ADDRESS(1,RIGHT(Formulas!U24)+2),"$",""))&amp;Formulas!S24+1,
IFERROR(INDEX(Datos!$A$2:$L$101,Formulas!S24,RIGHT(Formulas!U24)+2),"")))</f>
        <v>Presentación RQ004 Funcional (Video)</v>
      </c>
      <c r="T27" s="107" t="e" cm="1">
        <f t="array" aca="1" ref="T27" ca="1">IF(OR(Formulas!U25=0,Formulas!U25=""),"",HYPERLINK("["&amp;Archivo_Nombre&amp;"]Datos!"&amp;LEFT(SUBSTITUTE(ADDRESS(1,Formulas!U25+2),"$",""))&amp;Formulas!T25+1,
IFERROR(INDEX(Datos!$A$2:$L$101,Formulas!T25,Formulas!U25+2),"")))</f>
        <v>#VALUE!</v>
      </c>
      <c r="U27" s="5"/>
      <c r="V27" s="6"/>
      <c r="W27" s="24" t="str" cm="1">
        <f t="array" aca="1" ref="W27" ca="1">IF(OR(Formulas!Y24=0,Formulas!Y24="",RIGHT(Formulas!Z24)="0"),"",
HYPERLINK("["&amp;Archivo_Nombre&amp;"]Datos!"&amp;LEFT(SUBSTITUTE(ADDRESS(1,IF(Formulas!Y24=1,1,RIGHT(Formulas!Z24)+2)),"$",""))&amp;Formulas!X24+1,
IFERROR(INDEX(Datos!$A$1:$L$1,1,RIGHT(Formulas!Z24)+2)&amp;IF(Formulas!Y24=1," "&amp;Formulas!X24,"")&amp;":","")))</f>
        <v/>
      </c>
      <c r="X27" s="107" t="str" cm="1">
        <f t="array" aca="1" ref="X27" ca="1">IF(OR(Formulas!Y24=0,Formulas!Y24="",RIGHT(Formulas!Z24)="0"),"",
HYPERLINK("["&amp;Archivo_Nombre&amp;"]Datos!"&amp;LEFT(SUBSTITUTE(ADDRESS(1,RIGHT(Formulas!Z24)+2),"$",""))&amp;Formulas!X24+1,
IFERROR(INDEX(Datos!$A$2:$L$101,Formulas!X24,RIGHT(Formulas!Z24)+2),"")))</f>
        <v/>
      </c>
      <c r="Y27" s="107" t="str" cm="1">
        <f t="array" aca="1" ref="Y27" ca="1">IF(OR(Formulas!Z25=0,Formulas!Z25=""),"",HYPERLINK("["&amp;Archivo_Nombre&amp;"]Datos!"&amp;LEFT(SUBSTITUTE(ADDRESS(1,Formulas!Z25+2),"$",""))&amp;Formulas!Y25+1,
IFERROR(INDEX(Datos!$A$2:$L$101,Formulas!Y25,Formulas!Z25+2),"")))</f>
        <v/>
      </c>
      <c r="Z27" s="13"/>
      <c r="AA27" s="6"/>
      <c r="AB27" s="24" t="str" cm="1">
        <f t="array" aca="1" ref="AB27" ca="1">IF(OR(Formulas!AD24=0,Formulas!AD24="",RIGHT(Formulas!AE24)="0"),"",
HYPERLINK("["&amp;Archivo_Nombre&amp;"]Datos!"&amp;LEFT(SUBSTITUTE(ADDRESS(1,IF(Formulas!AD24=1,1,RIGHT(Formulas!AE24)+2)),"$",""))&amp;Formulas!AC24+1,
IFERROR(INDEX(Datos!$A$1:$L$1,1,RIGHT(Formulas!AE24)+2)&amp;IF(Formulas!AD24=1," "&amp;Formulas!AC24,"")&amp;":","")))</f>
        <v/>
      </c>
      <c r="AC27" s="107" t="str" cm="1">
        <f t="array" aca="1" ref="AC27" ca="1">IF(OR(Formulas!AD24=0,Formulas!AD24="",RIGHT(Formulas!AE24)="0"),"",
HYPERLINK("["&amp;Archivo_Nombre&amp;"]Datos!"&amp;LEFT(SUBSTITUTE(ADDRESS(1,RIGHT(Formulas!AE24)+2),"$",""))&amp;Formulas!AC24+1,
IFERROR(INDEX(Datos!$A$2:$L$101,Formulas!AC24,RIGHT(Formulas!AE24)+2),"")))</f>
        <v/>
      </c>
      <c r="AD27" s="107" t="str" cm="1">
        <f t="array" aca="1" ref="AD27" ca="1">IF(OR(Formulas!AE25=0,Formulas!AE25=""),"",HYPERLINK("["&amp;Archivo_Nombre&amp;"]Datos!"&amp;LEFT(SUBSTITUTE(ADDRESS(1,Formulas!AE25+2),"$",""))&amp;Formulas!AD25+1,
IFERROR(INDEX(Datos!$A$2:$L$101,Formulas!AD25,Formulas!AE25+2),"")))</f>
        <v/>
      </c>
      <c r="AE27" s="13"/>
      <c r="AF27" s="6"/>
      <c r="AG27" s="24" t="str" cm="1">
        <f t="array" aca="1" ref="AG27" ca="1">IF(OR(Formulas!AI24=0,Formulas!AI24="",RIGHT(Formulas!AJ24)="0"),"",
HYPERLINK("["&amp;Archivo_Nombre&amp;"]Datos!"&amp;LEFT(SUBSTITUTE(ADDRESS(1,IF(Formulas!AI24=1,1,RIGHT(Formulas!AJ24)+2)),"$",""))&amp;Formulas!AH24+1,
IFERROR(INDEX(Datos!$A$1:$L$1,1,RIGHT(Formulas!AJ24)+2)&amp;IF(Formulas!AI24=1," "&amp;Formulas!AH24,"")&amp;":","")))</f>
        <v/>
      </c>
      <c r="AH27" s="107" t="str" cm="1">
        <f t="array" aca="1" ref="AH27" ca="1">IF(OR(Formulas!AI24=0,Formulas!AI24="",RIGHT(Formulas!AJ24)="0"),"",
HYPERLINK("["&amp;Archivo_Nombre&amp;"]Datos!"&amp;LEFT(SUBSTITUTE(ADDRESS(1,RIGHT(Formulas!AJ24)+2),"$",""))&amp;Formulas!AH24+1,
IFERROR(INDEX(Datos!$A$2:$L$101,Formulas!AH24,RIGHT(Formulas!AJ24)+2),"")))</f>
        <v/>
      </c>
      <c r="AI27" s="107" t="str" cm="1">
        <f t="array" aca="1" ref="AI27" ca="1">IF(OR(Formulas!AJ25=0,Formulas!AJ25=""),"",HYPERLINK("["&amp;Archivo_Nombre&amp;"]Datos!"&amp;LEFT(SUBSTITUTE(ADDRESS(1,Formulas!AJ25+2),"$",""))&amp;Formulas!AI25+1,
IFERROR(INDEX(Datos!$A$2:$L$101,Formulas!AI25,Formulas!AJ25+2),"")))</f>
        <v/>
      </c>
      <c r="AJ27" s="13"/>
      <c r="AK27" s="6"/>
      <c r="AL27" s="24" t="str" cm="1">
        <f t="array" aca="1" ref="AL27" ca="1">IF(OR(Formulas!AN24=0,Formulas!AN24="",RIGHT(Formulas!AO24)="0"),"",
HYPERLINK("["&amp;Archivo_Nombre&amp;"]Datos!"&amp;LEFT(SUBSTITUTE(ADDRESS(1,IF(Formulas!AN24=1,1,RIGHT(Formulas!AO24)+2)),"$",""))&amp;Formulas!AM24+1,
IFERROR(INDEX(Datos!$A$1:$L$1,1,RIGHT(Formulas!AO24)+2)&amp;IF(Formulas!AN24=1," "&amp;Formulas!AM24,"")&amp;":","")))</f>
        <v/>
      </c>
      <c r="AM27" s="107" t="str" cm="1">
        <f t="array" aca="1" ref="AM27" ca="1">IF(OR(Formulas!AN24=0,Formulas!AN24="",RIGHT(Formulas!AO24)="0"),"",
HYPERLINK("["&amp;Archivo_Nombre&amp;"]Datos!"&amp;LEFT(SUBSTITUTE(ADDRESS(1,RIGHT(Formulas!AO24)+2),"$",""))&amp;Formulas!AM24+1,
IFERROR(INDEX(Datos!$A$2:$L$101,Formulas!AM24,RIGHT(Formulas!AO24)+2),"")))</f>
        <v/>
      </c>
      <c r="AN27" s="107" t="str" cm="1">
        <f t="array" aca="1" ref="AN27" ca="1">IF(OR(Formulas!AO25=0,Formulas!AO25=""),"",HYPERLINK("["&amp;Archivo_Nombre&amp;"]Datos!"&amp;LEFT(SUBSTITUTE(ADDRESS(1,Formulas!AO25+2),"$",""))&amp;Formulas!AN25+1,
IFERROR(INDEX(Datos!$A$2:$L$101,Formulas!AN25,Formulas!AO25+2),"")))</f>
        <v/>
      </c>
      <c r="AO27" s="13"/>
      <c r="AP27" s="6"/>
      <c r="AQ27" s="24" t="str" cm="1">
        <f t="array" aca="1" ref="AQ27" ca="1">IF(OR(Formulas!AS24=0,Formulas!AS24="",RIGHT(Formulas!AT24)="0"),"",
HYPERLINK("["&amp;Archivo_Nombre&amp;"]Datos!"&amp;LEFT(SUBSTITUTE(ADDRESS(1,IF(Formulas!AS24=1,1,RIGHT(Formulas!AT24)+2)),"$",""))&amp;Formulas!AR24+1,
IFERROR(INDEX(Datos!$A$1:$L$1,1,RIGHT(Formulas!AT24)+2)&amp;IF(Formulas!AS24=1," "&amp;Formulas!AR24,"")&amp;":","")))</f>
        <v/>
      </c>
      <c r="AR27" s="107" t="str" cm="1">
        <f t="array" aca="1" ref="AR27" ca="1">IF(OR(Formulas!AS24=0,Formulas!AS24="",RIGHT(Formulas!AT24)="0"),"",
HYPERLINK("["&amp;Archivo_Nombre&amp;"]Datos!"&amp;LEFT(SUBSTITUTE(ADDRESS(1,RIGHT(Formulas!AT24)+2),"$",""))&amp;Formulas!AR24+1,
IFERROR(INDEX(Datos!$A$2:$L$101,Formulas!AR24,RIGHT(Formulas!AT24)+2),"")))</f>
        <v/>
      </c>
      <c r="AS27" s="107" t="str" cm="1">
        <f t="array" aca="1" ref="AS27" ca="1">IF(OR(Formulas!AT25=0,Formulas!AT25=""),"",HYPERLINK("["&amp;Archivo_Nombre&amp;"]Datos!"&amp;LEFT(SUBSTITUTE(ADDRESS(1,Formulas!AT25+2),"$",""))&amp;Formulas!AS25+1,
IFERROR(INDEX(Datos!$A$2:$L$101,Formulas!AS25,Formulas!AT25+2),"")))</f>
        <v/>
      </c>
      <c r="AT27" s="13"/>
      <c r="AU27" s="6"/>
      <c r="AV27" s="24" t="str" cm="1">
        <f t="array" aca="1" ref="AV27" ca="1">IF(OR(Formulas!AX24=0,Formulas!AX24="",RIGHT(Formulas!AY24)="0"),"",
HYPERLINK("["&amp;Archivo_Nombre&amp;"]Datos!"&amp;LEFT(SUBSTITUTE(ADDRESS(1,IF(Formulas!AX24=1,1,RIGHT(Formulas!AY24)+2)),"$",""))&amp;Formulas!AW24+1,
IFERROR(INDEX(Datos!$A$1:$L$1,1,RIGHT(Formulas!AY24)+2)&amp;IF(Formulas!AX24=1," "&amp;Formulas!AW24,"")&amp;":","")))</f>
        <v/>
      </c>
      <c r="AW27" s="107" t="str" cm="1">
        <f t="array" aca="1" ref="AW27" ca="1">IF(OR(Formulas!AX24=0,Formulas!AX24="",RIGHT(Formulas!AY24)="0"),"",
HYPERLINK("["&amp;Archivo_Nombre&amp;"]Datos!"&amp;LEFT(SUBSTITUTE(ADDRESS(1,RIGHT(Formulas!AY24)+2),"$",""))&amp;Formulas!AW24+1,
IFERROR(INDEX(Datos!$A$2:$L$101,Formulas!AW24,RIGHT(Formulas!AY24)+2),"")))</f>
        <v/>
      </c>
      <c r="AX27" s="107" t="str" cm="1">
        <f t="array" aca="1" ref="AX27" ca="1">IF(OR(Formulas!AY25=0,Formulas!AY25=""),"",HYPERLINK("["&amp;Archivo_Nombre&amp;"]Datos!"&amp;LEFT(SUBSTITUTE(ADDRESS(1,Formulas!AY25+2),"$",""))&amp;Formulas!AX25+1,
IFERROR(INDEX(Datos!$A$2:$L$101,Formulas!AX25,Formulas!AY25+2),"")))</f>
        <v/>
      </c>
      <c r="AY27" s="13"/>
    </row>
    <row r="28" spans="2:51" x14ac:dyDescent="0.25">
      <c r="B28" s="11"/>
      <c r="C28" s="24" t="str" cm="1">
        <f t="array" aca="1" ref="C28" ca="1">IF(OR(Formulas!E25=0,Formulas!E25="",RIGHT(Formulas!F25)="0"),"",
HYPERLINK("["&amp;Archivo_Nombre&amp;"]Datos!"&amp;LEFT(SUBSTITUTE(ADDRESS(1,IF(Formulas!E25=1,1,RIGHT(Formulas!F25)+2)),"$",""))&amp;Formulas!D25+1,
IFERROR(INDEX(Datos!$A$1:$L$1,1,RIGHT(Formulas!F25)+2)&amp;IF(Formulas!E25=1," "&amp;Formulas!D25,"")&amp;":","")))</f>
        <v/>
      </c>
      <c r="D28" s="107" t="str" cm="1">
        <f t="array" aca="1" ref="D28" ca="1">IF(OR(Formulas!E25=0,Formulas!E25="",RIGHT(Formulas!F25)="0"),"",
HYPERLINK("["&amp;Archivo_Nombre&amp;"]Datos!"&amp;LEFT(SUBSTITUTE(ADDRESS(1,RIGHT(Formulas!F25)+2),"$",""))&amp;Formulas!D25+1,
IFERROR(INDEX(Datos!$A$2:$L$101,Formulas!D25,RIGHT(Formulas!F25)+2),"")))</f>
        <v/>
      </c>
      <c r="E28" s="107" t="str" cm="1">
        <f t="array" aca="1" ref="E28" ca="1">IF(OR(Formulas!F26=0,Formulas!F26=""),"",HYPERLINK("["&amp;Archivo_Nombre&amp;"]Datos!"&amp;LEFT(SUBSTITUTE(ADDRESS(1,Formulas!F26+2),"$",""))&amp;Formulas!E26+1,
IFERROR(INDEX(Datos!$A$2:$L$101,Formulas!E26,Formulas!F26+2),"")))</f>
        <v/>
      </c>
      <c r="F28" s="5"/>
      <c r="G28" s="6"/>
      <c r="H28" s="24" t="str" cm="1">
        <f t="array" aca="1" ref="H28" ca="1">IF(OR(Formulas!J25=0,Formulas!J25="",RIGHT(Formulas!K25)="0"),"",
HYPERLINK("["&amp;Archivo_Nombre&amp;"]Datos!"&amp;LEFT(SUBSTITUTE(ADDRESS(1,IF(Formulas!J25=1,1,RIGHT(Formulas!K25)+2)),"$",""))&amp;Formulas!I25+1,
IFERROR(INDEX(Datos!$A$1:$L$1,1,RIGHT(Formulas!K25)+2)&amp;IF(Formulas!J25=1," "&amp;Formulas!I25,"")&amp;":","")))</f>
        <v>Descripción:</v>
      </c>
      <c r="I28" s="107" t="str" cm="1">
        <f t="array" aca="1" ref="I28" ca="1">IF(OR(Formulas!J25=0,Formulas!J25="",RIGHT(Formulas!K25)="0"),"",
HYPERLINK("["&amp;Archivo_Nombre&amp;"]Datos!"&amp;LEFT(SUBSTITUTE(ADDRESS(1,RIGHT(Formulas!K25)+2),"$",""))&amp;Formulas!I25+1,
IFERROR(INDEX(Datos!$A$2:$L$101,Formulas!I25,RIGHT(Formulas!K25)+2),"")))</f>
        <v>Implementación requisito 5 dentro del programa</v>
      </c>
      <c r="J28" s="107" t="e" cm="1">
        <f t="array" aca="1" ref="J28" ca="1">IF(OR(Formulas!K26=0,Formulas!K26=""),"",HYPERLINK("["&amp;Archivo_Nombre&amp;"]Datos!"&amp;LEFT(SUBSTITUTE(ADDRESS(1,Formulas!K26+2),"$",""))&amp;Formulas!J26+1,
IFERROR(INDEX(Datos!$A$2:$L$101,Formulas!J26,Formulas!K26+2),"")))</f>
        <v>#VALUE!</v>
      </c>
      <c r="K28" s="5"/>
      <c r="L28" s="6"/>
      <c r="M28" s="24" t="str" cm="1">
        <f t="array" aca="1" ref="M28" ca="1">IF(OR(Formulas!O25=0,Formulas!O25="",RIGHT(Formulas!P25)="0"),"",
HYPERLINK("["&amp;Archivo_Nombre&amp;"]Datos!"&amp;LEFT(SUBSTITUTE(ADDRESS(1,IF(Formulas!O25=1,1,RIGHT(Formulas!P25)+2)),"$",""))&amp;Formulas!N25+1,
IFERROR(INDEX(Datos!$A$1:$L$1,1,RIGHT(Formulas!P25)+2)&amp;IF(Formulas!O25=1," "&amp;Formulas!N25,"")&amp;":","")))</f>
        <v/>
      </c>
      <c r="N28" s="107" t="str" cm="1">
        <f t="array" aca="1" ref="N28" ca="1">IF(OR(Formulas!O25=0,Formulas!O25="",RIGHT(Formulas!P25)="0"),"",
HYPERLINK("["&amp;Archivo_Nombre&amp;"]Datos!"&amp;LEFT(SUBSTITUTE(ADDRESS(1,RIGHT(Formulas!P25)+2),"$",""))&amp;Formulas!N25+1,
IFERROR(INDEX(Datos!$A$2:$L$101,Formulas!N25,RIGHT(Formulas!P25)+2),"")))</f>
        <v/>
      </c>
      <c r="O28" s="107" t="str" cm="1">
        <f t="array" aca="1" ref="O28" ca="1">IF(OR(Formulas!P26=0,Formulas!P26=""),"",HYPERLINK("["&amp;Archivo_Nombre&amp;"]Datos!"&amp;LEFT(SUBSTITUTE(ADDRESS(1,Formulas!P26+2),"$",""))&amp;Formulas!O26+1,
IFERROR(INDEX(Datos!$A$2:$L$101,Formulas!O26,Formulas!P26+2),"")))</f>
        <v/>
      </c>
      <c r="P28" s="5"/>
      <c r="Q28" s="6"/>
      <c r="R28" s="24" t="str" cm="1">
        <f t="array" aca="1" ref="R28" ca="1">IF(OR(Formulas!T25=0,Formulas!T25="",RIGHT(Formulas!U25)="0"),"",
HYPERLINK("["&amp;Archivo_Nombre&amp;"]Datos!"&amp;LEFT(SUBSTITUTE(ADDRESS(1,IF(Formulas!T25=1,1,RIGHT(Formulas!U25)+2)),"$",""))&amp;Formulas!S25+1,
IFERROR(INDEX(Datos!$A$1:$L$1,1,RIGHT(Formulas!U25)+2)&amp;IF(Formulas!T25=1," "&amp;Formulas!S25,"")&amp;":","")))</f>
        <v>Descripción:</v>
      </c>
      <c r="S28" s="107" t="str" cm="1">
        <f t="array" aca="1" ref="S28" ca="1">IF(OR(Formulas!T25=0,Formulas!T25="",RIGHT(Formulas!U25)="0"),"",
HYPERLINK("["&amp;Archivo_Nombre&amp;"]Datos!"&amp;LEFT(SUBSTITUTE(ADDRESS(1,RIGHT(Formulas!U25)+2),"$",""))&amp;Formulas!S25+1,
IFERROR(INDEX(Datos!$A$2:$L$101,Formulas!S25,RIGHT(Formulas!U25)+2),"")))</f>
        <v>Presentación RQ004 Funcional (Video)</v>
      </c>
      <c r="T28" s="107" t="e" cm="1">
        <f t="array" aca="1" ref="T28" ca="1">IF(OR(Formulas!U26=0,Formulas!U26=""),"",HYPERLINK("["&amp;Archivo_Nombre&amp;"]Datos!"&amp;LEFT(SUBSTITUTE(ADDRESS(1,Formulas!U26+2),"$",""))&amp;Formulas!T26+1,
IFERROR(INDEX(Datos!$A$2:$L$101,Formulas!T26,Formulas!U26+2),"")))</f>
        <v>#VALUE!</v>
      </c>
      <c r="U28" s="5"/>
      <c r="V28" s="6"/>
      <c r="W28" s="24" t="str" cm="1">
        <f t="array" aca="1" ref="W28" ca="1">IF(OR(Formulas!Y25=0,Formulas!Y25="",RIGHT(Formulas!Z25)="0"),"",
HYPERLINK("["&amp;Archivo_Nombre&amp;"]Datos!"&amp;LEFT(SUBSTITUTE(ADDRESS(1,IF(Formulas!Y25=1,1,RIGHT(Formulas!Z25)+2)),"$",""))&amp;Formulas!X25+1,
IFERROR(INDEX(Datos!$A$1:$L$1,1,RIGHT(Formulas!Z25)+2)&amp;IF(Formulas!Y25=1," "&amp;Formulas!X25,"")&amp;":","")))</f>
        <v/>
      </c>
      <c r="X28" s="107" t="str" cm="1">
        <f t="array" aca="1" ref="X28" ca="1">IF(OR(Formulas!Y25=0,Formulas!Y25="",RIGHT(Formulas!Z25)="0"),"",
HYPERLINK("["&amp;Archivo_Nombre&amp;"]Datos!"&amp;LEFT(SUBSTITUTE(ADDRESS(1,RIGHT(Formulas!Z25)+2),"$",""))&amp;Formulas!X25+1,
IFERROR(INDEX(Datos!$A$2:$L$101,Formulas!X25,RIGHT(Formulas!Z25)+2),"")))</f>
        <v/>
      </c>
      <c r="Y28" s="107" t="str" cm="1">
        <f t="array" aca="1" ref="Y28" ca="1">IF(OR(Formulas!Z26=0,Formulas!Z26=""),"",HYPERLINK("["&amp;Archivo_Nombre&amp;"]Datos!"&amp;LEFT(SUBSTITUTE(ADDRESS(1,Formulas!Z26+2),"$",""))&amp;Formulas!Y26+1,
IFERROR(INDEX(Datos!$A$2:$L$101,Formulas!Y26,Formulas!Z26+2),"")))</f>
        <v/>
      </c>
      <c r="Z28" s="13"/>
      <c r="AA28" s="6"/>
      <c r="AB28" s="24" t="str" cm="1">
        <f t="array" aca="1" ref="AB28" ca="1">IF(OR(Formulas!AD25=0,Formulas!AD25="",RIGHT(Formulas!AE25)="0"),"",
HYPERLINK("["&amp;Archivo_Nombre&amp;"]Datos!"&amp;LEFT(SUBSTITUTE(ADDRESS(1,IF(Formulas!AD25=1,1,RIGHT(Formulas!AE25)+2)),"$",""))&amp;Formulas!AC25+1,
IFERROR(INDEX(Datos!$A$1:$L$1,1,RIGHT(Formulas!AE25)+2)&amp;IF(Formulas!AD25=1," "&amp;Formulas!AC25,"")&amp;":","")))</f>
        <v/>
      </c>
      <c r="AC28" s="107" t="str" cm="1">
        <f t="array" aca="1" ref="AC28" ca="1">IF(OR(Formulas!AD25=0,Formulas!AD25="",RIGHT(Formulas!AE25)="0"),"",
HYPERLINK("["&amp;Archivo_Nombre&amp;"]Datos!"&amp;LEFT(SUBSTITUTE(ADDRESS(1,RIGHT(Formulas!AE25)+2),"$",""))&amp;Formulas!AC25+1,
IFERROR(INDEX(Datos!$A$2:$L$101,Formulas!AC25,RIGHT(Formulas!AE25)+2),"")))</f>
        <v/>
      </c>
      <c r="AD28" s="107" t="str" cm="1">
        <f t="array" aca="1" ref="AD28" ca="1">IF(OR(Formulas!AE26=0,Formulas!AE26=""),"",HYPERLINK("["&amp;Archivo_Nombre&amp;"]Datos!"&amp;LEFT(SUBSTITUTE(ADDRESS(1,Formulas!AE26+2),"$",""))&amp;Formulas!AD26+1,
IFERROR(INDEX(Datos!$A$2:$L$101,Formulas!AD26,Formulas!AE26+2),"")))</f>
        <v/>
      </c>
      <c r="AE28" s="13"/>
      <c r="AF28" s="6"/>
      <c r="AG28" s="24" t="str" cm="1">
        <f t="array" aca="1" ref="AG28" ca="1">IF(OR(Formulas!AI25=0,Formulas!AI25="",RIGHT(Formulas!AJ25)="0"),"",
HYPERLINK("["&amp;Archivo_Nombre&amp;"]Datos!"&amp;LEFT(SUBSTITUTE(ADDRESS(1,IF(Formulas!AI25=1,1,RIGHT(Formulas!AJ25)+2)),"$",""))&amp;Formulas!AH25+1,
IFERROR(INDEX(Datos!$A$1:$L$1,1,RIGHT(Formulas!AJ25)+2)&amp;IF(Formulas!AI25=1," "&amp;Formulas!AH25,"")&amp;":","")))</f>
        <v/>
      </c>
      <c r="AH28" s="107" t="str" cm="1">
        <f t="array" aca="1" ref="AH28" ca="1">IF(OR(Formulas!AI25=0,Formulas!AI25="",RIGHT(Formulas!AJ25)="0"),"",
HYPERLINK("["&amp;Archivo_Nombre&amp;"]Datos!"&amp;LEFT(SUBSTITUTE(ADDRESS(1,RIGHT(Formulas!AJ25)+2),"$",""))&amp;Formulas!AH25+1,
IFERROR(INDEX(Datos!$A$2:$L$101,Formulas!AH25,RIGHT(Formulas!AJ25)+2),"")))</f>
        <v/>
      </c>
      <c r="AI28" s="107" t="str" cm="1">
        <f t="array" aca="1" ref="AI28" ca="1">IF(OR(Formulas!AJ26=0,Formulas!AJ26=""),"",HYPERLINK("["&amp;Archivo_Nombre&amp;"]Datos!"&amp;LEFT(SUBSTITUTE(ADDRESS(1,Formulas!AJ26+2),"$",""))&amp;Formulas!AI26+1,
IFERROR(INDEX(Datos!$A$2:$L$101,Formulas!AI26,Formulas!AJ26+2),"")))</f>
        <v/>
      </c>
      <c r="AJ28" s="13"/>
      <c r="AK28" s="6"/>
      <c r="AL28" s="24" t="str" cm="1">
        <f t="array" aca="1" ref="AL28" ca="1">IF(OR(Formulas!AN25=0,Formulas!AN25="",RIGHT(Formulas!AO25)="0"),"",
HYPERLINK("["&amp;Archivo_Nombre&amp;"]Datos!"&amp;LEFT(SUBSTITUTE(ADDRESS(1,IF(Formulas!AN25=1,1,RIGHT(Formulas!AO25)+2)),"$",""))&amp;Formulas!AM25+1,
IFERROR(INDEX(Datos!$A$1:$L$1,1,RIGHT(Formulas!AO25)+2)&amp;IF(Formulas!AN25=1," "&amp;Formulas!AM25,"")&amp;":","")))</f>
        <v/>
      </c>
      <c r="AM28" s="107" t="str" cm="1">
        <f t="array" aca="1" ref="AM28" ca="1">IF(OR(Formulas!AN25=0,Formulas!AN25="",RIGHT(Formulas!AO25)="0"),"",
HYPERLINK("["&amp;Archivo_Nombre&amp;"]Datos!"&amp;LEFT(SUBSTITUTE(ADDRESS(1,RIGHT(Formulas!AO25)+2),"$",""))&amp;Formulas!AM25+1,
IFERROR(INDEX(Datos!$A$2:$L$101,Formulas!AM25,RIGHT(Formulas!AO25)+2),"")))</f>
        <v/>
      </c>
      <c r="AN28" s="107" t="str" cm="1">
        <f t="array" aca="1" ref="AN28" ca="1">IF(OR(Formulas!AO26=0,Formulas!AO26=""),"",HYPERLINK("["&amp;Archivo_Nombre&amp;"]Datos!"&amp;LEFT(SUBSTITUTE(ADDRESS(1,Formulas!AO26+2),"$",""))&amp;Formulas!AN26+1,
IFERROR(INDEX(Datos!$A$2:$L$101,Formulas!AN26,Formulas!AO26+2),"")))</f>
        <v/>
      </c>
      <c r="AO28" s="13"/>
      <c r="AP28" s="6"/>
      <c r="AQ28" s="24" t="str" cm="1">
        <f t="array" aca="1" ref="AQ28" ca="1">IF(OR(Formulas!AS25=0,Formulas!AS25="",RIGHT(Formulas!AT25)="0"),"",
HYPERLINK("["&amp;Archivo_Nombre&amp;"]Datos!"&amp;LEFT(SUBSTITUTE(ADDRESS(1,IF(Formulas!AS25=1,1,RIGHT(Formulas!AT25)+2)),"$",""))&amp;Formulas!AR25+1,
IFERROR(INDEX(Datos!$A$1:$L$1,1,RIGHT(Formulas!AT25)+2)&amp;IF(Formulas!AS25=1," "&amp;Formulas!AR25,"")&amp;":","")))</f>
        <v/>
      </c>
      <c r="AR28" s="107" t="str" cm="1">
        <f t="array" aca="1" ref="AR28" ca="1">IF(OR(Formulas!AS25=0,Formulas!AS25="",RIGHT(Formulas!AT25)="0"),"",
HYPERLINK("["&amp;Archivo_Nombre&amp;"]Datos!"&amp;LEFT(SUBSTITUTE(ADDRESS(1,RIGHT(Formulas!AT25)+2),"$",""))&amp;Formulas!AR25+1,
IFERROR(INDEX(Datos!$A$2:$L$101,Formulas!AR25,RIGHT(Formulas!AT25)+2),"")))</f>
        <v/>
      </c>
      <c r="AS28" s="107" t="str" cm="1">
        <f t="array" aca="1" ref="AS28" ca="1">IF(OR(Formulas!AT26=0,Formulas!AT26=""),"",HYPERLINK("["&amp;Archivo_Nombre&amp;"]Datos!"&amp;LEFT(SUBSTITUTE(ADDRESS(1,Formulas!AT26+2),"$",""))&amp;Formulas!AS26+1,
IFERROR(INDEX(Datos!$A$2:$L$101,Formulas!AS26,Formulas!AT26+2),"")))</f>
        <v/>
      </c>
      <c r="AT28" s="13"/>
      <c r="AU28" s="6"/>
      <c r="AV28" s="24" t="str" cm="1">
        <f t="array" aca="1" ref="AV28" ca="1">IF(OR(Formulas!AX25=0,Formulas!AX25="",RIGHT(Formulas!AY25)="0"),"",
HYPERLINK("["&amp;Archivo_Nombre&amp;"]Datos!"&amp;LEFT(SUBSTITUTE(ADDRESS(1,IF(Formulas!AX25=1,1,RIGHT(Formulas!AY25)+2)),"$",""))&amp;Formulas!AW25+1,
IFERROR(INDEX(Datos!$A$1:$L$1,1,RIGHT(Formulas!AY25)+2)&amp;IF(Formulas!AX25=1," "&amp;Formulas!AW25,"")&amp;":","")))</f>
        <v/>
      </c>
      <c r="AW28" s="107" t="str" cm="1">
        <f t="array" aca="1" ref="AW28" ca="1">IF(OR(Formulas!AX25=0,Formulas!AX25="",RIGHT(Formulas!AY25)="0"),"",
HYPERLINK("["&amp;Archivo_Nombre&amp;"]Datos!"&amp;LEFT(SUBSTITUTE(ADDRESS(1,RIGHT(Formulas!AY25)+2),"$",""))&amp;Formulas!AW25+1,
IFERROR(INDEX(Datos!$A$2:$L$101,Formulas!AW25,RIGHT(Formulas!AY25)+2),"")))</f>
        <v/>
      </c>
      <c r="AX28" s="107" t="str" cm="1">
        <f t="array" aca="1" ref="AX28" ca="1">IF(OR(Formulas!AY26=0,Formulas!AY26=""),"",HYPERLINK("["&amp;Archivo_Nombre&amp;"]Datos!"&amp;LEFT(SUBSTITUTE(ADDRESS(1,Formulas!AY26+2),"$",""))&amp;Formulas!AX26+1,
IFERROR(INDEX(Datos!$A$2:$L$101,Formulas!AX26,Formulas!AY26+2),"")))</f>
        <v/>
      </c>
      <c r="AY28" s="13"/>
    </row>
    <row r="29" spans="2:51" x14ac:dyDescent="0.25">
      <c r="B29" s="11"/>
      <c r="C29" s="24" t="str" cm="1">
        <f t="array" aca="1" ref="C29" ca="1">IF(OR(Formulas!E26=0,Formulas!E26="",RIGHT(Formulas!F26)="0"),"",
HYPERLINK("["&amp;Archivo_Nombre&amp;"]Datos!"&amp;LEFT(SUBSTITUTE(ADDRESS(1,IF(Formulas!E26=1,1,RIGHT(Formulas!F26)+2)),"$",""))&amp;Formulas!D26+1,
IFERROR(INDEX(Datos!$A$1:$L$1,1,RIGHT(Formulas!F26)+2)&amp;IF(Formulas!E26=1," "&amp;Formulas!D26,"")&amp;":","")))</f>
        <v/>
      </c>
      <c r="D29" s="107" t="str" cm="1">
        <f t="array" aca="1" ref="D29" ca="1">IF(OR(Formulas!E26=0,Formulas!E26="",RIGHT(Formulas!F26)="0"),"",
HYPERLINK("["&amp;Archivo_Nombre&amp;"]Datos!"&amp;LEFT(SUBSTITUTE(ADDRESS(1,RIGHT(Formulas!F26)+2),"$",""))&amp;Formulas!D26+1,
IFERROR(INDEX(Datos!$A$2:$L$101,Formulas!D26,RIGHT(Formulas!F26)+2),"")))</f>
        <v/>
      </c>
      <c r="E29" s="107" t="str" cm="1">
        <f t="array" aca="1" ref="E29" ca="1">IF(OR(Formulas!F27=0,Formulas!F27=""),"",HYPERLINK("["&amp;Archivo_Nombre&amp;"]Datos!"&amp;LEFT(SUBSTITUTE(ADDRESS(1,Formulas!F27+2),"$",""))&amp;Formulas!E27+1,
IFERROR(INDEX(Datos!$A$2:$L$101,Formulas!E27,Formulas!F27+2),"")))</f>
        <v/>
      </c>
      <c r="F29" s="5"/>
      <c r="G29" s="6"/>
      <c r="H29" s="24" t="str" cm="1">
        <f t="array" aca="1" ref="H29" ca="1">IF(OR(Formulas!J26=0,Formulas!J26="",RIGHT(Formulas!K26)="0"),"",
HYPERLINK("["&amp;Archivo_Nombre&amp;"]Datos!"&amp;LEFT(SUBSTITUTE(ADDRESS(1,IF(Formulas!J26=1,1,RIGHT(Formulas!K26)+2)),"$",""))&amp;Formulas!I26+1,
IFERROR(INDEX(Datos!$A$1:$L$1,1,RIGHT(Formulas!K26)+2)&amp;IF(Formulas!J26=1," "&amp;Formulas!I26,"")&amp;":","")))</f>
        <v>Inicio:</v>
      </c>
      <c r="I29" s="107" cm="1">
        <f t="array" aca="1" ref="I29" ca="1">IF(OR(Formulas!J26=0,Formulas!J26="",RIGHT(Formulas!K26)="0"),"",
HYPERLINK("["&amp;Archivo_Nombre&amp;"]Datos!"&amp;LEFT(SUBSTITUTE(ADDRESS(1,RIGHT(Formulas!K26)+2),"$",""))&amp;Formulas!I26+1,
IFERROR(INDEX(Datos!$A$2:$L$101,Formulas!I26,RIGHT(Formulas!K26)+2),"")))</f>
        <v>45856</v>
      </c>
      <c r="J29" s="107" t="e" cm="1">
        <f t="array" aca="1" ref="J29" ca="1">IF(OR(Formulas!K27=0,Formulas!K27=""),"",HYPERLINK("["&amp;Archivo_Nombre&amp;"]Datos!"&amp;LEFT(SUBSTITUTE(ADDRESS(1,Formulas!K27+2),"$",""))&amp;Formulas!J27+1,
IFERROR(INDEX(Datos!$A$2:$L$101,Formulas!J27,Formulas!K27+2),"")))</f>
        <v>#VALUE!</v>
      </c>
      <c r="K29" s="5"/>
      <c r="L29" s="6"/>
      <c r="M29" s="24" t="str" cm="1">
        <f t="array" aca="1" ref="M29" ca="1">IF(OR(Formulas!O26=0,Formulas!O26="",RIGHT(Formulas!P26)="0"),"",
HYPERLINK("["&amp;Archivo_Nombre&amp;"]Datos!"&amp;LEFT(SUBSTITUTE(ADDRESS(1,IF(Formulas!O26=1,1,RIGHT(Formulas!P26)+2)),"$",""))&amp;Formulas!N26+1,
IFERROR(INDEX(Datos!$A$1:$L$1,1,RIGHT(Formulas!P26)+2)&amp;IF(Formulas!O26=1," "&amp;Formulas!N26,"")&amp;":","")))</f>
        <v/>
      </c>
      <c r="N29" s="107" t="str" cm="1">
        <f t="array" aca="1" ref="N29" ca="1">IF(OR(Formulas!O26=0,Formulas!O26="",RIGHT(Formulas!P26)="0"),"",
HYPERLINK("["&amp;Archivo_Nombre&amp;"]Datos!"&amp;LEFT(SUBSTITUTE(ADDRESS(1,RIGHT(Formulas!P26)+2),"$",""))&amp;Formulas!N26+1,
IFERROR(INDEX(Datos!$A$2:$L$101,Formulas!N26,RIGHT(Formulas!P26)+2),"")))</f>
        <v/>
      </c>
      <c r="O29" s="107" t="str" cm="1">
        <f t="array" aca="1" ref="O29" ca="1">IF(OR(Formulas!P27=0,Formulas!P27=""),"",HYPERLINK("["&amp;Archivo_Nombre&amp;"]Datos!"&amp;LEFT(SUBSTITUTE(ADDRESS(1,Formulas!P27+2),"$",""))&amp;Formulas!O27+1,
IFERROR(INDEX(Datos!$A$2:$L$101,Formulas!O27,Formulas!P27+2),"")))</f>
        <v/>
      </c>
      <c r="P29" s="5"/>
      <c r="Q29" s="6"/>
      <c r="R29" s="24" t="str" cm="1">
        <f t="array" aca="1" ref="R29" ca="1">IF(OR(Formulas!T26=0,Formulas!T26="",RIGHT(Formulas!U26)="0"),"",
HYPERLINK("["&amp;Archivo_Nombre&amp;"]Datos!"&amp;LEFT(SUBSTITUTE(ADDRESS(1,IF(Formulas!T26=1,1,RIGHT(Formulas!U26)+2)),"$",""))&amp;Formulas!S26+1,
IFERROR(INDEX(Datos!$A$1:$L$1,1,RIGHT(Formulas!U26)+2)&amp;IF(Formulas!T26=1," "&amp;Formulas!S26,"")&amp;":","")))</f>
        <v>Inicio:</v>
      </c>
      <c r="S29" s="107" cm="1">
        <f t="array" aca="1" ref="S29" ca="1">IF(OR(Formulas!T26=0,Formulas!T26="",RIGHT(Formulas!U26)="0"),"",
HYPERLINK("["&amp;Archivo_Nombre&amp;"]Datos!"&amp;LEFT(SUBSTITUTE(ADDRESS(1,RIGHT(Formulas!U26)+2),"$",""))&amp;Formulas!S26+1,
IFERROR(INDEX(Datos!$A$2:$L$101,Formulas!S26,RIGHT(Formulas!U26)+2),"")))</f>
        <v>45821</v>
      </c>
      <c r="T29" s="107" t="e" cm="1">
        <f t="array" aca="1" ref="T29" ca="1">IF(OR(Formulas!U27=0,Formulas!U27=""),"",HYPERLINK("["&amp;Archivo_Nombre&amp;"]Datos!"&amp;LEFT(SUBSTITUTE(ADDRESS(1,Formulas!U27+2),"$",""))&amp;Formulas!T27+1,
IFERROR(INDEX(Datos!$A$2:$L$101,Formulas!T27,Formulas!U27+2),"")))</f>
        <v>#VALUE!</v>
      </c>
      <c r="U29" s="5"/>
      <c r="V29" s="6"/>
      <c r="W29" s="24" t="str" cm="1">
        <f t="array" aca="1" ref="W29" ca="1">IF(OR(Formulas!Y26=0,Formulas!Y26="",RIGHT(Formulas!Z26)="0"),"",
HYPERLINK("["&amp;Archivo_Nombre&amp;"]Datos!"&amp;LEFT(SUBSTITUTE(ADDRESS(1,IF(Formulas!Y26=1,1,RIGHT(Formulas!Z26)+2)),"$",""))&amp;Formulas!X26+1,
IFERROR(INDEX(Datos!$A$1:$L$1,1,RIGHT(Formulas!Z26)+2)&amp;IF(Formulas!Y26=1," "&amp;Formulas!X26,"")&amp;":","")))</f>
        <v/>
      </c>
      <c r="X29" s="107" t="str" cm="1">
        <f t="array" aca="1" ref="X29" ca="1">IF(OR(Formulas!Y26=0,Formulas!Y26="",RIGHT(Formulas!Z26)="0"),"",
HYPERLINK("["&amp;Archivo_Nombre&amp;"]Datos!"&amp;LEFT(SUBSTITUTE(ADDRESS(1,RIGHT(Formulas!Z26)+2),"$",""))&amp;Formulas!X26+1,
IFERROR(INDEX(Datos!$A$2:$L$101,Formulas!X26,RIGHT(Formulas!Z26)+2),"")))</f>
        <v/>
      </c>
      <c r="Y29" s="107" t="str" cm="1">
        <f t="array" aca="1" ref="Y29" ca="1">IF(OR(Formulas!Z27=0,Formulas!Z27=""),"",HYPERLINK("["&amp;Archivo_Nombre&amp;"]Datos!"&amp;LEFT(SUBSTITUTE(ADDRESS(1,Formulas!Z27+2),"$",""))&amp;Formulas!Y27+1,
IFERROR(INDEX(Datos!$A$2:$L$101,Formulas!Y27,Formulas!Z27+2),"")))</f>
        <v/>
      </c>
      <c r="Z29" s="13"/>
      <c r="AA29" s="6"/>
      <c r="AB29" s="24" t="str" cm="1">
        <f t="array" aca="1" ref="AB29" ca="1">IF(OR(Formulas!AD26=0,Formulas!AD26="",RIGHT(Formulas!AE26)="0"),"",
HYPERLINK("["&amp;Archivo_Nombre&amp;"]Datos!"&amp;LEFT(SUBSTITUTE(ADDRESS(1,IF(Formulas!AD26=1,1,RIGHT(Formulas!AE26)+2)),"$",""))&amp;Formulas!AC26+1,
IFERROR(INDEX(Datos!$A$1:$L$1,1,RIGHT(Formulas!AE26)+2)&amp;IF(Formulas!AD26=1," "&amp;Formulas!AC26,"")&amp;":","")))</f>
        <v/>
      </c>
      <c r="AC29" s="107" t="str" cm="1">
        <f t="array" aca="1" ref="AC29" ca="1">IF(OR(Formulas!AD26=0,Formulas!AD26="",RIGHT(Formulas!AE26)="0"),"",
HYPERLINK("["&amp;Archivo_Nombre&amp;"]Datos!"&amp;LEFT(SUBSTITUTE(ADDRESS(1,RIGHT(Formulas!AE26)+2),"$",""))&amp;Formulas!AC26+1,
IFERROR(INDEX(Datos!$A$2:$L$101,Formulas!AC26,RIGHT(Formulas!AE26)+2),"")))</f>
        <v/>
      </c>
      <c r="AD29" s="107" t="str" cm="1">
        <f t="array" aca="1" ref="AD29" ca="1">IF(OR(Formulas!AE27=0,Formulas!AE27=""),"",HYPERLINK("["&amp;Archivo_Nombre&amp;"]Datos!"&amp;LEFT(SUBSTITUTE(ADDRESS(1,Formulas!AE27+2),"$",""))&amp;Formulas!AD27+1,
IFERROR(INDEX(Datos!$A$2:$L$101,Formulas!AD27,Formulas!AE27+2),"")))</f>
        <v/>
      </c>
      <c r="AE29" s="13"/>
      <c r="AF29" s="6"/>
      <c r="AG29" s="24" t="str" cm="1">
        <f t="array" aca="1" ref="AG29" ca="1">IF(OR(Formulas!AI26=0,Formulas!AI26="",RIGHT(Formulas!AJ26)="0"),"",
HYPERLINK("["&amp;Archivo_Nombre&amp;"]Datos!"&amp;LEFT(SUBSTITUTE(ADDRESS(1,IF(Formulas!AI26=1,1,RIGHT(Formulas!AJ26)+2)),"$",""))&amp;Formulas!AH26+1,
IFERROR(INDEX(Datos!$A$1:$L$1,1,RIGHT(Formulas!AJ26)+2)&amp;IF(Formulas!AI26=1," "&amp;Formulas!AH26,"")&amp;":","")))</f>
        <v/>
      </c>
      <c r="AH29" s="107" t="str" cm="1">
        <f t="array" aca="1" ref="AH29" ca="1">IF(OR(Formulas!AI26=0,Formulas!AI26="",RIGHT(Formulas!AJ26)="0"),"",
HYPERLINK("["&amp;Archivo_Nombre&amp;"]Datos!"&amp;LEFT(SUBSTITUTE(ADDRESS(1,RIGHT(Formulas!AJ26)+2),"$",""))&amp;Formulas!AH26+1,
IFERROR(INDEX(Datos!$A$2:$L$101,Formulas!AH26,RIGHT(Formulas!AJ26)+2),"")))</f>
        <v/>
      </c>
      <c r="AI29" s="107" t="str" cm="1">
        <f t="array" aca="1" ref="AI29" ca="1">IF(OR(Formulas!AJ27=0,Formulas!AJ27=""),"",HYPERLINK("["&amp;Archivo_Nombre&amp;"]Datos!"&amp;LEFT(SUBSTITUTE(ADDRESS(1,Formulas!AJ27+2),"$",""))&amp;Formulas!AI27+1,
IFERROR(INDEX(Datos!$A$2:$L$101,Formulas!AI27,Formulas!AJ27+2),"")))</f>
        <v/>
      </c>
      <c r="AJ29" s="13"/>
      <c r="AK29" s="6"/>
      <c r="AL29" s="24" t="str" cm="1">
        <f t="array" aca="1" ref="AL29" ca="1">IF(OR(Formulas!AN26=0,Formulas!AN26="",RIGHT(Formulas!AO26)="0"),"",
HYPERLINK("["&amp;Archivo_Nombre&amp;"]Datos!"&amp;LEFT(SUBSTITUTE(ADDRESS(1,IF(Formulas!AN26=1,1,RIGHT(Formulas!AO26)+2)),"$",""))&amp;Formulas!AM26+1,
IFERROR(INDEX(Datos!$A$1:$L$1,1,RIGHT(Formulas!AO26)+2)&amp;IF(Formulas!AN26=1," "&amp;Formulas!AM26,"")&amp;":","")))</f>
        <v/>
      </c>
      <c r="AM29" s="107" t="str" cm="1">
        <f t="array" aca="1" ref="AM29" ca="1">IF(OR(Formulas!AN26=0,Formulas!AN26="",RIGHT(Formulas!AO26)="0"),"",
HYPERLINK("["&amp;Archivo_Nombre&amp;"]Datos!"&amp;LEFT(SUBSTITUTE(ADDRESS(1,RIGHT(Formulas!AO26)+2),"$",""))&amp;Formulas!AM26+1,
IFERROR(INDEX(Datos!$A$2:$L$101,Formulas!AM26,RIGHT(Formulas!AO26)+2),"")))</f>
        <v/>
      </c>
      <c r="AN29" s="107" t="str" cm="1">
        <f t="array" aca="1" ref="AN29" ca="1">IF(OR(Formulas!AO27=0,Formulas!AO27=""),"",HYPERLINK("["&amp;Archivo_Nombre&amp;"]Datos!"&amp;LEFT(SUBSTITUTE(ADDRESS(1,Formulas!AO27+2),"$",""))&amp;Formulas!AN27+1,
IFERROR(INDEX(Datos!$A$2:$L$101,Formulas!AN27,Formulas!AO27+2),"")))</f>
        <v/>
      </c>
      <c r="AO29" s="13"/>
      <c r="AP29" s="6"/>
      <c r="AQ29" s="24" t="str" cm="1">
        <f t="array" aca="1" ref="AQ29" ca="1">IF(OR(Formulas!AS26=0,Formulas!AS26="",RIGHT(Formulas!AT26)="0"),"",
HYPERLINK("["&amp;Archivo_Nombre&amp;"]Datos!"&amp;LEFT(SUBSTITUTE(ADDRESS(1,IF(Formulas!AS26=1,1,RIGHT(Formulas!AT26)+2)),"$",""))&amp;Formulas!AR26+1,
IFERROR(INDEX(Datos!$A$1:$L$1,1,RIGHT(Formulas!AT26)+2)&amp;IF(Formulas!AS26=1," "&amp;Formulas!AR26,"")&amp;":","")))</f>
        <v/>
      </c>
      <c r="AR29" s="107" t="str" cm="1">
        <f t="array" aca="1" ref="AR29" ca="1">IF(OR(Formulas!AS26=0,Formulas!AS26="",RIGHT(Formulas!AT26)="0"),"",
HYPERLINK("["&amp;Archivo_Nombre&amp;"]Datos!"&amp;LEFT(SUBSTITUTE(ADDRESS(1,RIGHT(Formulas!AT26)+2),"$",""))&amp;Formulas!AR26+1,
IFERROR(INDEX(Datos!$A$2:$L$101,Formulas!AR26,RIGHT(Formulas!AT26)+2),"")))</f>
        <v/>
      </c>
      <c r="AS29" s="107" t="str" cm="1">
        <f t="array" aca="1" ref="AS29" ca="1">IF(OR(Formulas!AT27=0,Formulas!AT27=""),"",HYPERLINK("["&amp;Archivo_Nombre&amp;"]Datos!"&amp;LEFT(SUBSTITUTE(ADDRESS(1,Formulas!AT27+2),"$",""))&amp;Formulas!AS27+1,
IFERROR(INDEX(Datos!$A$2:$L$101,Formulas!AS27,Formulas!AT27+2),"")))</f>
        <v/>
      </c>
      <c r="AT29" s="13"/>
      <c r="AU29" s="6"/>
      <c r="AV29" s="24" t="str" cm="1">
        <f t="array" aca="1" ref="AV29" ca="1">IF(OR(Formulas!AX26=0,Formulas!AX26="",RIGHT(Formulas!AY26)="0"),"",
HYPERLINK("["&amp;Archivo_Nombre&amp;"]Datos!"&amp;LEFT(SUBSTITUTE(ADDRESS(1,IF(Formulas!AX26=1,1,RIGHT(Formulas!AY26)+2)),"$",""))&amp;Formulas!AW26+1,
IFERROR(INDEX(Datos!$A$1:$L$1,1,RIGHT(Formulas!AY26)+2)&amp;IF(Formulas!AX26=1," "&amp;Formulas!AW26,"")&amp;":","")))</f>
        <v/>
      </c>
      <c r="AW29" s="107" t="str" cm="1">
        <f t="array" aca="1" ref="AW29" ca="1">IF(OR(Formulas!AX26=0,Formulas!AX26="",RIGHT(Formulas!AY26)="0"),"",
HYPERLINK("["&amp;Archivo_Nombre&amp;"]Datos!"&amp;LEFT(SUBSTITUTE(ADDRESS(1,RIGHT(Formulas!AY26)+2),"$",""))&amp;Formulas!AW26+1,
IFERROR(INDEX(Datos!$A$2:$L$101,Formulas!AW26,RIGHT(Formulas!AY26)+2),"")))</f>
        <v/>
      </c>
      <c r="AX29" s="107" t="str" cm="1">
        <f t="array" aca="1" ref="AX29" ca="1">IF(OR(Formulas!AY27=0,Formulas!AY27=""),"",HYPERLINK("["&amp;Archivo_Nombre&amp;"]Datos!"&amp;LEFT(SUBSTITUTE(ADDRESS(1,Formulas!AY27+2),"$",""))&amp;Formulas!AX27+1,
IFERROR(INDEX(Datos!$A$2:$L$101,Formulas!AX27,Formulas!AY27+2),"")))</f>
        <v/>
      </c>
      <c r="AY29" s="13"/>
    </row>
    <row r="30" spans="2:51" x14ac:dyDescent="0.25">
      <c r="B30" s="11"/>
      <c r="C30" s="24" t="str" cm="1">
        <f t="array" aca="1" ref="C30" ca="1">IF(OR(Formulas!E27=0,Formulas!E27="",RIGHT(Formulas!F27)="0"),"",
HYPERLINK("["&amp;Archivo_Nombre&amp;"]Datos!"&amp;LEFT(SUBSTITUTE(ADDRESS(1,IF(Formulas!E27=1,1,RIGHT(Formulas!F27)+2)),"$",""))&amp;Formulas!D27+1,
IFERROR(INDEX(Datos!$A$1:$L$1,1,RIGHT(Formulas!F27)+2)&amp;IF(Formulas!E27=1," "&amp;Formulas!D27,"")&amp;":","")))</f>
        <v/>
      </c>
      <c r="D30" s="107" t="str" cm="1">
        <f t="array" aca="1" ref="D30" ca="1">IF(OR(Formulas!E27=0,Formulas!E27="",RIGHT(Formulas!F27)="0"),"",
HYPERLINK("["&amp;Archivo_Nombre&amp;"]Datos!"&amp;LEFT(SUBSTITUTE(ADDRESS(1,RIGHT(Formulas!F27)+2),"$",""))&amp;Formulas!D27+1,
IFERROR(INDEX(Datos!$A$2:$L$101,Formulas!D27,RIGHT(Formulas!F27)+2),"")))</f>
        <v/>
      </c>
      <c r="E30" s="107" t="str" cm="1">
        <f t="array" aca="1" ref="E30" ca="1">IF(OR(Formulas!F28=0,Formulas!F28=""),"",HYPERLINK("["&amp;Archivo_Nombre&amp;"]Datos!"&amp;LEFT(SUBSTITUTE(ADDRESS(1,Formulas!F28+2),"$",""))&amp;Formulas!E28+1,
IFERROR(INDEX(Datos!$A$2:$L$101,Formulas!E28,Formulas!F28+2),"")))</f>
        <v/>
      </c>
      <c r="F30" s="5"/>
      <c r="G30" s="6"/>
      <c r="H30" s="24" t="str" cm="1">
        <f t="array" aca="1" ref="H30" ca="1">IF(OR(Formulas!J27=0,Formulas!J27="",RIGHT(Formulas!K27)="0"),"",
HYPERLINK("["&amp;Archivo_Nombre&amp;"]Datos!"&amp;LEFT(SUBSTITUTE(ADDRESS(1,IF(Formulas!J27=1,1,RIGHT(Formulas!K27)+2)),"$",""))&amp;Formulas!I27+1,
IFERROR(INDEX(Datos!$A$1:$L$1,1,RIGHT(Formulas!K27)+2)&amp;IF(Formulas!J27=1," "&amp;Formulas!I27,"")&amp;":","")))</f>
        <v>Previsto:</v>
      </c>
      <c r="I30" s="107" cm="1">
        <f t="array" aca="1" ref="I30" ca="1">IF(OR(Formulas!J27=0,Formulas!J27="",RIGHT(Formulas!K27)="0"),"",
HYPERLINK("["&amp;Archivo_Nombre&amp;"]Datos!"&amp;LEFT(SUBSTITUTE(ADDRESS(1,RIGHT(Formulas!K27)+2),"$",""))&amp;Formulas!I27+1,
IFERROR(INDEX(Datos!$A$2:$L$101,Formulas!I27,RIGHT(Formulas!K27)+2),"")))</f>
        <v>45858</v>
      </c>
      <c r="J30" s="107" t="e" cm="1">
        <f t="array" aca="1" ref="J30" ca="1">IF(OR(Formulas!K28=0,Formulas!K28=""),"",HYPERLINK("["&amp;Archivo_Nombre&amp;"]Datos!"&amp;LEFT(SUBSTITUTE(ADDRESS(1,Formulas!K28+2),"$",""))&amp;Formulas!J28+1,
IFERROR(INDEX(Datos!$A$2:$L$101,Formulas!J28,Formulas!K28+2),"")))</f>
        <v>#VALUE!</v>
      </c>
      <c r="K30" s="5"/>
      <c r="L30" s="6"/>
      <c r="M30" s="24" t="str" cm="1">
        <f t="array" aca="1" ref="M30" ca="1">IF(OR(Formulas!O27=0,Formulas!O27="",RIGHT(Formulas!P27)="0"),"",
HYPERLINK("["&amp;Archivo_Nombre&amp;"]Datos!"&amp;LEFT(SUBSTITUTE(ADDRESS(1,IF(Formulas!O27=1,1,RIGHT(Formulas!P27)+2)),"$",""))&amp;Formulas!N27+1,
IFERROR(INDEX(Datos!$A$1:$L$1,1,RIGHT(Formulas!P27)+2)&amp;IF(Formulas!O27=1," "&amp;Formulas!N27,"")&amp;":","")))</f>
        <v/>
      </c>
      <c r="N30" s="107" t="str" cm="1">
        <f t="array" aca="1" ref="N30" ca="1">IF(OR(Formulas!O27=0,Formulas!O27="",RIGHT(Formulas!P27)="0"),"",
HYPERLINK("["&amp;Archivo_Nombre&amp;"]Datos!"&amp;LEFT(SUBSTITUTE(ADDRESS(1,RIGHT(Formulas!P27)+2),"$",""))&amp;Formulas!N27+1,
IFERROR(INDEX(Datos!$A$2:$L$101,Formulas!N27,RIGHT(Formulas!P27)+2),"")))</f>
        <v/>
      </c>
      <c r="O30" s="107" t="str" cm="1">
        <f t="array" aca="1" ref="O30" ca="1">IF(OR(Formulas!P28=0,Formulas!P28=""),"",HYPERLINK("["&amp;Archivo_Nombre&amp;"]Datos!"&amp;LEFT(SUBSTITUTE(ADDRESS(1,Formulas!P28+2),"$",""))&amp;Formulas!O28+1,
IFERROR(INDEX(Datos!$A$2:$L$101,Formulas!O28,Formulas!P28+2),"")))</f>
        <v/>
      </c>
      <c r="P30" s="5"/>
      <c r="Q30" s="6"/>
      <c r="R30" s="24" t="str" cm="1">
        <f t="array" aca="1" ref="R30" ca="1">IF(OR(Formulas!T27=0,Formulas!T27="",RIGHT(Formulas!U27)="0"),"",
HYPERLINK("["&amp;Archivo_Nombre&amp;"]Datos!"&amp;LEFT(SUBSTITUTE(ADDRESS(1,IF(Formulas!T27=1,1,RIGHT(Formulas!U27)+2)),"$",""))&amp;Formulas!S27+1,
IFERROR(INDEX(Datos!$A$1:$L$1,1,RIGHT(Formulas!U27)+2)&amp;IF(Formulas!T27=1," "&amp;Formulas!S27,"")&amp;":","")))</f>
        <v>Previsto:</v>
      </c>
      <c r="S30" s="107" cm="1">
        <f t="array" aca="1" ref="S30" ca="1">IF(OR(Formulas!T27=0,Formulas!T27="",RIGHT(Formulas!U27)="0"),"",
HYPERLINK("["&amp;Archivo_Nombre&amp;"]Datos!"&amp;LEFT(SUBSTITUTE(ADDRESS(1,RIGHT(Formulas!U27)+2),"$",""))&amp;Formulas!S27+1,
IFERROR(INDEX(Datos!$A$2:$L$101,Formulas!S27,RIGHT(Formulas!U27)+2),"")))</f>
        <v>45822</v>
      </c>
      <c r="T30" s="107" t="e" cm="1">
        <f t="array" aca="1" ref="T30" ca="1">IF(OR(Formulas!U28=0,Formulas!U28=""),"",HYPERLINK("["&amp;Archivo_Nombre&amp;"]Datos!"&amp;LEFT(SUBSTITUTE(ADDRESS(1,Formulas!U28+2),"$",""))&amp;Formulas!T28+1,
IFERROR(INDEX(Datos!$A$2:$L$101,Formulas!T28,Formulas!U28+2),"")))</f>
        <v>#VALUE!</v>
      </c>
      <c r="U30" s="5"/>
      <c r="V30" s="6"/>
      <c r="W30" s="24" t="str" cm="1">
        <f t="array" aca="1" ref="W30" ca="1">IF(OR(Formulas!Y27=0,Formulas!Y27="",RIGHT(Formulas!Z27)="0"),"",
HYPERLINK("["&amp;Archivo_Nombre&amp;"]Datos!"&amp;LEFT(SUBSTITUTE(ADDRESS(1,IF(Formulas!Y27=1,1,RIGHT(Formulas!Z27)+2)),"$",""))&amp;Formulas!X27+1,
IFERROR(INDEX(Datos!$A$1:$L$1,1,RIGHT(Formulas!Z27)+2)&amp;IF(Formulas!Y27=1," "&amp;Formulas!X27,"")&amp;":","")))</f>
        <v/>
      </c>
      <c r="X30" s="107" t="str" cm="1">
        <f t="array" aca="1" ref="X30" ca="1">IF(OR(Formulas!Y27=0,Formulas!Y27="",RIGHT(Formulas!Z27)="0"),"",
HYPERLINK("["&amp;Archivo_Nombre&amp;"]Datos!"&amp;LEFT(SUBSTITUTE(ADDRESS(1,RIGHT(Formulas!Z27)+2),"$",""))&amp;Formulas!X27+1,
IFERROR(INDEX(Datos!$A$2:$L$101,Formulas!X27,RIGHT(Formulas!Z27)+2),"")))</f>
        <v/>
      </c>
      <c r="Y30" s="107" t="str" cm="1">
        <f t="array" aca="1" ref="Y30" ca="1">IF(OR(Formulas!Z28=0,Formulas!Z28=""),"",HYPERLINK("["&amp;Archivo_Nombre&amp;"]Datos!"&amp;LEFT(SUBSTITUTE(ADDRESS(1,Formulas!Z28+2),"$",""))&amp;Formulas!Y28+1,
IFERROR(INDEX(Datos!$A$2:$L$101,Formulas!Y28,Formulas!Z28+2),"")))</f>
        <v/>
      </c>
      <c r="Z30" s="13"/>
      <c r="AA30" s="6"/>
      <c r="AB30" s="24" t="str" cm="1">
        <f t="array" aca="1" ref="AB30" ca="1">IF(OR(Formulas!AD27=0,Formulas!AD27="",RIGHT(Formulas!AE27)="0"),"",
HYPERLINK("["&amp;Archivo_Nombre&amp;"]Datos!"&amp;LEFT(SUBSTITUTE(ADDRESS(1,IF(Formulas!AD27=1,1,RIGHT(Formulas!AE27)+2)),"$",""))&amp;Formulas!AC27+1,
IFERROR(INDEX(Datos!$A$1:$L$1,1,RIGHT(Formulas!AE27)+2)&amp;IF(Formulas!AD27=1," "&amp;Formulas!AC27,"")&amp;":","")))</f>
        <v/>
      </c>
      <c r="AC30" s="107" t="str" cm="1">
        <f t="array" aca="1" ref="AC30" ca="1">IF(OR(Formulas!AD27=0,Formulas!AD27="",RIGHT(Formulas!AE27)="0"),"",
HYPERLINK("["&amp;Archivo_Nombre&amp;"]Datos!"&amp;LEFT(SUBSTITUTE(ADDRESS(1,RIGHT(Formulas!AE27)+2),"$",""))&amp;Formulas!AC27+1,
IFERROR(INDEX(Datos!$A$2:$L$101,Formulas!AC27,RIGHT(Formulas!AE27)+2),"")))</f>
        <v/>
      </c>
      <c r="AD30" s="107" t="str" cm="1">
        <f t="array" aca="1" ref="AD30" ca="1">IF(OR(Formulas!AE28=0,Formulas!AE28=""),"",HYPERLINK("["&amp;Archivo_Nombre&amp;"]Datos!"&amp;LEFT(SUBSTITUTE(ADDRESS(1,Formulas!AE28+2),"$",""))&amp;Formulas!AD28+1,
IFERROR(INDEX(Datos!$A$2:$L$101,Formulas!AD28,Formulas!AE28+2),"")))</f>
        <v/>
      </c>
      <c r="AE30" s="13"/>
      <c r="AF30" s="6"/>
      <c r="AG30" s="24" t="str" cm="1">
        <f t="array" aca="1" ref="AG30" ca="1">IF(OR(Formulas!AI27=0,Formulas!AI27="",RIGHT(Formulas!AJ27)="0"),"",
HYPERLINK("["&amp;Archivo_Nombre&amp;"]Datos!"&amp;LEFT(SUBSTITUTE(ADDRESS(1,IF(Formulas!AI27=1,1,RIGHT(Formulas!AJ27)+2)),"$",""))&amp;Formulas!AH27+1,
IFERROR(INDEX(Datos!$A$1:$L$1,1,RIGHT(Formulas!AJ27)+2)&amp;IF(Formulas!AI27=1," "&amp;Formulas!AH27,"")&amp;":","")))</f>
        <v/>
      </c>
      <c r="AH30" s="107" t="str" cm="1">
        <f t="array" aca="1" ref="AH30" ca="1">IF(OR(Formulas!AI27=0,Formulas!AI27="",RIGHT(Formulas!AJ27)="0"),"",
HYPERLINK("["&amp;Archivo_Nombre&amp;"]Datos!"&amp;LEFT(SUBSTITUTE(ADDRESS(1,RIGHT(Formulas!AJ27)+2),"$",""))&amp;Formulas!AH27+1,
IFERROR(INDEX(Datos!$A$2:$L$101,Formulas!AH27,RIGHT(Formulas!AJ27)+2),"")))</f>
        <v/>
      </c>
      <c r="AI30" s="107" t="str" cm="1">
        <f t="array" aca="1" ref="AI30" ca="1">IF(OR(Formulas!AJ28=0,Formulas!AJ28=""),"",HYPERLINK("["&amp;Archivo_Nombre&amp;"]Datos!"&amp;LEFT(SUBSTITUTE(ADDRESS(1,Formulas!AJ28+2),"$",""))&amp;Formulas!AI28+1,
IFERROR(INDEX(Datos!$A$2:$L$101,Formulas!AI28,Formulas!AJ28+2),"")))</f>
        <v/>
      </c>
      <c r="AJ30" s="13"/>
      <c r="AK30" s="6"/>
      <c r="AL30" s="24" t="str" cm="1">
        <f t="array" aca="1" ref="AL30" ca="1">IF(OR(Formulas!AN27=0,Formulas!AN27="",RIGHT(Formulas!AO27)="0"),"",
HYPERLINK("["&amp;Archivo_Nombre&amp;"]Datos!"&amp;LEFT(SUBSTITUTE(ADDRESS(1,IF(Formulas!AN27=1,1,RIGHT(Formulas!AO27)+2)),"$",""))&amp;Formulas!AM27+1,
IFERROR(INDEX(Datos!$A$1:$L$1,1,RIGHT(Formulas!AO27)+2)&amp;IF(Formulas!AN27=1," "&amp;Formulas!AM27,"")&amp;":","")))</f>
        <v/>
      </c>
      <c r="AM30" s="107" t="str" cm="1">
        <f t="array" aca="1" ref="AM30" ca="1">IF(OR(Formulas!AN27=0,Formulas!AN27="",RIGHT(Formulas!AO27)="0"),"",
HYPERLINK("["&amp;Archivo_Nombre&amp;"]Datos!"&amp;LEFT(SUBSTITUTE(ADDRESS(1,RIGHT(Formulas!AO27)+2),"$",""))&amp;Formulas!AM27+1,
IFERROR(INDEX(Datos!$A$2:$L$101,Formulas!AM27,RIGHT(Formulas!AO27)+2),"")))</f>
        <v/>
      </c>
      <c r="AN30" s="107" t="str" cm="1">
        <f t="array" aca="1" ref="AN30" ca="1">IF(OR(Formulas!AO28=0,Formulas!AO28=""),"",HYPERLINK("["&amp;Archivo_Nombre&amp;"]Datos!"&amp;LEFT(SUBSTITUTE(ADDRESS(1,Formulas!AO28+2),"$",""))&amp;Formulas!AN28+1,
IFERROR(INDEX(Datos!$A$2:$L$101,Formulas!AN28,Formulas!AO28+2),"")))</f>
        <v/>
      </c>
      <c r="AO30" s="13"/>
      <c r="AP30" s="6"/>
      <c r="AQ30" s="24" t="str" cm="1">
        <f t="array" aca="1" ref="AQ30" ca="1">IF(OR(Formulas!AS27=0,Formulas!AS27="",RIGHT(Formulas!AT27)="0"),"",
HYPERLINK("["&amp;Archivo_Nombre&amp;"]Datos!"&amp;LEFT(SUBSTITUTE(ADDRESS(1,IF(Formulas!AS27=1,1,RIGHT(Formulas!AT27)+2)),"$",""))&amp;Formulas!AR27+1,
IFERROR(INDEX(Datos!$A$1:$L$1,1,RIGHT(Formulas!AT27)+2)&amp;IF(Formulas!AS27=1," "&amp;Formulas!AR27,"")&amp;":","")))</f>
        <v/>
      </c>
      <c r="AR30" s="107" t="str" cm="1">
        <f t="array" aca="1" ref="AR30" ca="1">IF(OR(Formulas!AS27=0,Formulas!AS27="",RIGHT(Formulas!AT27)="0"),"",
HYPERLINK("["&amp;Archivo_Nombre&amp;"]Datos!"&amp;LEFT(SUBSTITUTE(ADDRESS(1,RIGHT(Formulas!AT27)+2),"$",""))&amp;Formulas!AR27+1,
IFERROR(INDEX(Datos!$A$2:$L$101,Formulas!AR27,RIGHT(Formulas!AT27)+2),"")))</f>
        <v/>
      </c>
      <c r="AS30" s="107" t="str" cm="1">
        <f t="array" aca="1" ref="AS30" ca="1">IF(OR(Formulas!AT28=0,Formulas!AT28=""),"",HYPERLINK("["&amp;Archivo_Nombre&amp;"]Datos!"&amp;LEFT(SUBSTITUTE(ADDRESS(1,Formulas!AT28+2),"$",""))&amp;Formulas!AS28+1,
IFERROR(INDEX(Datos!$A$2:$L$101,Formulas!AS28,Formulas!AT28+2),"")))</f>
        <v/>
      </c>
      <c r="AT30" s="13"/>
      <c r="AU30" s="6"/>
      <c r="AV30" s="24" t="str" cm="1">
        <f t="array" aca="1" ref="AV30" ca="1">IF(OR(Formulas!AX27=0,Formulas!AX27="",RIGHT(Formulas!AY27)="0"),"",
HYPERLINK("["&amp;Archivo_Nombre&amp;"]Datos!"&amp;LEFT(SUBSTITUTE(ADDRESS(1,IF(Formulas!AX27=1,1,RIGHT(Formulas!AY27)+2)),"$",""))&amp;Formulas!AW27+1,
IFERROR(INDEX(Datos!$A$1:$L$1,1,RIGHT(Formulas!AY27)+2)&amp;IF(Formulas!AX27=1," "&amp;Formulas!AW27,"")&amp;":","")))</f>
        <v/>
      </c>
      <c r="AW30" s="107" t="str" cm="1">
        <f t="array" aca="1" ref="AW30" ca="1">IF(OR(Formulas!AX27=0,Formulas!AX27="",RIGHT(Formulas!AY27)="0"),"",
HYPERLINK("["&amp;Archivo_Nombre&amp;"]Datos!"&amp;LEFT(SUBSTITUTE(ADDRESS(1,RIGHT(Formulas!AY27)+2),"$",""))&amp;Formulas!AW27+1,
IFERROR(INDEX(Datos!$A$2:$L$101,Formulas!AW27,RIGHT(Formulas!AY27)+2),"")))</f>
        <v/>
      </c>
      <c r="AX30" s="107" t="str" cm="1">
        <f t="array" aca="1" ref="AX30" ca="1">IF(OR(Formulas!AY28=0,Formulas!AY28=""),"",HYPERLINK("["&amp;Archivo_Nombre&amp;"]Datos!"&amp;LEFT(SUBSTITUTE(ADDRESS(1,Formulas!AY28+2),"$",""))&amp;Formulas!AX28+1,
IFERROR(INDEX(Datos!$A$2:$L$101,Formulas!AX28,Formulas!AY28+2),"")))</f>
        <v/>
      </c>
      <c r="AY30" s="13"/>
    </row>
    <row r="31" spans="2:51" x14ac:dyDescent="0.25">
      <c r="B31" s="11"/>
      <c r="C31" s="24" t="str" cm="1">
        <f t="array" aca="1" ref="C31" ca="1">IF(OR(Formulas!E28=0,Formulas!E28="",RIGHT(Formulas!F28)="0"),"",
HYPERLINK("["&amp;Archivo_Nombre&amp;"]Datos!"&amp;LEFT(SUBSTITUTE(ADDRESS(1,IF(Formulas!E28=1,1,RIGHT(Formulas!F28)+2)),"$",""))&amp;Formulas!D28+1,
IFERROR(INDEX(Datos!$A$1:$L$1,1,RIGHT(Formulas!F28)+2)&amp;IF(Formulas!E28=1," "&amp;Formulas!D28,"")&amp;":","")))</f>
        <v/>
      </c>
      <c r="D31" s="107" t="str" cm="1">
        <f t="array" aca="1" ref="D31" ca="1">IF(OR(Formulas!E28=0,Formulas!E28="",RIGHT(Formulas!F28)="0"),"",
HYPERLINK("["&amp;Archivo_Nombre&amp;"]Datos!"&amp;LEFT(SUBSTITUTE(ADDRESS(1,RIGHT(Formulas!F28)+2),"$",""))&amp;Formulas!D28+1,
IFERROR(INDEX(Datos!$A$2:$L$101,Formulas!D28,RIGHT(Formulas!F28)+2),"")))</f>
        <v/>
      </c>
      <c r="E31" s="107" t="str" cm="1">
        <f t="array" aca="1" ref="E31" ca="1">IF(OR(Formulas!F29=0,Formulas!F29=""),"",HYPERLINK("["&amp;Archivo_Nombre&amp;"]Datos!"&amp;LEFT(SUBSTITUTE(ADDRESS(1,Formulas!F29+2),"$",""))&amp;Formulas!E29+1,
IFERROR(INDEX(Datos!$A$2:$L$101,Formulas!E29,Formulas!F29+2),"")))</f>
        <v/>
      </c>
      <c r="F31" s="5"/>
      <c r="G31" s="6"/>
      <c r="H31" s="24" t="str" cm="1">
        <f t="array" aca="1" ref="H31" ca="1">IF(OR(Formulas!J28=0,Formulas!J28="",RIGHT(Formulas!K28)="0"),"",
HYPERLINK("["&amp;Archivo_Nombre&amp;"]Datos!"&amp;LEFT(SUBSTITUTE(ADDRESS(1,IF(Formulas!J28=1,1,RIGHT(Formulas!K28)+2)),"$",""))&amp;Formulas!I28+1,
IFERROR(INDEX(Datos!$A$1:$L$1,1,RIGHT(Formulas!K28)+2)&amp;IF(Formulas!J28=1," "&amp;Formulas!I28,"")&amp;":","")))</f>
        <v>Final:</v>
      </c>
      <c r="I31" s="107" cm="1">
        <f t="array" aca="1" ref="I31" ca="1">IF(OR(Formulas!J28=0,Formulas!J28="",RIGHT(Formulas!K28)="0"),"",
HYPERLINK("["&amp;Archivo_Nombre&amp;"]Datos!"&amp;LEFT(SUBSTITUTE(ADDRESS(1,RIGHT(Formulas!K28)+2),"$",""))&amp;Formulas!I28+1,
IFERROR(INDEX(Datos!$A$2:$L$101,Formulas!I28,RIGHT(Formulas!K28)+2),"")))</f>
        <v>0</v>
      </c>
      <c r="J31" s="107" t="e" cm="1">
        <f t="array" aca="1" ref="J31" ca="1">IF(OR(Formulas!K29=0,Formulas!K29=""),"",HYPERLINK("["&amp;Archivo_Nombre&amp;"]Datos!"&amp;LEFT(SUBSTITUTE(ADDRESS(1,Formulas!K29+2),"$",""))&amp;Formulas!J29+1,
IFERROR(INDEX(Datos!$A$2:$L$101,Formulas!J29,Formulas!K29+2),"")))</f>
        <v>#VALUE!</v>
      </c>
      <c r="K31" s="5"/>
      <c r="L31" s="6"/>
      <c r="M31" s="24" t="str" cm="1">
        <f t="array" aca="1" ref="M31" ca="1">IF(OR(Formulas!O28=0,Formulas!O28="",RIGHT(Formulas!P28)="0"),"",
HYPERLINK("["&amp;Archivo_Nombre&amp;"]Datos!"&amp;LEFT(SUBSTITUTE(ADDRESS(1,IF(Formulas!O28=1,1,RIGHT(Formulas!P28)+2)),"$",""))&amp;Formulas!N28+1,
IFERROR(INDEX(Datos!$A$1:$L$1,1,RIGHT(Formulas!P28)+2)&amp;IF(Formulas!O28=1," "&amp;Formulas!N28,"")&amp;":","")))</f>
        <v/>
      </c>
      <c r="N31" s="107" t="str" cm="1">
        <f t="array" aca="1" ref="N31" ca="1">IF(OR(Formulas!O28=0,Formulas!O28="",RIGHT(Formulas!P28)="0"),"",
HYPERLINK("["&amp;Archivo_Nombre&amp;"]Datos!"&amp;LEFT(SUBSTITUTE(ADDRESS(1,RIGHT(Formulas!P28)+2),"$",""))&amp;Formulas!N28+1,
IFERROR(INDEX(Datos!$A$2:$L$101,Formulas!N28,RIGHT(Formulas!P28)+2),"")))</f>
        <v/>
      </c>
      <c r="O31" s="107" t="str" cm="1">
        <f t="array" aca="1" ref="O31" ca="1">IF(OR(Formulas!P29=0,Formulas!P29=""),"",HYPERLINK("["&amp;Archivo_Nombre&amp;"]Datos!"&amp;LEFT(SUBSTITUTE(ADDRESS(1,Formulas!P29+2),"$",""))&amp;Formulas!O29+1,
IFERROR(INDEX(Datos!$A$2:$L$101,Formulas!O29,Formulas!P29+2),"")))</f>
        <v/>
      </c>
      <c r="P31" s="5"/>
      <c r="Q31" s="6"/>
      <c r="R31" s="24" t="str" cm="1">
        <f t="array" aca="1" ref="R31" ca="1">IF(OR(Formulas!T28=0,Formulas!T28="",RIGHT(Formulas!U28)="0"),"",
HYPERLINK("["&amp;Archivo_Nombre&amp;"]Datos!"&amp;LEFT(SUBSTITUTE(ADDRESS(1,IF(Formulas!T28=1,1,RIGHT(Formulas!U28)+2)),"$",""))&amp;Formulas!S28+1,
IFERROR(INDEX(Datos!$A$1:$L$1,1,RIGHT(Formulas!U28)+2)&amp;IF(Formulas!T28=1," "&amp;Formulas!S28,"")&amp;":","")))</f>
        <v>Final:</v>
      </c>
      <c r="S31" s="107" cm="1">
        <f t="array" aca="1" ref="S31" ca="1">IF(OR(Formulas!T28=0,Formulas!T28="",RIGHT(Formulas!U28)="0"),"",
HYPERLINK("["&amp;Archivo_Nombre&amp;"]Datos!"&amp;LEFT(SUBSTITUTE(ADDRESS(1,RIGHT(Formulas!U28)+2),"$",""))&amp;Formulas!S28+1,
IFERROR(INDEX(Datos!$A$2:$L$101,Formulas!S28,RIGHT(Formulas!U28)+2),"")))</f>
        <v>45822</v>
      </c>
      <c r="T31" s="107" t="e" cm="1">
        <f t="array" aca="1" ref="T31" ca="1">IF(OR(Formulas!U29=0,Formulas!U29=""),"",HYPERLINK("["&amp;Archivo_Nombre&amp;"]Datos!"&amp;LEFT(SUBSTITUTE(ADDRESS(1,Formulas!U29+2),"$",""))&amp;Formulas!T29+1,
IFERROR(INDEX(Datos!$A$2:$L$101,Formulas!T29,Formulas!U29+2),"")))</f>
        <v>#VALUE!</v>
      </c>
      <c r="U31" s="5"/>
      <c r="V31" s="6"/>
      <c r="W31" s="24" t="str" cm="1">
        <f t="array" aca="1" ref="W31" ca="1">IF(OR(Formulas!Y28=0,Formulas!Y28="",RIGHT(Formulas!Z28)="0"),"",
HYPERLINK("["&amp;Archivo_Nombre&amp;"]Datos!"&amp;LEFT(SUBSTITUTE(ADDRESS(1,IF(Formulas!Y28=1,1,RIGHT(Formulas!Z28)+2)),"$",""))&amp;Formulas!X28+1,
IFERROR(INDEX(Datos!$A$1:$L$1,1,RIGHT(Formulas!Z28)+2)&amp;IF(Formulas!Y28=1," "&amp;Formulas!X28,"")&amp;":","")))</f>
        <v/>
      </c>
      <c r="X31" s="107" t="str" cm="1">
        <f t="array" aca="1" ref="X31" ca="1">IF(OR(Formulas!Y28=0,Formulas!Y28="",RIGHT(Formulas!Z28)="0"),"",
HYPERLINK("["&amp;Archivo_Nombre&amp;"]Datos!"&amp;LEFT(SUBSTITUTE(ADDRESS(1,RIGHT(Formulas!Z28)+2),"$",""))&amp;Formulas!X28+1,
IFERROR(INDEX(Datos!$A$2:$L$101,Formulas!X28,RIGHT(Formulas!Z28)+2),"")))</f>
        <v/>
      </c>
      <c r="Y31" s="107" t="str" cm="1">
        <f t="array" aca="1" ref="Y31" ca="1">IF(OR(Formulas!Z29=0,Formulas!Z29=""),"",HYPERLINK("["&amp;Archivo_Nombre&amp;"]Datos!"&amp;LEFT(SUBSTITUTE(ADDRESS(1,Formulas!Z29+2),"$",""))&amp;Formulas!Y29+1,
IFERROR(INDEX(Datos!$A$2:$L$101,Formulas!Y29,Formulas!Z29+2),"")))</f>
        <v/>
      </c>
      <c r="Z31" s="13"/>
      <c r="AA31" s="6"/>
      <c r="AB31" s="24" t="str" cm="1">
        <f t="array" aca="1" ref="AB31" ca="1">IF(OR(Formulas!AD28=0,Formulas!AD28="",RIGHT(Formulas!AE28)="0"),"",
HYPERLINK("["&amp;Archivo_Nombre&amp;"]Datos!"&amp;LEFT(SUBSTITUTE(ADDRESS(1,IF(Formulas!AD28=1,1,RIGHT(Formulas!AE28)+2)),"$",""))&amp;Formulas!AC28+1,
IFERROR(INDEX(Datos!$A$1:$L$1,1,RIGHT(Formulas!AE28)+2)&amp;IF(Formulas!AD28=1," "&amp;Formulas!AC28,"")&amp;":","")))</f>
        <v/>
      </c>
      <c r="AC31" s="107" t="str" cm="1">
        <f t="array" aca="1" ref="AC31" ca="1">IF(OR(Formulas!AD28=0,Formulas!AD28="",RIGHT(Formulas!AE28)="0"),"",
HYPERLINK("["&amp;Archivo_Nombre&amp;"]Datos!"&amp;LEFT(SUBSTITUTE(ADDRESS(1,RIGHT(Formulas!AE28)+2),"$",""))&amp;Formulas!AC28+1,
IFERROR(INDEX(Datos!$A$2:$L$101,Formulas!AC28,RIGHT(Formulas!AE28)+2),"")))</f>
        <v/>
      </c>
      <c r="AD31" s="107" t="str" cm="1">
        <f t="array" aca="1" ref="AD31" ca="1">IF(OR(Formulas!AE29=0,Formulas!AE29=""),"",HYPERLINK("["&amp;Archivo_Nombre&amp;"]Datos!"&amp;LEFT(SUBSTITUTE(ADDRESS(1,Formulas!AE29+2),"$",""))&amp;Formulas!AD29+1,
IFERROR(INDEX(Datos!$A$2:$L$101,Formulas!AD29,Formulas!AE29+2),"")))</f>
        <v/>
      </c>
      <c r="AE31" s="13"/>
      <c r="AF31" s="6"/>
      <c r="AG31" s="24" t="str" cm="1">
        <f t="array" aca="1" ref="AG31" ca="1">IF(OR(Formulas!AI28=0,Formulas!AI28="",RIGHT(Formulas!AJ28)="0"),"",
HYPERLINK("["&amp;Archivo_Nombre&amp;"]Datos!"&amp;LEFT(SUBSTITUTE(ADDRESS(1,IF(Formulas!AI28=1,1,RIGHT(Formulas!AJ28)+2)),"$",""))&amp;Formulas!AH28+1,
IFERROR(INDEX(Datos!$A$1:$L$1,1,RIGHT(Formulas!AJ28)+2)&amp;IF(Formulas!AI28=1," "&amp;Formulas!AH28,"")&amp;":","")))</f>
        <v/>
      </c>
      <c r="AH31" s="107" t="str" cm="1">
        <f t="array" aca="1" ref="AH31" ca="1">IF(OR(Formulas!AI28=0,Formulas!AI28="",RIGHT(Formulas!AJ28)="0"),"",
HYPERLINK("["&amp;Archivo_Nombre&amp;"]Datos!"&amp;LEFT(SUBSTITUTE(ADDRESS(1,RIGHT(Formulas!AJ28)+2),"$",""))&amp;Formulas!AH28+1,
IFERROR(INDEX(Datos!$A$2:$L$101,Formulas!AH28,RIGHT(Formulas!AJ28)+2),"")))</f>
        <v/>
      </c>
      <c r="AI31" s="107" t="str" cm="1">
        <f t="array" aca="1" ref="AI31" ca="1">IF(OR(Formulas!AJ29=0,Formulas!AJ29=""),"",HYPERLINK("["&amp;Archivo_Nombre&amp;"]Datos!"&amp;LEFT(SUBSTITUTE(ADDRESS(1,Formulas!AJ29+2),"$",""))&amp;Formulas!AI29+1,
IFERROR(INDEX(Datos!$A$2:$L$101,Formulas!AI29,Formulas!AJ29+2),"")))</f>
        <v/>
      </c>
      <c r="AJ31" s="13"/>
      <c r="AK31" s="6"/>
      <c r="AL31" s="24" t="str" cm="1">
        <f t="array" aca="1" ref="AL31" ca="1">IF(OR(Formulas!AN28=0,Formulas!AN28="",RIGHT(Formulas!AO28)="0"),"",
HYPERLINK("["&amp;Archivo_Nombre&amp;"]Datos!"&amp;LEFT(SUBSTITUTE(ADDRESS(1,IF(Formulas!AN28=1,1,RIGHT(Formulas!AO28)+2)),"$",""))&amp;Formulas!AM28+1,
IFERROR(INDEX(Datos!$A$1:$L$1,1,RIGHT(Formulas!AO28)+2)&amp;IF(Formulas!AN28=1," "&amp;Formulas!AM28,"")&amp;":","")))</f>
        <v/>
      </c>
      <c r="AM31" s="107" t="str" cm="1">
        <f t="array" aca="1" ref="AM31" ca="1">IF(OR(Formulas!AN28=0,Formulas!AN28="",RIGHT(Formulas!AO28)="0"),"",
HYPERLINK("["&amp;Archivo_Nombre&amp;"]Datos!"&amp;LEFT(SUBSTITUTE(ADDRESS(1,RIGHT(Formulas!AO28)+2),"$",""))&amp;Formulas!AM28+1,
IFERROR(INDEX(Datos!$A$2:$L$101,Formulas!AM28,RIGHT(Formulas!AO28)+2),"")))</f>
        <v/>
      </c>
      <c r="AN31" s="107" t="str" cm="1">
        <f t="array" aca="1" ref="AN31" ca="1">IF(OR(Formulas!AO29=0,Formulas!AO29=""),"",HYPERLINK("["&amp;Archivo_Nombre&amp;"]Datos!"&amp;LEFT(SUBSTITUTE(ADDRESS(1,Formulas!AO29+2),"$",""))&amp;Formulas!AN29+1,
IFERROR(INDEX(Datos!$A$2:$L$101,Formulas!AN29,Formulas!AO29+2),"")))</f>
        <v/>
      </c>
      <c r="AO31" s="13"/>
      <c r="AP31" s="6"/>
      <c r="AQ31" s="24" t="str" cm="1">
        <f t="array" aca="1" ref="AQ31" ca="1">IF(OR(Formulas!AS28=0,Formulas!AS28="",RIGHT(Formulas!AT28)="0"),"",
HYPERLINK("["&amp;Archivo_Nombre&amp;"]Datos!"&amp;LEFT(SUBSTITUTE(ADDRESS(1,IF(Formulas!AS28=1,1,RIGHT(Formulas!AT28)+2)),"$",""))&amp;Formulas!AR28+1,
IFERROR(INDEX(Datos!$A$1:$L$1,1,RIGHT(Formulas!AT28)+2)&amp;IF(Formulas!AS28=1," "&amp;Formulas!AR28,"")&amp;":","")))</f>
        <v/>
      </c>
      <c r="AR31" s="107" t="str" cm="1">
        <f t="array" aca="1" ref="AR31" ca="1">IF(OR(Formulas!AS28=0,Formulas!AS28="",RIGHT(Formulas!AT28)="0"),"",
HYPERLINK("["&amp;Archivo_Nombre&amp;"]Datos!"&amp;LEFT(SUBSTITUTE(ADDRESS(1,RIGHT(Formulas!AT28)+2),"$",""))&amp;Formulas!AR28+1,
IFERROR(INDEX(Datos!$A$2:$L$101,Formulas!AR28,RIGHT(Formulas!AT28)+2),"")))</f>
        <v/>
      </c>
      <c r="AS31" s="107" t="str" cm="1">
        <f t="array" aca="1" ref="AS31" ca="1">IF(OR(Formulas!AT29=0,Formulas!AT29=""),"",HYPERLINK("["&amp;Archivo_Nombre&amp;"]Datos!"&amp;LEFT(SUBSTITUTE(ADDRESS(1,Formulas!AT29+2),"$",""))&amp;Formulas!AS29+1,
IFERROR(INDEX(Datos!$A$2:$L$101,Formulas!AS29,Formulas!AT29+2),"")))</f>
        <v/>
      </c>
      <c r="AT31" s="13"/>
      <c r="AU31" s="6"/>
      <c r="AV31" s="24" t="str" cm="1">
        <f t="array" aca="1" ref="AV31" ca="1">IF(OR(Formulas!AX28=0,Formulas!AX28="",RIGHT(Formulas!AY28)="0"),"",
HYPERLINK("["&amp;Archivo_Nombre&amp;"]Datos!"&amp;LEFT(SUBSTITUTE(ADDRESS(1,IF(Formulas!AX28=1,1,RIGHT(Formulas!AY28)+2)),"$",""))&amp;Formulas!AW28+1,
IFERROR(INDEX(Datos!$A$1:$L$1,1,RIGHT(Formulas!AY28)+2)&amp;IF(Formulas!AX28=1," "&amp;Formulas!AW28,"")&amp;":","")))</f>
        <v/>
      </c>
      <c r="AW31" s="107" t="str" cm="1">
        <f t="array" aca="1" ref="AW31" ca="1">IF(OR(Formulas!AX28=0,Formulas!AX28="",RIGHT(Formulas!AY28)="0"),"",
HYPERLINK("["&amp;Archivo_Nombre&amp;"]Datos!"&amp;LEFT(SUBSTITUTE(ADDRESS(1,RIGHT(Formulas!AY28)+2),"$",""))&amp;Formulas!AW28+1,
IFERROR(INDEX(Datos!$A$2:$L$101,Formulas!AW28,RIGHT(Formulas!AY28)+2),"")))</f>
        <v/>
      </c>
      <c r="AX31" s="107" t="str" cm="1">
        <f t="array" aca="1" ref="AX31" ca="1">IF(OR(Formulas!AY29=0,Formulas!AY29=""),"",HYPERLINK("["&amp;Archivo_Nombre&amp;"]Datos!"&amp;LEFT(SUBSTITUTE(ADDRESS(1,Formulas!AY29+2),"$",""))&amp;Formulas!AX29+1,
IFERROR(INDEX(Datos!$A$2:$L$101,Formulas!AX29,Formulas!AY29+2),"")))</f>
        <v/>
      </c>
      <c r="AY31" s="13"/>
    </row>
    <row r="32" spans="2:51" x14ac:dyDescent="0.25">
      <c r="B32" s="11"/>
      <c r="C32" s="24" t="str" cm="1">
        <f t="array" aca="1" ref="C32" ca="1">IF(OR(Formulas!E29=0,Formulas!E29="",RIGHT(Formulas!F29)="0"),"",
HYPERLINK("["&amp;Archivo_Nombre&amp;"]Datos!"&amp;LEFT(SUBSTITUTE(ADDRESS(1,IF(Formulas!E29=1,1,RIGHT(Formulas!F29)+2)),"$",""))&amp;Formulas!D29+1,
IFERROR(INDEX(Datos!$A$1:$L$1,1,RIGHT(Formulas!F29)+2)&amp;IF(Formulas!E29=1," "&amp;Formulas!D29,"")&amp;":","")))</f>
        <v/>
      </c>
      <c r="D32" s="107" t="str" cm="1">
        <f t="array" aca="1" ref="D32" ca="1">IF(OR(Formulas!E29=0,Formulas!E29="",RIGHT(Formulas!F29)="0"),"",
HYPERLINK("["&amp;Archivo_Nombre&amp;"]Datos!"&amp;LEFT(SUBSTITUTE(ADDRESS(1,RIGHT(Formulas!F29)+2),"$",""))&amp;Formulas!D29+1,
IFERROR(INDEX(Datos!$A$2:$L$101,Formulas!D29,RIGHT(Formulas!F29)+2),"")))</f>
        <v/>
      </c>
      <c r="E32" s="107" t="str" cm="1">
        <f t="array" aca="1" ref="E32" ca="1">IF(OR(Formulas!F30=0,Formulas!F30=""),"",HYPERLINK("["&amp;Archivo_Nombre&amp;"]Datos!"&amp;LEFT(SUBSTITUTE(ADDRESS(1,Formulas!F30+2),"$",""))&amp;Formulas!E30+1,
IFERROR(INDEX(Datos!$A$2:$L$101,Formulas!E30,Formulas!F30+2),"")))</f>
        <v/>
      </c>
      <c r="F32" s="5"/>
      <c r="G32" s="6"/>
      <c r="H32" s="24" t="str" cm="1">
        <f t="array" aca="1" ref="H32" ca="1">IF(OR(Formulas!J29=0,Formulas!J29="",RIGHT(Formulas!K29)="0"),"",
HYPERLINK("["&amp;Archivo_Nombre&amp;"]Datos!"&amp;LEFT(SUBSTITUTE(ADDRESS(1,IF(Formulas!J29=1,1,RIGHT(Formulas!K29)+2)),"$",""))&amp;Formulas!I29+1,
IFERROR(INDEX(Datos!$A$1:$L$1,1,RIGHT(Formulas!K29)+2)&amp;IF(Formulas!J29=1," "&amp;Formulas!I29,"")&amp;":","")))</f>
        <v>Duración:</v>
      </c>
      <c r="I32" s="107" t="str" cm="1">
        <f t="array" aca="1" ref="I32" ca="1">IF(OR(Formulas!J29=0,Formulas!J29="",RIGHT(Formulas!K29)="0"),"",
HYPERLINK("["&amp;Archivo_Nombre&amp;"]Datos!"&amp;LEFT(SUBSTITUTE(ADDRESS(1,RIGHT(Formulas!K29)+2),"$",""))&amp;Formulas!I29+1,
IFERROR(INDEX(Datos!$A$2:$L$101,Formulas!I29,RIGHT(Formulas!K29)+2),"")))</f>
        <v>4 días</v>
      </c>
      <c r="J32" s="107" t="e" cm="1">
        <f t="array" aca="1" ref="J32" ca="1">IF(OR(Formulas!K30=0,Formulas!K30=""),"",HYPERLINK("["&amp;Archivo_Nombre&amp;"]Datos!"&amp;LEFT(SUBSTITUTE(ADDRESS(1,Formulas!K30+2),"$",""))&amp;Formulas!J30+1,
IFERROR(INDEX(Datos!$A$2:$L$101,Formulas!J30,Formulas!K30+2),"")))</f>
        <v>#VALUE!</v>
      </c>
      <c r="K32" s="5"/>
      <c r="L32" s="6"/>
      <c r="M32" s="24" t="str" cm="1">
        <f t="array" aca="1" ref="M32" ca="1">IF(OR(Formulas!O29=0,Formulas!O29="",RIGHT(Formulas!P29)="0"),"",
HYPERLINK("["&amp;Archivo_Nombre&amp;"]Datos!"&amp;LEFT(SUBSTITUTE(ADDRESS(1,IF(Formulas!O29=1,1,RIGHT(Formulas!P29)+2)),"$",""))&amp;Formulas!N29+1,
IFERROR(INDEX(Datos!$A$1:$L$1,1,RIGHT(Formulas!P29)+2)&amp;IF(Formulas!O29=1," "&amp;Formulas!N29,"")&amp;":","")))</f>
        <v/>
      </c>
      <c r="N32" s="107" t="str" cm="1">
        <f t="array" aca="1" ref="N32" ca="1">IF(OR(Formulas!O29=0,Formulas!O29="",RIGHT(Formulas!P29)="0"),"",
HYPERLINK("["&amp;Archivo_Nombre&amp;"]Datos!"&amp;LEFT(SUBSTITUTE(ADDRESS(1,RIGHT(Formulas!P29)+2),"$",""))&amp;Formulas!N29+1,
IFERROR(INDEX(Datos!$A$2:$L$101,Formulas!N29,RIGHT(Formulas!P29)+2),"")))</f>
        <v/>
      </c>
      <c r="O32" s="107" t="str" cm="1">
        <f t="array" aca="1" ref="O32" ca="1">IF(OR(Formulas!P30=0,Formulas!P30=""),"",HYPERLINK("["&amp;Archivo_Nombre&amp;"]Datos!"&amp;LEFT(SUBSTITUTE(ADDRESS(1,Formulas!P30+2),"$",""))&amp;Formulas!O30+1,
IFERROR(INDEX(Datos!$A$2:$L$101,Formulas!O30,Formulas!P30+2),"")))</f>
        <v/>
      </c>
      <c r="P32" s="5"/>
      <c r="Q32" s="6"/>
      <c r="R32" s="24" t="str" cm="1">
        <f t="array" aca="1" ref="R32" ca="1">IF(OR(Formulas!T29=0,Formulas!T29="",RIGHT(Formulas!U29)="0"),"",
HYPERLINK("["&amp;Archivo_Nombre&amp;"]Datos!"&amp;LEFT(SUBSTITUTE(ADDRESS(1,IF(Formulas!T29=1,1,RIGHT(Formulas!U29)+2)),"$",""))&amp;Formulas!S29+1,
IFERROR(INDEX(Datos!$A$1:$L$1,1,RIGHT(Formulas!U29)+2)&amp;IF(Formulas!T29=1," "&amp;Formulas!S29,"")&amp;":","")))</f>
        <v>Duración:</v>
      </c>
      <c r="S32" s="107" t="str" cm="1">
        <f t="array" aca="1" ref="S32" ca="1">IF(OR(Formulas!T29=0,Formulas!T29="",RIGHT(Formulas!U29)="0"),"",
HYPERLINK("["&amp;Archivo_Nombre&amp;"]Datos!"&amp;LEFT(SUBSTITUTE(ADDRESS(1,RIGHT(Formulas!U29)+2),"$",""))&amp;Formulas!S29+1,
IFERROR(INDEX(Datos!$A$2:$L$101,Formulas!S29,RIGHT(Formulas!U29)+2),"")))</f>
        <v>2 días</v>
      </c>
      <c r="T32" s="107" t="e" cm="1">
        <f t="array" aca="1" ref="T32" ca="1">IF(OR(Formulas!U30=0,Formulas!U30=""),"",HYPERLINK("["&amp;Archivo_Nombre&amp;"]Datos!"&amp;LEFT(SUBSTITUTE(ADDRESS(1,Formulas!U30+2),"$",""))&amp;Formulas!T30+1,
IFERROR(INDEX(Datos!$A$2:$L$101,Formulas!T30,Formulas!U30+2),"")))</f>
        <v>#VALUE!</v>
      </c>
      <c r="U32" s="5"/>
      <c r="V32" s="6"/>
      <c r="W32" s="24" t="str" cm="1">
        <f t="array" aca="1" ref="W32" ca="1">IF(OR(Formulas!Y29=0,Formulas!Y29="",RIGHT(Formulas!Z29)="0"),"",
HYPERLINK("["&amp;Archivo_Nombre&amp;"]Datos!"&amp;LEFT(SUBSTITUTE(ADDRESS(1,IF(Formulas!Y29=1,1,RIGHT(Formulas!Z29)+2)),"$",""))&amp;Formulas!X29+1,
IFERROR(INDEX(Datos!$A$1:$L$1,1,RIGHT(Formulas!Z29)+2)&amp;IF(Formulas!Y29=1," "&amp;Formulas!X29,"")&amp;":","")))</f>
        <v/>
      </c>
      <c r="X32" s="107" t="str" cm="1">
        <f t="array" aca="1" ref="X32" ca="1">IF(OR(Formulas!Y29=0,Formulas!Y29="",RIGHT(Formulas!Z29)="0"),"",
HYPERLINK("["&amp;Archivo_Nombre&amp;"]Datos!"&amp;LEFT(SUBSTITUTE(ADDRESS(1,RIGHT(Formulas!Z29)+2),"$",""))&amp;Formulas!X29+1,
IFERROR(INDEX(Datos!$A$2:$L$101,Formulas!X29,RIGHT(Formulas!Z29)+2),"")))</f>
        <v/>
      </c>
      <c r="Y32" s="107" t="str" cm="1">
        <f t="array" aca="1" ref="Y32" ca="1">IF(OR(Formulas!Z30=0,Formulas!Z30=""),"",HYPERLINK("["&amp;Archivo_Nombre&amp;"]Datos!"&amp;LEFT(SUBSTITUTE(ADDRESS(1,Formulas!Z30+2),"$",""))&amp;Formulas!Y30+1,
IFERROR(INDEX(Datos!$A$2:$L$101,Formulas!Y30,Formulas!Z30+2),"")))</f>
        <v/>
      </c>
      <c r="Z32" s="13"/>
      <c r="AA32" s="6"/>
      <c r="AB32" s="24" t="str" cm="1">
        <f t="array" aca="1" ref="AB32" ca="1">IF(OR(Formulas!AD29=0,Formulas!AD29="",RIGHT(Formulas!AE29)="0"),"",
HYPERLINK("["&amp;Archivo_Nombre&amp;"]Datos!"&amp;LEFT(SUBSTITUTE(ADDRESS(1,IF(Formulas!AD29=1,1,RIGHT(Formulas!AE29)+2)),"$",""))&amp;Formulas!AC29+1,
IFERROR(INDEX(Datos!$A$1:$L$1,1,RIGHT(Formulas!AE29)+2)&amp;IF(Formulas!AD29=1," "&amp;Formulas!AC29,"")&amp;":","")))</f>
        <v/>
      </c>
      <c r="AC32" s="107" t="str" cm="1">
        <f t="array" aca="1" ref="AC32" ca="1">IF(OR(Formulas!AD29=0,Formulas!AD29="",RIGHT(Formulas!AE29)="0"),"",
HYPERLINK("["&amp;Archivo_Nombre&amp;"]Datos!"&amp;LEFT(SUBSTITUTE(ADDRESS(1,RIGHT(Formulas!AE29)+2),"$",""))&amp;Formulas!AC29+1,
IFERROR(INDEX(Datos!$A$2:$L$101,Formulas!AC29,RIGHT(Formulas!AE29)+2),"")))</f>
        <v/>
      </c>
      <c r="AD32" s="107" t="str" cm="1">
        <f t="array" aca="1" ref="AD32" ca="1">IF(OR(Formulas!AE30=0,Formulas!AE30=""),"",HYPERLINK("["&amp;Archivo_Nombre&amp;"]Datos!"&amp;LEFT(SUBSTITUTE(ADDRESS(1,Formulas!AE30+2),"$",""))&amp;Formulas!AD30+1,
IFERROR(INDEX(Datos!$A$2:$L$101,Formulas!AD30,Formulas!AE30+2),"")))</f>
        <v/>
      </c>
      <c r="AE32" s="13"/>
      <c r="AF32" s="6"/>
      <c r="AG32" s="24" t="str" cm="1">
        <f t="array" aca="1" ref="AG32" ca="1">IF(OR(Formulas!AI29=0,Formulas!AI29="",RIGHT(Formulas!AJ29)="0"),"",
HYPERLINK("["&amp;Archivo_Nombre&amp;"]Datos!"&amp;LEFT(SUBSTITUTE(ADDRESS(1,IF(Formulas!AI29=1,1,RIGHT(Formulas!AJ29)+2)),"$",""))&amp;Formulas!AH29+1,
IFERROR(INDEX(Datos!$A$1:$L$1,1,RIGHT(Formulas!AJ29)+2)&amp;IF(Formulas!AI29=1," "&amp;Formulas!AH29,"")&amp;":","")))</f>
        <v/>
      </c>
      <c r="AH32" s="107" t="str" cm="1">
        <f t="array" aca="1" ref="AH32" ca="1">IF(OR(Formulas!AI29=0,Formulas!AI29="",RIGHT(Formulas!AJ29)="0"),"",
HYPERLINK("["&amp;Archivo_Nombre&amp;"]Datos!"&amp;LEFT(SUBSTITUTE(ADDRESS(1,RIGHT(Formulas!AJ29)+2),"$",""))&amp;Formulas!AH29+1,
IFERROR(INDEX(Datos!$A$2:$L$101,Formulas!AH29,RIGHT(Formulas!AJ29)+2),"")))</f>
        <v/>
      </c>
      <c r="AI32" s="107" t="str" cm="1">
        <f t="array" aca="1" ref="AI32" ca="1">IF(OR(Formulas!AJ30=0,Formulas!AJ30=""),"",HYPERLINK("["&amp;Archivo_Nombre&amp;"]Datos!"&amp;LEFT(SUBSTITUTE(ADDRESS(1,Formulas!AJ30+2),"$",""))&amp;Formulas!AI30+1,
IFERROR(INDEX(Datos!$A$2:$L$101,Formulas!AI30,Formulas!AJ30+2),"")))</f>
        <v/>
      </c>
      <c r="AJ32" s="13"/>
      <c r="AK32" s="6"/>
      <c r="AL32" s="24" t="str" cm="1">
        <f t="array" aca="1" ref="AL32" ca="1">IF(OR(Formulas!AN29=0,Formulas!AN29="",RIGHT(Formulas!AO29)="0"),"",
HYPERLINK("["&amp;Archivo_Nombre&amp;"]Datos!"&amp;LEFT(SUBSTITUTE(ADDRESS(1,IF(Formulas!AN29=1,1,RIGHT(Formulas!AO29)+2)),"$",""))&amp;Formulas!AM29+1,
IFERROR(INDEX(Datos!$A$1:$L$1,1,RIGHT(Formulas!AO29)+2)&amp;IF(Formulas!AN29=1," "&amp;Formulas!AM29,"")&amp;":","")))</f>
        <v/>
      </c>
      <c r="AM32" s="107" t="str" cm="1">
        <f t="array" aca="1" ref="AM32" ca="1">IF(OR(Formulas!AN29=0,Formulas!AN29="",RIGHT(Formulas!AO29)="0"),"",
HYPERLINK("["&amp;Archivo_Nombre&amp;"]Datos!"&amp;LEFT(SUBSTITUTE(ADDRESS(1,RIGHT(Formulas!AO29)+2),"$",""))&amp;Formulas!AM29+1,
IFERROR(INDEX(Datos!$A$2:$L$101,Formulas!AM29,RIGHT(Formulas!AO29)+2),"")))</f>
        <v/>
      </c>
      <c r="AN32" s="107" t="str" cm="1">
        <f t="array" aca="1" ref="AN32" ca="1">IF(OR(Formulas!AO30=0,Formulas!AO30=""),"",HYPERLINK("["&amp;Archivo_Nombre&amp;"]Datos!"&amp;LEFT(SUBSTITUTE(ADDRESS(1,Formulas!AO30+2),"$",""))&amp;Formulas!AN30+1,
IFERROR(INDEX(Datos!$A$2:$L$101,Formulas!AN30,Formulas!AO30+2),"")))</f>
        <v/>
      </c>
      <c r="AO32" s="13"/>
      <c r="AP32" s="6"/>
      <c r="AQ32" s="24" t="str" cm="1">
        <f t="array" aca="1" ref="AQ32" ca="1">IF(OR(Formulas!AS29=0,Formulas!AS29="",RIGHT(Formulas!AT29)="0"),"",
HYPERLINK("["&amp;Archivo_Nombre&amp;"]Datos!"&amp;LEFT(SUBSTITUTE(ADDRESS(1,IF(Formulas!AS29=1,1,RIGHT(Formulas!AT29)+2)),"$",""))&amp;Formulas!AR29+1,
IFERROR(INDEX(Datos!$A$1:$L$1,1,RIGHT(Formulas!AT29)+2)&amp;IF(Formulas!AS29=1," "&amp;Formulas!AR29,"")&amp;":","")))</f>
        <v/>
      </c>
      <c r="AR32" s="107" t="str" cm="1">
        <f t="array" aca="1" ref="AR32" ca="1">IF(OR(Formulas!AS29=0,Formulas!AS29="",RIGHT(Formulas!AT29)="0"),"",
HYPERLINK("["&amp;Archivo_Nombre&amp;"]Datos!"&amp;LEFT(SUBSTITUTE(ADDRESS(1,RIGHT(Formulas!AT29)+2),"$",""))&amp;Formulas!AR29+1,
IFERROR(INDEX(Datos!$A$2:$L$101,Formulas!AR29,RIGHT(Formulas!AT29)+2),"")))</f>
        <v/>
      </c>
      <c r="AS32" s="107" t="str" cm="1">
        <f t="array" aca="1" ref="AS32" ca="1">IF(OR(Formulas!AT30=0,Formulas!AT30=""),"",HYPERLINK("["&amp;Archivo_Nombre&amp;"]Datos!"&amp;LEFT(SUBSTITUTE(ADDRESS(1,Formulas!AT30+2),"$",""))&amp;Formulas!AS30+1,
IFERROR(INDEX(Datos!$A$2:$L$101,Formulas!AS30,Formulas!AT30+2),"")))</f>
        <v/>
      </c>
      <c r="AT32" s="13"/>
      <c r="AU32" s="6"/>
      <c r="AV32" s="24" t="str" cm="1">
        <f t="array" aca="1" ref="AV32" ca="1">IF(OR(Formulas!AX29=0,Formulas!AX29="",RIGHT(Formulas!AY29)="0"),"",
HYPERLINK("["&amp;Archivo_Nombre&amp;"]Datos!"&amp;LEFT(SUBSTITUTE(ADDRESS(1,IF(Formulas!AX29=1,1,RIGHT(Formulas!AY29)+2)),"$",""))&amp;Formulas!AW29+1,
IFERROR(INDEX(Datos!$A$1:$L$1,1,RIGHT(Formulas!AY29)+2)&amp;IF(Formulas!AX29=1," "&amp;Formulas!AW29,"")&amp;":","")))</f>
        <v/>
      </c>
      <c r="AW32" s="107" t="str" cm="1">
        <f t="array" aca="1" ref="AW32" ca="1">IF(OR(Formulas!AX29=0,Formulas!AX29="",RIGHT(Formulas!AY29)="0"),"",
HYPERLINK("["&amp;Archivo_Nombre&amp;"]Datos!"&amp;LEFT(SUBSTITUTE(ADDRESS(1,RIGHT(Formulas!AY29)+2),"$",""))&amp;Formulas!AW29+1,
IFERROR(INDEX(Datos!$A$2:$L$101,Formulas!AW29,RIGHT(Formulas!AY29)+2),"")))</f>
        <v/>
      </c>
      <c r="AX32" s="107" t="str" cm="1">
        <f t="array" aca="1" ref="AX32" ca="1">IF(OR(Formulas!AY30=0,Formulas!AY30=""),"",HYPERLINK("["&amp;Archivo_Nombre&amp;"]Datos!"&amp;LEFT(SUBSTITUTE(ADDRESS(1,Formulas!AY30+2),"$",""))&amp;Formulas!AX30+1,
IFERROR(INDEX(Datos!$A$2:$L$101,Formulas!AX30,Formulas!AY30+2),"")))</f>
        <v/>
      </c>
      <c r="AY32" s="13"/>
    </row>
    <row r="33" spans="2:51" x14ac:dyDescent="0.25">
      <c r="B33" s="11"/>
      <c r="C33" s="24" t="str" cm="1">
        <f t="array" aca="1" ref="C33" ca="1">IF(OR(Formulas!E30=0,Formulas!E30="",RIGHT(Formulas!F30)="0"),"",
HYPERLINK("["&amp;Archivo_Nombre&amp;"]Datos!"&amp;LEFT(SUBSTITUTE(ADDRESS(1,IF(Formulas!E30=1,1,RIGHT(Formulas!F30)+2)),"$",""))&amp;Formulas!D30+1,
IFERROR(INDEX(Datos!$A$1:$L$1,1,RIGHT(Formulas!F30)+2)&amp;IF(Formulas!E30=1," "&amp;Formulas!D30,"")&amp;":","")))</f>
        <v/>
      </c>
      <c r="D33" s="107" t="str" cm="1">
        <f t="array" aca="1" ref="D33" ca="1">IF(OR(Formulas!E30=0,Formulas!E30="",RIGHT(Formulas!F30)="0"),"",
HYPERLINK("["&amp;Archivo_Nombre&amp;"]Datos!"&amp;LEFT(SUBSTITUTE(ADDRESS(1,RIGHT(Formulas!F30)+2),"$",""))&amp;Formulas!D30+1,
IFERROR(INDEX(Datos!$A$2:$L$101,Formulas!D30,RIGHT(Formulas!F30)+2),"")))</f>
        <v/>
      </c>
      <c r="E33" s="107" t="str" cm="1">
        <f t="array" aca="1" ref="E33" ca="1">IF(OR(Formulas!F31=0,Formulas!F31=""),"",HYPERLINK("["&amp;Archivo_Nombre&amp;"]Datos!"&amp;LEFT(SUBSTITUTE(ADDRESS(1,Formulas!F31+2),"$",""))&amp;Formulas!E31+1,
IFERROR(INDEX(Datos!$A$2:$L$101,Formulas!E31,Formulas!F31+2),"")))</f>
        <v/>
      </c>
      <c r="F33" s="5"/>
      <c r="G33" s="6"/>
      <c r="H33" s="24" t="str" cm="1">
        <f t="array" aca="1" ref="H33" ca="1">IF(OR(Formulas!J30=0,Formulas!J30="",RIGHT(Formulas!K30)="0"),"",
HYPERLINK("["&amp;Archivo_Nombre&amp;"]Datos!"&amp;LEFT(SUBSTITUTE(ADDRESS(1,IF(Formulas!J30=1,1,RIGHT(Formulas!K30)+2)),"$",""))&amp;Formulas!I30+1,
IFERROR(INDEX(Datos!$A$1:$L$1,1,RIGHT(Formulas!K30)+2)&amp;IF(Formulas!J30=1," "&amp;Formulas!I30,"")&amp;":","")))</f>
        <v>Retraso:</v>
      </c>
      <c r="I33" s="107" t="str" cm="1">
        <f t="array" aca="1" ref="I33" ca="1">IF(OR(Formulas!J30=0,Formulas!J30="",RIGHT(Formulas!K30)="0"),"",
HYPERLINK("["&amp;Archivo_Nombre&amp;"]Datos!"&amp;LEFT(SUBSTITUTE(ADDRESS(1,RIGHT(Formulas!K30)+2),"$",""))&amp;Formulas!I30+1,
IFERROR(INDEX(Datos!$A$2:$L$101,Formulas!I30,RIGHT(Formulas!K30)+2),"")))</f>
        <v>0 días</v>
      </c>
      <c r="J33" s="107" t="e" cm="1">
        <f t="array" aca="1" ref="J33" ca="1">IF(OR(Formulas!K31=0,Formulas!K31=""),"",HYPERLINK("["&amp;Archivo_Nombre&amp;"]Datos!"&amp;LEFT(SUBSTITUTE(ADDRESS(1,Formulas!K31+2),"$",""))&amp;Formulas!J31+1,
IFERROR(INDEX(Datos!$A$2:$L$101,Formulas!J31,Formulas!K31+2),"")))</f>
        <v>#VALUE!</v>
      </c>
      <c r="K33" s="5"/>
      <c r="L33" s="6"/>
      <c r="M33" s="24" t="str" cm="1">
        <f t="array" aca="1" ref="M33" ca="1">IF(OR(Formulas!O30=0,Formulas!O30="",RIGHT(Formulas!P30)="0"),"",
HYPERLINK("["&amp;Archivo_Nombre&amp;"]Datos!"&amp;LEFT(SUBSTITUTE(ADDRESS(1,IF(Formulas!O30=1,1,RIGHT(Formulas!P30)+2)),"$",""))&amp;Formulas!N30+1,
IFERROR(INDEX(Datos!$A$1:$L$1,1,RIGHT(Formulas!P30)+2)&amp;IF(Formulas!O30=1," "&amp;Formulas!N30,"")&amp;":","")))</f>
        <v/>
      </c>
      <c r="N33" s="107" t="str" cm="1">
        <f t="array" aca="1" ref="N33" ca="1">IF(OR(Formulas!O30=0,Formulas!O30="",RIGHT(Formulas!P30)="0"),"",
HYPERLINK("["&amp;Archivo_Nombre&amp;"]Datos!"&amp;LEFT(SUBSTITUTE(ADDRESS(1,RIGHT(Formulas!P30)+2),"$",""))&amp;Formulas!N30+1,
IFERROR(INDEX(Datos!$A$2:$L$101,Formulas!N30,RIGHT(Formulas!P30)+2),"")))</f>
        <v/>
      </c>
      <c r="O33" s="107" t="str" cm="1">
        <f t="array" aca="1" ref="O33" ca="1">IF(OR(Formulas!P31=0,Formulas!P31=""),"",HYPERLINK("["&amp;Archivo_Nombre&amp;"]Datos!"&amp;LEFT(SUBSTITUTE(ADDRESS(1,Formulas!P31+2),"$",""))&amp;Formulas!O31+1,
IFERROR(INDEX(Datos!$A$2:$L$101,Formulas!O31,Formulas!P31+2),"")))</f>
        <v/>
      </c>
      <c r="P33" s="5"/>
      <c r="Q33" s="6"/>
      <c r="R33" s="24" t="str" cm="1">
        <f t="array" aca="1" ref="R33" ca="1">IF(OR(Formulas!T30=0,Formulas!T30="",RIGHT(Formulas!U30)="0"),"",
HYPERLINK("["&amp;Archivo_Nombre&amp;"]Datos!"&amp;LEFT(SUBSTITUTE(ADDRESS(1,IF(Formulas!T30=1,1,RIGHT(Formulas!U30)+2)),"$",""))&amp;Formulas!S30+1,
IFERROR(INDEX(Datos!$A$1:$L$1,1,RIGHT(Formulas!U30)+2)&amp;IF(Formulas!T30=1," "&amp;Formulas!S30,"")&amp;":","")))</f>
        <v>Retraso:</v>
      </c>
      <c r="S33" s="107" t="str" cm="1">
        <f t="array" aca="1" ref="S33" ca="1">IF(OR(Formulas!T30=0,Formulas!T30="",RIGHT(Formulas!U30)="0"),"",
HYPERLINK("["&amp;Archivo_Nombre&amp;"]Datos!"&amp;LEFT(SUBSTITUTE(ADDRESS(1,RIGHT(Formulas!U30)+2),"$",""))&amp;Formulas!S30+1,
IFERROR(INDEX(Datos!$A$2:$L$101,Formulas!S30,RIGHT(Formulas!U30)+2),"")))</f>
        <v>0 días</v>
      </c>
      <c r="T33" s="107" t="e" cm="1">
        <f t="array" aca="1" ref="T33" ca="1">IF(OR(Formulas!U31=0,Formulas!U31=""),"",HYPERLINK("["&amp;Archivo_Nombre&amp;"]Datos!"&amp;LEFT(SUBSTITUTE(ADDRESS(1,Formulas!U31+2),"$",""))&amp;Formulas!T31+1,
IFERROR(INDEX(Datos!$A$2:$L$101,Formulas!T31,Formulas!U31+2),"")))</f>
        <v>#VALUE!</v>
      </c>
      <c r="U33" s="5"/>
      <c r="V33" s="6"/>
      <c r="W33" s="24" t="str" cm="1">
        <f t="array" aca="1" ref="W33" ca="1">IF(OR(Formulas!Y30=0,Formulas!Y30="",RIGHT(Formulas!Z30)="0"),"",
HYPERLINK("["&amp;Archivo_Nombre&amp;"]Datos!"&amp;LEFT(SUBSTITUTE(ADDRESS(1,IF(Formulas!Y30=1,1,RIGHT(Formulas!Z30)+2)),"$",""))&amp;Formulas!X30+1,
IFERROR(INDEX(Datos!$A$1:$L$1,1,RIGHT(Formulas!Z30)+2)&amp;IF(Formulas!Y30=1," "&amp;Formulas!X30,"")&amp;":","")))</f>
        <v/>
      </c>
      <c r="X33" s="107" t="str" cm="1">
        <f t="array" aca="1" ref="X33" ca="1">IF(OR(Formulas!Y30=0,Formulas!Y30="",RIGHT(Formulas!Z30)="0"),"",
HYPERLINK("["&amp;Archivo_Nombre&amp;"]Datos!"&amp;LEFT(SUBSTITUTE(ADDRESS(1,RIGHT(Formulas!Z30)+2),"$",""))&amp;Formulas!X30+1,
IFERROR(INDEX(Datos!$A$2:$L$101,Formulas!X30,RIGHT(Formulas!Z30)+2),"")))</f>
        <v/>
      </c>
      <c r="Y33" s="107" t="str" cm="1">
        <f t="array" aca="1" ref="Y33" ca="1">IF(OR(Formulas!Z31=0,Formulas!Z31=""),"",HYPERLINK("["&amp;Archivo_Nombre&amp;"]Datos!"&amp;LEFT(SUBSTITUTE(ADDRESS(1,Formulas!Z31+2),"$",""))&amp;Formulas!Y31+1,
IFERROR(INDEX(Datos!$A$2:$L$101,Formulas!Y31,Formulas!Z31+2),"")))</f>
        <v/>
      </c>
      <c r="Z33" s="13"/>
      <c r="AA33" s="6"/>
      <c r="AB33" s="24" t="str" cm="1">
        <f t="array" aca="1" ref="AB33" ca="1">IF(OR(Formulas!AD30=0,Formulas!AD30="",RIGHT(Formulas!AE30)="0"),"",
HYPERLINK("["&amp;Archivo_Nombre&amp;"]Datos!"&amp;LEFT(SUBSTITUTE(ADDRESS(1,IF(Formulas!AD30=1,1,RIGHT(Formulas!AE30)+2)),"$",""))&amp;Formulas!AC30+1,
IFERROR(INDEX(Datos!$A$1:$L$1,1,RIGHT(Formulas!AE30)+2)&amp;IF(Formulas!AD30=1," "&amp;Formulas!AC30,"")&amp;":","")))</f>
        <v/>
      </c>
      <c r="AC33" s="107" t="str" cm="1">
        <f t="array" aca="1" ref="AC33" ca="1">IF(OR(Formulas!AD30=0,Formulas!AD30="",RIGHT(Formulas!AE30)="0"),"",
HYPERLINK("["&amp;Archivo_Nombre&amp;"]Datos!"&amp;LEFT(SUBSTITUTE(ADDRESS(1,RIGHT(Formulas!AE30)+2),"$",""))&amp;Formulas!AC30+1,
IFERROR(INDEX(Datos!$A$2:$L$101,Formulas!AC30,RIGHT(Formulas!AE30)+2),"")))</f>
        <v/>
      </c>
      <c r="AD33" s="107" t="str" cm="1">
        <f t="array" aca="1" ref="AD33" ca="1">IF(OR(Formulas!AE31=0,Formulas!AE31=""),"",HYPERLINK("["&amp;Archivo_Nombre&amp;"]Datos!"&amp;LEFT(SUBSTITUTE(ADDRESS(1,Formulas!AE31+2),"$",""))&amp;Formulas!AD31+1,
IFERROR(INDEX(Datos!$A$2:$L$101,Formulas!AD31,Formulas!AE31+2),"")))</f>
        <v/>
      </c>
      <c r="AE33" s="13"/>
      <c r="AF33" s="6"/>
      <c r="AG33" s="24" t="str" cm="1">
        <f t="array" aca="1" ref="AG33" ca="1">IF(OR(Formulas!AI30=0,Formulas!AI30="",RIGHT(Formulas!AJ30)="0"),"",
HYPERLINK("["&amp;Archivo_Nombre&amp;"]Datos!"&amp;LEFT(SUBSTITUTE(ADDRESS(1,IF(Formulas!AI30=1,1,RIGHT(Formulas!AJ30)+2)),"$",""))&amp;Formulas!AH30+1,
IFERROR(INDEX(Datos!$A$1:$L$1,1,RIGHT(Formulas!AJ30)+2)&amp;IF(Formulas!AI30=1," "&amp;Formulas!AH30,"")&amp;":","")))</f>
        <v/>
      </c>
      <c r="AH33" s="107" t="str" cm="1">
        <f t="array" aca="1" ref="AH33" ca="1">IF(OR(Formulas!AI30=0,Formulas!AI30="",RIGHT(Formulas!AJ30)="0"),"",
HYPERLINK("["&amp;Archivo_Nombre&amp;"]Datos!"&amp;LEFT(SUBSTITUTE(ADDRESS(1,RIGHT(Formulas!AJ30)+2),"$",""))&amp;Formulas!AH30+1,
IFERROR(INDEX(Datos!$A$2:$L$101,Formulas!AH30,RIGHT(Formulas!AJ30)+2),"")))</f>
        <v/>
      </c>
      <c r="AI33" s="107" t="str" cm="1">
        <f t="array" aca="1" ref="AI33" ca="1">IF(OR(Formulas!AJ31=0,Formulas!AJ31=""),"",HYPERLINK("["&amp;Archivo_Nombre&amp;"]Datos!"&amp;LEFT(SUBSTITUTE(ADDRESS(1,Formulas!AJ31+2),"$",""))&amp;Formulas!AI31+1,
IFERROR(INDEX(Datos!$A$2:$L$101,Formulas!AI31,Formulas!AJ31+2),"")))</f>
        <v/>
      </c>
      <c r="AJ33" s="13"/>
      <c r="AK33" s="6"/>
      <c r="AL33" s="24" t="str" cm="1">
        <f t="array" aca="1" ref="AL33" ca="1">IF(OR(Formulas!AN30=0,Formulas!AN30="",RIGHT(Formulas!AO30)="0"),"",
HYPERLINK("["&amp;Archivo_Nombre&amp;"]Datos!"&amp;LEFT(SUBSTITUTE(ADDRESS(1,IF(Formulas!AN30=1,1,RIGHT(Formulas!AO30)+2)),"$",""))&amp;Formulas!AM30+1,
IFERROR(INDEX(Datos!$A$1:$L$1,1,RIGHT(Formulas!AO30)+2)&amp;IF(Formulas!AN30=1," "&amp;Formulas!AM30,"")&amp;":","")))</f>
        <v/>
      </c>
      <c r="AM33" s="107" t="str" cm="1">
        <f t="array" aca="1" ref="AM33" ca="1">IF(OR(Formulas!AN30=0,Formulas!AN30="",RIGHT(Formulas!AO30)="0"),"",
HYPERLINK("["&amp;Archivo_Nombre&amp;"]Datos!"&amp;LEFT(SUBSTITUTE(ADDRESS(1,RIGHT(Formulas!AO30)+2),"$",""))&amp;Formulas!AM30+1,
IFERROR(INDEX(Datos!$A$2:$L$101,Formulas!AM30,RIGHT(Formulas!AO30)+2),"")))</f>
        <v/>
      </c>
      <c r="AN33" s="107" t="str" cm="1">
        <f t="array" aca="1" ref="AN33" ca="1">IF(OR(Formulas!AO31=0,Formulas!AO31=""),"",HYPERLINK("["&amp;Archivo_Nombre&amp;"]Datos!"&amp;LEFT(SUBSTITUTE(ADDRESS(1,Formulas!AO31+2),"$",""))&amp;Formulas!AN31+1,
IFERROR(INDEX(Datos!$A$2:$L$101,Formulas!AN31,Formulas!AO31+2),"")))</f>
        <v/>
      </c>
      <c r="AO33" s="13"/>
      <c r="AP33" s="6"/>
      <c r="AQ33" s="24" t="str" cm="1">
        <f t="array" aca="1" ref="AQ33" ca="1">IF(OR(Formulas!AS30=0,Formulas!AS30="",RIGHT(Formulas!AT30)="0"),"",
HYPERLINK("["&amp;Archivo_Nombre&amp;"]Datos!"&amp;LEFT(SUBSTITUTE(ADDRESS(1,IF(Formulas!AS30=1,1,RIGHT(Formulas!AT30)+2)),"$",""))&amp;Formulas!AR30+1,
IFERROR(INDEX(Datos!$A$1:$L$1,1,RIGHT(Formulas!AT30)+2)&amp;IF(Formulas!AS30=1," "&amp;Formulas!AR30,"")&amp;":","")))</f>
        <v/>
      </c>
      <c r="AR33" s="107" t="str" cm="1">
        <f t="array" aca="1" ref="AR33" ca="1">IF(OR(Formulas!AS30=0,Formulas!AS30="",RIGHT(Formulas!AT30)="0"),"",
HYPERLINK("["&amp;Archivo_Nombre&amp;"]Datos!"&amp;LEFT(SUBSTITUTE(ADDRESS(1,RIGHT(Formulas!AT30)+2),"$",""))&amp;Formulas!AR30+1,
IFERROR(INDEX(Datos!$A$2:$L$101,Formulas!AR30,RIGHT(Formulas!AT30)+2),"")))</f>
        <v/>
      </c>
      <c r="AS33" s="107" t="str" cm="1">
        <f t="array" aca="1" ref="AS33" ca="1">IF(OR(Formulas!AT31=0,Formulas!AT31=""),"",HYPERLINK("["&amp;Archivo_Nombre&amp;"]Datos!"&amp;LEFT(SUBSTITUTE(ADDRESS(1,Formulas!AT31+2),"$",""))&amp;Formulas!AS31+1,
IFERROR(INDEX(Datos!$A$2:$L$101,Formulas!AS31,Formulas!AT31+2),"")))</f>
        <v/>
      </c>
      <c r="AT33" s="13"/>
      <c r="AU33" s="6"/>
      <c r="AV33" s="24" t="str" cm="1">
        <f t="array" aca="1" ref="AV33" ca="1">IF(OR(Formulas!AX30=0,Formulas!AX30="",RIGHT(Formulas!AY30)="0"),"",
HYPERLINK("["&amp;Archivo_Nombre&amp;"]Datos!"&amp;LEFT(SUBSTITUTE(ADDRESS(1,IF(Formulas!AX30=1,1,RIGHT(Formulas!AY30)+2)),"$",""))&amp;Formulas!AW30+1,
IFERROR(INDEX(Datos!$A$1:$L$1,1,RIGHT(Formulas!AY30)+2)&amp;IF(Formulas!AX30=1," "&amp;Formulas!AW30,"")&amp;":","")))</f>
        <v/>
      </c>
      <c r="AW33" s="107" t="str" cm="1">
        <f t="array" aca="1" ref="AW33" ca="1">IF(OR(Formulas!AX30=0,Formulas!AX30="",RIGHT(Formulas!AY30)="0"),"",
HYPERLINK("["&amp;Archivo_Nombre&amp;"]Datos!"&amp;LEFT(SUBSTITUTE(ADDRESS(1,RIGHT(Formulas!AY30)+2),"$",""))&amp;Formulas!AW30+1,
IFERROR(INDEX(Datos!$A$2:$L$101,Formulas!AW30,RIGHT(Formulas!AY30)+2),"")))</f>
        <v/>
      </c>
      <c r="AX33" s="107" t="str" cm="1">
        <f t="array" aca="1" ref="AX33" ca="1">IF(OR(Formulas!AY31=0,Formulas!AY31=""),"",HYPERLINK("["&amp;Archivo_Nombre&amp;"]Datos!"&amp;LEFT(SUBSTITUTE(ADDRESS(1,Formulas!AY31+2),"$",""))&amp;Formulas!AX31+1,
IFERROR(INDEX(Datos!$A$2:$L$101,Formulas!AX31,Formulas!AY31+2),"")))</f>
        <v/>
      </c>
      <c r="AY33" s="13"/>
    </row>
    <row r="34" spans="2:51" x14ac:dyDescent="0.25">
      <c r="B34" s="11"/>
      <c r="C34" s="24" t="str" cm="1">
        <f t="array" aca="1" ref="C34" ca="1">IF(OR(Formulas!E31=0,Formulas!E31="",RIGHT(Formulas!F31)="0"),"",
HYPERLINK("["&amp;Archivo_Nombre&amp;"]Datos!"&amp;LEFT(SUBSTITUTE(ADDRESS(1,IF(Formulas!E31=1,1,RIGHT(Formulas!F31)+2)),"$",""))&amp;Formulas!D31+1,
IFERROR(INDEX(Datos!$A$1:$L$1,1,RIGHT(Formulas!F31)+2)&amp;IF(Formulas!E31=1," "&amp;Formulas!D31,"")&amp;":","")))</f>
        <v/>
      </c>
      <c r="D34" s="107" t="str" cm="1">
        <f t="array" aca="1" ref="D34" ca="1">IF(OR(Formulas!E31=0,Formulas!E31="",RIGHT(Formulas!F31)="0"),"",
HYPERLINK("["&amp;Archivo_Nombre&amp;"]Datos!"&amp;LEFT(SUBSTITUTE(ADDRESS(1,RIGHT(Formulas!F31)+2),"$",""))&amp;Formulas!D31+1,
IFERROR(INDEX(Datos!$A$2:$L$101,Formulas!D31,RIGHT(Formulas!F31)+2),"")))</f>
        <v/>
      </c>
      <c r="E34" s="107" t="str" cm="1">
        <f t="array" aca="1" ref="E34" ca="1">IF(OR(Formulas!F32=0,Formulas!F32=""),"",HYPERLINK("["&amp;Archivo_Nombre&amp;"]Datos!"&amp;LEFT(SUBSTITUTE(ADDRESS(1,Formulas!F32+2),"$",""))&amp;Formulas!E32+1,
IFERROR(INDEX(Datos!$A$2:$L$101,Formulas!E32,Formulas!F32+2),"")))</f>
        <v/>
      </c>
      <c r="F34" s="5"/>
      <c r="G34" s="6"/>
      <c r="H34" s="24" t="str" cm="1">
        <f t="array" aca="1" ref="H34" ca="1">IF(OR(Formulas!J31=0,Formulas!J31="",RIGHT(Formulas!K31)="0"),"",
HYPERLINK("["&amp;Archivo_Nombre&amp;"]Datos!"&amp;LEFT(SUBSTITUTE(ADDRESS(1,IF(Formulas!J31=1,1,RIGHT(Formulas!K31)+2)),"$",""))&amp;Formulas!I31+1,
IFERROR(INDEX(Datos!$A$1:$L$1,1,RIGHT(Formulas!K31)+2)&amp;IF(Formulas!J31=1," "&amp;Formulas!I31,"")&amp;":","")))</f>
        <v/>
      </c>
      <c r="I34" s="107" t="str" cm="1">
        <f t="array" aca="1" ref="I34" ca="1">IF(OR(Formulas!J31=0,Formulas!J31="",RIGHT(Formulas!K31)="0"),"",
HYPERLINK("["&amp;Archivo_Nombre&amp;"]Datos!"&amp;LEFT(SUBSTITUTE(ADDRESS(1,RIGHT(Formulas!K31)+2),"$",""))&amp;Formulas!I31+1,
IFERROR(INDEX(Datos!$A$2:$L$101,Formulas!I31,RIGHT(Formulas!K31)+2),"")))</f>
        <v/>
      </c>
      <c r="J34" s="107" t="str" cm="1">
        <f t="array" aca="1" ref="J34" ca="1">IF(OR(Formulas!K32=0,Formulas!K32=""),"",HYPERLINK("["&amp;Archivo_Nombre&amp;"]Datos!"&amp;LEFT(SUBSTITUTE(ADDRESS(1,Formulas!K32+2),"$",""))&amp;Formulas!J32+1,
IFERROR(INDEX(Datos!$A$2:$L$101,Formulas!J32,Formulas!K32+2),"")))</f>
        <v/>
      </c>
      <c r="K34" s="5"/>
      <c r="L34" s="6"/>
      <c r="M34" s="24" t="str" cm="1">
        <f t="array" aca="1" ref="M34" ca="1">IF(OR(Formulas!O31=0,Formulas!O31="",RIGHT(Formulas!P31)="0"),"",
HYPERLINK("["&amp;Archivo_Nombre&amp;"]Datos!"&amp;LEFT(SUBSTITUTE(ADDRESS(1,IF(Formulas!O31=1,1,RIGHT(Formulas!P31)+2)),"$",""))&amp;Formulas!N31+1,
IFERROR(INDEX(Datos!$A$1:$L$1,1,RIGHT(Formulas!P31)+2)&amp;IF(Formulas!O31=1," "&amp;Formulas!N31,"")&amp;":","")))</f>
        <v/>
      </c>
      <c r="N34" s="107" t="str" cm="1">
        <f t="array" aca="1" ref="N34" ca="1">IF(OR(Formulas!O31=0,Formulas!O31="",RIGHT(Formulas!P31)="0"),"",
HYPERLINK("["&amp;Archivo_Nombre&amp;"]Datos!"&amp;LEFT(SUBSTITUTE(ADDRESS(1,RIGHT(Formulas!P31)+2),"$",""))&amp;Formulas!N31+1,
IFERROR(INDEX(Datos!$A$2:$L$101,Formulas!N31,RIGHT(Formulas!P31)+2),"")))</f>
        <v/>
      </c>
      <c r="O34" s="107" t="str" cm="1">
        <f t="array" aca="1" ref="O34" ca="1">IF(OR(Formulas!P32=0,Formulas!P32=""),"",HYPERLINK("["&amp;Archivo_Nombre&amp;"]Datos!"&amp;LEFT(SUBSTITUTE(ADDRESS(1,Formulas!P32+2),"$",""))&amp;Formulas!O32+1,
IFERROR(INDEX(Datos!$A$2:$L$101,Formulas!O32,Formulas!P32+2),"")))</f>
        <v/>
      </c>
      <c r="P34" s="5"/>
      <c r="Q34" s="6"/>
      <c r="R34" s="24" t="str" cm="1">
        <f t="array" aca="1" ref="R34" ca="1">IF(OR(Formulas!T31=0,Formulas!T31="",RIGHT(Formulas!U31)="0"),"",
HYPERLINK("["&amp;Archivo_Nombre&amp;"]Datos!"&amp;LEFT(SUBSTITUTE(ADDRESS(1,IF(Formulas!T31=1,1,RIGHT(Formulas!U31)+2)),"$",""))&amp;Formulas!S31+1,
IFERROR(INDEX(Datos!$A$1:$L$1,1,RIGHT(Formulas!U31)+2)&amp;IF(Formulas!T31=1," "&amp;Formulas!S31,"")&amp;":","")))</f>
        <v/>
      </c>
      <c r="S34" s="107" t="str" cm="1">
        <f t="array" aca="1" ref="S34" ca="1">IF(OR(Formulas!T31=0,Formulas!T31="",RIGHT(Formulas!U31)="0"),"",
HYPERLINK("["&amp;Archivo_Nombre&amp;"]Datos!"&amp;LEFT(SUBSTITUTE(ADDRESS(1,RIGHT(Formulas!U31)+2),"$",""))&amp;Formulas!S31+1,
IFERROR(INDEX(Datos!$A$2:$L$101,Formulas!S31,RIGHT(Formulas!U31)+2),"")))</f>
        <v/>
      </c>
      <c r="T34" s="107" t="str" cm="1">
        <f t="array" aca="1" ref="T34" ca="1">IF(OR(Formulas!U32=0,Formulas!U32=""),"",HYPERLINK("["&amp;Archivo_Nombre&amp;"]Datos!"&amp;LEFT(SUBSTITUTE(ADDRESS(1,Formulas!U32+2),"$",""))&amp;Formulas!T32+1,
IFERROR(INDEX(Datos!$A$2:$L$101,Formulas!T32,Formulas!U32+2),"")))</f>
        <v/>
      </c>
      <c r="U34" s="5"/>
      <c r="V34" s="6"/>
      <c r="W34" s="24" t="str" cm="1">
        <f t="array" aca="1" ref="W34" ca="1">IF(OR(Formulas!Y31=0,Formulas!Y31="",RIGHT(Formulas!Z31)="0"),"",
HYPERLINK("["&amp;Archivo_Nombre&amp;"]Datos!"&amp;LEFT(SUBSTITUTE(ADDRESS(1,IF(Formulas!Y31=1,1,RIGHT(Formulas!Z31)+2)),"$",""))&amp;Formulas!X31+1,
IFERROR(INDEX(Datos!$A$1:$L$1,1,RIGHT(Formulas!Z31)+2)&amp;IF(Formulas!Y31=1," "&amp;Formulas!X31,"")&amp;":","")))</f>
        <v/>
      </c>
      <c r="X34" s="107" t="str" cm="1">
        <f t="array" aca="1" ref="X34" ca="1">IF(OR(Formulas!Y31=0,Formulas!Y31="",RIGHT(Formulas!Z31)="0"),"",
HYPERLINK("["&amp;Archivo_Nombre&amp;"]Datos!"&amp;LEFT(SUBSTITUTE(ADDRESS(1,RIGHT(Formulas!Z31)+2),"$",""))&amp;Formulas!X31+1,
IFERROR(INDEX(Datos!$A$2:$L$101,Formulas!X31,RIGHT(Formulas!Z31)+2),"")))</f>
        <v/>
      </c>
      <c r="Y34" s="107" t="str" cm="1">
        <f t="array" aca="1" ref="Y34" ca="1">IF(OR(Formulas!Z32=0,Formulas!Z32=""),"",HYPERLINK("["&amp;Archivo_Nombre&amp;"]Datos!"&amp;LEFT(SUBSTITUTE(ADDRESS(1,Formulas!Z32+2),"$",""))&amp;Formulas!Y32+1,
IFERROR(INDEX(Datos!$A$2:$L$101,Formulas!Y32,Formulas!Z32+2),"")))</f>
        <v/>
      </c>
      <c r="Z34" s="13"/>
      <c r="AA34" s="6"/>
      <c r="AB34" s="24" t="str" cm="1">
        <f t="array" aca="1" ref="AB34" ca="1">IF(OR(Formulas!AD31=0,Formulas!AD31="",RIGHT(Formulas!AE31)="0"),"",
HYPERLINK("["&amp;Archivo_Nombre&amp;"]Datos!"&amp;LEFT(SUBSTITUTE(ADDRESS(1,IF(Formulas!AD31=1,1,RIGHT(Formulas!AE31)+2)),"$",""))&amp;Formulas!AC31+1,
IFERROR(INDEX(Datos!$A$1:$L$1,1,RIGHT(Formulas!AE31)+2)&amp;IF(Formulas!AD31=1," "&amp;Formulas!AC31,"")&amp;":","")))</f>
        <v/>
      </c>
      <c r="AC34" s="107" t="str" cm="1">
        <f t="array" aca="1" ref="AC34" ca="1">IF(OR(Formulas!AD31=0,Formulas!AD31="",RIGHT(Formulas!AE31)="0"),"",
HYPERLINK("["&amp;Archivo_Nombre&amp;"]Datos!"&amp;LEFT(SUBSTITUTE(ADDRESS(1,RIGHT(Formulas!AE31)+2),"$",""))&amp;Formulas!AC31+1,
IFERROR(INDEX(Datos!$A$2:$L$101,Formulas!AC31,RIGHT(Formulas!AE31)+2),"")))</f>
        <v/>
      </c>
      <c r="AD34" s="107" t="str" cm="1">
        <f t="array" aca="1" ref="AD34" ca="1">IF(OR(Formulas!AE32=0,Formulas!AE32=""),"",HYPERLINK("["&amp;Archivo_Nombre&amp;"]Datos!"&amp;LEFT(SUBSTITUTE(ADDRESS(1,Formulas!AE32+2),"$",""))&amp;Formulas!AD32+1,
IFERROR(INDEX(Datos!$A$2:$L$101,Formulas!AD32,Formulas!AE32+2),"")))</f>
        <v/>
      </c>
      <c r="AE34" s="13"/>
      <c r="AF34" s="6"/>
      <c r="AG34" s="24" t="str" cm="1">
        <f t="array" aca="1" ref="AG34" ca="1">IF(OR(Formulas!AI31=0,Formulas!AI31="",RIGHT(Formulas!AJ31)="0"),"",
HYPERLINK("["&amp;Archivo_Nombre&amp;"]Datos!"&amp;LEFT(SUBSTITUTE(ADDRESS(1,IF(Formulas!AI31=1,1,RIGHT(Formulas!AJ31)+2)),"$",""))&amp;Formulas!AH31+1,
IFERROR(INDEX(Datos!$A$1:$L$1,1,RIGHT(Formulas!AJ31)+2)&amp;IF(Formulas!AI31=1," "&amp;Formulas!AH31,"")&amp;":","")))</f>
        <v/>
      </c>
      <c r="AH34" s="107" t="str" cm="1">
        <f t="array" aca="1" ref="AH34" ca="1">IF(OR(Formulas!AI31=0,Formulas!AI31="",RIGHT(Formulas!AJ31)="0"),"",
HYPERLINK("["&amp;Archivo_Nombre&amp;"]Datos!"&amp;LEFT(SUBSTITUTE(ADDRESS(1,RIGHT(Formulas!AJ31)+2),"$",""))&amp;Formulas!AH31+1,
IFERROR(INDEX(Datos!$A$2:$L$101,Formulas!AH31,RIGHT(Formulas!AJ31)+2),"")))</f>
        <v/>
      </c>
      <c r="AI34" s="107" t="str" cm="1">
        <f t="array" aca="1" ref="AI34" ca="1">IF(OR(Formulas!AJ32=0,Formulas!AJ32=""),"",HYPERLINK("["&amp;Archivo_Nombre&amp;"]Datos!"&amp;LEFT(SUBSTITUTE(ADDRESS(1,Formulas!AJ32+2),"$",""))&amp;Formulas!AI32+1,
IFERROR(INDEX(Datos!$A$2:$L$101,Formulas!AI32,Formulas!AJ32+2),"")))</f>
        <v/>
      </c>
      <c r="AJ34" s="13"/>
      <c r="AK34" s="6"/>
      <c r="AL34" s="24" t="str" cm="1">
        <f t="array" aca="1" ref="AL34" ca="1">IF(OR(Formulas!AN31=0,Formulas!AN31="",RIGHT(Formulas!AO31)="0"),"",
HYPERLINK("["&amp;Archivo_Nombre&amp;"]Datos!"&amp;LEFT(SUBSTITUTE(ADDRESS(1,IF(Formulas!AN31=1,1,RIGHT(Formulas!AO31)+2)),"$",""))&amp;Formulas!AM31+1,
IFERROR(INDEX(Datos!$A$1:$L$1,1,RIGHT(Formulas!AO31)+2)&amp;IF(Formulas!AN31=1," "&amp;Formulas!AM31,"")&amp;":","")))</f>
        <v/>
      </c>
      <c r="AM34" s="107" t="str" cm="1">
        <f t="array" aca="1" ref="AM34" ca="1">IF(OR(Formulas!AN31=0,Formulas!AN31="",RIGHT(Formulas!AO31)="0"),"",
HYPERLINK("["&amp;Archivo_Nombre&amp;"]Datos!"&amp;LEFT(SUBSTITUTE(ADDRESS(1,RIGHT(Formulas!AO31)+2),"$",""))&amp;Formulas!AM31+1,
IFERROR(INDEX(Datos!$A$2:$L$101,Formulas!AM31,RIGHT(Formulas!AO31)+2),"")))</f>
        <v/>
      </c>
      <c r="AN34" s="107" t="str" cm="1">
        <f t="array" aca="1" ref="AN34" ca="1">IF(OR(Formulas!AO32=0,Formulas!AO32=""),"",HYPERLINK("["&amp;Archivo_Nombre&amp;"]Datos!"&amp;LEFT(SUBSTITUTE(ADDRESS(1,Formulas!AO32+2),"$",""))&amp;Formulas!AN32+1,
IFERROR(INDEX(Datos!$A$2:$L$101,Formulas!AN32,Formulas!AO32+2),"")))</f>
        <v/>
      </c>
      <c r="AO34" s="13"/>
      <c r="AP34" s="6"/>
      <c r="AQ34" s="24" t="str" cm="1">
        <f t="array" aca="1" ref="AQ34" ca="1">IF(OR(Formulas!AS31=0,Formulas!AS31="",RIGHT(Formulas!AT31)="0"),"",
HYPERLINK("["&amp;Archivo_Nombre&amp;"]Datos!"&amp;LEFT(SUBSTITUTE(ADDRESS(1,IF(Formulas!AS31=1,1,RIGHT(Formulas!AT31)+2)),"$",""))&amp;Formulas!AR31+1,
IFERROR(INDEX(Datos!$A$1:$L$1,1,RIGHT(Formulas!AT31)+2)&amp;IF(Formulas!AS31=1," "&amp;Formulas!AR31,"")&amp;":","")))</f>
        <v/>
      </c>
      <c r="AR34" s="107" t="str" cm="1">
        <f t="array" aca="1" ref="AR34" ca="1">IF(OR(Formulas!AS31=0,Formulas!AS31="",RIGHT(Formulas!AT31)="0"),"",
HYPERLINK("["&amp;Archivo_Nombre&amp;"]Datos!"&amp;LEFT(SUBSTITUTE(ADDRESS(1,RIGHT(Formulas!AT31)+2),"$",""))&amp;Formulas!AR31+1,
IFERROR(INDEX(Datos!$A$2:$L$101,Formulas!AR31,RIGHT(Formulas!AT31)+2),"")))</f>
        <v/>
      </c>
      <c r="AS34" s="107" t="str" cm="1">
        <f t="array" aca="1" ref="AS34" ca="1">IF(OR(Formulas!AT32=0,Formulas!AT32=""),"",HYPERLINK("["&amp;Archivo_Nombre&amp;"]Datos!"&amp;LEFT(SUBSTITUTE(ADDRESS(1,Formulas!AT32+2),"$",""))&amp;Formulas!AS32+1,
IFERROR(INDEX(Datos!$A$2:$L$101,Formulas!AS32,Formulas!AT32+2),"")))</f>
        <v/>
      </c>
      <c r="AT34" s="13"/>
      <c r="AU34" s="6"/>
      <c r="AV34" s="24" t="str" cm="1">
        <f t="array" aca="1" ref="AV34" ca="1">IF(OR(Formulas!AX31=0,Formulas!AX31="",RIGHT(Formulas!AY31)="0"),"",
HYPERLINK("["&amp;Archivo_Nombre&amp;"]Datos!"&amp;LEFT(SUBSTITUTE(ADDRESS(1,IF(Formulas!AX31=1,1,RIGHT(Formulas!AY31)+2)),"$",""))&amp;Formulas!AW31+1,
IFERROR(INDEX(Datos!$A$1:$L$1,1,RIGHT(Formulas!AY31)+2)&amp;IF(Formulas!AX31=1," "&amp;Formulas!AW31,"")&amp;":","")))</f>
        <v/>
      </c>
      <c r="AW34" s="107" t="str" cm="1">
        <f t="array" aca="1" ref="AW34" ca="1">IF(OR(Formulas!AX31=0,Formulas!AX31="",RIGHT(Formulas!AY31)="0"),"",
HYPERLINK("["&amp;Archivo_Nombre&amp;"]Datos!"&amp;LEFT(SUBSTITUTE(ADDRESS(1,RIGHT(Formulas!AY31)+2),"$",""))&amp;Formulas!AW31+1,
IFERROR(INDEX(Datos!$A$2:$L$101,Formulas!AW31,RIGHT(Formulas!AY31)+2),"")))</f>
        <v/>
      </c>
      <c r="AX34" s="107" t="str" cm="1">
        <f t="array" aca="1" ref="AX34" ca="1">IF(OR(Formulas!AY32=0,Formulas!AY32=""),"",HYPERLINK("["&amp;Archivo_Nombre&amp;"]Datos!"&amp;LEFT(SUBSTITUTE(ADDRESS(1,Formulas!AY32+2),"$",""))&amp;Formulas!AX32+1,
IFERROR(INDEX(Datos!$A$2:$L$101,Formulas!AX32,Formulas!AY32+2),"")))</f>
        <v/>
      </c>
      <c r="AY34" s="13"/>
    </row>
    <row r="35" spans="2:51" x14ac:dyDescent="0.25">
      <c r="B35" s="11"/>
      <c r="C35" s="24" t="str" cm="1">
        <f t="array" aca="1" ref="C35" ca="1">IF(OR(Formulas!E32=0,Formulas!E32="",RIGHT(Formulas!F32)="0"),"",
HYPERLINK("["&amp;Archivo_Nombre&amp;"]Datos!"&amp;LEFT(SUBSTITUTE(ADDRESS(1,IF(Formulas!E32=1,1,RIGHT(Formulas!F32)+2)),"$",""))&amp;Formulas!D32+1,
IFERROR(INDEX(Datos!$A$1:$L$1,1,RIGHT(Formulas!F32)+2)&amp;IF(Formulas!E32=1," "&amp;Formulas!D32,"")&amp;":","")))</f>
        <v/>
      </c>
      <c r="D35" s="107" t="str" cm="1">
        <f t="array" aca="1" ref="D35" ca="1">IF(OR(Formulas!E32=0,Formulas!E32="",RIGHT(Formulas!F32)="0"),"",
HYPERLINK("["&amp;Archivo_Nombre&amp;"]Datos!"&amp;LEFT(SUBSTITUTE(ADDRESS(1,RIGHT(Formulas!F32)+2),"$",""))&amp;Formulas!D32+1,
IFERROR(INDEX(Datos!$A$2:$L$101,Formulas!D32,RIGHT(Formulas!F32)+2),"")))</f>
        <v/>
      </c>
      <c r="E35" s="107" t="str" cm="1">
        <f t="array" aca="1" ref="E35" ca="1">IF(OR(Formulas!F33=0,Formulas!F33=""),"",HYPERLINK("["&amp;Archivo_Nombre&amp;"]Datos!"&amp;LEFT(SUBSTITUTE(ADDRESS(1,Formulas!F33+2),"$",""))&amp;Formulas!E33+1,
IFERROR(INDEX(Datos!$A$2:$L$101,Formulas!E33,Formulas!F33+2),"")))</f>
        <v/>
      </c>
      <c r="F35" s="5"/>
      <c r="G35" s="6"/>
      <c r="H35" s="24" t="str" cm="1">
        <f t="array" aca="1" ref="H35" ca="1">IF(OR(Formulas!J32=0,Formulas!J32="",RIGHT(Formulas!K32)="0"),"",
HYPERLINK("["&amp;Archivo_Nombre&amp;"]Datos!"&amp;LEFT(SUBSTITUTE(ADDRESS(1,IF(Formulas!J32=1,1,RIGHT(Formulas!K32)+2)),"$",""))&amp;Formulas!I32+1,
IFERROR(INDEX(Datos!$A$1:$L$1,1,RIGHT(Formulas!K32)+2)&amp;IF(Formulas!J32=1," "&amp;Formulas!I32,"")&amp;":","")))</f>
        <v/>
      </c>
      <c r="I35" s="107" t="str" cm="1">
        <f t="array" aca="1" ref="I35" ca="1">IF(OR(Formulas!J32=0,Formulas!J32="",RIGHT(Formulas!K32)="0"),"",
HYPERLINK("["&amp;Archivo_Nombre&amp;"]Datos!"&amp;LEFT(SUBSTITUTE(ADDRESS(1,RIGHT(Formulas!K32)+2),"$",""))&amp;Formulas!I32+1,
IFERROR(INDEX(Datos!$A$2:$L$101,Formulas!I32,RIGHT(Formulas!K32)+2),"")))</f>
        <v/>
      </c>
      <c r="J35" s="107" t="e" cm="1">
        <f t="array" aca="1" ref="J35" ca="1">IF(OR(Formulas!K33=0,Formulas!K33=""),"",HYPERLINK("["&amp;Archivo_Nombre&amp;"]Datos!"&amp;LEFT(SUBSTITUTE(ADDRESS(1,Formulas!K33+2),"$",""))&amp;Formulas!J33+1,
IFERROR(INDEX(Datos!$A$2:$L$101,Formulas!J33,Formulas!K33+2),"")))</f>
        <v>#VALUE!</v>
      </c>
      <c r="K35" s="5"/>
      <c r="L35" s="6"/>
      <c r="M35" s="24" t="str" cm="1">
        <f t="array" aca="1" ref="M35" ca="1">IF(OR(Formulas!O32=0,Formulas!O32="",RIGHT(Formulas!P32)="0"),"",
HYPERLINK("["&amp;Archivo_Nombre&amp;"]Datos!"&amp;LEFT(SUBSTITUTE(ADDRESS(1,IF(Formulas!O32=1,1,RIGHT(Formulas!P32)+2)),"$",""))&amp;Formulas!N32+1,
IFERROR(INDEX(Datos!$A$1:$L$1,1,RIGHT(Formulas!P32)+2)&amp;IF(Formulas!O32=1," "&amp;Formulas!N32,"")&amp;":","")))</f>
        <v/>
      </c>
      <c r="N35" s="107" t="str" cm="1">
        <f t="array" aca="1" ref="N35" ca="1">IF(OR(Formulas!O32=0,Formulas!O32="",RIGHT(Formulas!P32)="0"),"",
HYPERLINK("["&amp;Archivo_Nombre&amp;"]Datos!"&amp;LEFT(SUBSTITUTE(ADDRESS(1,RIGHT(Formulas!P32)+2),"$",""))&amp;Formulas!N32+1,
IFERROR(INDEX(Datos!$A$2:$L$101,Formulas!N32,RIGHT(Formulas!P32)+2),"")))</f>
        <v/>
      </c>
      <c r="O35" s="107" t="str" cm="1">
        <f t="array" aca="1" ref="O35" ca="1">IF(OR(Formulas!P33=0,Formulas!P33=""),"",HYPERLINK("["&amp;Archivo_Nombre&amp;"]Datos!"&amp;LEFT(SUBSTITUTE(ADDRESS(1,Formulas!P33+2),"$",""))&amp;Formulas!O33+1,
IFERROR(INDEX(Datos!$A$2:$L$101,Formulas!O33,Formulas!P33+2),"")))</f>
        <v/>
      </c>
      <c r="P35" s="5"/>
      <c r="Q35" s="6"/>
      <c r="R35" s="24" t="str" cm="1">
        <f t="array" aca="1" ref="R35" ca="1">IF(OR(Formulas!T32=0,Formulas!T32="",RIGHT(Formulas!U32)="0"),"",
HYPERLINK("["&amp;Archivo_Nombre&amp;"]Datos!"&amp;LEFT(SUBSTITUTE(ADDRESS(1,IF(Formulas!T32=1,1,RIGHT(Formulas!U32)+2)),"$",""))&amp;Formulas!S32+1,
IFERROR(INDEX(Datos!$A$1:$L$1,1,RIGHT(Formulas!U32)+2)&amp;IF(Formulas!T32=1," "&amp;Formulas!S32,"")&amp;":","")))</f>
        <v/>
      </c>
      <c r="S35" s="107" t="str" cm="1">
        <f t="array" aca="1" ref="S35" ca="1">IF(OR(Formulas!T32=0,Formulas!T32="",RIGHT(Formulas!U32)="0"),"",
HYPERLINK("["&amp;Archivo_Nombre&amp;"]Datos!"&amp;LEFT(SUBSTITUTE(ADDRESS(1,RIGHT(Formulas!U32)+2),"$",""))&amp;Formulas!S32+1,
IFERROR(INDEX(Datos!$A$2:$L$101,Formulas!S32,RIGHT(Formulas!U32)+2),"")))</f>
        <v/>
      </c>
      <c r="T35" s="107" t="e" cm="1">
        <f t="array" aca="1" ref="T35" ca="1">IF(OR(Formulas!U33=0,Formulas!U33=""),"",HYPERLINK("["&amp;Archivo_Nombre&amp;"]Datos!"&amp;LEFT(SUBSTITUTE(ADDRESS(1,Formulas!U33+2),"$",""))&amp;Formulas!T33+1,
IFERROR(INDEX(Datos!$A$2:$L$101,Formulas!T33,Formulas!U33+2),"")))</f>
        <v>#VALUE!</v>
      </c>
      <c r="U35" s="5"/>
      <c r="V35" s="6"/>
      <c r="W35" s="24" t="str" cm="1">
        <f t="array" aca="1" ref="W35" ca="1">IF(OR(Formulas!Y32=0,Formulas!Y32="",RIGHT(Formulas!Z32)="0"),"",
HYPERLINK("["&amp;Archivo_Nombre&amp;"]Datos!"&amp;LEFT(SUBSTITUTE(ADDRESS(1,IF(Formulas!Y32=1,1,RIGHT(Formulas!Z32)+2)),"$",""))&amp;Formulas!X32+1,
IFERROR(INDEX(Datos!$A$1:$L$1,1,RIGHT(Formulas!Z32)+2)&amp;IF(Formulas!Y32=1," "&amp;Formulas!X32,"")&amp;":","")))</f>
        <v/>
      </c>
      <c r="X35" s="107" t="str" cm="1">
        <f t="array" aca="1" ref="X35" ca="1">IF(OR(Formulas!Y32=0,Formulas!Y32="",RIGHT(Formulas!Z32)="0"),"",
HYPERLINK("["&amp;Archivo_Nombre&amp;"]Datos!"&amp;LEFT(SUBSTITUTE(ADDRESS(1,RIGHT(Formulas!Z32)+2),"$",""))&amp;Formulas!X32+1,
IFERROR(INDEX(Datos!$A$2:$L$101,Formulas!X32,RIGHT(Formulas!Z32)+2),"")))</f>
        <v/>
      </c>
      <c r="Y35" s="107" t="str" cm="1">
        <f t="array" aca="1" ref="Y35" ca="1">IF(OR(Formulas!Z33=0,Formulas!Z33=""),"",HYPERLINK("["&amp;Archivo_Nombre&amp;"]Datos!"&amp;LEFT(SUBSTITUTE(ADDRESS(1,Formulas!Z33+2),"$",""))&amp;Formulas!Y33+1,
IFERROR(INDEX(Datos!$A$2:$L$101,Formulas!Y33,Formulas!Z33+2),"")))</f>
        <v/>
      </c>
      <c r="Z35" s="13"/>
      <c r="AA35" s="6"/>
      <c r="AB35" s="24" t="str" cm="1">
        <f t="array" aca="1" ref="AB35" ca="1">IF(OR(Formulas!AD32=0,Formulas!AD32="",RIGHT(Formulas!AE32)="0"),"",
HYPERLINK("["&amp;Archivo_Nombre&amp;"]Datos!"&amp;LEFT(SUBSTITUTE(ADDRESS(1,IF(Formulas!AD32=1,1,RIGHT(Formulas!AE32)+2)),"$",""))&amp;Formulas!AC32+1,
IFERROR(INDEX(Datos!$A$1:$L$1,1,RIGHT(Formulas!AE32)+2)&amp;IF(Formulas!AD32=1," "&amp;Formulas!AC32,"")&amp;":","")))</f>
        <v/>
      </c>
      <c r="AC35" s="107" t="str" cm="1">
        <f t="array" aca="1" ref="AC35" ca="1">IF(OR(Formulas!AD32=0,Formulas!AD32="",RIGHT(Formulas!AE32)="0"),"",
HYPERLINK("["&amp;Archivo_Nombre&amp;"]Datos!"&amp;LEFT(SUBSTITUTE(ADDRESS(1,RIGHT(Formulas!AE32)+2),"$",""))&amp;Formulas!AC32+1,
IFERROR(INDEX(Datos!$A$2:$L$101,Formulas!AC32,RIGHT(Formulas!AE32)+2),"")))</f>
        <v/>
      </c>
      <c r="AD35" s="107" t="str" cm="1">
        <f t="array" aca="1" ref="AD35" ca="1">IF(OR(Formulas!AE33=0,Formulas!AE33=""),"",HYPERLINK("["&amp;Archivo_Nombre&amp;"]Datos!"&amp;LEFT(SUBSTITUTE(ADDRESS(1,Formulas!AE33+2),"$",""))&amp;Formulas!AD33+1,
IFERROR(INDEX(Datos!$A$2:$L$101,Formulas!AD33,Formulas!AE33+2),"")))</f>
        <v/>
      </c>
      <c r="AE35" s="13"/>
      <c r="AF35" s="6"/>
      <c r="AG35" s="24" t="str" cm="1">
        <f t="array" aca="1" ref="AG35" ca="1">IF(OR(Formulas!AI32=0,Formulas!AI32="",RIGHT(Formulas!AJ32)="0"),"",
HYPERLINK("["&amp;Archivo_Nombre&amp;"]Datos!"&amp;LEFT(SUBSTITUTE(ADDRESS(1,IF(Formulas!AI32=1,1,RIGHT(Formulas!AJ32)+2)),"$",""))&amp;Formulas!AH32+1,
IFERROR(INDEX(Datos!$A$1:$L$1,1,RIGHT(Formulas!AJ32)+2)&amp;IF(Formulas!AI32=1," "&amp;Formulas!AH32,"")&amp;":","")))</f>
        <v/>
      </c>
      <c r="AH35" s="107" t="str" cm="1">
        <f t="array" aca="1" ref="AH35" ca="1">IF(OR(Formulas!AI32=0,Formulas!AI32="",RIGHT(Formulas!AJ32)="0"),"",
HYPERLINK("["&amp;Archivo_Nombre&amp;"]Datos!"&amp;LEFT(SUBSTITUTE(ADDRESS(1,RIGHT(Formulas!AJ32)+2),"$",""))&amp;Formulas!AH32+1,
IFERROR(INDEX(Datos!$A$2:$L$101,Formulas!AH32,RIGHT(Formulas!AJ32)+2),"")))</f>
        <v/>
      </c>
      <c r="AI35" s="107" t="str" cm="1">
        <f t="array" aca="1" ref="AI35" ca="1">IF(OR(Formulas!AJ33=0,Formulas!AJ33=""),"",HYPERLINK("["&amp;Archivo_Nombre&amp;"]Datos!"&amp;LEFT(SUBSTITUTE(ADDRESS(1,Formulas!AJ33+2),"$",""))&amp;Formulas!AI33+1,
IFERROR(INDEX(Datos!$A$2:$L$101,Formulas!AI33,Formulas!AJ33+2),"")))</f>
        <v/>
      </c>
      <c r="AJ35" s="13"/>
      <c r="AK35" s="6"/>
      <c r="AL35" s="24" t="str" cm="1">
        <f t="array" aca="1" ref="AL35" ca="1">IF(OR(Formulas!AN32=0,Formulas!AN32="",RIGHT(Formulas!AO32)="0"),"",
HYPERLINK("["&amp;Archivo_Nombre&amp;"]Datos!"&amp;LEFT(SUBSTITUTE(ADDRESS(1,IF(Formulas!AN32=1,1,RIGHT(Formulas!AO32)+2)),"$",""))&amp;Formulas!AM32+1,
IFERROR(INDEX(Datos!$A$1:$L$1,1,RIGHT(Formulas!AO32)+2)&amp;IF(Formulas!AN32=1," "&amp;Formulas!AM32,"")&amp;":","")))</f>
        <v/>
      </c>
      <c r="AM35" s="107" t="str" cm="1">
        <f t="array" aca="1" ref="AM35" ca="1">IF(OR(Formulas!AN32=0,Formulas!AN32="",RIGHT(Formulas!AO32)="0"),"",
HYPERLINK("["&amp;Archivo_Nombre&amp;"]Datos!"&amp;LEFT(SUBSTITUTE(ADDRESS(1,RIGHT(Formulas!AO32)+2),"$",""))&amp;Formulas!AM32+1,
IFERROR(INDEX(Datos!$A$2:$L$101,Formulas!AM32,RIGHT(Formulas!AO32)+2),"")))</f>
        <v/>
      </c>
      <c r="AN35" s="107" t="str" cm="1">
        <f t="array" aca="1" ref="AN35" ca="1">IF(OR(Formulas!AO33=0,Formulas!AO33=""),"",HYPERLINK("["&amp;Archivo_Nombre&amp;"]Datos!"&amp;LEFT(SUBSTITUTE(ADDRESS(1,Formulas!AO33+2),"$",""))&amp;Formulas!AN33+1,
IFERROR(INDEX(Datos!$A$2:$L$101,Formulas!AN33,Formulas!AO33+2),"")))</f>
        <v/>
      </c>
      <c r="AO35" s="13"/>
      <c r="AP35" s="6"/>
      <c r="AQ35" s="24" t="str" cm="1">
        <f t="array" aca="1" ref="AQ35" ca="1">IF(OR(Formulas!AS32=0,Formulas!AS32="",RIGHT(Formulas!AT32)="0"),"",
HYPERLINK("["&amp;Archivo_Nombre&amp;"]Datos!"&amp;LEFT(SUBSTITUTE(ADDRESS(1,IF(Formulas!AS32=1,1,RIGHT(Formulas!AT32)+2)),"$",""))&amp;Formulas!AR32+1,
IFERROR(INDEX(Datos!$A$1:$L$1,1,RIGHT(Formulas!AT32)+2)&amp;IF(Formulas!AS32=1," "&amp;Formulas!AR32,"")&amp;":","")))</f>
        <v/>
      </c>
      <c r="AR35" s="107" t="str" cm="1">
        <f t="array" aca="1" ref="AR35" ca="1">IF(OR(Formulas!AS32=0,Formulas!AS32="",RIGHT(Formulas!AT32)="0"),"",
HYPERLINK("["&amp;Archivo_Nombre&amp;"]Datos!"&amp;LEFT(SUBSTITUTE(ADDRESS(1,RIGHT(Formulas!AT32)+2),"$",""))&amp;Formulas!AR32+1,
IFERROR(INDEX(Datos!$A$2:$L$101,Formulas!AR32,RIGHT(Formulas!AT32)+2),"")))</f>
        <v/>
      </c>
      <c r="AS35" s="107" t="str" cm="1">
        <f t="array" aca="1" ref="AS35" ca="1">IF(OR(Formulas!AT33=0,Formulas!AT33=""),"",HYPERLINK("["&amp;Archivo_Nombre&amp;"]Datos!"&amp;LEFT(SUBSTITUTE(ADDRESS(1,Formulas!AT33+2),"$",""))&amp;Formulas!AS33+1,
IFERROR(INDEX(Datos!$A$2:$L$101,Formulas!AS33,Formulas!AT33+2),"")))</f>
        <v/>
      </c>
      <c r="AT35" s="13"/>
      <c r="AU35" s="6"/>
      <c r="AV35" s="24" t="str" cm="1">
        <f t="array" aca="1" ref="AV35" ca="1">IF(OR(Formulas!AX32=0,Formulas!AX32="",RIGHT(Formulas!AY32)="0"),"",
HYPERLINK("["&amp;Archivo_Nombre&amp;"]Datos!"&amp;LEFT(SUBSTITUTE(ADDRESS(1,IF(Formulas!AX32=1,1,RIGHT(Formulas!AY32)+2)),"$",""))&amp;Formulas!AW32+1,
IFERROR(INDEX(Datos!$A$1:$L$1,1,RIGHT(Formulas!AY32)+2)&amp;IF(Formulas!AX32=1," "&amp;Formulas!AW32,"")&amp;":","")))</f>
        <v/>
      </c>
      <c r="AW35" s="107" t="str" cm="1">
        <f t="array" aca="1" ref="AW35" ca="1">IF(OR(Formulas!AX32=0,Formulas!AX32="",RIGHT(Formulas!AY32)="0"),"",
HYPERLINK("["&amp;Archivo_Nombre&amp;"]Datos!"&amp;LEFT(SUBSTITUTE(ADDRESS(1,RIGHT(Formulas!AY32)+2),"$",""))&amp;Formulas!AW32+1,
IFERROR(INDEX(Datos!$A$2:$L$101,Formulas!AW32,RIGHT(Formulas!AY32)+2),"")))</f>
        <v/>
      </c>
      <c r="AX35" s="107" t="str" cm="1">
        <f t="array" aca="1" ref="AX35" ca="1">IF(OR(Formulas!AY33=0,Formulas!AY33=""),"",HYPERLINK("["&amp;Archivo_Nombre&amp;"]Datos!"&amp;LEFT(SUBSTITUTE(ADDRESS(1,Formulas!AY33+2),"$",""))&amp;Formulas!AX33+1,
IFERROR(INDEX(Datos!$A$2:$L$101,Formulas!AX33,Formulas!AY33+2),"")))</f>
        <v/>
      </c>
      <c r="AY35" s="13"/>
    </row>
    <row r="36" spans="2:51" x14ac:dyDescent="0.25">
      <c r="B36" s="11"/>
      <c r="C36" s="24" t="str" cm="1">
        <f t="array" aca="1" ref="C36" ca="1">IF(OR(Formulas!E33=0,Formulas!E33="",RIGHT(Formulas!F33)="0"),"",
HYPERLINK("["&amp;Archivo_Nombre&amp;"]Datos!"&amp;LEFT(SUBSTITUTE(ADDRESS(1,IF(Formulas!E33=1,1,RIGHT(Formulas!F33)+2)),"$",""))&amp;Formulas!D33+1,
IFERROR(INDEX(Datos!$A$1:$L$1,1,RIGHT(Formulas!F33)+2)&amp;IF(Formulas!E33=1," "&amp;Formulas!D33,"")&amp;":","")))</f>
        <v/>
      </c>
      <c r="D36" s="107" t="str" cm="1">
        <f t="array" aca="1" ref="D36" ca="1">IF(OR(Formulas!E33=0,Formulas!E33="",RIGHT(Formulas!F33)="0"),"",
HYPERLINK("["&amp;Archivo_Nombre&amp;"]Datos!"&amp;LEFT(SUBSTITUTE(ADDRESS(1,RIGHT(Formulas!F33)+2),"$",""))&amp;Formulas!D33+1,
IFERROR(INDEX(Datos!$A$2:$L$101,Formulas!D33,RIGHT(Formulas!F33)+2),"")))</f>
        <v/>
      </c>
      <c r="E36" s="107" t="str" cm="1">
        <f t="array" aca="1" ref="E36" ca="1">IF(OR(Formulas!F34=0,Formulas!F34=""),"",HYPERLINK("["&amp;Archivo_Nombre&amp;"]Datos!"&amp;LEFT(SUBSTITUTE(ADDRESS(1,Formulas!F34+2),"$",""))&amp;Formulas!E34+1,
IFERROR(INDEX(Datos!$A$2:$L$101,Formulas!E34,Formulas!F34+2),"")))</f>
        <v/>
      </c>
      <c r="F36" s="5"/>
      <c r="G36" s="6"/>
      <c r="H36" s="24" t="str" cm="1">
        <f t="array" aca="1" ref="H36" ca="1">IF(OR(Formulas!J33=0,Formulas!J33="",RIGHT(Formulas!K33)="0"),"",
HYPERLINK("["&amp;Archivo_Nombre&amp;"]Datos!"&amp;LEFT(SUBSTITUTE(ADDRESS(1,IF(Formulas!J33=1,1,RIGHT(Formulas!K33)+2)),"$",""))&amp;Formulas!I33+1,
IFERROR(INDEX(Datos!$A$1:$L$1,1,RIGHT(Formulas!K33)+2)&amp;IF(Formulas!J33=1," "&amp;Formulas!I33,"")&amp;":","")))</f>
        <v>ORDEN PCRONOLOGICO 30:</v>
      </c>
      <c r="I36" s="107" cm="1">
        <f t="array" aca="1" ref="I36" ca="1">IF(OR(Formulas!J33=0,Formulas!J33="",RIGHT(Formulas!K33)="0"),"",
HYPERLINK("["&amp;Archivo_Nombre&amp;"]Datos!"&amp;LEFT(SUBSTITUTE(ADDRESS(1,RIGHT(Formulas!K33)+2),"$",""))&amp;Formulas!I33+1,
IFERROR(INDEX(Datos!$A$2:$L$101,Formulas!I33,RIGHT(Formulas!K33)+2),"")))</f>
        <v>30</v>
      </c>
      <c r="J36" s="107" t="e" cm="1">
        <f t="array" aca="1" ref="J36" ca="1">IF(OR(Formulas!K34=0,Formulas!K34=""),"",HYPERLINK("["&amp;Archivo_Nombre&amp;"]Datos!"&amp;LEFT(SUBSTITUTE(ADDRESS(1,Formulas!K34+2),"$",""))&amp;Formulas!J34+1,
IFERROR(INDEX(Datos!$A$2:$L$101,Formulas!J34,Formulas!K34+2),"")))</f>
        <v>#VALUE!</v>
      </c>
      <c r="K36" s="5"/>
      <c r="L36" s="6"/>
      <c r="M36" s="24" t="str" cm="1">
        <f t="array" aca="1" ref="M36" ca="1">IF(OR(Formulas!O33=0,Formulas!O33="",RIGHT(Formulas!P33)="0"),"",
HYPERLINK("["&amp;Archivo_Nombre&amp;"]Datos!"&amp;LEFT(SUBSTITUTE(ADDRESS(1,IF(Formulas!O33=1,1,RIGHT(Formulas!P33)+2)),"$",""))&amp;Formulas!N33+1,
IFERROR(INDEX(Datos!$A$1:$L$1,1,RIGHT(Formulas!P33)+2)&amp;IF(Formulas!O33=1," "&amp;Formulas!N33,"")&amp;":","")))</f>
        <v/>
      </c>
      <c r="N36" s="107" t="str" cm="1">
        <f t="array" aca="1" ref="N36" ca="1">IF(OR(Formulas!O33=0,Formulas!O33="",RIGHT(Formulas!P33)="0"),"",
HYPERLINK("["&amp;Archivo_Nombre&amp;"]Datos!"&amp;LEFT(SUBSTITUTE(ADDRESS(1,RIGHT(Formulas!P33)+2),"$",""))&amp;Formulas!N33+1,
IFERROR(INDEX(Datos!$A$2:$L$101,Formulas!N33,RIGHT(Formulas!P33)+2),"")))</f>
        <v/>
      </c>
      <c r="O36" s="107" t="str" cm="1">
        <f t="array" aca="1" ref="O36" ca="1">IF(OR(Formulas!P34=0,Formulas!P34=""),"",HYPERLINK("["&amp;Archivo_Nombre&amp;"]Datos!"&amp;LEFT(SUBSTITUTE(ADDRESS(1,Formulas!P34+2),"$",""))&amp;Formulas!O34+1,
IFERROR(INDEX(Datos!$A$2:$L$101,Formulas!O34,Formulas!P34+2),"")))</f>
        <v/>
      </c>
      <c r="P36" s="5"/>
      <c r="Q36" s="6"/>
      <c r="R36" s="24" t="str" cm="1">
        <f t="array" aca="1" ref="R36" ca="1">IF(OR(Formulas!T33=0,Formulas!T33="",RIGHT(Formulas!U33)="0"),"",
HYPERLINK("["&amp;Archivo_Nombre&amp;"]Datos!"&amp;LEFT(SUBSTITUTE(ADDRESS(1,IF(Formulas!T33=1,1,RIGHT(Formulas!U33)+2)),"$",""))&amp;Formulas!S33+1,
IFERROR(INDEX(Datos!$A$1:$L$1,1,RIGHT(Formulas!U33)+2)&amp;IF(Formulas!T33=1," "&amp;Formulas!S33,"")&amp;":","")))</f>
        <v>ORDEN PCRONOLOGICO 26:</v>
      </c>
      <c r="S36" s="107" cm="1">
        <f t="array" aca="1" ref="S36" ca="1">IF(OR(Formulas!T33=0,Formulas!T33="",RIGHT(Formulas!U33)="0"),"",
HYPERLINK("["&amp;Archivo_Nombre&amp;"]Datos!"&amp;LEFT(SUBSTITUTE(ADDRESS(1,RIGHT(Formulas!U33)+2),"$",""))&amp;Formulas!S33+1,
IFERROR(INDEX(Datos!$A$2:$L$101,Formulas!S33,RIGHT(Formulas!U33)+2),"")))</f>
        <v>26</v>
      </c>
      <c r="T36" s="107" t="e" cm="1">
        <f t="array" aca="1" ref="T36" ca="1">IF(OR(Formulas!U34=0,Formulas!U34=""),"",HYPERLINK("["&amp;Archivo_Nombre&amp;"]Datos!"&amp;LEFT(SUBSTITUTE(ADDRESS(1,Formulas!U34+2),"$",""))&amp;Formulas!T34+1,
IFERROR(INDEX(Datos!$A$2:$L$101,Formulas!T34,Formulas!U34+2),"")))</f>
        <v>#VALUE!</v>
      </c>
      <c r="U36" s="5"/>
      <c r="V36" s="6"/>
      <c r="W36" s="24" t="str" cm="1">
        <f t="array" aca="1" ref="W36" ca="1">IF(OR(Formulas!Y33=0,Formulas!Y33="",RIGHT(Formulas!Z33)="0"),"",
HYPERLINK("["&amp;Archivo_Nombre&amp;"]Datos!"&amp;LEFT(SUBSTITUTE(ADDRESS(1,IF(Formulas!Y33=1,1,RIGHT(Formulas!Z33)+2)),"$",""))&amp;Formulas!X33+1,
IFERROR(INDEX(Datos!$A$1:$L$1,1,RIGHT(Formulas!Z33)+2)&amp;IF(Formulas!Y33=1," "&amp;Formulas!X33,"")&amp;":","")))</f>
        <v/>
      </c>
      <c r="X36" s="107" t="str" cm="1">
        <f t="array" aca="1" ref="X36" ca="1">IF(OR(Formulas!Y33=0,Formulas!Y33="",RIGHT(Formulas!Z33)="0"),"",
HYPERLINK("["&amp;Archivo_Nombre&amp;"]Datos!"&amp;LEFT(SUBSTITUTE(ADDRESS(1,RIGHT(Formulas!Z33)+2),"$",""))&amp;Formulas!X33+1,
IFERROR(INDEX(Datos!$A$2:$L$101,Formulas!X33,RIGHT(Formulas!Z33)+2),"")))</f>
        <v/>
      </c>
      <c r="Y36" s="107" t="str" cm="1">
        <f t="array" aca="1" ref="Y36" ca="1">IF(OR(Formulas!Z34=0,Formulas!Z34=""),"",HYPERLINK("["&amp;Archivo_Nombre&amp;"]Datos!"&amp;LEFT(SUBSTITUTE(ADDRESS(1,Formulas!Z34+2),"$",""))&amp;Formulas!Y34+1,
IFERROR(INDEX(Datos!$A$2:$L$101,Formulas!Y34,Formulas!Z34+2),"")))</f>
        <v/>
      </c>
      <c r="Z36" s="13"/>
      <c r="AA36" s="6"/>
      <c r="AB36" s="24" t="str" cm="1">
        <f t="array" aca="1" ref="AB36" ca="1">IF(OR(Formulas!AD33=0,Formulas!AD33="",RIGHT(Formulas!AE33)="0"),"",
HYPERLINK("["&amp;Archivo_Nombre&amp;"]Datos!"&amp;LEFT(SUBSTITUTE(ADDRESS(1,IF(Formulas!AD33=1,1,RIGHT(Formulas!AE33)+2)),"$",""))&amp;Formulas!AC33+1,
IFERROR(INDEX(Datos!$A$1:$L$1,1,RIGHT(Formulas!AE33)+2)&amp;IF(Formulas!AD33=1," "&amp;Formulas!AC33,"")&amp;":","")))</f>
        <v/>
      </c>
      <c r="AC36" s="107" t="str" cm="1">
        <f t="array" aca="1" ref="AC36" ca="1">IF(OR(Formulas!AD33=0,Formulas!AD33="",RIGHT(Formulas!AE33)="0"),"",
HYPERLINK("["&amp;Archivo_Nombre&amp;"]Datos!"&amp;LEFT(SUBSTITUTE(ADDRESS(1,RIGHT(Formulas!AE33)+2),"$",""))&amp;Formulas!AC33+1,
IFERROR(INDEX(Datos!$A$2:$L$101,Formulas!AC33,RIGHT(Formulas!AE33)+2),"")))</f>
        <v/>
      </c>
      <c r="AD36" s="107" t="str" cm="1">
        <f t="array" aca="1" ref="AD36" ca="1">IF(OR(Formulas!AE34=0,Formulas!AE34=""),"",HYPERLINK("["&amp;Archivo_Nombre&amp;"]Datos!"&amp;LEFT(SUBSTITUTE(ADDRESS(1,Formulas!AE34+2),"$",""))&amp;Formulas!AD34+1,
IFERROR(INDEX(Datos!$A$2:$L$101,Formulas!AD34,Formulas!AE34+2),"")))</f>
        <v/>
      </c>
      <c r="AE36" s="13"/>
      <c r="AF36" s="6"/>
      <c r="AG36" s="24" t="str" cm="1">
        <f t="array" aca="1" ref="AG36" ca="1">IF(OR(Formulas!AI33=0,Formulas!AI33="",RIGHT(Formulas!AJ33)="0"),"",
HYPERLINK("["&amp;Archivo_Nombre&amp;"]Datos!"&amp;LEFT(SUBSTITUTE(ADDRESS(1,IF(Formulas!AI33=1,1,RIGHT(Formulas!AJ33)+2)),"$",""))&amp;Formulas!AH33+1,
IFERROR(INDEX(Datos!$A$1:$L$1,1,RIGHT(Formulas!AJ33)+2)&amp;IF(Formulas!AI33=1," "&amp;Formulas!AH33,"")&amp;":","")))</f>
        <v/>
      </c>
      <c r="AH36" s="107" t="str" cm="1">
        <f t="array" aca="1" ref="AH36" ca="1">IF(OR(Formulas!AI33=0,Formulas!AI33="",RIGHT(Formulas!AJ33)="0"),"",
HYPERLINK("["&amp;Archivo_Nombre&amp;"]Datos!"&amp;LEFT(SUBSTITUTE(ADDRESS(1,RIGHT(Formulas!AJ33)+2),"$",""))&amp;Formulas!AH33+1,
IFERROR(INDEX(Datos!$A$2:$L$101,Formulas!AH33,RIGHT(Formulas!AJ33)+2),"")))</f>
        <v/>
      </c>
      <c r="AI36" s="107" t="str" cm="1">
        <f t="array" aca="1" ref="AI36" ca="1">IF(OR(Formulas!AJ34=0,Formulas!AJ34=""),"",HYPERLINK("["&amp;Archivo_Nombre&amp;"]Datos!"&amp;LEFT(SUBSTITUTE(ADDRESS(1,Formulas!AJ34+2),"$",""))&amp;Formulas!AI34+1,
IFERROR(INDEX(Datos!$A$2:$L$101,Formulas!AI34,Formulas!AJ34+2),"")))</f>
        <v/>
      </c>
      <c r="AJ36" s="13"/>
      <c r="AK36" s="6"/>
      <c r="AL36" s="24" t="str" cm="1">
        <f t="array" aca="1" ref="AL36" ca="1">IF(OR(Formulas!AN33=0,Formulas!AN33="",RIGHT(Formulas!AO33)="0"),"",
HYPERLINK("["&amp;Archivo_Nombre&amp;"]Datos!"&amp;LEFT(SUBSTITUTE(ADDRESS(1,IF(Formulas!AN33=1,1,RIGHT(Formulas!AO33)+2)),"$",""))&amp;Formulas!AM33+1,
IFERROR(INDEX(Datos!$A$1:$L$1,1,RIGHT(Formulas!AO33)+2)&amp;IF(Formulas!AN33=1," "&amp;Formulas!AM33,"")&amp;":","")))</f>
        <v/>
      </c>
      <c r="AM36" s="107" t="str" cm="1">
        <f t="array" aca="1" ref="AM36" ca="1">IF(OR(Formulas!AN33=0,Formulas!AN33="",RIGHT(Formulas!AO33)="0"),"",
HYPERLINK("["&amp;Archivo_Nombre&amp;"]Datos!"&amp;LEFT(SUBSTITUTE(ADDRESS(1,RIGHT(Formulas!AO33)+2),"$",""))&amp;Formulas!AM33+1,
IFERROR(INDEX(Datos!$A$2:$L$101,Formulas!AM33,RIGHT(Formulas!AO33)+2),"")))</f>
        <v/>
      </c>
      <c r="AN36" s="107" t="str" cm="1">
        <f t="array" aca="1" ref="AN36" ca="1">IF(OR(Formulas!AO34=0,Formulas!AO34=""),"",HYPERLINK("["&amp;Archivo_Nombre&amp;"]Datos!"&amp;LEFT(SUBSTITUTE(ADDRESS(1,Formulas!AO34+2),"$",""))&amp;Formulas!AN34+1,
IFERROR(INDEX(Datos!$A$2:$L$101,Formulas!AN34,Formulas!AO34+2),"")))</f>
        <v/>
      </c>
      <c r="AO36" s="13"/>
      <c r="AP36" s="6"/>
      <c r="AQ36" s="24" t="str" cm="1">
        <f t="array" aca="1" ref="AQ36" ca="1">IF(OR(Formulas!AS33=0,Formulas!AS33="",RIGHT(Formulas!AT33)="0"),"",
HYPERLINK("["&amp;Archivo_Nombre&amp;"]Datos!"&amp;LEFT(SUBSTITUTE(ADDRESS(1,IF(Formulas!AS33=1,1,RIGHT(Formulas!AT33)+2)),"$",""))&amp;Formulas!AR33+1,
IFERROR(INDEX(Datos!$A$1:$L$1,1,RIGHT(Formulas!AT33)+2)&amp;IF(Formulas!AS33=1," "&amp;Formulas!AR33,"")&amp;":","")))</f>
        <v/>
      </c>
      <c r="AR36" s="107" t="str" cm="1">
        <f t="array" aca="1" ref="AR36" ca="1">IF(OR(Formulas!AS33=0,Formulas!AS33="",RIGHT(Formulas!AT33)="0"),"",
HYPERLINK("["&amp;Archivo_Nombre&amp;"]Datos!"&amp;LEFT(SUBSTITUTE(ADDRESS(1,RIGHT(Formulas!AT33)+2),"$",""))&amp;Formulas!AR33+1,
IFERROR(INDEX(Datos!$A$2:$L$101,Formulas!AR33,RIGHT(Formulas!AT33)+2),"")))</f>
        <v/>
      </c>
      <c r="AS36" s="107" t="str" cm="1">
        <f t="array" aca="1" ref="AS36" ca="1">IF(OR(Formulas!AT34=0,Formulas!AT34=""),"",HYPERLINK("["&amp;Archivo_Nombre&amp;"]Datos!"&amp;LEFT(SUBSTITUTE(ADDRESS(1,Formulas!AT34+2),"$",""))&amp;Formulas!AS34+1,
IFERROR(INDEX(Datos!$A$2:$L$101,Formulas!AS34,Formulas!AT34+2),"")))</f>
        <v/>
      </c>
      <c r="AT36" s="13"/>
      <c r="AU36" s="6"/>
      <c r="AV36" s="24" t="str" cm="1">
        <f t="array" aca="1" ref="AV36" ca="1">IF(OR(Formulas!AX33=0,Formulas!AX33="",RIGHT(Formulas!AY33)="0"),"",
HYPERLINK("["&amp;Archivo_Nombre&amp;"]Datos!"&amp;LEFT(SUBSTITUTE(ADDRESS(1,IF(Formulas!AX33=1,1,RIGHT(Formulas!AY33)+2)),"$",""))&amp;Formulas!AW33+1,
IFERROR(INDEX(Datos!$A$1:$L$1,1,RIGHT(Formulas!AY33)+2)&amp;IF(Formulas!AX33=1," "&amp;Formulas!AW33,"")&amp;":","")))</f>
        <v/>
      </c>
      <c r="AW36" s="107" t="str" cm="1">
        <f t="array" aca="1" ref="AW36" ca="1">IF(OR(Formulas!AX33=0,Formulas!AX33="",RIGHT(Formulas!AY33)="0"),"",
HYPERLINK("["&amp;Archivo_Nombre&amp;"]Datos!"&amp;LEFT(SUBSTITUTE(ADDRESS(1,RIGHT(Formulas!AY33)+2),"$",""))&amp;Formulas!AW33+1,
IFERROR(INDEX(Datos!$A$2:$L$101,Formulas!AW33,RIGHT(Formulas!AY33)+2),"")))</f>
        <v/>
      </c>
      <c r="AX36" s="107" t="str" cm="1">
        <f t="array" aca="1" ref="AX36" ca="1">IF(OR(Formulas!AY34=0,Formulas!AY34=""),"",HYPERLINK("["&amp;Archivo_Nombre&amp;"]Datos!"&amp;LEFT(SUBSTITUTE(ADDRESS(1,Formulas!AY34+2),"$",""))&amp;Formulas!AX34+1,
IFERROR(INDEX(Datos!$A$2:$L$101,Formulas!AX34,Formulas!AY34+2),"")))</f>
        <v/>
      </c>
      <c r="AY36" s="13"/>
    </row>
    <row r="37" spans="2:51" x14ac:dyDescent="0.25">
      <c r="B37" s="11"/>
      <c r="C37" s="24" t="str" cm="1">
        <f t="array" aca="1" ref="C37" ca="1">IF(OR(Formulas!E34=0,Formulas!E34="",RIGHT(Formulas!F34)="0"),"",
HYPERLINK("["&amp;Archivo_Nombre&amp;"]Datos!"&amp;LEFT(SUBSTITUTE(ADDRESS(1,IF(Formulas!E34=1,1,RIGHT(Formulas!F34)+2)),"$",""))&amp;Formulas!D34+1,
IFERROR(INDEX(Datos!$A$1:$L$1,1,RIGHT(Formulas!F34)+2)&amp;IF(Formulas!E34=1," "&amp;Formulas!D34,"")&amp;":","")))</f>
        <v/>
      </c>
      <c r="D37" s="107" t="str" cm="1">
        <f t="array" aca="1" ref="D37" ca="1">IF(OR(Formulas!E34=0,Formulas!E34="",RIGHT(Formulas!F34)="0"),"",
HYPERLINK("["&amp;Archivo_Nombre&amp;"]Datos!"&amp;LEFT(SUBSTITUTE(ADDRESS(1,RIGHT(Formulas!F34)+2),"$",""))&amp;Formulas!D34+1,
IFERROR(INDEX(Datos!$A$2:$L$101,Formulas!D34,RIGHT(Formulas!F34)+2),"")))</f>
        <v/>
      </c>
      <c r="E37" s="107" t="str" cm="1">
        <f t="array" aca="1" ref="E37" ca="1">IF(OR(Formulas!F35=0,Formulas!F35=""),"",HYPERLINK("["&amp;Archivo_Nombre&amp;"]Datos!"&amp;LEFT(SUBSTITUTE(ADDRESS(1,Formulas!F35+2),"$",""))&amp;Formulas!E35+1,
IFERROR(INDEX(Datos!$A$2:$L$101,Formulas!E35,Formulas!F35+2),"")))</f>
        <v/>
      </c>
      <c r="F37" s="5"/>
      <c r="G37" s="6"/>
      <c r="H37" s="24" t="str" cm="1">
        <f t="array" aca="1" ref="H37" ca="1">IF(OR(Formulas!J34=0,Formulas!J34="",RIGHT(Formulas!K34)="0"),"",
HYPERLINK("["&amp;Archivo_Nombre&amp;"]Datos!"&amp;LEFT(SUBSTITUTE(ADDRESS(1,IF(Formulas!J34=1,1,RIGHT(Formulas!K34)+2)),"$",""))&amp;Formulas!I34+1,
IFERROR(INDEX(Datos!$A$1:$L$1,1,RIGHT(Formulas!K34)+2)&amp;IF(Formulas!J34=1," "&amp;Formulas!I34,"")&amp;":","")))</f>
        <v>Tarea:</v>
      </c>
      <c r="I37" s="107" t="str" cm="1">
        <f t="array" aca="1" ref="I37" ca="1">IF(OR(Formulas!J34=0,Formulas!J34="",RIGHT(Formulas!K34)="0"),"",
HYPERLINK("["&amp;Archivo_Nombre&amp;"]Datos!"&amp;LEFT(SUBSTITUTE(ADDRESS(1,RIGHT(Formulas!K34)+2),"$",""))&amp;Formulas!I34+1,
IFERROR(INDEX(Datos!$A$2:$L$101,Formulas!I34,RIGHT(Formulas!K34)+2),"")))</f>
        <v>Implementación Kanban</v>
      </c>
      <c r="J37" s="107" t="e" cm="1">
        <f t="array" aca="1" ref="J37" ca="1">IF(OR(Formulas!K35=0,Formulas!K35=""),"",HYPERLINK("["&amp;Archivo_Nombre&amp;"]Datos!"&amp;LEFT(SUBSTITUTE(ADDRESS(1,Formulas!K35+2),"$",""))&amp;Formulas!J35+1,
IFERROR(INDEX(Datos!$A$2:$L$101,Formulas!J35,Formulas!K35+2),"")))</f>
        <v>#VALUE!</v>
      </c>
      <c r="K37" s="5"/>
      <c r="L37" s="6"/>
      <c r="M37" s="24" t="str" cm="1">
        <f t="array" aca="1" ref="M37" ca="1">IF(OR(Formulas!O34=0,Formulas!O34="",RIGHT(Formulas!P34)="0"),"",
HYPERLINK("["&amp;Archivo_Nombre&amp;"]Datos!"&amp;LEFT(SUBSTITUTE(ADDRESS(1,IF(Formulas!O34=1,1,RIGHT(Formulas!P34)+2)),"$",""))&amp;Formulas!N34+1,
IFERROR(INDEX(Datos!$A$1:$L$1,1,RIGHT(Formulas!P34)+2)&amp;IF(Formulas!O34=1," "&amp;Formulas!N34,"")&amp;":","")))</f>
        <v/>
      </c>
      <c r="N37" s="107" t="str" cm="1">
        <f t="array" aca="1" ref="N37" ca="1">IF(OR(Formulas!O34=0,Formulas!O34="",RIGHT(Formulas!P34)="0"),"",
HYPERLINK("["&amp;Archivo_Nombre&amp;"]Datos!"&amp;LEFT(SUBSTITUTE(ADDRESS(1,RIGHT(Formulas!P34)+2),"$",""))&amp;Formulas!N34+1,
IFERROR(INDEX(Datos!$A$2:$L$101,Formulas!N34,RIGHT(Formulas!P34)+2),"")))</f>
        <v/>
      </c>
      <c r="O37" s="107" t="str" cm="1">
        <f t="array" aca="1" ref="O37" ca="1">IF(OR(Formulas!P35=0,Formulas!P35=""),"",HYPERLINK("["&amp;Archivo_Nombre&amp;"]Datos!"&amp;LEFT(SUBSTITUTE(ADDRESS(1,Formulas!P35+2),"$",""))&amp;Formulas!O35+1,
IFERROR(INDEX(Datos!$A$2:$L$101,Formulas!O35,Formulas!P35+2),"")))</f>
        <v/>
      </c>
      <c r="P37" s="5"/>
      <c r="Q37" s="6"/>
      <c r="R37" s="24" t="str" cm="1">
        <f t="array" aca="1" ref="R37" ca="1">IF(OR(Formulas!T34=0,Formulas!T34="",RIGHT(Formulas!U34)="0"),"",
HYPERLINK("["&amp;Archivo_Nombre&amp;"]Datos!"&amp;LEFT(SUBSTITUTE(ADDRESS(1,IF(Formulas!T34=1,1,RIGHT(Formulas!U34)+2)),"$",""))&amp;Formulas!S34+1,
IFERROR(INDEX(Datos!$A$1:$L$1,1,RIGHT(Formulas!U34)+2)&amp;IF(Formulas!T34=1," "&amp;Formulas!S34,"")&amp;":","")))</f>
        <v>Tarea:</v>
      </c>
      <c r="S37" s="107" t="str" cm="1">
        <f t="array" aca="1" ref="S37" ca="1">IF(OR(Formulas!T34=0,Formulas!T34="",RIGHT(Formulas!U34)="0"),"",
HYPERLINK("["&amp;Archivo_Nombre&amp;"]Datos!"&amp;LEFT(SUBSTITUTE(ADDRESS(1,RIGHT(Formulas!U34)+2),"$",""))&amp;Formulas!S34+1,
IFERROR(INDEX(Datos!$A$2:$L$101,Formulas!S34,RIGHT(Formulas!U34)+2),"")))</f>
        <v>Pruebas tester</v>
      </c>
      <c r="T37" s="107" t="e" cm="1">
        <f t="array" aca="1" ref="T37" ca="1">IF(OR(Formulas!U35=0,Formulas!U35=""),"",HYPERLINK("["&amp;Archivo_Nombre&amp;"]Datos!"&amp;LEFT(SUBSTITUTE(ADDRESS(1,Formulas!U35+2),"$",""))&amp;Formulas!T35+1,
IFERROR(INDEX(Datos!$A$2:$L$101,Formulas!T35,Formulas!U35+2),"")))</f>
        <v>#VALUE!</v>
      </c>
      <c r="U37" s="5"/>
      <c r="V37" s="6"/>
      <c r="W37" s="24" t="str" cm="1">
        <f t="array" aca="1" ref="W37" ca="1">IF(OR(Formulas!Y34=0,Formulas!Y34="",RIGHT(Formulas!Z34)="0"),"",
HYPERLINK("["&amp;Archivo_Nombre&amp;"]Datos!"&amp;LEFT(SUBSTITUTE(ADDRESS(1,IF(Formulas!Y34=1,1,RIGHT(Formulas!Z34)+2)),"$",""))&amp;Formulas!X34+1,
IFERROR(INDEX(Datos!$A$1:$L$1,1,RIGHT(Formulas!Z34)+2)&amp;IF(Formulas!Y34=1," "&amp;Formulas!X34,"")&amp;":","")))</f>
        <v/>
      </c>
      <c r="X37" s="107" t="str" cm="1">
        <f t="array" aca="1" ref="X37" ca="1">IF(OR(Formulas!Y34=0,Formulas!Y34="",RIGHT(Formulas!Z34)="0"),"",
HYPERLINK("["&amp;Archivo_Nombre&amp;"]Datos!"&amp;LEFT(SUBSTITUTE(ADDRESS(1,RIGHT(Formulas!Z34)+2),"$",""))&amp;Formulas!X34+1,
IFERROR(INDEX(Datos!$A$2:$L$101,Formulas!X34,RIGHT(Formulas!Z34)+2),"")))</f>
        <v/>
      </c>
      <c r="Y37" s="107" t="str" cm="1">
        <f t="array" aca="1" ref="Y37" ca="1">IF(OR(Formulas!Z35=0,Formulas!Z35=""),"",HYPERLINK("["&amp;Archivo_Nombre&amp;"]Datos!"&amp;LEFT(SUBSTITUTE(ADDRESS(1,Formulas!Z35+2),"$",""))&amp;Formulas!Y35+1,
IFERROR(INDEX(Datos!$A$2:$L$101,Formulas!Y35,Formulas!Z35+2),"")))</f>
        <v/>
      </c>
      <c r="Z37" s="13"/>
      <c r="AA37" s="6"/>
      <c r="AB37" s="24" t="str" cm="1">
        <f t="array" aca="1" ref="AB37" ca="1">IF(OR(Formulas!AD34=0,Formulas!AD34="",RIGHT(Formulas!AE34)="0"),"",
HYPERLINK("["&amp;Archivo_Nombre&amp;"]Datos!"&amp;LEFT(SUBSTITUTE(ADDRESS(1,IF(Formulas!AD34=1,1,RIGHT(Formulas!AE34)+2)),"$",""))&amp;Formulas!AC34+1,
IFERROR(INDEX(Datos!$A$1:$L$1,1,RIGHT(Formulas!AE34)+2)&amp;IF(Formulas!AD34=1," "&amp;Formulas!AC34,"")&amp;":","")))</f>
        <v/>
      </c>
      <c r="AC37" s="107" t="str" cm="1">
        <f t="array" aca="1" ref="AC37" ca="1">IF(OR(Formulas!AD34=0,Formulas!AD34="",RIGHT(Formulas!AE34)="0"),"",
HYPERLINK("["&amp;Archivo_Nombre&amp;"]Datos!"&amp;LEFT(SUBSTITUTE(ADDRESS(1,RIGHT(Formulas!AE34)+2),"$",""))&amp;Formulas!AC34+1,
IFERROR(INDEX(Datos!$A$2:$L$101,Formulas!AC34,RIGHT(Formulas!AE34)+2),"")))</f>
        <v/>
      </c>
      <c r="AD37" s="107" t="str" cm="1">
        <f t="array" aca="1" ref="AD37" ca="1">IF(OR(Formulas!AE35=0,Formulas!AE35=""),"",HYPERLINK("["&amp;Archivo_Nombre&amp;"]Datos!"&amp;LEFT(SUBSTITUTE(ADDRESS(1,Formulas!AE35+2),"$",""))&amp;Formulas!AD35+1,
IFERROR(INDEX(Datos!$A$2:$L$101,Formulas!AD35,Formulas!AE35+2),"")))</f>
        <v/>
      </c>
      <c r="AE37" s="13"/>
      <c r="AF37" s="6"/>
      <c r="AG37" s="24" t="str" cm="1">
        <f t="array" aca="1" ref="AG37" ca="1">IF(OR(Formulas!AI34=0,Formulas!AI34="",RIGHT(Formulas!AJ34)="0"),"",
HYPERLINK("["&amp;Archivo_Nombre&amp;"]Datos!"&amp;LEFT(SUBSTITUTE(ADDRESS(1,IF(Formulas!AI34=1,1,RIGHT(Formulas!AJ34)+2)),"$",""))&amp;Formulas!AH34+1,
IFERROR(INDEX(Datos!$A$1:$L$1,1,RIGHT(Formulas!AJ34)+2)&amp;IF(Formulas!AI34=1," "&amp;Formulas!AH34,"")&amp;":","")))</f>
        <v/>
      </c>
      <c r="AH37" s="107" t="str" cm="1">
        <f t="array" aca="1" ref="AH37" ca="1">IF(OR(Formulas!AI34=0,Formulas!AI34="",RIGHT(Formulas!AJ34)="0"),"",
HYPERLINK("["&amp;Archivo_Nombre&amp;"]Datos!"&amp;LEFT(SUBSTITUTE(ADDRESS(1,RIGHT(Formulas!AJ34)+2),"$",""))&amp;Formulas!AH34+1,
IFERROR(INDEX(Datos!$A$2:$L$101,Formulas!AH34,RIGHT(Formulas!AJ34)+2),"")))</f>
        <v/>
      </c>
      <c r="AI37" s="107" t="str" cm="1">
        <f t="array" aca="1" ref="AI37" ca="1">IF(OR(Formulas!AJ35=0,Formulas!AJ35=""),"",HYPERLINK("["&amp;Archivo_Nombre&amp;"]Datos!"&amp;LEFT(SUBSTITUTE(ADDRESS(1,Formulas!AJ35+2),"$",""))&amp;Formulas!AI35+1,
IFERROR(INDEX(Datos!$A$2:$L$101,Formulas!AI35,Formulas!AJ35+2),"")))</f>
        <v/>
      </c>
      <c r="AJ37" s="13"/>
      <c r="AK37" s="6"/>
      <c r="AL37" s="24" t="str" cm="1">
        <f t="array" aca="1" ref="AL37" ca="1">IF(OR(Formulas!AN34=0,Formulas!AN34="",RIGHT(Formulas!AO34)="0"),"",
HYPERLINK("["&amp;Archivo_Nombre&amp;"]Datos!"&amp;LEFT(SUBSTITUTE(ADDRESS(1,IF(Formulas!AN34=1,1,RIGHT(Formulas!AO34)+2)),"$",""))&amp;Formulas!AM34+1,
IFERROR(INDEX(Datos!$A$1:$L$1,1,RIGHT(Formulas!AO34)+2)&amp;IF(Formulas!AN34=1," "&amp;Formulas!AM34,"")&amp;":","")))</f>
        <v/>
      </c>
      <c r="AM37" s="107" t="str" cm="1">
        <f t="array" aca="1" ref="AM37" ca="1">IF(OR(Formulas!AN34=0,Formulas!AN34="",RIGHT(Formulas!AO34)="0"),"",
HYPERLINK("["&amp;Archivo_Nombre&amp;"]Datos!"&amp;LEFT(SUBSTITUTE(ADDRESS(1,RIGHT(Formulas!AO34)+2),"$",""))&amp;Formulas!AM34+1,
IFERROR(INDEX(Datos!$A$2:$L$101,Formulas!AM34,RIGHT(Formulas!AO34)+2),"")))</f>
        <v/>
      </c>
      <c r="AN37" s="107" t="str" cm="1">
        <f t="array" aca="1" ref="AN37" ca="1">IF(OR(Formulas!AO35=0,Formulas!AO35=""),"",HYPERLINK("["&amp;Archivo_Nombre&amp;"]Datos!"&amp;LEFT(SUBSTITUTE(ADDRESS(1,Formulas!AO35+2),"$",""))&amp;Formulas!AN35+1,
IFERROR(INDEX(Datos!$A$2:$L$101,Formulas!AN35,Formulas!AO35+2),"")))</f>
        <v/>
      </c>
      <c r="AO37" s="13"/>
      <c r="AP37" s="6"/>
      <c r="AQ37" s="24" t="str" cm="1">
        <f t="array" aca="1" ref="AQ37" ca="1">IF(OR(Formulas!AS34=0,Formulas!AS34="",RIGHT(Formulas!AT34)="0"),"",
HYPERLINK("["&amp;Archivo_Nombre&amp;"]Datos!"&amp;LEFT(SUBSTITUTE(ADDRESS(1,IF(Formulas!AS34=1,1,RIGHT(Formulas!AT34)+2)),"$",""))&amp;Formulas!AR34+1,
IFERROR(INDEX(Datos!$A$1:$L$1,1,RIGHT(Formulas!AT34)+2)&amp;IF(Formulas!AS34=1," "&amp;Formulas!AR34,"")&amp;":","")))</f>
        <v/>
      </c>
      <c r="AR37" s="107" t="str" cm="1">
        <f t="array" aca="1" ref="AR37" ca="1">IF(OR(Formulas!AS34=0,Formulas!AS34="",RIGHT(Formulas!AT34)="0"),"",
HYPERLINK("["&amp;Archivo_Nombre&amp;"]Datos!"&amp;LEFT(SUBSTITUTE(ADDRESS(1,RIGHT(Formulas!AT34)+2),"$",""))&amp;Formulas!AR34+1,
IFERROR(INDEX(Datos!$A$2:$L$101,Formulas!AR34,RIGHT(Formulas!AT34)+2),"")))</f>
        <v/>
      </c>
      <c r="AS37" s="107" t="str" cm="1">
        <f t="array" aca="1" ref="AS37" ca="1">IF(OR(Formulas!AT35=0,Formulas!AT35=""),"",HYPERLINK("["&amp;Archivo_Nombre&amp;"]Datos!"&amp;LEFT(SUBSTITUTE(ADDRESS(1,Formulas!AT35+2),"$",""))&amp;Formulas!AS35+1,
IFERROR(INDEX(Datos!$A$2:$L$101,Formulas!AS35,Formulas!AT35+2),"")))</f>
        <v/>
      </c>
      <c r="AT37" s="13"/>
      <c r="AU37" s="6"/>
      <c r="AV37" s="24" t="str" cm="1">
        <f t="array" aca="1" ref="AV37" ca="1">IF(OR(Formulas!AX34=0,Formulas!AX34="",RIGHT(Formulas!AY34)="0"),"",
HYPERLINK("["&amp;Archivo_Nombre&amp;"]Datos!"&amp;LEFT(SUBSTITUTE(ADDRESS(1,IF(Formulas!AX34=1,1,RIGHT(Formulas!AY34)+2)),"$",""))&amp;Formulas!AW34+1,
IFERROR(INDEX(Datos!$A$1:$L$1,1,RIGHT(Formulas!AY34)+2)&amp;IF(Formulas!AX34=1," "&amp;Formulas!AW34,"")&amp;":","")))</f>
        <v/>
      </c>
      <c r="AW37" s="107" t="str" cm="1">
        <f t="array" aca="1" ref="AW37" ca="1">IF(OR(Formulas!AX34=0,Formulas!AX34="",RIGHT(Formulas!AY34)="0"),"",
HYPERLINK("["&amp;Archivo_Nombre&amp;"]Datos!"&amp;LEFT(SUBSTITUTE(ADDRESS(1,RIGHT(Formulas!AY34)+2),"$",""))&amp;Formulas!AW34+1,
IFERROR(INDEX(Datos!$A$2:$L$101,Formulas!AW34,RIGHT(Formulas!AY34)+2),"")))</f>
        <v/>
      </c>
      <c r="AX37" s="107" t="str" cm="1">
        <f t="array" aca="1" ref="AX37" ca="1">IF(OR(Formulas!AY35=0,Formulas!AY35=""),"",HYPERLINK("["&amp;Archivo_Nombre&amp;"]Datos!"&amp;LEFT(SUBSTITUTE(ADDRESS(1,Formulas!AY35+2),"$",""))&amp;Formulas!AX35+1,
IFERROR(INDEX(Datos!$A$2:$L$101,Formulas!AX35,Formulas!AY35+2),"")))</f>
        <v/>
      </c>
      <c r="AY37" s="13"/>
    </row>
    <row r="38" spans="2:51" x14ac:dyDescent="0.25">
      <c r="B38" s="11"/>
      <c r="C38" s="24" t="str" cm="1">
        <f t="array" aca="1" ref="C38" ca="1">IF(OR(Formulas!E35=0,Formulas!E35="",RIGHT(Formulas!F35)="0"),"",
HYPERLINK("["&amp;Archivo_Nombre&amp;"]Datos!"&amp;LEFT(SUBSTITUTE(ADDRESS(1,IF(Formulas!E35=1,1,RIGHT(Formulas!F35)+2)),"$",""))&amp;Formulas!D35+1,
IFERROR(INDEX(Datos!$A$1:$L$1,1,RIGHT(Formulas!F35)+2)&amp;IF(Formulas!E35=1," "&amp;Formulas!D35,"")&amp;":","")))</f>
        <v/>
      </c>
      <c r="D38" s="107" t="str" cm="1">
        <f t="array" aca="1" ref="D38" ca="1">IF(OR(Formulas!E35=0,Formulas!E35="",RIGHT(Formulas!F35)="0"),"",
HYPERLINK("["&amp;Archivo_Nombre&amp;"]Datos!"&amp;LEFT(SUBSTITUTE(ADDRESS(1,RIGHT(Formulas!F35)+2),"$",""))&amp;Formulas!D35+1,
IFERROR(INDEX(Datos!$A$2:$L$101,Formulas!D35,RIGHT(Formulas!F35)+2),"")))</f>
        <v/>
      </c>
      <c r="E38" s="107" t="str" cm="1">
        <f t="array" aca="1" ref="E38" ca="1">IF(OR(Formulas!F36=0,Formulas!F36=""),"",HYPERLINK("["&amp;Archivo_Nombre&amp;"]Datos!"&amp;LEFT(SUBSTITUTE(ADDRESS(1,Formulas!F36+2),"$",""))&amp;Formulas!E36+1,
IFERROR(INDEX(Datos!$A$2:$L$101,Formulas!E36,Formulas!F36+2),"")))</f>
        <v/>
      </c>
      <c r="F38" s="5"/>
      <c r="G38" s="6"/>
      <c r="H38" s="24" t="str" cm="1">
        <f t="array" aca="1" ref="H38" ca="1">IF(OR(Formulas!J35=0,Formulas!J35="",RIGHT(Formulas!K35)="0"),"",
HYPERLINK("["&amp;Archivo_Nombre&amp;"]Datos!"&amp;LEFT(SUBSTITUTE(ADDRESS(1,IF(Formulas!J35=1,1,RIGHT(Formulas!K35)+2)),"$",""))&amp;Formulas!I35+1,
IFERROR(INDEX(Datos!$A$1:$L$1,1,RIGHT(Formulas!K35)+2)&amp;IF(Formulas!J35=1," "&amp;Formulas!I35,"")&amp;":","")))</f>
        <v>Descripción:</v>
      </c>
      <c r="I38" s="107" t="str" cm="1">
        <f t="array" aca="1" ref="I38" ca="1">IF(OR(Formulas!J35=0,Formulas!J35="",RIGHT(Formulas!K35)="0"),"",
HYPERLINK("["&amp;Archivo_Nombre&amp;"]Datos!"&amp;LEFT(SUBSTITUTE(ADDRESS(1,RIGHT(Formulas!K35)+2),"$",""))&amp;Formulas!I35+1,
IFERROR(INDEX(Datos!$A$2:$L$101,Formulas!I35,RIGHT(Formulas!K35)+2),"")))</f>
        <v>Implementación Kanban</v>
      </c>
      <c r="J38" s="107" t="e" cm="1">
        <f t="array" aca="1" ref="J38" ca="1">IF(OR(Formulas!K36=0,Formulas!K36=""),"",HYPERLINK("["&amp;Archivo_Nombre&amp;"]Datos!"&amp;LEFT(SUBSTITUTE(ADDRESS(1,Formulas!K36+2),"$",""))&amp;Formulas!J36+1,
IFERROR(INDEX(Datos!$A$2:$L$101,Formulas!J36,Formulas!K36+2),"")))</f>
        <v>#VALUE!</v>
      </c>
      <c r="K38" s="5"/>
      <c r="L38" s="6"/>
      <c r="M38" s="24" t="str" cm="1">
        <f t="array" aca="1" ref="M38" ca="1">IF(OR(Formulas!O35=0,Formulas!O35="",RIGHT(Formulas!P35)="0"),"",
HYPERLINK("["&amp;Archivo_Nombre&amp;"]Datos!"&amp;LEFT(SUBSTITUTE(ADDRESS(1,IF(Formulas!O35=1,1,RIGHT(Formulas!P35)+2)),"$",""))&amp;Formulas!N35+1,
IFERROR(INDEX(Datos!$A$1:$L$1,1,RIGHT(Formulas!P35)+2)&amp;IF(Formulas!O35=1," "&amp;Formulas!N35,"")&amp;":","")))</f>
        <v/>
      </c>
      <c r="N38" s="107" t="str" cm="1">
        <f t="array" aca="1" ref="N38" ca="1">IF(OR(Formulas!O35=0,Formulas!O35="",RIGHT(Formulas!P35)="0"),"",
HYPERLINK("["&amp;Archivo_Nombre&amp;"]Datos!"&amp;LEFT(SUBSTITUTE(ADDRESS(1,RIGHT(Formulas!P35)+2),"$",""))&amp;Formulas!N35+1,
IFERROR(INDEX(Datos!$A$2:$L$101,Formulas!N35,RIGHT(Formulas!P35)+2),"")))</f>
        <v/>
      </c>
      <c r="O38" s="107" t="str" cm="1">
        <f t="array" aca="1" ref="O38" ca="1">IF(OR(Formulas!P36=0,Formulas!P36=""),"",HYPERLINK("["&amp;Archivo_Nombre&amp;"]Datos!"&amp;LEFT(SUBSTITUTE(ADDRESS(1,Formulas!P36+2),"$",""))&amp;Formulas!O36+1,
IFERROR(INDEX(Datos!$A$2:$L$101,Formulas!O36,Formulas!P36+2),"")))</f>
        <v/>
      </c>
      <c r="P38" s="5"/>
      <c r="Q38" s="6"/>
      <c r="R38" s="24" t="str" cm="1">
        <f t="array" aca="1" ref="R38" ca="1">IF(OR(Formulas!T35=0,Formulas!T35="",RIGHT(Formulas!U35)="0"),"",
HYPERLINK("["&amp;Archivo_Nombre&amp;"]Datos!"&amp;LEFT(SUBSTITUTE(ADDRESS(1,IF(Formulas!T35=1,1,RIGHT(Formulas!U35)+2)),"$",""))&amp;Formulas!S35+1,
IFERROR(INDEX(Datos!$A$1:$L$1,1,RIGHT(Formulas!U35)+2)&amp;IF(Formulas!T35=1," "&amp;Formulas!S35,"")&amp;":","")))</f>
        <v>Descripción:</v>
      </c>
      <c r="S38" s="107" t="str" cm="1">
        <f t="array" aca="1" ref="S38" ca="1">IF(OR(Formulas!T35=0,Formulas!T35="",RIGHT(Formulas!U35)="0"),"",
HYPERLINK("["&amp;Archivo_Nombre&amp;"]Datos!"&amp;LEFT(SUBSTITUTE(ADDRESS(1,RIGHT(Formulas!U35)+2),"$",""))&amp;Formulas!S35+1,
IFERROR(INDEX(Datos!$A$2:$L$101,Formulas!S35,RIGHT(Formulas!U35)+2),"")))</f>
        <v>Pruebas tester</v>
      </c>
      <c r="T38" s="107" t="e" cm="1">
        <f t="array" aca="1" ref="T38" ca="1">IF(OR(Formulas!U36=0,Formulas!U36=""),"",HYPERLINK("["&amp;Archivo_Nombre&amp;"]Datos!"&amp;LEFT(SUBSTITUTE(ADDRESS(1,Formulas!U36+2),"$",""))&amp;Formulas!T36+1,
IFERROR(INDEX(Datos!$A$2:$L$101,Formulas!T36,Formulas!U36+2),"")))</f>
        <v>#VALUE!</v>
      </c>
      <c r="U38" s="5"/>
      <c r="V38" s="6"/>
      <c r="W38" s="24" t="str" cm="1">
        <f t="array" aca="1" ref="W38" ca="1">IF(OR(Formulas!Y35=0,Formulas!Y35="",RIGHT(Formulas!Z35)="0"),"",
HYPERLINK("["&amp;Archivo_Nombre&amp;"]Datos!"&amp;LEFT(SUBSTITUTE(ADDRESS(1,IF(Formulas!Y35=1,1,RIGHT(Formulas!Z35)+2)),"$",""))&amp;Formulas!X35+1,
IFERROR(INDEX(Datos!$A$1:$L$1,1,RIGHT(Formulas!Z35)+2)&amp;IF(Formulas!Y35=1," "&amp;Formulas!X35,"")&amp;":","")))</f>
        <v/>
      </c>
      <c r="X38" s="107" t="str" cm="1">
        <f t="array" aca="1" ref="X38" ca="1">IF(OR(Formulas!Y35=0,Formulas!Y35="",RIGHT(Formulas!Z35)="0"),"",
HYPERLINK("["&amp;Archivo_Nombre&amp;"]Datos!"&amp;LEFT(SUBSTITUTE(ADDRESS(1,RIGHT(Formulas!Z35)+2),"$",""))&amp;Formulas!X35+1,
IFERROR(INDEX(Datos!$A$2:$L$101,Formulas!X35,RIGHT(Formulas!Z35)+2),"")))</f>
        <v/>
      </c>
      <c r="Y38" s="107" t="str" cm="1">
        <f t="array" aca="1" ref="Y38" ca="1">IF(OR(Formulas!Z36=0,Formulas!Z36=""),"",HYPERLINK("["&amp;Archivo_Nombre&amp;"]Datos!"&amp;LEFT(SUBSTITUTE(ADDRESS(1,Formulas!Z36+2),"$",""))&amp;Formulas!Y36+1,
IFERROR(INDEX(Datos!$A$2:$L$101,Formulas!Y36,Formulas!Z36+2),"")))</f>
        <v/>
      </c>
      <c r="Z38" s="13"/>
      <c r="AA38" s="6"/>
      <c r="AB38" s="24" t="str" cm="1">
        <f t="array" aca="1" ref="AB38" ca="1">IF(OR(Formulas!AD35=0,Formulas!AD35="",RIGHT(Formulas!AE35)="0"),"",
HYPERLINK("["&amp;Archivo_Nombre&amp;"]Datos!"&amp;LEFT(SUBSTITUTE(ADDRESS(1,IF(Formulas!AD35=1,1,RIGHT(Formulas!AE35)+2)),"$",""))&amp;Formulas!AC35+1,
IFERROR(INDEX(Datos!$A$1:$L$1,1,RIGHT(Formulas!AE35)+2)&amp;IF(Formulas!AD35=1," "&amp;Formulas!AC35,"")&amp;":","")))</f>
        <v/>
      </c>
      <c r="AC38" s="107" t="str" cm="1">
        <f t="array" aca="1" ref="AC38" ca="1">IF(OR(Formulas!AD35=0,Formulas!AD35="",RIGHT(Formulas!AE35)="0"),"",
HYPERLINK("["&amp;Archivo_Nombre&amp;"]Datos!"&amp;LEFT(SUBSTITUTE(ADDRESS(1,RIGHT(Formulas!AE35)+2),"$",""))&amp;Formulas!AC35+1,
IFERROR(INDEX(Datos!$A$2:$L$101,Formulas!AC35,RIGHT(Formulas!AE35)+2),"")))</f>
        <v/>
      </c>
      <c r="AD38" s="107" t="str" cm="1">
        <f t="array" aca="1" ref="AD38" ca="1">IF(OR(Formulas!AE36=0,Formulas!AE36=""),"",HYPERLINK("["&amp;Archivo_Nombre&amp;"]Datos!"&amp;LEFT(SUBSTITUTE(ADDRESS(1,Formulas!AE36+2),"$",""))&amp;Formulas!AD36+1,
IFERROR(INDEX(Datos!$A$2:$L$101,Formulas!AD36,Formulas!AE36+2),"")))</f>
        <v/>
      </c>
      <c r="AE38" s="13"/>
      <c r="AF38" s="6"/>
      <c r="AG38" s="24" t="str" cm="1">
        <f t="array" aca="1" ref="AG38" ca="1">IF(OR(Formulas!AI35=0,Formulas!AI35="",RIGHT(Formulas!AJ35)="0"),"",
HYPERLINK("["&amp;Archivo_Nombre&amp;"]Datos!"&amp;LEFT(SUBSTITUTE(ADDRESS(1,IF(Formulas!AI35=1,1,RIGHT(Formulas!AJ35)+2)),"$",""))&amp;Formulas!AH35+1,
IFERROR(INDEX(Datos!$A$1:$L$1,1,RIGHT(Formulas!AJ35)+2)&amp;IF(Formulas!AI35=1," "&amp;Formulas!AH35,"")&amp;":","")))</f>
        <v/>
      </c>
      <c r="AH38" s="107" t="str" cm="1">
        <f t="array" aca="1" ref="AH38" ca="1">IF(OR(Formulas!AI35=0,Formulas!AI35="",RIGHT(Formulas!AJ35)="0"),"",
HYPERLINK("["&amp;Archivo_Nombre&amp;"]Datos!"&amp;LEFT(SUBSTITUTE(ADDRESS(1,RIGHT(Formulas!AJ35)+2),"$",""))&amp;Formulas!AH35+1,
IFERROR(INDEX(Datos!$A$2:$L$101,Formulas!AH35,RIGHT(Formulas!AJ35)+2),"")))</f>
        <v/>
      </c>
      <c r="AI38" s="107" t="str" cm="1">
        <f t="array" aca="1" ref="AI38" ca="1">IF(OR(Formulas!AJ36=0,Formulas!AJ36=""),"",HYPERLINK("["&amp;Archivo_Nombre&amp;"]Datos!"&amp;LEFT(SUBSTITUTE(ADDRESS(1,Formulas!AJ36+2),"$",""))&amp;Formulas!AI36+1,
IFERROR(INDEX(Datos!$A$2:$L$101,Formulas!AI36,Formulas!AJ36+2),"")))</f>
        <v/>
      </c>
      <c r="AJ38" s="13"/>
      <c r="AK38" s="6"/>
      <c r="AL38" s="24" t="str" cm="1">
        <f t="array" aca="1" ref="AL38" ca="1">IF(OR(Formulas!AN35=0,Formulas!AN35="",RIGHT(Formulas!AO35)="0"),"",
HYPERLINK("["&amp;Archivo_Nombre&amp;"]Datos!"&amp;LEFT(SUBSTITUTE(ADDRESS(1,IF(Formulas!AN35=1,1,RIGHT(Formulas!AO35)+2)),"$",""))&amp;Formulas!AM35+1,
IFERROR(INDEX(Datos!$A$1:$L$1,1,RIGHT(Formulas!AO35)+2)&amp;IF(Formulas!AN35=1," "&amp;Formulas!AM35,"")&amp;":","")))</f>
        <v/>
      </c>
      <c r="AM38" s="107" t="str" cm="1">
        <f t="array" aca="1" ref="AM38" ca="1">IF(OR(Formulas!AN35=0,Formulas!AN35="",RIGHT(Formulas!AO35)="0"),"",
HYPERLINK("["&amp;Archivo_Nombre&amp;"]Datos!"&amp;LEFT(SUBSTITUTE(ADDRESS(1,RIGHT(Formulas!AO35)+2),"$",""))&amp;Formulas!AM35+1,
IFERROR(INDEX(Datos!$A$2:$L$101,Formulas!AM35,RIGHT(Formulas!AO35)+2),"")))</f>
        <v/>
      </c>
      <c r="AN38" s="107" t="str" cm="1">
        <f t="array" aca="1" ref="AN38" ca="1">IF(OR(Formulas!AO36=0,Formulas!AO36=""),"",HYPERLINK("["&amp;Archivo_Nombre&amp;"]Datos!"&amp;LEFT(SUBSTITUTE(ADDRESS(1,Formulas!AO36+2),"$",""))&amp;Formulas!AN36+1,
IFERROR(INDEX(Datos!$A$2:$L$101,Formulas!AN36,Formulas!AO36+2),"")))</f>
        <v/>
      </c>
      <c r="AO38" s="13"/>
      <c r="AP38" s="6"/>
      <c r="AQ38" s="24" t="str" cm="1">
        <f t="array" aca="1" ref="AQ38" ca="1">IF(OR(Formulas!AS35=0,Formulas!AS35="",RIGHT(Formulas!AT35)="0"),"",
HYPERLINK("["&amp;Archivo_Nombre&amp;"]Datos!"&amp;LEFT(SUBSTITUTE(ADDRESS(1,IF(Formulas!AS35=1,1,RIGHT(Formulas!AT35)+2)),"$",""))&amp;Formulas!AR35+1,
IFERROR(INDEX(Datos!$A$1:$L$1,1,RIGHT(Formulas!AT35)+2)&amp;IF(Formulas!AS35=1," "&amp;Formulas!AR35,"")&amp;":","")))</f>
        <v/>
      </c>
      <c r="AR38" s="107" t="str" cm="1">
        <f t="array" aca="1" ref="AR38" ca="1">IF(OR(Formulas!AS35=0,Formulas!AS35="",RIGHT(Formulas!AT35)="0"),"",
HYPERLINK("["&amp;Archivo_Nombre&amp;"]Datos!"&amp;LEFT(SUBSTITUTE(ADDRESS(1,RIGHT(Formulas!AT35)+2),"$",""))&amp;Formulas!AR35+1,
IFERROR(INDEX(Datos!$A$2:$L$101,Formulas!AR35,RIGHT(Formulas!AT35)+2),"")))</f>
        <v/>
      </c>
      <c r="AS38" s="107" t="str" cm="1">
        <f t="array" aca="1" ref="AS38" ca="1">IF(OR(Formulas!AT36=0,Formulas!AT36=""),"",HYPERLINK("["&amp;Archivo_Nombre&amp;"]Datos!"&amp;LEFT(SUBSTITUTE(ADDRESS(1,Formulas!AT36+2),"$",""))&amp;Formulas!AS36+1,
IFERROR(INDEX(Datos!$A$2:$L$101,Formulas!AS36,Formulas!AT36+2),"")))</f>
        <v/>
      </c>
      <c r="AT38" s="13"/>
      <c r="AU38" s="6"/>
      <c r="AV38" s="24" t="str" cm="1">
        <f t="array" aca="1" ref="AV38" ca="1">IF(OR(Formulas!AX35=0,Formulas!AX35="",RIGHT(Formulas!AY35)="0"),"",
HYPERLINK("["&amp;Archivo_Nombre&amp;"]Datos!"&amp;LEFT(SUBSTITUTE(ADDRESS(1,IF(Formulas!AX35=1,1,RIGHT(Formulas!AY35)+2)),"$",""))&amp;Formulas!AW35+1,
IFERROR(INDEX(Datos!$A$1:$L$1,1,RIGHT(Formulas!AY35)+2)&amp;IF(Formulas!AX35=1," "&amp;Formulas!AW35,"")&amp;":","")))</f>
        <v/>
      </c>
      <c r="AW38" s="107" t="str" cm="1">
        <f t="array" aca="1" ref="AW38" ca="1">IF(OR(Formulas!AX35=0,Formulas!AX35="",RIGHT(Formulas!AY35)="0"),"",
HYPERLINK("["&amp;Archivo_Nombre&amp;"]Datos!"&amp;LEFT(SUBSTITUTE(ADDRESS(1,RIGHT(Formulas!AY35)+2),"$",""))&amp;Formulas!AW35+1,
IFERROR(INDEX(Datos!$A$2:$L$101,Formulas!AW35,RIGHT(Formulas!AY35)+2),"")))</f>
        <v/>
      </c>
      <c r="AX38" s="107" t="str" cm="1">
        <f t="array" aca="1" ref="AX38" ca="1">IF(OR(Formulas!AY36=0,Formulas!AY36=""),"",HYPERLINK("["&amp;Archivo_Nombre&amp;"]Datos!"&amp;LEFT(SUBSTITUTE(ADDRESS(1,Formulas!AY36+2),"$",""))&amp;Formulas!AX36+1,
IFERROR(INDEX(Datos!$A$2:$L$101,Formulas!AX36,Formulas!AY36+2),"")))</f>
        <v/>
      </c>
      <c r="AY38" s="13"/>
    </row>
    <row r="39" spans="2:51" x14ac:dyDescent="0.25">
      <c r="B39" s="11"/>
      <c r="C39" s="24" t="str" cm="1">
        <f t="array" aca="1" ref="C39" ca="1">IF(OR(Formulas!E36=0,Formulas!E36="",RIGHT(Formulas!F36)="0"),"",
HYPERLINK("["&amp;Archivo_Nombre&amp;"]Datos!"&amp;LEFT(SUBSTITUTE(ADDRESS(1,IF(Formulas!E36=1,1,RIGHT(Formulas!F36)+2)),"$",""))&amp;Formulas!D36+1,
IFERROR(INDEX(Datos!$A$1:$L$1,1,RIGHT(Formulas!F36)+2)&amp;IF(Formulas!E36=1," "&amp;Formulas!D36,"")&amp;":","")))</f>
        <v/>
      </c>
      <c r="D39" s="107" t="str" cm="1">
        <f t="array" aca="1" ref="D39" ca="1">IF(OR(Formulas!E36=0,Formulas!E36="",RIGHT(Formulas!F36)="0"),"",
HYPERLINK("["&amp;Archivo_Nombre&amp;"]Datos!"&amp;LEFT(SUBSTITUTE(ADDRESS(1,RIGHT(Formulas!F36)+2),"$",""))&amp;Formulas!D36+1,
IFERROR(INDEX(Datos!$A$2:$L$101,Formulas!D36,RIGHT(Formulas!F36)+2),"")))</f>
        <v/>
      </c>
      <c r="E39" s="107" t="str" cm="1">
        <f t="array" aca="1" ref="E39" ca="1">IF(OR(Formulas!F37=0,Formulas!F37=""),"",HYPERLINK("["&amp;Archivo_Nombre&amp;"]Datos!"&amp;LEFT(SUBSTITUTE(ADDRESS(1,Formulas!F37+2),"$",""))&amp;Formulas!E37+1,
IFERROR(INDEX(Datos!$A$2:$L$101,Formulas!E37,Formulas!F37+2),"")))</f>
        <v/>
      </c>
      <c r="F39" s="5"/>
      <c r="G39" s="6"/>
      <c r="H39" s="24" t="str" cm="1">
        <f t="array" aca="1" ref="H39" ca="1">IF(OR(Formulas!J36=0,Formulas!J36="",RIGHT(Formulas!K36)="0"),"",
HYPERLINK("["&amp;Archivo_Nombre&amp;"]Datos!"&amp;LEFT(SUBSTITUTE(ADDRESS(1,IF(Formulas!J36=1,1,RIGHT(Formulas!K36)+2)),"$",""))&amp;Formulas!I36+1,
IFERROR(INDEX(Datos!$A$1:$L$1,1,RIGHT(Formulas!K36)+2)&amp;IF(Formulas!J36=1," "&amp;Formulas!I36,"")&amp;":","")))</f>
        <v>Inicio:</v>
      </c>
      <c r="I39" s="107" cm="1">
        <f t="array" aca="1" ref="I39" ca="1">IF(OR(Formulas!J36=0,Formulas!J36="",RIGHT(Formulas!K36)="0"),"",
HYPERLINK("["&amp;Archivo_Nombre&amp;"]Datos!"&amp;LEFT(SUBSTITUTE(ADDRESS(1,RIGHT(Formulas!K36)+2),"$",""))&amp;Formulas!I36+1,
IFERROR(INDEX(Datos!$A$2:$L$101,Formulas!I36,RIGHT(Formulas!K36)+2),"")))</f>
        <v>45822</v>
      </c>
      <c r="J39" s="107" t="e" cm="1">
        <f t="array" aca="1" ref="J39" ca="1">IF(OR(Formulas!K37=0,Formulas!K37=""),"",HYPERLINK("["&amp;Archivo_Nombre&amp;"]Datos!"&amp;LEFT(SUBSTITUTE(ADDRESS(1,Formulas!K37+2),"$",""))&amp;Formulas!J37+1,
IFERROR(INDEX(Datos!$A$2:$L$101,Formulas!J37,Formulas!K37+2),"")))</f>
        <v>#VALUE!</v>
      </c>
      <c r="K39" s="5"/>
      <c r="L39" s="6"/>
      <c r="M39" s="24" t="str" cm="1">
        <f t="array" aca="1" ref="M39" ca="1">IF(OR(Formulas!O36=0,Formulas!O36="",RIGHT(Formulas!P36)="0"),"",
HYPERLINK("["&amp;Archivo_Nombre&amp;"]Datos!"&amp;LEFT(SUBSTITUTE(ADDRESS(1,IF(Formulas!O36=1,1,RIGHT(Formulas!P36)+2)),"$",""))&amp;Formulas!N36+1,
IFERROR(INDEX(Datos!$A$1:$L$1,1,RIGHT(Formulas!P36)+2)&amp;IF(Formulas!O36=1," "&amp;Formulas!N36,"")&amp;":","")))</f>
        <v/>
      </c>
      <c r="N39" s="107" t="str" cm="1">
        <f t="array" aca="1" ref="N39" ca="1">IF(OR(Formulas!O36=0,Formulas!O36="",RIGHT(Formulas!P36)="0"),"",
HYPERLINK("["&amp;Archivo_Nombre&amp;"]Datos!"&amp;LEFT(SUBSTITUTE(ADDRESS(1,RIGHT(Formulas!P36)+2),"$",""))&amp;Formulas!N36+1,
IFERROR(INDEX(Datos!$A$2:$L$101,Formulas!N36,RIGHT(Formulas!P36)+2),"")))</f>
        <v/>
      </c>
      <c r="O39" s="107" t="str" cm="1">
        <f t="array" aca="1" ref="O39" ca="1">IF(OR(Formulas!P37=0,Formulas!P37=""),"",HYPERLINK("["&amp;Archivo_Nombre&amp;"]Datos!"&amp;LEFT(SUBSTITUTE(ADDRESS(1,Formulas!P37+2),"$",""))&amp;Formulas!O37+1,
IFERROR(INDEX(Datos!$A$2:$L$101,Formulas!O37,Formulas!P37+2),"")))</f>
        <v/>
      </c>
      <c r="P39" s="5"/>
      <c r="Q39" s="6"/>
      <c r="R39" s="24" t="str" cm="1">
        <f t="array" aca="1" ref="R39" ca="1">IF(OR(Formulas!T36=0,Formulas!T36="",RIGHT(Formulas!U36)="0"),"",
HYPERLINK("["&amp;Archivo_Nombre&amp;"]Datos!"&amp;LEFT(SUBSTITUTE(ADDRESS(1,IF(Formulas!T36=1,1,RIGHT(Formulas!U36)+2)),"$",""))&amp;Formulas!S36+1,
IFERROR(INDEX(Datos!$A$1:$L$1,1,RIGHT(Formulas!U36)+2)&amp;IF(Formulas!T36=1," "&amp;Formulas!S36,"")&amp;":","")))</f>
        <v>Inicio:</v>
      </c>
      <c r="S39" s="107" cm="1">
        <f t="array" aca="1" ref="S39" ca="1">IF(OR(Formulas!T36=0,Formulas!T36="",RIGHT(Formulas!U36)="0"),"",
HYPERLINK("["&amp;Archivo_Nombre&amp;"]Datos!"&amp;LEFT(SUBSTITUTE(ADDRESS(1,RIGHT(Formulas!U36)+2),"$",""))&amp;Formulas!S36+1,
IFERROR(INDEX(Datos!$A$2:$L$101,Formulas!S36,RIGHT(Formulas!U36)+2),"")))</f>
        <v>45820</v>
      </c>
      <c r="T39" s="107" t="e" cm="1">
        <f t="array" aca="1" ref="T39" ca="1">IF(OR(Formulas!U37=0,Formulas!U37=""),"",HYPERLINK("["&amp;Archivo_Nombre&amp;"]Datos!"&amp;LEFT(SUBSTITUTE(ADDRESS(1,Formulas!U37+2),"$",""))&amp;Formulas!T37+1,
IFERROR(INDEX(Datos!$A$2:$L$101,Formulas!T37,Formulas!U37+2),"")))</f>
        <v>#VALUE!</v>
      </c>
      <c r="U39" s="5"/>
      <c r="V39" s="6"/>
      <c r="W39" s="24" t="str" cm="1">
        <f t="array" aca="1" ref="W39" ca="1">IF(OR(Formulas!Y36=0,Formulas!Y36="",RIGHT(Formulas!Z36)="0"),"",
HYPERLINK("["&amp;Archivo_Nombre&amp;"]Datos!"&amp;LEFT(SUBSTITUTE(ADDRESS(1,IF(Formulas!Y36=1,1,RIGHT(Formulas!Z36)+2)),"$",""))&amp;Formulas!X36+1,
IFERROR(INDEX(Datos!$A$1:$L$1,1,RIGHT(Formulas!Z36)+2)&amp;IF(Formulas!Y36=1," "&amp;Formulas!X36,"")&amp;":","")))</f>
        <v/>
      </c>
      <c r="X39" s="107" t="str" cm="1">
        <f t="array" aca="1" ref="X39" ca="1">IF(OR(Formulas!Y36=0,Formulas!Y36="",RIGHT(Formulas!Z36)="0"),"",
HYPERLINK("["&amp;Archivo_Nombre&amp;"]Datos!"&amp;LEFT(SUBSTITUTE(ADDRESS(1,RIGHT(Formulas!Z36)+2),"$",""))&amp;Formulas!X36+1,
IFERROR(INDEX(Datos!$A$2:$L$101,Formulas!X36,RIGHT(Formulas!Z36)+2),"")))</f>
        <v/>
      </c>
      <c r="Y39" s="107" t="str" cm="1">
        <f t="array" aca="1" ref="Y39" ca="1">IF(OR(Formulas!Z37=0,Formulas!Z37=""),"",HYPERLINK("["&amp;Archivo_Nombre&amp;"]Datos!"&amp;LEFT(SUBSTITUTE(ADDRESS(1,Formulas!Z37+2),"$",""))&amp;Formulas!Y37+1,
IFERROR(INDEX(Datos!$A$2:$L$101,Formulas!Y37,Formulas!Z37+2),"")))</f>
        <v/>
      </c>
      <c r="Z39" s="13"/>
      <c r="AA39" s="6"/>
      <c r="AB39" s="24" t="str" cm="1">
        <f t="array" aca="1" ref="AB39" ca="1">IF(OR(Formulas!AD36=0,Formulas!AD36="",RIGHT(Formulas!AE36)="0"),"",
HYPERLINK("["&amp;Archivo_Nombre&amp;"]Datos!"&amp;LEFT(SUBSTITUTE(ADDRESS(1,IF(Formulas!AD36=1,1,RIGHT(Formulas!AE36)+2)),"$",""))&amp;Formulas!AC36+1,
IFERROR(INDEX(Datos!$A$1:$L$1,1,RIGHT(Formulas!AE36)+2)&amp;IF(Formulas!AD36=1," "&amp;Formulas!AC36,"")&amp;":","")))</f>
        <v/>
      </c>
      <c r="AC39" s="107" t="str" cm="1">
        <f t="array" aca="1" ref="AC39" ca="1">IF(OR(Formulas!AD36=0,Formulas!AD36="",RIGHT(Formulas!AE36)="0"),"",
HYPERLINK("["&amp;Archivo_Nombre&amp;"]Datos!"&amp;LEFT(SUBSTITUTE(ADDRESS(1,RIGHT(Formulas!AE36)+2),"$",""))&amp;Formulas!AC36+1,
IFERROR(INDEX(Datos!$A$2:$L$101,Formulas!AC36,RIGHT(Formulas!AE36)+2),"")))</f>
        <v/>
      </c>
      <c r="AD39" s="107" t="str" cm="1">
        <f t="array" aca="1" ref="AD39" ca="1">IF(OR(Formulas!AE37=0,Formulas!AE37=""),"",HYPERLINK("["&amp;Archivo_Nombre&amp;"]Datos!"&amp;LEFT(SUBSTITUTE(ADDRESS(1,Formulas!AE37+2),"$",""))&amp;Formulas!AD37+1,
IFERROR(INDEX(Datos!$A$2:$L$101,Formulas!AD37,Formulas!AE37+2),"")))</f>
        <v/>
      </c>
      <c r="AE39" s="13"/>
      <c r="AF39" s="6"/>
      <c r="AG39" s="24" t="str" cm="1">
        <f t="array" aca="1" ref="AG39" ca="1">IF(OR(Formulas!AI36=0,Formulas!AI36="",RIGHT(Formulas!AJ36)="0"),"",
HYPERLINK("["&amp;Archivo_Nombre&amp;"]Datos!"&amp;LEFT(SUBSTITUTE(ADDRESS(1,IF(Formulas!AI36=1,1,RIGHT(Formulas!AJ36)+2)),"$",""))&amp;Formulas!AH36+1,
IFERROR(INDEX(Datos!$A$1:$L$1,1,RIGHT(Formulas!AJ36)+2)&amp;IF(Formulas!AI36=1," "&amp;Formulas!AH36,"")&amp;":","")))</f>
        <v/>
      </c>
      <c r="AH39" s="107" t="str" cm="1">
        <f t="array" aca="1" ref="AH39" ca="1">IF(OR(Formulas!AI36=0,Formulas!AI36="",RIGHT(Formulas!AJ36)="0"),"",
HYPERLINK("["&amp;Archivo_Nombre&amp;"]Datos!"&amp;LEFT(SUBSTITUTE(ADDRESS(1,RIGHT(Formulas!AJ36)+2),"$",""))&amp;Formulas!AH36+1,
IFERROR(INDEX(Datos!$A$2:$L$101,Formulas!AH36,RIGHT(Formulas!AJ36)+2),"")))</f>
        <v/>
      </c>
      <c r="AI39" s="107" t="str" cm="1">
        <f t="array" aca="1" ref="AI39" ca="1">IF(OR(Formulas!AJ37=0,Formulas!AJ37=""),"",HYPERLINK("["&amp;Archivo_Nombre&amp;"]Datos!"&amp;LEFT(SUBSTITUTE(ADDRESS(1,Formulas!AJ37+2),"$",""))&amp;Formulas!AI37+1,
IFERROR(INDEX(Datos!$A$2:$L$101,Formulas!AI37,Formulas!AJ37+2),"")))</f>
        <v/>
      </c>
      <c r="AJ39" s="13"/>
      <c r="AK39" s="6"/>
      <c r="AL39" s="24" t="str" cm="1">
        <f t="array" aca="1" ref="AL39" ca="1">IF(OR(Formulas!AN36=0,Formulas!AN36="",RIGHT(Formulas!AO36)="0"),"",
HYPERLINK("["&amp;Archivo_Nombre&amp;"]Datos!"&amp;LEFT(SUBSTITUTE(ADDRESS(1,IF(Formulas!AN36=1,1,RIGHT(Formulas!AO36)+2)),"$",""))&amp;Formulas!AM36+1,
IFERROR(INDEX(Datos!$A$1:$L$1,1,RIGHT(Formulas!AO36)+2)&amp;IF(Formulas!AN36=1," "&amp;Formulas!AM36,"")&amp;":","")))</f>
        <v/>
      </c>
      <c r="AM39" s="107" t="str" cm="1">
        <f t="array" aca="1" ref="AM39" ca="1">IF(OR(Formulas!AN36=0,Formulas!AN36="",RIGHT(Formulas!AO36)="0"),"",
HYPERLINK("["&amp;Archivo_Nombre&amp;"]Datos!"&amp;LEFT(SUBSTITUTE(ADDRESS(1,RIGHT(Formulas!AO36)+2),"$",""))&amp;Formulas!AM36+1,
IFERROR(INDEX(Datos!$A$2:$L$101,Formulas!AM36,RIGHT(Formulas!AO36)+2),"")))</f>
        <v/>
      </c>
      <c r="AN39" s="107" t="str" cm="1">
        <f t="array" aca="1" ref="AN39" ca="1">IF(OR(Formulas!AO37=0,Formulas!AO37=""),"",HYPERLINK("["&amp;Archivo_Nombre&amp;"]Datos!"&amp;LEFT(SUBSTITUTE(ADDRESS(1,Formulas!AO37+2),"$",""))&amp;Formulas!AN37+1,
IFERROR(INDEX(Datos!$A$2:$L$101,Formulas!AN37,Formulas!AO37+2),"")))</f>
        <v/>
      </c>
      <c r="AO39" s="13"/>
      <c r="AP39" s="6"/>
      <c r="AQ39" s="24" t="str" cm="1">
        <f t="array" aca="1" ref="AQ39" ca="1">IF(OR(Formulas!AS36=0,Formulas!AS36="",RIGHT(Formulas!AT36)="0"),"",
HYPERLINK("["&amp;Archivo_Nombre&amp;"]Datos!"&amp;LEFT(SUBSTITUTE(ADDRESS(1,IF(Formulas!AS36=1,1,RIGHT(Formulas!AT36)+2)),"$",""))&amp;Formulas!AR36+1,
IFERROR(INDEX(Datos!$A$1:$L$1,1,RIGHT(Formulas!AT36)+2)&amp;IF(Formulas!AS36=1," "&amp;Formulas!AR36,"")&amp;":","")))</f>
        <v/>
      </c>
      <c r="AR39" s="107" t="str" cm="1">
        <f t="array" aca="1" ref="AR39" ca="1">IF(OR(Formulas!AS36=0,Formulas!AS36="",RIGHT(Formulas!AT36)="0"),"",
HYPERLINK("["&amp;Archivo_Nombre&amp;"]Datos!"&amp;LEFT(SUBSTITUTE(ADDRESS(1,RIGHT(Formulas!AT36)+2),"$",""))&amp;Formulas!AR36+1,
IFERROR(INDEX(Datos!$A$2:$L$101,Formulas!AR36,RIGHT(Formulas!AT36)+2),"")))</f>
        <v/>
      </c>
      <c r="AS39" s="107" t="str" cm="1">
        <f t="array" aca="1" ref="AS39" ca="1">IF(OR(Formulas!AT37=0,Formulas!AT37=""),"",HYPERLINK("["&amp;Archivo_Nombre&amp;"]Datos!"&amp;LEFT(SUBSTITUTE(ADDRESS(1,Formulas!AT37+2),"$",""))&amp;Formulas!AS37+1,
IFERROR(INDEX(Datos!$A$2:$L$101,Formulas!AS37,Formulas!AT37+2),"")))</f>
        <v/>
      </c>
      <c r="AT39" s="13"/>
      <c r="AU39" s="6"/>
      <c r="AV39" s="24" t="str" cm="1">
        <f t="array" aca="1" ref="AV39" ca="1">IF(OR(Formulas!AX36=0,Formulas!AX36="",RIGHT(Formulas!AY36)="0"),"",
HYPERLINK("["&amp;Archivo_Nombre&amp;"]Datos!"&amp;LEFT(SUBSTITUTE(ADDRESS(1,IF(Formulas!AX36=1,1,RIGHT(Formulas!AY36)+2)),"$",""))&amp;Formulas!AW36+1,
IFERROR(INDEX(Datos!$A$1:$L$1,1,RIGHT(Formulas!AY36)+2)&amp;IF(Formulas!AX36=1," "&amp;Formulas!AW36,"")&amp;":","")))</f>
        <v/>
      </c>
      <c r="AW39" s="107" t="str" cm="1">
        <f t="array" aca="1" ref="AW39" ca="1">IF(OR(Formulas!AX36=0,Formulas!AX36="",RIGHT(Formulas!AY36)="0"),"",
HYPERLINK("["&amp;Archivo_Nombre&amp;"]Datos!"&amp;LEFT(SUBSTITUTE(ADDRESS(1,RIGHT(Formulas!AY36)+2),"$",""))&amp;Formulas!AW36+1,
IFERROR(INDEX(Datos!$A$2:$L$101,Formulas!AW36,RIGHT(Formulas!AY36)+2),"")))</f>
        <v/>
      </c>
      <c r="AX39" s="107" t="str" cm="1">
        <f t="array" aca="1" ref="AX39" ca="1">IF(OR(Formulas!AY37=0,Formulas!AY37=""),"",HYPERLINK("["&amp;Archivo_Nombre&amp;"]Datos!"&amp;LEFT(SUBSTITUTE(ADDRESS(1,Formulas!AY37+2),"$",""))&amp;Formulas!AX37+1,
IFERROR(INDEX(Datos!$A$2:$L$101,Formulas!AX37,Formulas!AY37+2),"")))</f>
        <v/>
      </c>
      <c r="AY39" s="13"/>
    </row>
    <row r="40" spans="2:51" x14ac:dyDescent="0.25">
      <c r="B40" s="11"/>
      <c r="C40" s="24" t="str" cm="1">
        <f t="array" aca="1" ref="C40" ca="1">IF(OR(Formulas!E37=0,Formulas!E37="",RIGHT(Formulas!F37)="0"),"",
HYPERLINK("["&amp;Archivo_Nombre&amp;"]Datos!"&amp;LEFT(SUBSTITUTE(ADDRESS(1,IF(Formulas!E37=1,1,RIGHT(Formulas!F37)+2)),"$",""))&amp;Formulas!D37+1,
IFERROR(INDEX(Datos!$A$1:$L$1,1,RIGHT(Formulas!F37)+2)&amp;IF(Formulas!E37=1," "&amp;Formulas!D37,"")&amp;":","")))</f>
        <v/>
      </c>
      <c r="D40" s="107" t="str" cm="1">
        <f t="array" aca="1" ref="D40" ca="1">IF(OR(Formulas!E37=0,Formulas!E37="",RIGHT(Formulas!F37)="0"),"",
HYPERLINK("["&amp;Archivo_Nombre&amp;"]Datos!"&amp;LEFT(SUBSTITUTE(ADDRESS(1,RIGHT(Formulas!F37)+2),"$",""))&amp;Formulas!D37+1,
IFERROR(INDEX(Datos!$A$2:$L$101,Formulas!D37,RIGHT(Formulas!F37)+2),"")))</f>
        <v/>
      </c>
      <c r="E40" s="107" t="str" cm="1">
        <f t="array" aca="1" ref="E40" ca="1">IF(OR(Formulas!F38=0,Formulas!F38=""),"",HYPERLINK("["&amp;Archivo_Nombre&amp;"]Datos!"&amp;LEFT(SUBSTITUTE(ADDRESS(1,Formulas!F38+2),"$",""))&amp;Formulas!E38+1,
IFERROR(INDEX(Datos!$A$2:$L$101,Formulas!E38,Formulas!F38+2),"")))</f>
        <v/>
      </c>
      <c r="F40" s="5"/>
      <c r="G40" s="6"/>
      <c r="H40" s="24" t="str" cm="1">
        <f t="array" aca="1" ref="H40" ca="1">IF(OR(Formulas!J37=0,Formulas!J37="",RIGHT(Formulas!K37)="0"),"",
HYPERLINK("["&amp;Archivo_Nombre&amp;"]Datos!"&amp;LEFT(SUBSTITUTE(ADDRESS(1,IF(Formulas!J37=1,1,RIGHT(Formulas!K37)+2)),"$",""))&amp;Formulas!I37+1,
IFERROR(INDEX(Datos!$A$1:$L$1,1,RIGHT(Formulas!K37)+2)&amp;IF(Formulas!J37=1," "&amp;Formulas!I37,"")&amp;":","")))</f>
        <v>Previsto:</v>
      </c>
      <c r="I40" s="107" cm="1">
        <f t="array" aca="1" ref="I40" ca="1">IF(OR(Formulas!J37=0,Formulas!J37="",RIGHT(Formulas!K37)="0"),"",
HYPERLINK("["&amp;Archivo_Nombre&amp;"]Datos!"&amp;LEFT(SUBSTITUTE(ADDRESS(1,RIGHT(Formulas!K37)+2),"$",""))&amp;Formulas!I37+1,
IFERROR(INDEX(Datos!$A$2:$L$101,Formulas!I37,RIGHT(Formulas!K37)+2),"")))</f>
        <v>45825</v>
      </c>
      <c r="J40" s="107" t="e" cm="1">
        <f t="array" aca="1" ref="J40" ca="1">IF(OR(Formulas!K38=0,Formulas!K38=""),"",HYPERLINK("["&amp;Archivo_Nombre&amp;"]Datos!"&amp;LEFT(SUBSTITUTE(ADDRESS(1,Formulas!K38+2),"$",""))&amp;Formulas!J38+1,
IFERROR(INDEX(Datos!$A$2:$L$101,Formulas!J38,Formulas!K38+2),"")))</f>
        <v>#VALUE!</v>
      </c>
      <c r="K40" s="5"/>
      <c r="L40" s="6"/>
      <c r="M40" s="24" t="str" cm="1">
        <f t="array" aca="1" ref="M40" ca="1">IF(OR(Formulas!O37=0,Formulas!O37="",RIGHT(Formulas!P37)="0"),"",
HYPERLINK("["&amp;Archivo_Nombre&amp;"]Datos!"&amp;LEFT(SUBSTITUTE(ADDRESS(1,IF(Formulas!O37=1,1,RIGHT(Formulas!P37)+2)),"$",""))&amp;Formulas!N37+1,
IFERROR(INDEX(Datos!$A$1:$L$1,1,RIGHT(Formulas!P37)+2)&amp;IF(Formulas!O37=1," "&amp;Formulas!N37,"")&amp;":","")))</f>
        <v/>
      </c>
      <c r="N40" s="107" t="str" cm="1">
        <f t="array" aca="1" ref="N40" ca="1">IF(OR(Formulas!O37=0,Formulas!O37="",RIGHT(Formulas!P37)="0"),"",
HYPERLINK("["&amp;Archivo_Nombre&amp;"]Datos!"&amp;LEFT(SUBSTITUTE(ADDRESS(1,RIGHT(Formulas!P37)+2),"$",""))&amp;Formulas!N37+1,
IFERROR(INDEX(Datos!$A$2:$L$101,Formulas!N37,RIGHT(Formulas!P37)+2),"")))</f>
        <v/>
      </c>
      <c r="O40" s="107" t="str" cm="1">
        <f t="array" aca="1" ref="O40" ca="1">IF(OR(Formulas!P38=0,Formulas!P38=""),"",HYPERLINK("["&amp;Archivo_Nombre&amp;"]Datos!"&amp;LEFT(SUBSTITUTE(ADDRESS(1,Formulas!P38+2),"$",""))&amp;Formulas!O38+1,
IFERROR(INDEX(Datos!$A$2:$L$101,Formulas!O38,Formulas!P38+2),"")))</f>
        <v/>
      </c>
      <c r="P40" s="5"/>
      <c r="Q40" s="6"/>
      <c r="R40" s="24" t="str" cm="1">
        <f t="array" aca="1" ref="R40" ca="1">IF(OR(Formulas!T37=0,Formulas!T37="",RIGHT(Formulas!U37)="0"),"",
HYPERLINK("["&amp;Archivo_Nombre&amp;"]Datos!"&amp;LEFT(SUBSTITUTE(ADDRESS(1,IF(Formulas!T37=1,1,RIGHT(Formulas!U37)+2)),"$",""))&amp;Formulas!S37+1,
IFERROR(INDEX(Datos!$A$1:$L$1,1,RIGHT(Formulas!U37)+2)&amp;IF(Formulas!T37=1," "&amp;Formulas!S37,"")&amp;":","")))</f>
        <v>Previsto:</v>
      </c>
      <c r="S40" s="107" cm="1">
        <f t="array" aca="1" ref="S40" ca="1">IF(OR(Formulas!T37=0,Formulas!T37="",RIGHT(Formulas!U37)="0"),"",
HYPERLINK("["&amp;Archivo_Nombre&amp;"]Datos!"&amp;LEFT(SUBSTITUTE(ADDRESS(1,RIGHT(Formulas!U37)+2),"$",""))&amp;Formulas!S37+1,
IFERROR(INDEX(Datos!$A$2:$L$101,Formulas!S37,RIGHT(Formulas!U37)+2),"")))</f>
        <v>45821</v>
      </c>
      <c r="T40" s="107" t="e" cm="1">
        <f t="array" aca="1" ref="T40" ca="1">IF(OR(Formulas!U38=0,Formulas!U38=""),"",HYPERLINK("["&amp;Archivo_Nombre&amp;"]Datos!"&amp;LEFT(SUBSTITUTE(ADDRESS(1,Formulas!U38+2),"$",""))&amp;Formulas!T38+1,
IFERROR(INDEX(Datos!$A$2:$L$101,Formulas!T38,Formulas!U38+2),"")))</f>
        <v>#VALUE!</v>
      </c>
      <c r="U40" s="5"/>
      <c r="V40" s="6"/>
      <c r="W40" s="24" t="str" cm="1">
        <f t="array" aca="1" ref="W40" ca="1">IF(OR(Formulas!Y37=0,Formulas!Y37="",RIGHT(Formulas!Z37)="0"),"",
HYPERLINK("["&amp;Archivo_Nombre&amp;"]Datos!"&amp;LEFT(SUBSTITUTE(ADDRESS(1,IF(Formulas!Y37=1,1,RIGHT(Formulas!Z37)+2)),"$",""))&amp;Formulas!X37+1,
IFERROR(INDEX(Datos!$A$1:$L$1,1,RIGHT(Formulas!Z37)+2)&amp;IF(Formulas!Y37=1," "&amp;Formulas!X37,"")&amp;":","")))</f>
        <v/>
      </c>
      <c r="X40" s="107" t="str" cm="1">
        <f t="array" aca="1" ref="X40" ca="1">IF(OR(Formulas!Y37=0,Formulas!Y37="",RIGHT(Formulas!Z37)="0"),"",
HYPERLINK("["&amp;Archivo_Nombre&amp;"]Datos!"&amp;LEFT(SUBSTITUTE(ADDRESS(1,RIGHT(Formulas!Z37)+2),"$",""))&amp;Formulas!X37+1,
IFERROR(INDEX(Datos!$A$2:$L$101,Formulas!X37,RIGHT(Formulas!Z37)+2),"")))</f>
        <v/>
      </c>
      <c r="Y40" s="107" t="str" cm="1">
        <f t="array" aca="1" ref="Y40" ca="1">IF(OR(Formulas!Z38=0,Formulas!Z38=""),"",HYPERLINK("["&amp;Archivo_Nombre&amp;"]Datos!"&amp;LEFT(SUBSTITUTE(ADDRESS(1,Formulas!Z38+2),"$",""))&amp;Formulas!Y38+1,
IFERROR(INDEX(Datos!$A$2:$L$101,Formulas!Y38,Formulas!Z38+2),"")))</f>
        <v/>
      </c>
      <c r="Z40" s="13"/>
      <c r="AA40" s="6"/>
      <c r="AB40" s="24" t="str" cm="1">
        <f t="array" aca="1" ref="AB40" ca="1">IF(OR(Formulas!AD37=0,Formulas!AD37="",RIGHT(Formulas!AE37)="0"),"",
HYPERLINK("["&amp;Archivo_Nombre&amp;"]Datos!"&amp;LEFT(SUBSTITUTE(ADDRESS(1,IF(Formulas!AD37=1,1,RIGHT(Formulas!AE37)+2)),"$",""))&amp;Formulas!AC37+1,
IFERROR(INDEX(Datos!$A$1:$L$1,1,RIGHT(Formulas!AE37)+2)&amp;IF(Formulas!AD37=1," "&amp;Formulas!AC37,"")&amp;":","")))</f>
        <v/>
      </c>
      <c r="AC40" s="107" t="str" cm="1">
        <f t="array" aca="1" ref="AC40" ca="1">IF(OR(Formulas!AD37=0,Formulas!AD37="",RIGHT(Formulas!AE37)="0"),"",
HYPERLINK("["&amp;Archivo_Nombre&amp;"]Datos!"&amp;LEFT(SUBSTITUTE(ADDRESS(1,RIGHT(Formulas!AE37)+2),"$",""))&amp;Formulas!AC37+1,
IFERROR(INDEX(Datos!$A$2:$L$101,Formulas!AC37,RIGHT(Formulas!AE37)+2),"")))</f>
        <v/>
      </c>
      <c r="AD40" s="107" t="str" cm="1">
        <f t="array" aca="1" ref="AD40" ca="1">IF(OR(Formulas!AE38=0,Formulas!AE38=""),"",HYPERLINK("["&amp;Archivo_Nombre&amp;"]Datos!"&amp;LEFT(SUBSTITUTE(ADDRESS(1,Formulas!AE38+2),"$",""))&amp;Formulas!AD38+1,
IFERROR(INDEX(Datos!$A$2:$L$101,Formulas!AD38,Formulas!AE38+2),"")))</f>
        <v/>
      </c>
      <c r="AE40" s="13"/>
      <c r="AF40" s="6"/>
      <c r="AG40" s="24" t="str" cm="1">
        <f t="array" aca="1" ref="AG40" ca="1">IF(OR(Formulas!AI37=0,Formulas!AI37="",RIGHT(Formulas!AJ37)="0"),"",
HYPERLINK("["&amp;Archivo_Nombre&amp;"]Datos!"&amp;LEFT(SUBSTITUTE(ADDRESS(1,IF(Formulas!AI37=1,1,RIGHT(Formulas!AJ37)+2)),"$",""))&amp;Formulas!AH37+1,
IFERROR(INDEX(Datos!$A$1:$L$1,1,RIGHT(Formulas!AJ37)+2)&amp;IF(Formulas!AI37=1," "&amp;Formulas!AH37,"")&amp;":","")))</f>
        <v/>
      </c>
      <c r="AH40" s="107" t="str" cm="1">
        <f t="array" aca="1" ref="AH40" ca="1">IF(OR(Formulas!AI37=0,Formulas!AI37="",RIGHT(Formulas!AJ37)="0"),"",
HYPERLINK("["&amp;Archivo_Nombre&amp;"]Datos!"&amp;LEFT(SUBSTITUTE(ADDRESS(1,RIGHT(Formulas!AJ37)+2),"$",""))&amp;Formulas!AH37+1,
IFERROR(INDEX(Datos!$A$2:$L$101,Formulas!AH37,RIGHT(Formulas!AJ37)+2),"")))</f>
        <v/>
      </c>
      <c r="AI40" s="107" t="str" cm="1">
        <f t="array" aca="1" ref="AI40" ca="1">IF(OR(Formulas!AJ38=0,Formulas!AJ38=""),"",HYPERLINK("["&amp;Archivo_Nombre&amp;"]Datos!"&amp;LEFT(SUBSTITUTE(ADDRESS(1,Formulas!AJ38+2),"$",""))&amp;Formulas!AI38+1,
IFERROR(INDEX(Datos!$A$2:$L$101,Formulas!AI38,Formulas!AJ38+2),"")))</f>
        <v/>
      </c>
      <c r="AJ40" s="13"/>
      <c r="AK40" s="6"/>
      <c r="AL40" s="24" t="str" cm="1">
        <f t="array" aca="1" ref="AL40" ca="1">IF(OR(Formulas!AN37=0,Formulas!AN37="",RIGHT(Formulas!AO37)="0"),"",
HYPERLINK("["&amp;Archivo_Nombre&amp;"]Datos!"&amp;LEFT(SUBSTITUTE(ADDRESS(1,IF(Formulas!AN37=1,1,RIGHT(Formulas!AO37)+2)),"$",""))&amp;Formulas!AM37+1,
IFERROR(INDEX(Datos!$A$1:$L$1,1,RIGHT(Formulas!AO37)+2)&amp;IF(Formulas!AN37=1," "&amp;Formulas!AM37,"")&amp;":","")))</f>
        <v/>
      </c>
      <c r="AM40" s="107" t="str" cm="1">
        <f t="array" aca="1" ref="AM40" ca="1">IF(OR(Formulas!AN37=0,Formulas!AN37="",RIGHT(Formulas!AO37)="0"),"",
HYPERLINK("["&amp;Archivo_Nombre&amp;"]Datos!"&amp;LEFT(SUBSTITUTE(ADDRESS(1,RIGHT(Formulas!AO37)+2),"$",""))&amp;Formulas!AM37+1,
IFERROR(INDEX(Datos!$A$2:$L$101,Formulas!AM37,RIGHT(Formulas!AO37)+2),"")))</f>
        <v/>
      </c>
      <c r="AN40" s="107" t="str" cm="1">
        <f t="array" aca="1" ref="AN40" ca="1">IF(OR(Formulas!AO38=0,Formulas!AO38=""),"",HYPERLINK("["&amp;Archivo_Nombre&amp;"]Datos!"&amp;LEFT(SUBSTITUTE(ADDRESS(1,Formulas!AO38+2),"$",""))&amp;Formulas!AN38+1,
IFERROR(INDEX(Datos!$A$2:$L$101,Formulas!AN38,Formulas!AO38+2),"")))</f>
        <v/>
      </c>
      <c r="AO40" s="13"/>
      <c r="AP40" s="6"/>
      <c r="AQ40" s="24" t="str" cm="1">
        <f t="array" aca="1" ref="AQ40" ca="1">IF(OR(Formulas!AS37=0,Formulas!AS37="",RIGHT(Formulas!AT37)="0"),"",
HYPERLINK("["&amp;Archivo_Nombre&amp;"]Datos!"&amp;LEFT(SUBSTITUTE(ADDRESS(1,IF(Formulas!AS37=1,1,RIGHT(Formulas!AT37)+2)),"$",""))&amp;Formulas!AR37+1,
IFERROR(INDEX(Datos!$A$1:$L$1,1,RIGHT(Formulas!AT37)+2)&amp;IF(Formulas!AS37=1," "&amp;Formulas!AR37,"")&amp;":","")))</f>
        <v/>
      </c>
      <c r="AR40" s="107" t="str" cm="1">
        <f t="array" aca="1" ref="AR40" ca="1">IF(OR(Formulas!AS37=0,Formulas!AS37="",RIGHT(Formulas!AT37)="0"),"",
HYPERLINK("["&amp;Archivo_Nombre&amp;"]Datos!"&amp;LEFT(SUBSTITUTE(ADDRESS(1,RIGHT(Formulas!AT37)+2),"$",""))&amp;Formulas!AR37+1,
IFERROR(INDEX(Datos!$A$2:$L$101,Formulas!AR37,RIGHT(Formulas!AT37)+2),"")))</f>
        <v/>
      </c>
      <c r="AS40" s="107" t="str" cm="1">
        <f t="array" aca="1" ref="AS40" ca="1">IF(OR(Formulas!AT38=0,Formulas!AT38=""),"",HYPERLINK("["&amp;Archivo_Nombre&amp;"]Datos!"&amp;LEFT(SUBSTITUTE(ADDRESS(1,Formulas!AT38+2),"$",""))&amp;Formulas!AS38+1,
IFERROR(INDEX(Datos!$A$2:$L$101,Formulas!AS38,Formulas!AT38+2),"")))</f>
        <v/>
      </c>
      <c r="AT40" s="13"/>
      <c r="AU40" s="6"/>
      <c r="AV40" s="24" t="str" cm="1">
        <f t="array" aca="1" ref="AV40" ca="1">IF(OR(Formulas!AX37=0,Formulas!AX37="",RIGHT(Formulas!AY37)="0"),"",
HYPERLINK("["&amp;Archivo_Nombre&amp;"]Datos!"&amp;LEFT(SUBSTITUTE(ADDRESS(1,IF(Formulas!AX37=1,1,RIGHT(Formulas!AY37)+2)),"$",""))&amp;Formulas!AW37+1,
IFERROR(INDEX(Datos!$A$1:$L$1,1,RIGHT(Formulas!AY37)+2)&amp;IF(Formulas!AX37=1," "&amp;Formulas!AW37,"")&amp;":","")))</f>
        <v/>
      </c>
      <c r="AW40" s="107" t="str" cm="1">
        <f t="array" aca="1" ref="AW40" ca="1">IF(OR(Formulas!AX37=0,Formulas!AX37="",RIGHT(Formulas!AY37)="0"),"",
HYPERLINK("["&amp;Archivo_Nombre&amp;"]Datos!"&amp;LEFT(SUBSTITUTE(ADDRESS(1,RIGHT(Formulas!AY37)+2),"$",""))&amp;Formulas!AW37+1,
IFERROR(INDEX(Datos!$A$2:$L$101,Formulas!AW37,RIGHT(Formulas!AY37)+2),"")))</f>
        <v/>
      </c>
      <c r="AX40" s="107" t="str" cm="1">
        <f t="array" aca="1" ref="AX40" ca="1">IF(OR(Formulas!AY38=0,Formulas!AY38=""),"",HYPERLINK("["&amp;Archivo_Nombre&amp;"]Datos!"&amp;LEFT(SUBSTITUTE(ADDRESS(1,Formulas!AY38+2),"$",""))&amp;Formulas!AX38+1,
IFERROR(INDEX(Datos!$A$2:$L$101,Formulas!AX38,Formulas!AY38+2),"")))</f>
        <v/>
      </c>
      <c r="AY40" s="13"/>
    </row>
    <row r="41" spans="2:51" x14ac:dyDescent="0.25">
      <c r="B41" s="11"/>
      <c r="C41" s="24" t="str" cm="1">
        <f t="array" aca="1" ref="C41" ca="1">IF(OR(Formulas!E38=0,Formulas!E38="",RIGHT(Formulas!F38)="0"),"",
HYPERLINK("["&amp;Archivo_Nombre&amp;"]Datos!"&amp;LEFT(SUBSTITUTE(ADDRESS(1,IF(Formulas!E38=1,1,RIGHT(Formulas!F38)+2)),"$",""))&amp;Formulas!D38+1,
IFERROR(INDEX(Datos!$A$1:$L$1,1,RIGHT(Formulas!F38)+2)&amp;IF(Formulas!E38=1," "&amp;Formulas!D38,"")&amp;":","")))</f>
        <v/>
      </c>
      <c r="D41" s="107" t="str" cm="1">
        <f t="array" aca="1" ref="D41" ca="1">IF(OR(Formulas!E38=0,Formulas!E38="",RIGHT(Formulas!F38)="0"),"",
HYPERLINK("["&amp;Archivo_Nombre&amp;"]Datos!"&amp;LEFT(SUBSTITUTE(ADDRESS(1,RIGHT(Formulas!F38)+2),"$",""))&amp;Formulas!D38+1,
IFERROR(INDEX(Datos!$A$2:$L$101,Formulas!D38,RIGHT(Formulas!F38)+2),"")))</f>
        <v/>
      </c>
      <c r="E41" s="107" t="str" cm="1">
        <f t="array" aca="1" ref="E41" ca="1">IF(OR(Formulas!F39=0,Formulas!F39=""),"",HYPERLINK("["&amp;Archivo_Nombre&amp;"]Datos!"&amp;LEFT(SUBSTITUTE(ADDRESS(1,Formulas!F39+2),"$",""))&amp;Formulas!E39+1,
IFERROR(INDEX(Datos!$A$2:$L$101,Formulas!E39,Formulas!F39+2),"")))</f>
        <v/>
      </c>
      <c r="F41" s="5"/>
      <c r="G41" s="6"/>
      <c r="H41" s="24" t="str" cm="1">
        <f t="array" aca="1" ref="H41" ca="1">IF(OR(Formulas!J38=0,Formulas!J38="",RIGHT(Formulas!K38)="0"),"",
HYPERLINK("["&amp;Archivo_Nombre&amp;"]Datos!"&amp;LEFT(SUBSTITUTE(ADDRESS(1,IF(Formulas!J38=1,1,RIGHT(Formulas!K38)+2)),"$",""))&amp;Formulas!I38+1,
IFERROR(INDEX(Datos!$A$1:$L$1,1,RIGHT(Formulas!K38)+2)&amp;IF(Formulas!J38=1," "&amp;Formulas!I38,"")&amp;":","")))</f>
        <v>Final:</v>
      </c>
      <c r="I41" s="107" cm="1">
        <f t="array" aca="1" ref="I41" ca="1">IF(OR(Formulas!J38=0,Formulas!J38="",RIGHT(Formulas!K38)="0"),"",
HYPERLINK("["&amp;Archivo_Nombre&amp;"]Datos!"&amp;LEFT(SUBSTITUTE(ADDRESS(1,RIGHT(Formulas!K38)+2),"$",""))&amp;Formulas!I38+1,
IFERROR(INDEX(Datos!$A$2:$L$101,Formulas!I38,RIGHT(Formulas!K38)+2),"")))</f>
        <v>45825</v>
      </c>
      <c r="J41" s="107" t="e" cm="1">
        <f t="array" aca="1" ref="J41" ca="1">IF(OR(Formulas!K39=0,Formulas!K39=""),"",HYPERLINK("["&amp;Archivo_Nombre&amp;"]Datos!"&amp;LEFT(SUBSTITUTE(ADDRESS(1,Formulas!K39+2),"$",""))&amp;Formulas!J39+1,
IFERROR(INDEX(Datos!$A$2:$L$101,Formulas!J39,Formulas!K39+2),"")))</f>
        <v>#VALUE!</v>
      </c>
      <c r="K41" s="5"/>
      <c r="L41" s="6"/>
      <c r="M41" s="24" t="str" cm="1">
        <f t="array" aca="1" ref="M41" ca="1">IF(OR(Formulas!O38=0,Formulas!O38="",RIGHT(Formulas!P38)="0"),"",
HYPERLINK("["&amp;Archivo_Nombre&amp;"]Datos!"&amp;LEFT(SUBSTITUTE(ADDRESS(1,IF(Formulas!O38=1,1,RIGHT(Formulas!P38)+2)),"$",""))&amp;Formulas!N38+1,
IFERROR(INDEX(Datos!$A$1:$L$1,1,RIGHT(Formulas!P38)+2)&amp;IF(Formulas!O38=1," "&amp;Formulas!N38,"")&amp;":","")))</f>
        <v/>
      </c>
      <c r="N41" s="107" t="str" cm="1">
        <f t="array" aca="1" ref="N41" ca="1">IF(OR(Formulas!O38=0,Formulas!O38="",RIGHT(Formulas!P38)="0"),"",
HYPERLINK("["&amp;Archivo_Nombre&amp;"]Datos!"&amp;LEFT(SUBSTITUTE(ADDRESS(1,RIGHT(Formulas!P38)+2),"$",""))&amp;Formulas!N38+1,
IFERROR(INDEX(Datos!$A$2:$L$101,Formulas!N38,RIGHT(Formulas!P38)+2),"")))</f>
        <v/>
      </c>
      <c r="O41" s="107" t="str" cm="1">
        <f t="array" aca="1" ref="O41" ca="1">IF(OR(Formulas!P39=0,Formulas!P39=""),"",HYPERLINK("["&amp;Archivo_Nombre&amp;"]Datos!"&amp;LEFT(SUBSTITUTE(ADDRESS(1,Formulas!P39+2),"$",""))&amp;Formulas!O39+1,
IFERROR(INDEX(Datos!$A$2:$L$101,Formulas!O39,Formulas!P39+2),"")))</f>
        <v/>
      </c>
      <c r="P41" s="5"/>
      <c r="Q41" s="6"/>
      <c r="R41" s="24" t="str" cm="1">
        <f t="array" aca="1" ref="R41" ca="1">IF(OR(Formulas!T38=0,Formulas!T38="",RIGHT(Formulas!U38)="0"),"",
HYPERLINK("["&amp;Archivo_Nombre&amp;"]Datos!"&amp;LEFT(SUBSTITUTE(ADDRESS(1,IF(Formulas!T38=1,1,RIGHT(Formulas!U38)+2)),"$",""))&amp;Formulas!S38+1,
IFERROR(INDEX(Datos!$A$1:$L$1,1,RIGHT(Formulas!U38)+2)&amp;IF(Formulas!T38=1," "&amp;Formulas!S38,"")&amp;":","")))</f>
        <v>Final:</v>
      </c>
      <c r="S41" s="107" cm="1">
        <f t="array" aca="1" ref="S41" ca="1">IF(OR(Formulas!T38=0,Formulas!T38="",RIGHT(Formulas!U38)="0"),"",
HYPERLINK("["&amp;Archivo_Nombre&amp;"]Datos!"&amp;LEFT(SUBSTITUTE(ADDRESS(1,RIGHT(Formulas!U38)+2),"$",""))&amp;Formulas!S38+1,
IFERROR(INDEX(Datos!$A$2:$L$101,Formulas!S38,RIGHT(Formulas!U38)+2),"")))</f>
        <v>45821</v>
      </c>
      <c r="T41" s="107" t="e" cm="1">
        <f t="array" aca="1" ref="T41" ca="1">IF(OR(Formulas!U39=0,Formulas!U39=""),"",HYPERLINK("["&amp;Archivo_Nombre&amp;"]Datos!"&amp;LEFT(SUBSTITUTE(ADDRESS(1,Formulas!U39+2),"$",""))&amp;Formulas!T39+1,
IFERROR(INDEX(Datos!$A$2:$L$101,Formulas!T39,Formulas!U39+2),"")))</f>
        <v>#VALUE!</v>
      </c>
      <c r="U41" s="5"/>
      <c r="V41" s="6"/>
      <c r="W41" s="24" t="str" cm="1">
        <f t="array" aca="1" ref="W41" ca="1">IF(OR(Formulas!Y38=0,Formulas!Y38="",RIGHT(Formulas!Z38)="0"),"",
HYPERLINK("["&amp;Archivo_Nombre&amp;"]Datos!"&amp;LEFT(SUBSTITUTE(ADDRESS(1,IF(Formulas!Y38=1,1,RIGHT(Formulas!Z38)+2)),"$",""))&amp;Formulas!X38+1,
IFERROR(INDEX(Datos!$A$1:$L$1,1,RIGHT(Formulas!Z38)+2)&amp;IF(Formulas!Y38=1," "&amp;Formulas!X38,"")&amp;":","")))</f>
        <v/>
      </c>
      <c r="X41" s="107" t="str" cm="1">
        <f t="array" aca="1" ref="X41" ca="1">IF(OR(Formulas!Y38=0,Formulas!Y38="",RIGHT(Formulas!Z38)="0"),"",
HYPERLINK("["&amp;Archivo_Nombre&amp;"]Datos!"&amp;LEFT(SUBSTITUTE(ADDRESS(1,RIGHT(Formulas!Z38)+2),"$",""))&amp;Formulas!X38+1,
IFERROR(INDEX(Datos!$A$2:$L$101,Formulas!X38,RIGHT(Formulas!Z38)+2),"")))</f>
        <v/>
      </c>
      <c r="Y41" s="107" t="str" cm="1">
        <f t="array" aca="1" ref="Y41" ca="1">IF(OR(Formulas!Z39=0,Formulas!Z39=""),"",HYPERLINK("["&amp;Archivo_Nombre&amp;"]Datos!"&amp;LEFT(SUBSTITUTE(ADDRESS(1,Formulas!Z39+2),"$",""))&amp;Formulas!Y39+1,
IFERROR(INDEX(Datos!$A$2:$L$101,Formulas!Y39,Formulas!Z39+2),"")))</f>
        <v/>
      </c>
      <c r="Z41" s="13"/>
      <c r="AA41" s="6"/>
      <c r="AB41" s="24" t="str" cm="1">
        <f t="array" aca="1" ref="AB41" ca="1">IF(OR(Formulas!AD38=0,Formulas!AD38="",RIGHT(Formulas!AE38)="0"),"",
HYPERLINK("["&amp;Archivo_Nombre&amp;"]Datos!"&amp;LEFT(SUBSTITUTE(ADDRESS(1,IF(Formulas!AD38=1,1,RIGHT(Formulas!AE38)+2)),"$",""))&amp;Formulas!AC38+1,
IFERROR(INDEX(Datos!$A$1:$L$1,1,RIGHT(Formulas!AE38)+2)&amp;IF(Formulas!AD38=1," "&amp;Formulas!AC38,"")&amp;":","")))</f>
        <v/>
      </c>
      <c r="AC41" s="107" t="str" cm="1">
        <f t="array" aca="1" ref="AC41" ca="1">IF(OR(Formulas!AD38=0,Formulas!AD38="",RIGHT(Formulas!AE38)="0"),"",
HYPERLINK("["&amp;Archivo_Nombre&amp;"]Datos!"&amp;LEFT(SUBSTITUTE(ADDRESS(1,RIGHT(Formulas!AE38)+2),"$",""))&amp;Formulas!AC38+1,
IFERROR(INDEX(Datos!$A$2:$L$101,Formulas!AC38,RIGHT(Formulas!AE38)+2),"")))</f>
        <v/>
      </c>
      <c r="AD41" s="107" t="str" cm="1">
        <f t="array" aca="1" ref="AD41" ca="1">IF(OR(Formulas!AE39=0,Formulas!AE39=""),"",HYPERLINK("["&amp;Archivo_Nombre&amp;"]Datos!"&amp;LEFT(SUBSTITUTE(ADDRESS(1,Formulas!AE39+2),"$",""))&amp;Formulas!AD39+1,
IFERROR(INDEX(Datos!$A$2:$L$101,Formulas!AD39,Formulas!AE39+2),"")))</f>
        <v/>
      </c>
      <c r="AE41" s="13"/>
      <c r="AF41" s="6"/>
      <c r="AG41" s="24" t="str" cm="1">
        <f t="array" aca="1" ref="AG41" ca="1">IF(OR(Formulas!AI38=0,Formulas!AI38="",RIGHT(Formulas!AJ38)="0"),"",
HYPERLINK("["&amp;Archivo_Nombre&amp;"]Datos!"&amp;LEFT(SUBSTITUTE(ADDRESS(1,IF(Formulas!AI38=1,1,RIGHT(Formulas!AJ38)+2)),"$",""))&amp;Formulas!AH38+1,
IFERROR(INDEX(Datos!$A$1:$L$1,1,RIGHT(Formulas!AJ38)+2)&amp;IF(Formulas!AI38=1," "&amp;Formulas!AH38,"")&amp;":","")))</f>
        <v/>
      </c>
      <c r="AH41" s="107" t="str" cm="1">
        <f t="array" aca="1" ref="AH41" ca="1">IF(OR(Formulas!AI38=0,Formulas!AI38="",RIGHT(Formulas!AJ38)="0"),"",
HYPERLINK("["&amp;Archivo_Nombre&amp;"]Datos!"&amp;LEFT(SUBSTITUTE(ADDRESS(1,RIGHT(Formulas!AJ38)+2),"$",""))&amp;Formulas!AH38+1,
IFERROR(INDEX(Datos!$A$2:$L$101,Formulas!AH38,RIGHT(Formulas!AJ38)+2),"")))</f>
        <v/>
      </c>
      <c r="AI41" s="107" t="str" cm="1">
        <f t="array" aca="1" ref="AI41" ca="1">IF(OR(Formulas!AJ39=0,Formulas!AJ39=""),"",HYPERLINK("["&amp;Archivo_Nombre&amp;"]Datos!"&amp;LEFT(SUBSTITUTE(ADDRESS(1,Formulas!AJ39+2),"$",""))&amp;Formulas!AI39+1,
IFERROR(INDEX(Datos!$A$2:$L$101,Formulas!AI39,Formulas!AJ39+2),"")))</f>
        <v/>
      </c>
      <c r="AJ41" s="13"/>
      <c r="AK41" s="6"/>
      <c r="AL41" s="24" t="str" cm="1">
        <f t="array" aca="1" ref="AL41" ca="1">IF(OR(Formulas!AN38=0,Formulas!AN38="",RIGHT(Formulas!AO38)="0"),"",
HYPERLINK("["&amp;Archivo_Nombre&amp;"]Datos!"&amp;LEFT(SUBSTITUTE(ADDRESS(1,IF(Formulas!AN38=1,1,RIGHT(Formulas!AO38)+2)),"$",""))&amp;Formulas!AM38+1,
IFERROR(INDEX(Datos!$A$1:$L$1,1,RIGHT(Formulas!AO38)+2)&amp;IF(Formulas!AN38=1," "&amp;Formulas!AM38,"")&amp;":","")))</f>
        <v/>
      </c>
      <c r="AM41" s="107" t="str" cm="1">
        <f t="array" aca="1" ref="AM41" ca="1">IF(OR(Formulas!AN38=0,Formulas!AN38="",RIGHT(Formulas!AO38)="0"),"",
HYPERLINK("["&amp;Archivo_Nombre&amp;"]Datos!"&amp;LEFT(SUBSTITUTE(ADDRESS(1,RIGHT(Formulas!AO38)+2),"$",""))&amp;Formulas!AM38+1,
IFERROR(INDEX(Datos!$A$2:$L$101,Formulas!AM38,RIGHT(Formulas!AO38)+2),"")))</f>
        <v/>
      </c>
      <c r="AN41" s="107" t="str" cm="1">
        <f t="array" aca="1" ref="AN41" ca="1">IF(OR(Formulas!AO39=0,Formulas!AO39=""),"",HYPERLINK("["&amp;Archivo_Nombre&amp;"]Datos!"&amp;LEFT(SUBSTITUTE(ADDRESS(1,Formulas!AO39+2),"$",""))&amp;Formulas!AN39+1,
IFERROR(INDEX(Datos!$A$2:$L$101,Formulas!AN39,Formulas!AO39+2),"")))</f>
        <v/>
      </c>
      <c r="AO41" s="13"/>
      <c r="AP41" s="6"/>
      <c r="AQ41" s="24" t="str" cm="1">
        <f t="array" aca="1" ref="AQ41" ca="1">IF(OR(Formulas!AS38=0,Formulas!AS38="",RIGHT(Formulas!AT38)="0"),"",
HYPERLINK("["&amp;Archivo_Nombre&amp;"]Datos!"&amp;LEFT(SUBSTITUTE(ADDRESS(1,IF(Formulas!AS38=1,1,RIGHT(Formulas!AT38)+2)),"$",""))&amp;Formulas!AR38+1,
IFERROR(INDEX(Datos!$A$1:$L$1,1,RIGHT(Formulas!AT38)+2)&amp;IF(Formulas!AS38=1," "&amp;Formulas!AR38,"")&amp;":","")))</f>
        <v/>
      </c>
      <c r="AR41" s="107" t="str" cm="1">
        <f t="array" aca="1" ref="AR41" ca="1">IF(OR(Formulas!AS38=0,Formulas!AS38="",RIGHT(Formulas!AT38)="0"),"",
HYPERLINK("["&amp;Archivo_Nombre&amp;"]Datos!"&amp;LEFT(SUBSTITUTE(ADDRESS(1,RIGHT(Formulas!AT38)+2),"$",""))&amp;Formulas!AR38+1,
IFERROR(INDEX(Datos!$A$2:$L$101,Formulas!AR38,RIGHT(Formulas!AT38)+2),"")))</f>
        <v/>
      </c>
      <c r="AS41" s="107" t="str" cm="1">
        <f t="array" aca="1" ref="AS41" ca="1">IF(OR(Formulas!AT39=0,Formulas!AT39=""),"",HYPERLINK("["&amp;Archivo_Nombre&amp;"]Datos!"&amp;LEFT(SUBSTITUTE(ADDRESS(1,Formulas!AT39+2),"$",""))&amp;Formulas!AS39+1,
IFERROR(INDEX(Datos!$A$2:$L$101,Formulas!AS39,Formulas!AT39+2),"")))</f>
        <v/>
      </c>
      <c r="AT41" s="13"/>
      <c r="AU41" s="6"/>
      <c r="AV41" s="24" t="str" cm="1">
        <f t="array" aca="1" ref="AV41" ca="1">IF(OR(Formulas!AX38=0,Formulas!AX38="",RIGHT(Formulas!AY38)="0"),"",
HYPERLINK("["&amp;Archivo_Nombre&amp;"]Datos!"&amp;LEFT(SUBSTITUTE(ADDRESS(1,IF(Formulas!AX38=1,1,RIGHT(Formulas!AY38)+2)),"$",""))&amp;Formulas!AW38+1,
IFERROR(INDEX(Datos!$A$1:$L$1,1,RIGHT(Formulas!AY38)+2)&amp;IF(Formulas!AX38=1," "&amp;Formulas!AW38,"")&amp;":","")))</f>
        <v/>
      </c>
      <c r="AW41" s="107" t="str" cm="1">
        <f t="array" aca="1" ref="AW41" ca="1">IF(OR(Formulas!AX38=0,Formulas!AX38="",RIGHT(Formulas!AY38)="0"),"",
HYPERLINK("["&amp;Archivo_Nombre&amp;"]Datos!"&amp;LEFT(SUBSTITUTE(ADDRESS(1,RIGHT(Formulas!AY38)+2),"$",""))&amp;Formulas!AW38+1,
IFERROR(INDEX(Datos!$A$2:$L$101,Formulas!AW38,RIGHT(Formulas!AY38)+2),"")))</f>
        <v/>
      </c>
      <c r="AX41" s="107" t="str" cm="1">
        <f t="array" aca="1" ref="AX41" ca="1">IF(OR(Formulas!AY39=0,Formulas!AY39=""),"",HYPERLINK("["&amp;Archivo_Nombre&amp;"]Datos!"&amp;LEFT(SUBSTITUTE(ADDRESS(1,Formulas!AY39+2),"$",""))&amp;Formulas!AX39+1,
IFERROR(INDEX(Datos!$A$2:$L$101,Formulas!AX39,Formulas!AY39+2),"")))</f>
        <v/>
      </c>
      <c r="AY41" s="13"/>
    </row>
    <row r="42" spans="2:51" x14ac:dyDescent="0.25">
      <c r="B42" s="11"/>
      <c r="C42" s="24" t="str" cm="1">
        <f t="array" aca="1" ref="C42" ca="1">IF(OR(Formulas!E39=0,Formulas!E39="",RIGHT(Formulas!F39)="0"),"",
HYPERLINK("["&amp;Archivo_Nombre&amp;"]Datos!"&amp;LEFT(SUBSTITUTE(ADDRESS(1,IF(Formulas!E39=1,1,RIGHT(Formulas!F39)+2)),"$",""))&amp;Formulas!D39+1,
IFERROR(INDEX(Datos!$A$1:$L$1,1,RIGHT(Formulas!F39)+2)&amp;IF(Formulas!E39=1," "&amp;Formulas!D39,"")&amp;":","")))</f>
        <v/>
      </c>
      <c r="D42" s="107" t="str" cm="1">
        <f t="array" aca="1" ref="D42" ca="1">IF(OR(Formulas!E39=0,Formulas!E39="",RIGHT(Formulas!F39)="0"),"",
HYPERLINK("["&amp;Archivo_Nombre&amp;"]Datos!"&amp;LEFT(SUBSTITUTE(ADDRESS(1,RIGHT(Formulas!F39)+2),"$",""))&amp;Formulas!D39+1,
IFERROR(INDEX(Datos!$A$2:$L$101,Formulas!D39,RIGHT(Formulas!F39)+2),"")))</f>
        <v/>
      </c>
      <c r="E42" s="107" t="str" cm="1">
        <f t="array" aca="1" ref="E42" ca="1">IF(OR(Formulas!F40=0,Formulas!F40=""),"",HYPERLINK("["&amp;Archivo_Nombre&amp;"]Datos!"&amp;LEFT(SUBSTITUTE(ADDRESS(1,Formulas!F40+2),"$",""))&amp;Formulas!E40+1,
IFERROR(INDEX(Datos!$A$2:$L$101,Formulas!E40,Formulas!F40+2),"")))</f>
        <v/>
      </c>
      <c r="F42" s="5"/>
      <c r="G42" s="6"/>
      <c r="H42" s="24" t="str" cm="1">
        <f t="array" aca="1" ref="H42" ca="1">IF(OR(Formulas!J39=0,Formulas!J39="",RIGHT(Formulas!K39)="0"),"",
HYPERLINK("["&amp;Archivo_Nombre&amp;"]Datos!"&amp;LEFT(SUBSTITUTE(ADDRESS(1,IF(Formulas!J39=1,1,RIGHT(Formulas!K39)+2)),"$",""))&amp;Formulas!I39+1,
IFERROR(INDEX(Datos!$A$1:$L$1,1,RIGHT(Formulas!K39)+2)&amp;IF(Formulas!J39=1," "&amp;Formulas!I39,"")&amp;":","")))</f>
        <v>Duración:</v>
      </c>
      <c r="I42" s="107" t="str" cm="1">
        <f t="array" aca="1" ref="I42" ca="1">IF(OR(Formulas!J39=0,Formulas!J39="",RIGHT(Formulas!K39)="0"),"",
HYPERLINK("["&amp;Archivo_Nombre&amp;"]Datos!"&amp;LEFT(SUBSTITUTE(ADDRESS(1,RIGHT(Formulas!K39)+2),"$",""))&amp;Formulas!I39+1,
IFERROR(INDEX(Datos!$A$2:$L$101,Formulas!I39,RIGHT(Formulas!K39)+2),"")))</f>
        <v>1 días</v>
      </c>
      <c r="J42" s="107" t="e" cm="1">
        <f t="array" aca="1" ref="J42" ca="1">IF(OR(Formulas!K40=0,Formulas!K40=""),"",HYPERLINK("["&amp;Archivo_Nombre&amp;"]Datos!"&amp;LEFT(SUBSTITUTE(ADDRESS(1,Formulas!K40+2),"$",""))&amp;Formulas!J40+1,
IFERROR(INDEX(Datos!$A$2:$L$101,Formulas!J40,Formulas!K40+2),"")))</f>
        <v>#VALUE!</v>
      </c>
      <c r="K42" s="5"/>
      <c r="L42" s="6"/>
      <c r="M42" s="24" t="str" cm="1">
        <f t="array" aca="1" ref="M42" ca="1">IF(OR(Formulas!O39=0,Formulas!O39="",RIGHT(Formulas!P39)="0"),"",
HYPERLINK("["&amp;Archivo_Nombre&amp;"]Datos!"&amp;LEFT(SUBSTITUTE(ADDRESS(1,IF(Formulas!O39=1,1,RIGHT(Formulas!P39)+2)),"$",""))&amp;Formulas!N39+1,
IFERROR(INDEX(Datos!$A$1:$L$1,1,RIGHT(Formulas!P39)+2)&amp;IF(Formulas!O39=1," "&amp;Formulas!N39,"")&amp;":","")))</f>
        <v/>
      </c>
      <c r="N42" s="107" t="str" cm="1">
        <f t="array" aca="1" ref="N42" ca="1">IF(OR(Formulas!O39=0,Formulas!O39="",RIGHT(Formulas!P39)="0"),"",
HYPERLINK("["&amp;Archivo_Nombre&amp;"]Datos!"&amp;LEFT(SUBSTITUTE(ADDRESS(1,RIGHT(Formulas!P39)+2),"$",""))&amp;Formulas!N39+1,
IFERROR(INDEX(Datos!$A$2:$L$101,Formulas!N39,RIGHT(Formulas!P39)+2),"")))</f>
        <v/>
      </c>
      <c r="O42" s="107" t="str" cm="1">
        <f t="array" aca="1" ref="O42" ca="1">IF(OR(Formulas!P40=0,Formulas!P40=""),"",HYPERLINK("["&amp;Archivo_Nombre&amp;"]Datos!"&amp;LEFT(SUBSTITUTE(ADDRESS(1,Formulas!P40+2),"$",""))&amp;Formulas!O40+1,
IFERROR(INDEX(Datos!$A$2:$L$101,Formulas!O40,Formulas!P40+2),"")))</f>
        <v/>
      </c>
      <c r="P42" s="5"/>
      <c r="Q42" s="6"/>
      <c r="R42" s="24" t="str" cm="1">
        <f t="array" aca="1" ref="R42" ca="1">IF(OR(Formulas!T39=0,Formulas!T39="",RIGHT(Formulas!U39)="0"),"",
HYPERLINK("["&amp;Archivo_Nombre&amp;"]Datos!"&amp;LEFT(SUBSTITUTE(ADDRESS(1,IF(Formulas!T39=1,1,RIGHT(Formulas!U39)+2)),"$",""))&amp;Formulas!S39+1,
IFERROR(INDEX(Datos!$A$1:$L$1,1,RIGHT(Formulas!U39)+2)&amp;IF(Formulas!T39=1," "&amp;Formulas!S39,"")&amp;":","")))</f>
        <v>Duración:</v>
      </c>
      <c r="S42" s="107" t="str" cm="1">
        <f t="array" aca="1" ref="S42" ca="1">IF(OR(Formulas!T39=0,Formulas!T39="",RIGHT(Formulas!U39)="0"),"",
HYPERLINK("["&amp;Archivo_Nombre&amp;"]Datos!"&amp;LEFT(SUBSTITUTE(ADDRESS(1,RIGHT(Formulas!U39)+2),"$",""))&amp;Formulas!S39+1,
IFERROR(INDEX(Datos!$A$2:$L$101,Formulas!S39,RIGHT(Formulas!U39)+2),"")))</f>
        <v>2 días</v>
      </c>
      <c r="T42" s="107" t="e" cm="1">
        <f t="array" aca="1" ref="T42" ca="1">IF(OR(Formulas!U40=0,Formulas!U40=""),"",HYPERLINK("["&amp;Archivo_Nombre&amp;"]Datos!"&amp;LEFT(SUBSTITUTE(ADDRESS(1,Formulas!U40+2),"$",""))&amp;Formulas!T40+1,
IFERROR(INDEX(Datos!$A$2:$L$101,Formulas!T40,Formulas!U40+2),"")))</f>
        <v>#VALUE!</v>
      </c>
      <c r="U42" s="5"/>
      <c r="V42" s="6"/>
      <c r="W42" s="24" t="str" cm="1">
        <f t="array" aca="1" ref="W42" ca="1">IF(OR(Formulas!Y39=0,Formulas!Y39="",RIGHT(Formulas!Z39)="0"),"",
HYPERLINK("["&amp;Archivo_Nombre&amp;"]Datos!"&amp;LEFT(SUBSTITUTE(ADDRESS(1,IF(Formulas!Y39=1,1,RIGHT(Formulas!Z39)+2)),"$",""))&amp;Formulas!X39+1,
IFERROR(INDEX(Datos!$A$1:$L$1,1,RIGHT(Formulas!Z39)+2)&amp;IF(Formulas!Y39=1," "&amp;Formulas!X39,"")&amp;":","")))</f>
        <v/>
      </c>
      <c r="X42" s="107" t="str" cm="1">
        <f t="array" aca="1" ref="X42" ca="1">IF(OR(Formulas!Y39=0,Formulas!Y39="",RIGHT(Formulas!Z39)="0"),"",
HYPERLINK("["&amp;Archivo_Nombre&amp;"]Datos!"&amp;LEFT(SUBSTITUTE(ADDRESS(1,RIGHT(Formulas!Z39)+2),"$",""))&amp;Formulas!X39+1,
IFERROR(INDEX(Datos!$A$2:$L$101,Formulas!X39,RIGHT(Formulas!Z39)+2),"")))</f>
        <v/>
      </c>
      <c r="Y42" s="107" t="str" cm="1">
        <f t="array" aca="1" ref="Y42" ca="1">IF(OR(Formulas!Z40=0,Formulas!Z40=""),"",HYPERLINK("["&amp;Archivo_Nombre&amp;"]Datos!"&amp;LEFT(SUBSTITUTE(ADDRESS(1,Formulas!Z40+2),"$",""))&amp;Formulas!Y40+1,
IFERROR(INDEX(Datos!$A$2:$L$101,Formulas!Y40,Formulas!Z40+2),"")))</f>
        <v/>
      </c>
      <c r="Z42" s="13"/>
      <c r="AA42" s="6"/>
      <c r="AB42" s="24" t="str" cm="1">
        <f t="array" aca="1" ref="AB42" ca="1">IF(OR(Formulas!AD39=0,Formulas!AD39="",RIGHT(Formulas!AE39)="0"),"",
HYPERLINK("["&amp;Archivo_Nombre&amp;"]Datos!"&amp;LEFT(SUBSTITUTE(ADDRESS(1,IF(Formulas!AD39=1,1,RIGHT(Formulas!AE39)+2)),"$",""))&amp;Formulas!AC39+1,
IFERROR(INDEX(Datos!$A$1:$L$1,1,RIGHT(Formulas!AE39)+2)&amp;IF(Formulas!AD39=1," "&amp;Formulas!AC39,"")&amp;":","")))</f>
        <v/>
      </c>
      <c r="AC42" s="107" t="str" cm="1">
        <f t="array" aca="1" ref="AC42" ca="1">IF(OR(Formulas!AD39=0,Formulas!AD39="",RIGHT(Formulas!AE39)="0"),"",
HYPERLINK("["&amp;Archivo_Nombre&amp;"]Datos!"&amp;LEFT(SUBSTITUTE(ADDRESS(1,RIGHT(Formulas!AE39)+2),"$",""))&amp;Formulas!AC39+1,
IFERROR(INDEX(Datos!$A$2:$L$101,Formulas!AC39,RIGHT(Formulas!AE39)+2),"")))</f>
        <v/>
      </c>
      <c r="AD42" s="107" t="str" cm="1">
        <f t="array" aca="1" ref="AD42" ca="1">IF(OR(Formulas!AE40=0,Formulas!AE40=""),"",HYPERLINK("["&amp;Archivo_Nombre&amp;"]Datos!"&amp;LEFT(SUBSTITUTE(ADDRESS(1,Formulas!AE40+2),"$",""))&amp;Formulas!AD40+1,
IFERROR(INDEX(Datos!$A$2:$L$101,Formulas!AD40,Formulas!AE40+2),"")))</f>
        <v/>
      </c>
      <c r="AE42" s="13"/>
      <c r="AF42" s="6"/>
      <c r="AG42" s="24" t="str" cm="1">
        <f t="array" aca="1" ref="AG42" ca="1">IF(OR(Formulas!AI39=0,Formulas!AI39="",RIGHT(Formulas!AJ39)="0"),"",
HYPERLINK("["&amp;Archivo_Nombre&amp;"]Datos!"&amp;LEFT(SUBSTITUTE(ADDRESS(1,IF(Formulas!AI39=1,1,RIGHT(Formulas!AJ39)+2)),"$",""))&amp;Formulas!AH39+1,
IFERROR(INDEX(Datos!$A$1:$L$1,1,RIGHT(Formulas!AJ39)+2)&amp;IF(Formulas!AI39=1," "&amp;Formulas!AH39,"")&amp;":","")))</f>
        <v/>
      </c>
      <c r="AH42" s="107" t="str" cm="1">
        <f t="array" aca="1" ref="AH42" ca="1">IF(OR(Formulas!AI39=0,Formulas!AI39="",RIGHT(Formulas!AJ39)="0"),"",
HYPERLINK("["&amp;Archivo_Nombre&amp;"]Datos!"&amp;LEFT(SUBSTITUTE(ADDRESS(1,RIGHT(Formulas!AJ39)+2),"$",""))&amp;Formulas!AH39+1,
IFERROR(INDEX(Datos!$A$2:$L$101,Formulas!AH39,RIGHT(Formulas!AJ39)+2),"")))</f>
        <v/>
      </c>
      <c r="AI42" s="107" t="str" cm="1">
        <f t="array" aca="1" ref="AI42" ca="1">IF(OR(Formulas!AJ40=0,Formulas!AJ40=""),"",HYPERLINK("["&amp;Archivo_Nombre&amp;"]Datos!"&amp;LEFT(SUBSTITUTE(ADDRESS(1,Formulas!AJ40+2),"$",""))&amp;Formulas!AI40+1,
IFERROR(INDEX(Datos!$A$2:$L$101,Formulas!AI40,Formulas!AJ40+2),"")))</f>
        <v/>
      </c>
      <c r="AJ42" s="13"/>
      <c r="AK42" s="6"/>
      <c r="AL42" s="24" t="str" cm="1">
        <f t="array" aca="1" ref="AL42" ca="1">IF(OR(Formulas!AN39=0,Formulas!AN39="",RIGHT(Formulas!AO39)="0"),"",
HYPERLINK("["&amp;Archivo_Nombre&amp;"]Datos!"&amp;LEFT(SUBSTITUTE(ADDRESS(1,IF(Formulas!AN39=1,1,RIGHT(Formulas!AO39)+2)),"$",""))&amp;Formulas!AM39+1,
IFERROR(INDEX(Datos!$A$1:$L$1,1,RIGHT(Formulas!AO39)+2)&amp;IF(Formulas!AN39=1," "&amp;Formulas!AM39,"")&amp;":","")))</f>
        <v/>
      </c>
      <c r="AM42" s="107" t="str" cm="1">
        <f t="array" aca="1" ref="AM42" ca="1">IF(OR(Formulas!AN39=0,Formulas!AN39="",RIGHT(Formulas!AO39)="0"),"",
HYPERLINK("["&amp;Archivo_Nombre&amp;"]Datos!"&amp;LEFT(SUBSTITUTE(ADDRESS(1,RIGHT(Formulas!AO39)+2),"$",""))&amp;Formulas!AM39+1,
IFERROR(INDEX(Datos!$A$2:$L$101,Formulas!AM39,RIGHT(Formulas!AO39)+2),"")))</f>
        <v/>
      </c>
      <c r="AN42" s="107" t="str" cm="1">
        <f t="array" aca="1" ref="AN42" ca="1">IF(OR(Formulas!AO40=0,Formulas!AO40=""),"",HYPERLINK("["&amp;Archivo_Nombre&amp;"]Datos!"&amp;LEFT(SUBSTITUTE(ADDRESS(1,Formulas!AO40+2),"$",""))&amp;Formulas!AN40+1,
IFERROR(INDEX(Datos!$A$2:$L$101,Formulas!AN40,Formulas!AO40+2),"")))</f>
        <v/>
      </c>
      <c r="AO42" s="13"/>
      <c r="AP42" s="6"/>
      <c r="AQ42" s="24" t="str" cm="1">
        <f t="array" aca="1" ref="AQ42" ca="1">IF(OR(Formulas!AS39=0,Formulas!AS39="",RIGHT(Formulas!AT39)="0"),"",
HYPERLINK("["&amp;Archivo_Nombre&amp;"]Datos!"&amp;LEFT(SUBSTITUTE(ADDRESS(1,IF(Formulas!AS39=1,1,RIGHT(Formulas!AT39)+2)),"$",""))&amp;Formulas!AR39+1,
IFERROR(INDEX(Datos!$A$1:$L$1,1,RIGHT(Formulas!AT39)+2)&amp;IF(Formulas!AS39=1," "&amp;Formulas!AR39,"")&amp;":","")))</f>
        <v/>
      </c>
      <c r="AR42" s="107" t="str" cm="1">
        <f t="array" aca="1" ref="AR42" ca="1">IF(OR(Formulas!AS39=0,Formulas!AS39="",RIGHT(Formulas!AT39)="0"),"",
HYPERLINK("["&amp;Archivo_Nombre&amp;"]Datos!"&amp;LEFT(SUBSTITUTE(ADDRESS(1,RIGHT(Formulas!AT39)+2),"$",""))&amp;Formulas!AR39+1,
IFERROR(INDEX(Datos!$A$2:$L$101,Formulas!AR39,RIGHT(Formulas!AT39)+2),"")))</f>
        <v/>
      </c>
      <c r="AS42" s="107" t="str" cm="1">
        <f t="array" aca="1" ref="AS42" ca="1">IF(OR(Formulas!AT40=0,Formulas!AT40=""),"",HYPERLINK("["&amp;Archivo_Nombre&amp;"]Datos!"&amp;LEFT(SUBSTITUTE(ADDRESS(1,Formulas!AT40+2),"$",""))&amp;Formulas!AS40+1,
IFERROR(INDEX(Datos!$A$2:$L$101,Formulas!AS40,Formulas!AT40+2),"")))</f>
        <v/>
      </c>
      <c r="AT42" s="13"/>
      <c r="AU42" s="6"/>
      <c r="AV42" s="24" t="str" cm="1">
        <f t="array" aca="1" ref="AV42" ca="1">IF(OR(Formulas!AX39=0,Formulas!AX39="",RIGHT(Formulas!AY39)="0"),"",
HYPERLINK("["&amp;Archivo_Nombre&amp;"]Datos!"&amp;LEFT(SUBSTITUTE(ADDRESS(1,IF(Formulas!AX39=1,1,RIGHT(Formulas!AY39)+2)),"$",""))&amp;Formulas!AW39+1,
IFERROR(INDEX(Datos!$A$1:$L$1,1,RIGHT(Formulas!AY39)+2)&amp;IF(Formulas!AX39=1," "&amp;Formulas!AW39,"")&amp;":","")))</f>
        <v/>
      </c>
      <c r="AW42" s="107" t="str" cm="1">
        <f t="array" aca="1" ref="AW42" ca="1">IF(OR(Formulas!AX39=0,Formulas!AX39="",RIGHT(Formulas!AY39)="0"),"",
HYPERLINK("["&amp;Archivo_Nombre&amp;"]Datos!"&amp;LEFT(SUBSTITUTE(ADDRESS(1,RIGHT(Formulas!AY39)+2),"$",""))&amp;Formulas!AW39+1,
IFERROR(INDEX(Datos!$A$2:$L$101,Formulas!AW39,RIGHT(Formulas!AY39)+2),"")))</f>
        <v/>
      </c>
      <c r="AX42" s="107" t="str" cm="1">
        <f t="array" aca="1" ref="AX42" ca="1">IF(OR(Formulas!AY40=0,Formulas!AY40=""),"",HYPERLINK("["&amp;Archivo_Nombre&amp;"]Datos!"&amp;LEFT(SUBSTITUTE(ADDRESS(1,Formulas!AY40+2),"$",""))&amp;Formulas!AX40+1,
IFERROR(INDEX(Datos!$A$2:$L$101,Formulas!AX40,Formulas!AY40+2),"")))</f>
        <v/>
      </c>
      <c r="AY42" s="13"/>
    </row>
    <row r="43" spans="2:51" x14ac:dyDescent="0.25">
      <c r="B43" s="11"/>
      <c r="C43" s="24" t="str" cm="1">
        <f t="array" aca="1" ref="C43" ca="1">IF(OR(Formulas!E40=0,Formulas!E40="",RIGHT(Formulas!F40)="0"),"",
HYPERLINK("["&amp;Archivo_Nombre&amp;"]Datos!"&amp;LEFT(SUBSTITUTE(ADDRESS(1,IF(Formulas!E40=1,1,RIGHT(Formulas!F40)+2)),"$",""))&amp;Formulas!D40+1,
IFERROR(INDEX(Datos!$A$1:$L$1,1,RIGHT(Formulas!F40)+2)&amp;IF(Formulas!E40=1," "&amp;Formulas!D40,"")&amp;":","")))</f>
        <v/>
      </c>
      <c r="D43" s="107" t="str" cm="1">
        <f t="array" aca="1" ref="D43" ca="1">IF(OR(Formulas!E40=0,Formulas!E40="",RIGHT(Formulas!F40)="0"),"",
HYPERLINK("["&amp;Archivo_Nombre&amp;"]Datos!"&amp;LEFT(SUBSTITUTE(ADDRESS(1,RIGHT(Formulas!F40)+2),"$",""))&amp;Formulas!D40+1,
IFERROR(INDEX(Datos!$A$2:$L$101,Formulas!D40,RIGHT(Formulas!F40)+2),"")))</f>
        <v/>
      </c>
      <c r="E43" s="107" t="str" cm="1">
        <f t="array" aca="1" ref="E43" ca="1">IF(OR(Formulas!F41=0,Formulas!F41=""),"",HYPERLINK("["&amp;Archivo_Nombre&amp;"]Datos!"&amp;LEFT(SUBSTITUTE(ADDRESS(1,Formulas!F41+2),"$",""))&amp;Formulas!E41+1,
IFERROR(INDEX(Datos!$A$2:$L$101,Formulas!E41,Formulas!F41+2),"")))</f>
        <v/>
      </c>
      <c r="F43" s="5"/>
      <c r="G43" s="6"/>
      <c r="H43" s="24" t="str" cm="1">
        <f t="array" aca="1" ref="H43" ca="1">IF(OR(Formulas!J40=0,Formulas!J40="",RIGHT(Formulas!K40)="0"),"",
HYPERLINK("["&amp;Archivo_Nombre&amp;"]Datos!"&amp;LEFT(SUBSTITUTE(ADDRESS(1,IF(Formulas!J40=1,1,RIGHT(Formulas!K40)+2)),"$",""))&amp;Formulas!I40+1,
IFERROR(INDEX(Datos!$A$1:$L$1,1,RIGHT(Formulas!K40)+2)&amp;IF(Formulas!J40=1," "&amp;Formulas!I40,"")&amp;":","")))</f>
        <v>Retraso:</v>
      </c>
      <c r="I43" s="107" t="str" cm="1">
        <f t="array" aca="1" ref="I43" ca="1">IF(OR(Formulas!J40=0,Formulas!J40="",RIGHT(Formulas!K40)="0"),"",
HYPERLINK("["&amp;Archivo_Nombre&amp;"]Datos!"&amp;LEFT(SUBSTITUTE(ADDRESS(1,RIGHT(Formulas!K40)+2),"$",""))&amp;Formulas!I40+1,
IFERROR(INDEX(Datos!$A$2:$L$101,Formulas!I40,RIGHT(Formulas!K40)+2),"")))</f>
        <v>0 días</v>
      </c>
      <c r="J43" s="107" t="e" cm="1">
        <f t="array" aca="1" ref="J43" ca="1">IF(OR(Formulas!K41=0,Formulas!K41=""),"",HYPERLINK("["&amp;Archivo_Nombre&amp;"]Datos!"&amp;LEFT(SUBSTITUTE(ADDRESS(1,Formulas!K41+2),"$",""))&amp;Formulas!J41+1,
IFERROR(INDEX(Datos!$A$2:$L$101,Formulas!J41,Formulas!K41+2),"")))</f>
        <v>#VALUE!</v>
      </c>
      <c r="K43" s="5"/>
      <c r="L43" s="6"/>
      <c r="M43" s="24" t="str" cm="1">
        <f t="array" aca="1" ref="M43" ca="1">IF(OR(Formulas!O40=0,Formulas!O40="",RIGHT(Formulas!P40)="0"),"",
HYPERLINK("["&amp;Archivo_Nombre&amp;"]Datos!"&amp;LEFT(SUBSTITUTE(ADDRESS(1,IF(Formulas!O40=1,1,RIGHT(Formulas!P40)+2)),"$",""))&amp;Formulas!N40+1,
IFERROR(INDEX(Datos!$A$1:$L$1,1,RIGHT(Formulas!P40)+2)&amp;IF(Formulas!O40=1," "&amp;Formulas!N40,"")&amp;":","")))</f>
        <v/>
      </c>
      <c r="N43" s="107" t="str" cm="1">
        <f t="array" aca="1" ref="N43" ca="1">IF(OR(Formulas!O40=0,Formulas!O40="",RIGHT(Formulas!P40)="0"),"",
HYPERLINK("["&amp;Archivo_Nombre&amp;"]Datos!"&amp;LEFT(SUBSTITUTE(ADDRESS(1,RIGHT(Formulas!P40)+2),"$",""))&amp;Formulas!N40+1,
IFERROR(INDEX(Datos!$A$2:$L$101,Formulas!N40,RIGHT(Formulas!P40)+2),"")))</f>
        <v/>
      </c>
      <c r="O43" s="107" t="str" cm="1">
        <f t="array" aca="1" ref="O43" ca="1">IF(OR(Formulas!P41=0,Formulas!P41=""),"",HYPERLINK("["&amp;Archivo_Nombre&amp;"]Datos!"&amp;LEFT(SUBSTITUTE(ADDRESS(1,Formulas!P41+2),"$",""))&amp;Formulas!O41+1,
IFERROR(INDEX(Datos!$A$2:$L$101,Formulas!O41,Formulas!P41+2),"")))</f>
        <v/>
      </c>
      <c r="P43" s="5"/>
      <c r="Q43" s="6"/>
      <c r="R43" s="24" t="str" cm="1">
        <f t="array" aca="1" ref="R43" ca="1">IF(OR(Formulas!T40=0,Formulas!T40="",RIGHT(Formulas!U40)="0"),"",
HYPERLINK("["&amp;Archivo_Nombre&amp;"]Datos!"&amp;LEFT(SUBSTITUTE(ADDRESS(1,IF(Formulas!T40=1,1,RIGHT(Formulas!U40)+2)),"$",""))&amp;Formulas!S40+1,
IFERROR(INDEX(Datos!$A$1:$L$1,1,RIGHT(Formulas!U40)+2)&amp;IF(Formulas!T40=1," "&amp;Formulas!S40,"")&amp;":","")))</f>
        <v>Retraso:</v>
      </c>
      <c r="S43" s="107" t="str" cm="1">
        <f t="array" aca="1" ref="S43" ca="1">IF(OR(Formulas!T40=0,Formulas!T40="",RIGHT(Formulas!U40)="0"),"",
HYPERLINK("["&amp;Archivo_Nombre&amp;"]Datos!"&amp;LEFT(SUBSTITUTE(ADDRESS(1,RIGHT(Formulas!U40)+2),"$",""))&amp;Formulas!S40+1,
IFERROR(INDEX(Datos!$A$2:$L$101,Formulas!S40,RIGHT(Formulas!U40)+2),"")))</f>
        <v>0 días</v>
      </c>
      <c r="T43" s="107" t="e" cm="1">
        <f t="array" aca="1" ref="T43" ca="1">IF(OR(Formulas!U41=0,Formulas!U41=""),"",HYPERLINK("["&amp;Archivo_Nombre&amp;"]Datos!"&amp;LEFT(SUBSTITUTE(ADDRESS(1,Formulas!U41+2),"$",""))&amp;Formulas!T41+1,
IFERROR(INDEX(Datos!$A$2:$L$101,Formulas!T41,Formulas!U41+2),"")))</f>
        <v>#VALUE!</v>
      </c>
      <c r="U43" s="5"/>
      <c r="V43" s="6"/>
      <c r="W43" s="24" t="str" cm="1">
        <f t="array" aca="1" ref="W43" ca="1">IF(OR(Formulas!Y40=0,Formulas!Y40="",RIGHT(Formulas!Z40)="0"),"",
HYPERLINK("["&amp;Archivo_Nombre&amp;"]Datos!"&amp;LEFT(SUBSTITUTE(ADDRESS(1,IF(Formulas!Y40=1,1,RIGHT(Formulas!Z40)+2)),"$",""))&amp;Formulas!X40+1,
IFERROR(INDEX(Datos!$A$1:$L$1,1,RIGHT(Formulas!Z40)+2)&amp;IF(Formulas!Y40=1," "&amp;Formulas!X40,"")&amp;":","")))</f>
        <v/>
      </c>
      <c r="X43" s="107" t="str" cm="1">
        <f t="array" aca="1" ref="X43" ca="1">IF(OR(Formulas!Y40=0,Formulas!Y40="",RIGHT(Formulas!Z40)="0"),"",
HYPERLINK("["&amp;Archivo_Nombre&amp;"]Datos!"&amp;LEFT(SUBSTITUTE(ADDRESS(1,RIGHT(Formulas!Z40)+2),"$",""))&amp;Formulas!X40+1,
IFERROR(INDEX(Datos!$A$2:$L$101,Formulas!X40,RIGHT(Formulas!Z40)+2),"")))</f>
        <v/>
      </c>
      <c r="Y43" s="107" t="str" cm="1">
        <f t="array" aca="1" ref="Y43" ca="1">IF(OR(Formulas!Z41=0,Formulas!Z41=""),"",HYPERLINK("["&amp;Archivo_Nombre&amp;"]Datos!"&amp;LEFT(SUBSTITUTE(ADDRESS(1,Formulas!Z41+2),"$",""))&amp;Formulas!Y41+1,
IFERROR(INDEX(Datos!$A$2:$L$101,Formulas!Y41,Formulas!Z41+2),"")))</f>
        <v/>
      </c>
      <c r="Z43" s="13"/>
      <c r="AA43" s="6"/>
      <c r="AB43" s="24" t="str" cm="1">
        <f t="array" aca="1" ref="AB43" ca="1">IF(OR(Formulas!AD40=0,Formulas!AD40="",RIGHT(Formulas!AE40)="0"),"",
HYPERLINK("["&amp;Archivo_Nombre&amp;"]Datos!"&amp;LEFT(SUBSTITUTE(ADDRESS(1,IF(Formulas!AD40=1,1,RIGHT(Formulas!AE40)+2)),"$",""))&amp;Formulas!AC40+1,
IFERROR(INDEX(Datos!$A$1:$L$1,1,RIGHT(Formulas!AE40)+2)&amp;IF(Formulas!AD40=1," "&amp;Formulas!AC40,"")&amp;":","")))</f>
        <v/>
      </c>
      <c r="AC43" s="107" t="str" cm="1">
        <f t="array" aca="1" ref="AC43" ca="1">IF(OR(Formulas!AD40=0,Formulas!AD40="",RIGHT(Formulas!AE40)="0"),"",
HYPERLINK("["&amp;Archivo_Nombre&amp;"]Datos!"&amp;LEFT(SUBSTITUTE(ADDRESS(1,RIGHT(Formulas!AE40)+2),"$",""))&amp;Formulas!AC40+1,
IFERROR(INDEX(Datos!$A$2:$L$101,Formulas!AC40,RIGHT(Formulas!AE40)+2),"")))</f>
        <v/>
      </c>
      <c r="AD43" s="107" t="str" cm="1">
        <f t="array" aca="1" ref="AD43" ca="1">IF(OR(Formulas!AE41=0,Formulas!AE41=""),"",HYPERLINK("["&amp;Archivo_Nombre&amp;"]Datos!"&amp;LEFT(SUBSTITUTE(ADDRESS(1,Formulas!AE41+2),"$",""))&amp;Formulas!AD41+1,
IFERROR(INDEX(Datos!$A$2:$L$101,Formulas!AD41,Formulas!AE41+2),"")))</f>
        <v/>
      </c>
      <c r="AE43" s="13"/>
      <c r="AF43" s="6"/>
      <c r="AG43" s="24" t="str" cm="1">
        <f t="array" aca="1" ref="AG43" ca="1">IF(OR(Formulas!AI40=0,Formulas!AI40="",RIGHT(Formulas!AJ40)="0"),"",
HYPERLINK("["&amp;Archivo_Nombre&amp;"]Datos!"&amp;LEFT(SUBSTITUTE(ADDRESS(1,IF(Formulas!AI40=1,1,RIGHT(Formulas!AJ40)+2)),"$",""))&amp;Formulas!AH40+1,
IFERROR(INDEX(Datos!$A$1:$L$1,1,RIGHT(Formulas!AJ40)+2)&amp;IF(Formulas!AI40=1," "&amp;Formulas!AH40,"")&amp;":","")))</f>
        <v/>
      </c>
      <c r="AH43" s="107" t="str" cm="1">
        <f t="array" aca="1" ref="AH43" ca="1">IF(OR(Formulas!AI40=0,Formulas!AI40="",RIGHT(Formulas!AJ40)="0"),"",
HYPERLINK("["&amp;Archivo_Nombre&amp;"]Datos!"&amp;LEFT(SUBSTITUTE(ADDRESS(1,RIGHT(Formulas!AJ40)+2),"$",""))&amp;Formulas!AH40+1,
IFERROR(INDEX(Datos!$A$2:$L$101,Formulas!AH40,RIGHT(Formulas!AJ40)+2),"")))</f>
        <v/>
      </c>
      <c r="AI43" s="107" t="str" cm="1">
        <f t="array" aca="1" ref="AI43" ca="1">IF(OR(Formulas!AJ41=0,Formulas!AJ41=""),"",HYPERLINK("["&amp;Archivo_Nombre&amp;"]Datos!"&amp;LEFT(SUBSTITUTE(ADDRESS(1,Formulas!AJ41+2),"$",""))&amp;Formulas!AI41+1,
IFERROR(INDEX(Datos!$A$2:$L$101,Formulas!AI41,Formulas!AJ41+2),"")))</f>
        <v/>
      </c>
      <c r="AJ43" s="13"/>
      <c r="AK43" s="6"/>
      <c r="AL43" s="24" t="str" cm="1">
        <f t="array" aca="1" ref="AL43" ca="1">IF(OR(Formulas!AN40=0,Formulas!AN40="",RIGHT(Formulas!AO40)="0"),"",
HYPERLINK("["&amp;Archivo_Nombre&amp;"]Datos!"&amp;LEFT(SUBSTITUTE(ADDRESS(1,IF(Formulas!AN40=1,1,RIGHT(Formulas!AO40)+2)),"$",""))&amp;Formulas!AM40+1,
IFERROR(INDEX(Datos!$A$1:$L$1,1,RIGHT(Formulas!AO40)+2)&amp;IF(Formulas!AN40=1," "&amp;Formulas!AM40,"")&amp;":","")))</f>
        <v/>
      </c>
      <c r="AM43" s="107" t="str" cm="1">
        <f t="array" aca="1" ref="AM43" ca="1">IF(OR(Formulas!AN40=0,Formulas!AN40="",RIGHT(Formulas!AO40)="0"),"",
HYPERLINK("["&amp;Archivo_Nombre&amp;"]Datos!"&amp;LEFT(SUBSTITUTE(ADDRESS(1,RIGHT(Formulas!AO40)+2),"$",""))&amp;Formulas!AM40+1,
IFERROR(INDEX(Datos!$A$2:$L$101,Formulas!AM40,RIGHT(Formulas!AO40)+2),"")))</f>
        <v/>
      </c>
      <c r="AN43" s="107" t="str" cm="1">
        <f t="array" aca="1" ref="AN43" ca="1">IF(OR(Formulas!AO41=0,Formulas!AO41=""),"",HYPERLINK("["&amp;Archivo_Nombre&amp;"]Datos!"&amp;LEFT(SUBSTITUTE(ADDRESS(1,Formulas!AO41+2),"$",""))&amp;Formulas!AN41+1,
IFERROR(INDEX(Datos!$A$2:$L$101,Formulas!AN41,Formulas!AO41+2),"")))</f>
        <v/>
      </c>
      <c r="AO43" s="13"/>
      <c r="AP43" s="6"/>
      <c r="AQ43" s="24" t="str" cm="1">
        <f t="array" aca="1" ref="AQ43" ca="1">IF(OR(Formulas!AS40=0,Formulas!AS40="",RIGHT(Formulas!AT40)="0"),"",
HYPERLINK("["&amp;Archivo_Nombre&amp;"]Datos!"&amp;LEFT(SUBSTITUTE(ADDRESS(1,IF(Formulas!AS40=1,1,RIGHT(Formulas!AT40)+2)),"$",""))&amp;Formulas!AR40+1,
IFERROR(INDEX(Datos!$A$1:$L$1,1,RIGHT(Formulas!AT40)+2)&amp;IF(Formulas!AS40=1," "&amp;Formulas!AR40,"")&amp;":","")))</f>
        <v/>
      </c>
      <c r="AR43" s="107" t="str" cm="1">
        <f t="array" aca="1" ref="AR43" ca="1">IF(OR(Formulas!AS40=0,Formulas!AS40="",RIGHT(Formulas!AT40)="0"),"",
HYPERLINK("["&amp;Archivo_Nombre&amp;"]Datos!"&amp;LEFT(SUBSTITUTE(ADDRESS(1,RIGHT(Formulas!AT40)+2),"$",""))&amp;Formulas!AR40+1,
IFERROR(INDEX(Datos!$A$2:$L$101,Formulas!AR40,RIGHT(Formulas!AT40)+2),"")))</f>
        <v/>
      </c>
      <c r="AS43" s="107" t="str" cm="1">
        <f t="array" aca="1" ref="AS43" ca="1">IF(OR(Formulas!AT41=0,Formulas!AT41=""),"",HYPERLINK("["&amp;Archivo_Nombre&amp;"]Datos!"&amp;LEFT(SUBSTITUTE(ADDRESS(1,Formulas!AT41+2),"$",""))&amp;Formulas!AS41+1,
IFERROR(INDEX(Datos!$A$2:$L$101,Formulas!AS41,Formulas!AT41+2),"")))</f>
        <v/>
      </c>
      <c r="AT43" s="13"/>
      <c r="AU43" s="6"/>
      <c r="AV43" s="24" t="str" cm="1">
        <f t="array" aca="1" ref="AV43" ca="1">IF(OR(Formulas!AX40=0,Formulas!AX40="",RIGHT(Formulas!AY40)="0"),"",
HYPERLINK("["&amp;Archivo_Nombre&amp;"]Datos!"&amp;LEFT(SUBSTITUTE(ADDRESS(1,IF(Formulas!AX40=1,1,RIGHT(Formulas!AY40)+2)),"$",""))&amp;Formulas!AW40+1,
IFERROR(INDEX(Datos!$A$1:$L$1,1,RIGHT(Formulas!AY40)+2)&amp;IF(Formulas!AX40=1," "&amp;Formulas!AW40,"")&amp;":","")))</f>
        <v/>
      </c>
      <c r="AW43" s="107" t="str" cm="1">
        <f t="array" aca="1" ref="AW43" ca="1">IF(OR(Formulas!AX40=0,Formulas!AX40="",RIGHT(Formulas!AY40)="0"),"",
HYPERLINK("["&amp;Archivo_Nombre&amp;"]Datos!"&amp;LEFT(SUBSTITUTE(ADDRESS(1,RIGHT(Formulas!AY40)+2),"$",""))&amp;Formulas!AW40+1,
IFERROR(INDEX(Datos!$A$2:$L$101,Formulas!AW40,RIGHT(Formulas!AY40)+2),"")))</f>
        <v/>
      </c>
      <c r="AX43" s="107" t="str" cm="1">
        <f t="array" aca="1" ref="AX43" ca="1">IF(OR(Formulas!AY41=0,Formulas!AY41=""),"",HYPERLINK("["&amp;Archivo_Nombre&amp;"]Datos!"&amp;LEFT(SUBSTITUTE(ADDRESS(1,Formulas!AY41+2),"$",""))&amp;Formulas!AX41+1,
IFERROR(INDEX(Datos!$A$2:$L$101,Formulas!AX41,Formulas!AY41+2),"")))</f>
        <v/>
      </c>
      <c r="AY43" s="13"/>
    </row>
    <row r="44" spans="2:51" x14ac:dyDescent="0.25">
      <c r="B44" s="11"/>
      <c r="C44" s="24" t="str" cm="1">
        <f t="array" aca="1" ref="C44" ca="1">IF(OR(Formulas!E41=0,Formulas!E41="",RIGHT(Formulas!F41)="0"),"",
HYPERLINK("["&amp;Archivo_Nombre&amp;"]Datos!"&amp;LEFT(SUBSTITUTE(ADDRESS(1,IF(Formulas!E41=1,1,RIGHT(Formulas!F41)+2)),"$",""))&amp;Formulas!D41+1,
IFERROR(INDEX(Datos!$A$1:$L$1,1,RIGHT(Formulas!F41)+2)&amp;IF(Formulas!E41=1," "&amp;Formulas!D41,"")&amp;":","")))</f>
        <v/>
      </c>
      <c r="D44" s="107" t="str" cm="1">
        <f t="array" aca="1" ref="D44" ca="1">IF(OR(Formulas!E41=0,Formulas!E41="",RIGHT(Formulas!F41)="0"),"",
HYPERLINK("["&amp;Archivo_Nombre&amp;"]Datos!"&amp;LEFT(SUBSTITUTE(ADDRESS(1,RIGHT(Formulas!F41)+2),"$",""))&amp;Formulas!D41+1,
IFERROR(INDEX(Datos!$A$2:$L$101,Formulas!D41,RIGHT(Formulas!F41)+2),"")))</f>
        <v/>
      </c>
      <c r="E44" s="107" t="str" cm="1">
        <f t="array" aca="1" ref="E44" ca="1">IF(OR(Formulas!F42=0,Formulas!F42=""),"",HYPERLINK("["&amp;Archivo_Nombre&amp;"]Datos!"&amp;LEFT(SUBSTITUTE(ADDRESS(1,Formulas!F42+2),"$",""))&amp;Formulas!E42+1,
IFERROR(INDEX(Datos!$A$2:$L$101,Formulas!E42,Formulas!F42+2),"")))</f>
        <v/>
      </c>
      <c r="F44" s="5"/>
      <c r="G44" s="6"/>
      <c r="H44" s="24" t="str" cm="1">
        <f t="array" aca="1" ref="H44" ca="1">IF(OR(Formulas!J41=0,Formulas!J41="",RIGHT(Formulas!K41)="0"),"",
HYPERLINK("["&amp;Archivo_Nombre&amp;"]Datos!"&amp;LEFT(SUBSTITUTE(ADDRESS(1,IF(Formulas!J41=1,1,RIGHT(Formulas!K41)+2)),"$",""))&amp;Formulas!I41+1,
IFERROR(INDEX(Datos!$A$1:$L$1,1,RIGHT(Formulas!K41)+2)&amp;IF(Formulas!J41=1," "&amp;Formulas!I41,"")&amp;":","")))</f>
        <v/>
      </c>
      <c r="I44" s="107" t="str" cm="1">
        <f t="array" aca="1" ref="I44" ca="1">IF(OR(Formulas!J41=0,Formulas!J41="",RIGHT(Formulas!K41)="0"),"",
HYPERLINK("["&amp;Archivo_Nombre&amp;"]Datos!"&amp;LEFT(SUBSTITUTE(ADDRESS(1,RIGHT(Formulas!K41)+2),"$",""))&amp;Formulas!I41+1,
IFERROR(INDEX(Datos!$A$2:$L$101,Formulas!I41,RIGHT(Formulas!K41)+2),"")))</f>
        <v/>
      </c>
      <c r="J44" s="107" t="str" cm="1">
        <f t="array" aca="1" ref="J44" ca="1">IF(OR(Formulas!K42=0,Formulas!K42=""),"",HYPERLINK("["&amp;Archivo_Nombre&amp;"]Datos!"&amp;LEFT(SUBSTITUTE(ADDRESS(1,Formulas!K42+2),"$",""))&amp;Formulas!J42+1,
IFERROR(INDEX(Datos!$A$2:$L$101,Formulas!J42,Formulas!K42+2),"")))</f>
        <v/>
      </c>
      <c r="K44" s="5"/>
      <c r="L44" s="6"/>
      <c r="M44" s="24" t="str" cm="1">
        <f t="array" aca="1" ref="M44" ca="1">IF(OR(Formulas!O41=0,Formulas!O41="",RIGHT(Formulas!P41)="0"),"",
HYPERLINK("["&amp;Archivo_Nombre&amp;"]Datos!"&amp;LEFT(SUBSTITUTE(ADDRESS(1,IF(Formulas!O41=1,1,RIGHT(Formulas!P41)+2)),"$",""))&amp;Formulas!N41+1,
IFERROR(INDEX(Datos!$A$1:$L$1,1,RIGHT(Formulas!P41)+2)&amp;IF(Formulas!O41=1," "&amp;Formulas!N41,"")&amp;":","")))</f>
        <v/>
      </c>
      <c r="N44" s="107" t="str" cm="1">
        <f t="array" aca="1" ref="N44" ca="1">IF(OR(Formulas!O41=0,Formulas!O41="",RIGHT(Formulas!P41)="0"),"",
HYPERLINK("["&amp;Archivo_Nombre&amp;"]Datos!"&amp;LEFT(SUBSTITUTE(ADDRESS(1,RIGHT(Formulas!P41)+2),"$",""))&amp;Formulas!N41+1,
IFERROR(INDEX(Datos!$A$2:$L$101,Formulas!N41,RIGHT(Formulas!P41)+2),"")))</f>
        <v/>
      </c>
      <c r="O44" s="107" t="str" cm="1">
        <f t="array" aca="1" ref="O44" ca="1">IF(OR(Formulas!P42=0,Formulas!P42=""),"",HYPERLINK("["&amp;Archivo_Nombre&amp;"]Datos!"&amp;LEFT(SUBSTITUTE(ADDRESS(1,Formulas!P42+2),"$",""))&amp;Formulas!O42+1,
IFERROR(INDEX(Datos!$A$2:$L$101,Formulas!O42,Formulas!P42+2),"")))</f>
        <v/>
      </c>
      <c r="P44" s="5"/>
      <c r="Q44" s="6"/>
      <c r="R44" s="24" t="str" cm="1">
        <f t="array" aca="1" ref="R44" ca="1">IF(OR(Formulas!T41=0,Formulas!T41="",RIGHT(Formulas!U41)="0"),"",
HYPERLINK("["&amp;Archivo_Nombre&amp;"]Datos!"&amp;LEFT(SUBSTITUTE(ADDRESS(1,IF(Formulas!T41=1,1,RIGHT(Formulas!U41)+2)),"$",""))&amp;Formulas!S41+1,
IFERROR(INDEX(Datos!$A$1:$L$1,1,RIGHT(Formulas!U41)+2)&amp;IF(Formulas!T41=1," "&amp;Formulas!S41,"")&amp;":","")))</f>
        <v/>
      </c>
      <c r="S44" s="107" t="str" cm="1">
        <f t="array" aca="1" ref="S44" ca="1">IF(OR(Formulas!T41=0,Formulas!T41="",RIGHT(Formulas!U41)="0"),"",
HYPERLINK("["&amp;Archivo_Nombre&amp;"]Datos!"&amp;LEFT(SUBSTITUTE(ADDRESS(1,RIGHT(Formulas!U41)+2),"$",""))&amp;Formulas!S41+1,
IFERROR(INDEX(Datos!$A$2:$L$101,Formulas!S41,RIGHT(Formulas!U41)+2),"")))</f>
        <v/>
      </c>
      <c r="T44" s="107" t="str" cm="1">
        <f t="array" aca="1" ref="T44" ca="1">IF(OR(Formulas!U42=0,Formulas!U42=""),"",HYPERLINK("["&amp;Archivo_Nombre&amp;"]Datos!"&amp;LEFT(SUBSTITUTE(ADDRESS(1,Formulas!U42+2),"$",""))&amp;Formulas!T42+1,
IFERROR(INDEX(Datos!$A$2:$L$101,Formulas!T42,Formulas!U42+2),"")))</f>
        <v/>
      </c>
      <c r="U44" s="5"/>
      <c r="V44" s="6"/>
      <c r="W44" s="24" t="str" cm="1">
        <f t="array" aca="1" ref="W44" ca="1">IF(OR(Formulas!Y41=0,Formulas!Y41="",RIGHT(Formulas!Z41)="0"),"",
HYPERLINK("["&amp;Archivo_Nombre&amp;"]Datos!"&amp;LEFT(SUBSTITUTE(ADDRESS(1,IF(Formulas!Y41=1,1,RIGHT(Formulas!Z41)+2)),"$",""))&amp;Formulas!X41+1,
IFERROR(INDEX(Datos!$A$1:$L$1,1,RIGHT(Formulas!Z41)+2)&amp;IF(Formulas!Y41=1," "&amp;Formulas!X41,"")&amp;":","")))</f>
        <v/>
      </c>
      <c r="X44" s="107" t="str" cm="1">
        <f t="array" aca="1" ref="X44" ca="1">IF(OR(Formulas!Y41=0,Formulas!Y41="",RIGHT(Formulas!Z41)="0"),"",
HYPERLINK("["&amp;Archivo_Nombre&amp;"]Datos!"&amp;LEFT(SUBSTITUTE(ADDRESS(1,RIGHT(Formulas!Z41)+2),"$",""))&amp;Formulas!X41+1,
IFERROR(INDEX(Datos!$A$2:$L$101,Formulas!X41,RIGHT(Formulas!Z41)+2),"")))</f>
        <v/>
      </c>
      <c r="Y44" s="107" t="str" cm="1">
        <f t="array" aca="1" ref="Y44" ca="1">IF(OR(Formulas!Z42=0,Formulas!Z42=""),"",HYPERLINK("["&amp;Archivo_Nombre&amp;"]Datos!"&amp;LEFT(SUBSTITUTE(ADDRESS(1,Formulas!Z42+2),"$",""))&amp;Formulas!Y42+1,
IFERROR(INDEX(Datos!$A$2:$L$101,Formulas!Y42,Formulas!Z42+2),"")))</f>
        <v/>
      </c>
      <c r="Z44" s="13"/>
      <c r="AA44" s="6"/>
      <c r="AB44" s="24" t="str" cm="1">
        <f t="array" aca="1" ref="AB44" ca="1">IF(OR(Formulas!AD41=0,Formulas!AD41="",RIGHT(Formulas!AE41)="0"),"",
HYPERLINK("["&amp;Archivo_Nombre&amp;"]Datos!"&amp;LEFT(SUBSTITUTE(ADDRESS(1,IF(Formulas!AD41=1,1,RIGHT(Formulas!AE41)+2)),"$",""))&amp;Formulas!AC41+1,
IFERROR(INDEX(Datos!$A$1:$L$1,1,RIGHT(Formulas!AE41)+2)&amp;IF(Formulas!AD41=1," "&amp;Formulas!AC41,"")&amp;":","")))</f>
        <v/>
      </c>
      <c r="AC44" s="107" t="str" cm="1">
        <f t="array" aca="1" ref="AC44" ca="1">IF(OR(Formulas!AD41=0,Formulas!AD41="",RIGHT(Formulas!AE41)="0"),"",
HYPERLINK("["&amp;Archivo_Nombre&amp;"]Datos!"&amp;LEFT(SUBSTITUTE(ADDRESS(1,RIGHT(Formulas!AE41)+2),"$",""))&amp;Formulas!AC41+1,
IFERROR(INDEX(Datos!$A$2:$L$101,Formulas!AC41,RIGHT(Formulas!AE41)+2),"")))</f>
        <v/>
      </c>
      <c r="AD44" s="107" t="str" cm="1">
        <f t="array" aca="1" ref="AD44" ca="1">IF(OR(Formulas!AE42=0,Formulas!AE42=""),"",HYPERLINK("["&amp;Archivo_Nombre&amp;"]Datos!"&amp;LEFT(SUBSTITUTE(ADDRESS(1,Formulas!AE42+2),"$",""))&amp;Formulas!AD42+1,
IFERROR(INDEX(Datos!$A$2:$L$101,Formulas!AD42,Formulas!AE42+2),"")))</f>
        <v/>
      </c>
      <c r="AE44" s="13"/>
      <c r="AF44" s="6"/>
      <c r="AG44" s="24" t="str" cm="1">
        <f t="array" aca="1" ref="AG44" ca="1">IF(OR(Formulas!AI41=0,Formulas!AI41="",RIGHT(Formulas!AJ41)="0"),"",
HYPERLINK("["&amp;Archivo_Nombre&amp;"]Datos!"&amp;LEFT(SUBSTITUTE(ADDRESS(1,IF(Formulas!AI41=1,1,RIGHT(Formulas!AJ41)+2)),"$",""))&amp;Formulas!AH41+1,
IFERROR(INDEX(Datos!$A$1:$L$1,1,RIGHT(Formulas!AJ41)+2)&amp;IF(Formulas!AI41=1," "&amp;Formulas!AH41,"")&amp;":","")))</f>
        <v/>
      </c>
      <c r="AH44" s="107" t="str" cm="1">
        <f t="array" aca="1" ref="AH44" ca="1">IF(OR(Formulas!AI41=0,Formulas!AI41="",RIGHT(Formulas!AJ41)="0"),"",
HYPERLINK("["&amp;Archivo_Nombre&amp;"]Datos!"&amp;LEFT(SUBSTITUTE(ADDRESS(1,RIGHT(Formulas!AJ41)+2),"$",""))&amp;Formulas!AH41+1,
IFERROR(INDEX(Datos!$A$2:$L$101,Formulas!AH41,RIGHT(Formulas!AJ41)+2),"")))</f>
        <v/>
      </c>
      <c r="AI44" s="107" t="str" cm="1">
        <f t="array" aca="1" ref="AI44" ca="1">IF(OR(Formulas!AJ42=0,Formulas!AJ42=""),"",HYPERLINK("["&amp;Archivo_Nombre&amp;"]Datos!"&amp;LEFT(SUBSTITUTE(ADDRESS(1,Formulas!AJ42+2),"$",""))&amp;Formulas!AI42+1,
IFERROR(INDEX(Datos!$A$2:$L$101,Formulas!AI42,Formulas!AJ42+2),"")))</f>
        <v/>
      </c>
      <c r="AJ44" s="13"/>
      <c r="AK44" s="6"/>
      <c r="AL44" s="24" t="str" cm="1">
        <f t="array" aca="1" ref="AL44" ca="1">IF(OR(Formulas!AN41=0,Formulas!AN41="",RIGHT(Formulas!AO41)="0"),"",
HYPERLINK("["&amp;Archivo_Nombre&amp;"]Datos!"&amp;LEFT(SUBSTITUTE(ADDRESS(1,IF(Formulas!AN41=1,1,RIGHT(Formulas!AO41)+2)),"$",""))&amp;Formulas!AM41+1,
IFERROR(INDEX(Datos!$A$1:$L$1,1,RIGHT(Formulas!AO41)+2)&amp;IF(Formulas!AN41=1," "&amp;Formulas!AM41,"")&amp;":","")))</f>
        <v/>
      </c>
      <c r="AM44" s="107" t="str" cm="1">
        <f t="array" aca="1" ref="AM44" ca="1">IF(OR(Formulas!AN41=0,Formulas!AN41="",RIGHT(Formulas!AO41)="0"),"",
HYPERLINK("["&amp;Archivo_Nombre&amp;"]Datos!"&amp;LEFT(SUBSTITUTE(ADDRESS(1,RIGHT(Formulas!AO41)+2),"$",""))&amp;Formulas!AM41+1,
IFERROR(INDEX(Datos!$A$2:$L$101,Formulas!AM41,RIGHT(Formulas!AO41)+2),"")))</f>
        <v/>
      </c>
      <c r="AN44" s="107" t="str" cm="1">
        <f t="array" aca="1" ref="AN44" ca="1">IF(OR(Formulas!AO42=0,Formulas!AO42=""),"",HYPERLINK("["&amp;Archivo_Nombre&amp;"]Datos!"&amp;LEFT(SUBSTITUTE(ADDRESS(1,Formulas!AO42+2),"$",""))&amp;Formulas!AN42+1,
IFERROR(INDEX(Datos!$A$2:$L$101,Formulas!AN42,Formulas!AO42+2),"")))</f>
        <v/>
      </c>
      <c r="AO44" s="13"/>
      <c r="AP44" s="6"/>
      <c r="AQ44" s="24" t="str" cm="1">
        <f t="array" aca="1" ref="AQ44" ca="1">IF(OR(Formulas!AS41=0,Formulas!AS41="",RIGHT(Formulas!AT41)="0"),"",
HYPERLINK("["&amp;Archivo_Nombre&amp;"]Datos!"&amp;LEFT(SUBSTITUTE(ADDRESS(1,IF(Formulas!AS41=1,1,RIGHT(Formulas!AT41)+2)),"$",""))&amp;Formulas!AR41+1,
IFERROR(INDEX(Datos!$A$1:$L$1,1,RIGHT(Formulas!AT41)+2)&amp;IF(Formulas!AS41=1," "&amp;Formulas!AR41,"")&amp;":","")))</f>
        <v/>
      </c>
      <c r="AR44" s="107" t="str" cm="1">
        <f t="array" aca="1" ref="AR44" ca="1">IF(OR(Formulas!AS41=0,Formulas!AS41="",RIGHT(Formulas!AT41)="0"),"",
HYPERLINK("["&amp;Archivo_Nombre&amp;"]Datos!"&amp;LEFT(SUBSTITUTE(ADDRESS(1,RIGHT(Formulas!AT41)+2),"$",""))&amp;Formulas!AR41+1,
IFERROR(INDEX(Datos!$A$2:$L$101,Formulas!AR41,RIGHT(Formulas!AT41)+2),"")))</f>
        <v/>
      </c>
      <c r="AS44" s="107" t="str" cm="1">
        <f t="array" aca="1" ref="AS44" ca="1">IF(OR(Formulas!AT42=0,Formulas!AT42=""),"",HYPERLINK("["&amp;Archivo_Nombre&amp;"]Datos!"&amp;LEFT(SUBSTITUTE(ADDRESS(1,Formulas!AT42+2),"$",""))&amp;Formulas!AS42+1,
IFERROR(INDEX(Datos!$A$2:$L$101,Formulas!AS42,Formulas!AT42+2),"")))</f>
        <v/>
      </c>
      <c r="AT44" s="13"/>
      <c r="AU44" s="6"/>
      <c r="AV44" s="24" t="str" cm="1">
        <f t="array" aca="1" ref="AV44" ca="1">IF(OR(Formulas!AX41=0,Formulas!AX41="",RIGHT(Formulas!AY41)="0"),"",
HYPERLINK("["&amp;Archivo_Nombre&amp;"]Datos!"&amp;LEFT(SUBSTITUTE(ADDRESS(1,IF(Formulas!AX41=1,1,RIGHT(Formulas!AY41)+2)),"$",""))&amp;Formulas!AW41+1,
IFERROR(INDEX(Datos!$A$1:$L$1,1,RIGHT(Formulas!AY41)+2)&amp;IF(Formulas!AX41=1," "&amp;Formulas!AW41,"")&amp;":","")))</f>
        <v/>
      </c>
      <c r="AW44" s="107" t="str" cm="1">
        <f t="array" aca="1" ref="AW44" ca="1">IF(OR(Formulas!AX41=0,Formulas!AX41="",RIGHT(Formulas!AY41)="0"),"",
HYPERLINK("["&amp;Archivo_Nombre&amp;"]Datos!"&amp;LEFT(SUBSTITUTE(ADDRESS(1,RIGHT(Formulas!AY41)+2),"$",""))&amp;Formulas!AW41+1,
IFERROR(INDEX(Datos!$A$2:$L$101,Formulas!AW41,RIGHT(Formulas!AY41)+2),"")))</f>
        <v/>
      </c>
      <c r="AX44" s="107" t="str" cm="1">
        <f t="array" aca="1" ref="AX44" ca="1">IF(OR(Formulas!AY42=0,Formulas!AY42=""),"",HYPERLINK("["&amp;Archivo_Nombre&amp;"]Datos!"&amp;LEFT(SUBSTITUTE(ADDRESS(1,Formulas!AY42+2),"$",""))&amp;Formulas!AX42+1,
IFERROR(INDEX(Datos!$A$2:$L$101,Formulas!AX42,Formulas!AY42+2),"")))</f>
        <v/>
      </c>
      <c r="AY44" s="13"/>
    </row>
    <row r="45" spans="2:51" x14ac:dyDescent="0.25">
      <c r="B45" s="11"/>
      <c r="C45" s="24" t="str" cm="1">
        <f t="array" aca="1" ref="C45" ca="1">IF(OR(Formulas!E42=0,Formulas!E42="",RIGHT(Formulas!F42)="0"),"",
HYPERLINK("["&amp;Archivo_Nombre&amp;"]Datos!"&amp;LEFT(SUBSTITUTE(ADDRESS(1,IF(Formulas!E42=1,1,RIGHT(Formulas!F42)+2)),"$",""))&amp;Formulas!D42+1,
IFERROR(INDEX(Datos!$A$1:$L$1,1,RIGHT(Formulas!F42)+2)&amp;IF(Formulas!E42=1," "&amp;Formulas!D42,"")&amp;":","")))</f>
        <v/>
      </c>
      <c r="D45" s="107" t="str" cm="1">
        <f t="array" aca="1" ref="D45" ca="1">IF(OR(Formulas!E42=0,Formulas!E42="",RIGHT(Formulas!F42)="0"),"",
HYPERLINK("["&amp;Archivo_Nombre&amp;"]Datos!"&amp;LEFT(SUBSTITUTE(ADDRESS(1,RIGHT(Formulas!F42)+2),"$",""))&amp;Formulas!D42+1,
IFERROR(INDEX(Datos!$A$2:$L$101,Formulas!D42,RIGHT(Formulas!F42)+2),"")))</f>
        <v/>
      </c>
      <c r="E45" s="107" t="str" cm="1">
        <f t="array" aca="1" ref="E45" ca="1">IF(OR(Formulas!F43=0,Formulas!F43=""),"",HYPERLINK("["&amp;Archivo_Nombre&amp;"]Datos!"&amp;LEFT(SUBSTITUTE(ADDRESS(1,Formulas!F43+2),"$",""))&amp;Formulas!E43+1,
IFERROR(INDEX(Datos!$A$2:$L$101,Formulas!E43,Formulas!F43+2),"")))</f>
        <v/>
      </c>
      <c r="F45" s="5"/>
      <c r="G45" s="6"/>
      <c r="H45" s="24" t="str" cm="1">
        <f t="array" aca="1" ref="H45" ca="1">IF(OR(Formulas!J42=0,Formulas!J42="",RIGHT(Formulas!K42)="0"),"",
HYPERLINK("["&amp;Archivo_Nombre&amp;"]Datos!"&amp;LEFT(SUBSTITUTE(ADDRESS(1,IF(Formulas!J42=1,1,RIGHT(Formulas!K42)+2)),"$",""))&amp;Formulas!I42+1,
IFERROR(INDEX(Datos!$A$1:$L$1,1,RIGHT(Formulas!K42)+2)&amp;IF(Formulas!J42=1," "&amp;Formulas!I42,"")&amp;":","")))</f>
        <v/>
      </c>
      <c r="I45" s="107" t="str" cm="1">
        <f t="array" aca="1" ref="I45" ca="1">IF(OR(Formulas!J42=0,Formulas!J42="",RIGHT(Formulas!K42)="0"),"",
HYPERLINK("["&amp;Archivo_Nombre&amp;"]Datos!"&amp;LEFT(SUBSTITUTE(ADDRESS(1,RIGHT(Formulas!K42)+2),"$",""))&amp;Formulas!I42+1,
IFERROR(INDEX(Datos!$A$2:$L$101,Formulas!I42,RIGHT(Formulas!K42)+2),"")))</f>
        <v/>
      </c>
      <c r="J45" s="107" t="e" cm="1">
        <f t="array" aca="1" ref="J45" ca="1">IF(OR(Formulas!K43=0,Formulas!K43=""),"",HYPERLINK("["&amp;Archivo_Nombre&amp;"]Datos!"&amp;LEFT(SUBSTITUTE(ADDRESS(1,Formulas!K43+2),"$",""))&amp;Formulas!J43+1,
IFERROR(INDEX(Datos!$A$2:$L$101,Formulas!J43,Formulas!K43+2),"")))</f>
        <v>#VALUE!</v>
      </c>
      <c r="K45" s="5"/>
      <c r="L45" s="6"/>
      <c r="M45" s="24" t="str" cm="1">
        <f t="array" aca="1" ref="M45" ca="1">IF(OR(Formulas!O42=0,Formulas!O42="",RIGHT(Formulas!P42)="0"),"",
HYPERLINK("["&amp;Archivo_Nombre&amp;"]Datos!"&amp;LEFT(SUBSTITUTE(ADDRESS(1,IF(Formulas!O42=1,1,RIGHT(Formulas!P42)+2)),"$",""))&amp;Formulas!N42+1,
IFERROR(INDEX(Datos!$A$1:$L$1,1,RIGHT(Formulas!P42)+2)&amp;IF(Formulas!O42=1," "&amp;Formulas!N42,"")&amp;":","")))</f>
        <v/>
      </c>
      <c r="N45" s="107" t="str" cm="1">
        <f t="array" aca="1" ref="N45" ca="1">IF(OR(Formulas!O42=0,Formulas!O42="",RIGHT(Formulas!P42)="0"),"",
HYPERLINK("["&amp;Archivo_Nombre&amp;"]Datos!"&amp;LEFT(SUBSTITUTE(ADDRESS(1,RIGHT(Formulas!P42)+2),"$",""))&amp;Formulas!N42+1,
IFERROR(INDEX(Datos!$A$2:$L$101,Formulas!N42,RIGHT(Formulas!P42)+2),"")))</f>
        <v/>
      </c>
      <c r="O45" s="107" t="str" cm="1">
        <f t="array" aca="1" ref="O45" ca="1">IF(OR(Formulas!P43=0,Formulas!P43=""),"",HYPERLINK("["&amp;Archivo_Nombre&amp;"]Datos!"&amp;LEFT(SUBSTITUTE(ADDRESS(1,Formulas!P43+2),"$",""))&amp;Formulas!O43+1,
IFERROR(INDEX(Datos!$A$2:$L$101,Formulas!O43,Formulas!P43+2),"")))</f>
        <v/>
      </c>
      <c r="P45" s="5"/>
      <c r="Q45" s="6"/>
      <c r="R45" s="24" t="str" cm="1">
        <f t="array" aca="1" ref="R45" ca="1">IF(OR(Formulas!T42=0,Formulas!T42="",RIGHT(Formulas!U42)="0"),"",
HYPERLINK("["&amp;Archivo_Nombre&amp;"]Datos!"&amp;LEFT(SUBSTITUTE(ADDRESS(1,IF(Formulas!T42=1,1,RIGHT(Formulas!U42)+2)),"$",""))&amp;Formulas!S42+1,
IFERROR(INDEX(Datos!$A$1:$L$1,1,RIGHT(Formulas!U42)+2)&amp;IF(Formulas!T42=1," "&amp;Formulas!S42,"")&amp;":","")))</f>
        <v/>
      </c>
      <c r="S45" s="107" t="str" cm="1">
        <f t="array" aca="1" ref="S45" ca="1">IF(OR(Formulas!T42=0,Formulas!T42="",RIGHT(Formulas!U42)="0"),"",
HYPERLINK("["&amp;Archivo_Nombre&amp;"]Datos!"&amp;LEFT(SUBSTITUTE(ADDRESS(1,RIGHT(Formulas!U42)+2),"$",""))&amp;Formulas!S42+1,
IFERROR(INDEX(Datos!$A$2:$L$101,Formulas!S42,RIGHT(Formulas!U42)+2),"")))</f>
        <v/>
      </c>
      <c r="T45" s="107" t="e" cm="1">
        <f t="array" aca="1" ref="T45" ca="1">IF(OR(Formulas!U43=0,Formulas!U43=""),"",HYPERLINK("["&amp;Archivo_Nombre&amp;"]Datos!"&amp;LEFT(SUBSTITUTE(ADDRESS(1,Formulas!U43+2),"$",""))&amp;Formulas!T43+1,
IFERROR(INDEX(Datos!$A$2:$L$101,Formulas!T43,Formulas!U43+2),"")))</f>
        <v>#VALUE!</v>
      </c>
      <c r="U45" s="5"/>
      <c r="V45" s="6"/>
      <c r="W45" s="24" t="str" cm="1">
        <f t="array" aca="1" ref="W45" ca="1">IF(OR(Formulas!Y42=0,Formulas!Y42="",RIGHT(Formulas!Z42)="0"),"",
HYPERLINK("["&amp;Archivo_Nombre&amp;"]Datos!"&amp;LEFT(SUBSTITUTE(ADDRESS(1,IF(Formulas!Y42=1,1,RIGHT(Formulas!Z42)+2)),"$",""))&amp;Formulas!X42+1,
IFERROR(INDEX(Datos!$A$1:$L$1,1,RIGHT(Formulas!Z42)+2)&amp;IF(Formulas!Y42=1," "&amp;Formulas!X42,"")&amp;":","")))</f>
        <v/>
      </c>
      <c r="X45" s="107" t="str" cm="1">
        <f t="array" aca="1" ref="X45" ca="1">IF(OR(Formulas!Y42=0,Formulas!Y42="",RIGHT(Formulas!Z42)="0"),"",
HYPERLINK("["&amp;Archivo_Nombre&amp;"]Datos!"&amp;LEFT(SUBSTITUTE(ADDRESS(1,RIGHT(Formulas!Z42)+2),"$",""))&amp;Formulas!X42+1,
IFERROR(INDEX(Datos!$A$2:$L$101,Formulas!X42,RIGHT(Formulas!Z42)+2),"")))</f>
        <v/>
      </c>
      <c r="Y45" s="107" t="str" cm="1">
        <f t="array" aca="1" ref="Y45" ca="1">IF(OR(Formulas!Z43=0,Formulas!Z43=""),"",HYPERLINK("["&amp;Archivo_Nombre&amp;"]Datos!"&amp;LEFT(SUBSTITUTE(ADDRESS(1,Formulas!Z43+2),"$",""))&amp;Formulas!Y43+1,
IFERROR(INDEX(Datos!$A$2:$L$101,Formulas!Y43,Formulas!Z43+2),"")))</f>
        <v/>
      </c>
      <c r="Z45" s="13"/>
      <c r="AA45" s="6"/>
      <c r="AB45" s="24" t="str" cm="1">
        <f t="array" aca="1" ref="AB45" ca="1">IF(OR(Formulas!AD42=0,Formulas!AD42="",RIGHT(Formulas!AE42)="0"),"",
HYPERLINK("["&amp;Archivo_Nombre&amp;"]Datos!"&amp;LEFT(SUBSTITUTE(ADDRESS(1,IF(Formulas!AD42=1,1,RIGHT(Formulas!AE42)+2)),"$",""))&amp;Formulas!AC42+1,
IFERROR(INDEX(Datos!$A$1:$L$1,1,RIGHT(Formulas!AE42)+2)&amp;IF(Formulas!AD42=1," "&amp;Formulas!AC42,"")&amp;":","")))</f>
        <v/>
      </c>
      <c r="AC45" s="107" t="str" cm="1">
        <f t="array" aca="1" ref="AC45" ca="1">IF(OR(Formulas!AD42=0,Formulas!AD42="",RIGHT(Formulas!AE42)="0"),"",
HYPERLINK("["&amp;Archivo_Nombre&amp;"]Datos!"&amp;LEFT(SUBSTITUTE(ADDRESS(1,RIGHT(Formulas!AE42)+2),"$",""))&amp;Formulas!AC42+1,
IFERROR(INDEX(Datos!$A$2:$L$101,Formulas!AC42,RIGHT(Formulas!AE42)+2),"")))</f>
        <v/>
      </c>
      <c r="AD45" s="107" t="str" cm="1">
        <f t="array" aca="1" ref="AD45" ca="1">IF(OR(Formulas!AE43=0,Formulas!AE43=""),"",HYPERLINK("["&amp;Archivo_Nombre&amp;"]Datos!"&amp;LEFT(SUBSTITUTE(ADDRESS(1,Formulas!AE43+2),"$",""))&amp;Formulas!AD43+1,
IFERROR(INDEX(Datos!$A$2:$L$101,Formulas!AD43,Formulas!AE43+2),"")))</f>
        <v/>
      </c>
      <c r="AE45" s="13"/>
      <c r="AF45" s="6"/>
      <c r="AG45" s="24" t="str" cm="1">
        <f t="array" aca="1" ref="AG45" ca="1">IF(OR(Formulas!AI42=0,Formulas!AI42="",RIGHT(Formulas!AJ42)="0"),"",
HYPERLINK("["&amp;Archivo_Nombre&amp;"]Datos!"&amp;LEFT(SUBSTITUTE(ADDRESS(1,IF(Formulas!AI42=1,1,RIGHT(Formulas!AJ42)+2)),"$",""))&amp;Formulas!AH42+1,
IFERROR(INDEX(Datos!$A$1:$L$1,1,RIGHT(Formulas!AJ42)+2)&amp;IF(Formulas!AI42=1," "&amp;Formulas!AH42,"")&amp;":","")))</f>
        <v/>
      </c>
      <c r="AH45" s="107" t="str" cm="1">
        <f t="array" aca="1" ref="AH45" ca="1">IF(OR(Formulas!AI42=0,Formulas!AI42="",RIGHT(Formulas!AJ42)="0"),"",
HYPERLINK("["&amp;Archivo_Nombre&amp;"]Datos!"&amp;LEFT(SUBSTITUTE(ADDRESS(1,RIGHT(Formulas!AJ42)+2),"$",""))&amp;Formulas!AH42+1,
IFERROR(INDEX(Datos!$A$2:$L$101,Formulas!AH42,RIGHT(Formulas!AJ42)+2),"")))</f>
        <v/>
      </c>
      <c r="AI45" s="107" t="str" cm="1">
        <f t="array" aca="1" ref="AI45" ca="1">IF(OR(Formulas!AJ43=0,Formulas!AJ43=""),"",HYPERLINK("["&amp;Archivo_Nombre&amp;"]Datos!"&amp;LEFT(SUBSTITUTE(ADDRESS(1,Formulas!AJ43+2),"$",""))&amp;Formulas!AI43+1,
IFERROR(INDEX(Datos!$A$2:$L$101,Formulas!AI43,Formulas!AJ43+2),"")))</f>
        <v/>
      </c>
      <c r="AJ45" s="13"/>
      <c r="AK45" s="6"/>
      <c r="AL45" s="24" t="str" cm="1">
        <f t="array" aca="1" ref="AL45" ca="1">IF(OR(Formulas!AN42=0,Formulas!AN42="",RIGHT(Formulas!AO42)="0"),"",
HYPERLINK("["&amp;Archivo_Nombre&amp;"]Datos!"&amp;LEFT(SUBSTITUTE(ADDRESS(1,IF(Formulas!AN42=1,1,RIGHT(Formulas!AO42)+2)),"$",""))&amp;Formulas!AM42+1,
IFERROR(INDEX(Datos!$A$1:$L$1,1,RIGHT(Formulas!AO42)+2)&amp;IF(Formulas!AN42=1," "&amp;Formulas!AM42,"")&amp;":","")))</f>
        <v/>
      </c>
      <c r="AM45" s="107" t="str" cm="1">
        <f t="array" aca="1" ref="AM45" ca="1">IF(OR(Formulas!AN42=0,Formulas!AN42="",RIGHT(Formulas!AO42)="0"),"",
HYPERLINK("["&amp;Archivo_Nombre&amp;"]Datos!"&amp;LEFT(SUBSTITUTE(ADDRESS(1,RIGHT(Formulas!AO42)+2),"$",""))&amp;Formulas!AM42+1,
IFERROR(INDEX(Datos!$A$2:$L$101,Formulas!AM42,RIGHT(Formulas!AO42)+2),"")))</f>
        <v/>
      </c>
      <c r="AN45" s="107" t="str" cm="1">
        <f t="array" aca="1" ref="AN45" ca="1">IF(OR(Formulas!AO43=0,Formulas!AO43=""),"",HYPERLINK("["&amp;Archivo_Nombre&amp;"]Datos!"&amp;LEFT(SUBSTITUTE(ADDRESS(1,Formulas!AO43+2),"$",""))&amp;Formulas!AN43+1,
IFERROR(INDEX(Datos!$A$2:$L$101,Formulas!AN43,Formulas!AO43+2),"")))</f>
        <v/>
      </c>
      <c r="AO45" s="13"/>
      <c r="AP45" s="6"/>
      <c r="AQ45" s="24" t="str" cm="1">
        <f t="array" aca="1" ref="AQ45" ca="1">IF(OR(Formulas!AS42=0,Formulas!AS42="",RIGHT(Formulas!AT42)="0"),"",
HYPERLINK("["&amp;Archivo_Nombre&amp;"]Datos!"&amp;LEFT(SUBSTITUTE(ADDRESS(1,IF(Formulas!AS42=1,1,RIGHT(Formulas!AT42)+2)),"$",""))&amp;Formulas!AR42+1,
IFERROR(INDEX(Datos!$A$1:$L$1,1,RIGHT(Formulas!AT42)+2)&amp;IF(Formulas!AS42=1," "&amp;Formulas!AR42,"")&amp;":","")))</f>
        <v/>
      </c>
      <c r="AR45" s="107" t="str" cm="1">
        <f t="array" aca="1" ref="AR45" ca="1">IF(OR(Formulas!AS42=0,Formulas!AS42="",RIGHT(Formulas!AT42)="0"),"",
HYPERLINK("["&amp;Archivo_Nombre&amp;"]Datos!"&amp;LEFT(SUBSTITUTE(ADDRESS(1,RIGHT(Formulas!AT42)+2),"$",""))&amp;Formulas!AR42+1,
IFERROR(INDEX(Datos!$A$2:$L$101,Formulas!AR42,RIGHT(Formulas!AT42)+2),"")))</f>
        <v/>
      </c>
      <c r="AS45" s="107" t="str" cm="1">
        <f t="array" aca="1" ref="AS45" ca="1">IF(OR(Formulas!AT43=0,Formulas!AT43=""),"",HYPERLINK("["&amp;Archivo_Nombre&amp;"]Datos!"&amp;LEFT(SUBSTITUTE(ADDRESS(1,Formulas!AT43+2),"$",""))&amp;Formulas!AS43+1,
IFERROR(INDEX(Datos!$A$2:$L$101,Formulas!AS43,Formulas!AT43+2),"")))</f>
        <v/>
      </c>
      <c r="AT45" s="13"/>
      <c r="AU45" s="6"/>
      <c r="AV45" s="24" t="str" cm="1">
        <f t="array" aca="1" ref="AV45" ca="1">IF(OR(Formulas!AX42=0,Formulas!AX42="",RIGHT(Formulas!AY42)="0"),"",
HYPERLINK("["&amp;Archivo_Nombre&amp;"]Datos!"&amp;LEFT(SUBSTITUTE(ADDRESS(1,IF(Formulas!AX42=1,1,RIGHT(Formulas!AY42)+2)),"$",""))&amp;Formulas!AW42+1,
IFERROR(INDEX(Datos!$A$1:$L$1,1,RIGHT(Formulas!AY42)+2)&amp;IF(Formulas!AX42=1," "&amp;Formulas!AW42,"")&amp;":","")))</f>
        <v/>
      </c>
      <c r="AW45" s="107" t="str" cm="1">
        <f t="array" aca="1" ref="AW45" ca="1">IF(OR(Formulas!AX42=0,Formulas!AX42="",RIGHT(Formulas!AY42)="0"),"",
HYPERLINK("["&amp;Archivo_Nombre&amp;"]Datos!"&amp;LEFT(SUBSTITUTE(ADDRESS(1,RIGHT(Formulas!AY42)+2),"$",""))&amp;Formulas!AW42+1,
IFERROR(INDEX(Datos!$A$2:$L$101,Formulas!AW42,RIGHT(Formulas!AY42)+2),"")))</f>
        <v/>
      </c>
      <c r="AX45" s="107" t="str" cm="1">
        <f t="array" aca="1" ref="AX45" ca="1">IF(OR(Formulas!AY43=0,Formulas!AY43=""),"",HYPERLINK("["&amp;Archivo_Nombre&amp;"]Datos!"&amp;LEFT(SUBSTITUTE(ADDRESS(1,Formulas!AY43+2),"$",""))&amp;Formulas!AX43+1,
IFERROR(INDEX(Datos!$A$2:$L$101,Formulas!AX43,Formulas!AY43+2),"")))</f>
        <v/>
      </c>
      <c r="AY45" s="13"/>
    </row>
    <row r="46" spans="2:51" x14ac:dyDescent="0.25">
      <c r="B46" s="11"/>
      <c r="C46" s="24" t="str" cm="1">
        <f t="array" aca="1" ref="C46" ca="1">IF(OR(Formulas!E43=0,Formulas!E43="",RIGHT(Formulas!F43)="0"),"",
HYPERLINK("["&amp;Archivo_Nombre&amp;"]Datos!"&amp;LEFT(SUBSTITUTE(ADDRESS(1,IF(Formulas!E43=1,1,RIGHT(Formulas!F43)+2)),"$",""))&amp;Formulas!D43+1,
IFERROR(INDEX(Datos!$A$1:$L$1,1,RIGHT(Formulas!F43)+2)&amp;IF(Formulas!E43=1," "&amp;Formulas!D43,"")&amp;":","")))</f>
        <v/>
      </c>
      <c r="D46" s="107" t="str" cm="1">
        <f t="array" aca="1" ref="D46" ca="1">IF(OR(Formulas!E43=0,Formulas!E43="",RIGHT(Formulas!F43)="0"),"",
HYPERLINK("["&amp;Archivo_Nombre&amp;"]Datos!"&amp;LEFT(SUBSTITUTE(ADDRESS(1,RIGHT(Formulas!F43)+2),"$",""))&amp;Formulas!D43+1,
IFERROR(INDEX(Datos!$A$2:$L$101,Formulas!D43,RIGHT(Formulas!F43)+2),"")))</f>
        <v/>
      </c>
      <c r="E46" s="107" t="str" cm="1">
        <f t="array" aca="1" ref="E46" ca="1">IF(OR(Formulas!F44=0,Formulas!F44=""),"",HYPERLINK("["&amp;Archivo_Nombre&amp;"]Datos!"&amp;LEFT(SUBSTITUTE(ADDRESS(1,Formulas!F44+2),"$",""))&amp;Formulas!E44+1,
IFERROR(INDEX(Datos!$A$2:$L$101,Formulas!E44,Formulas!F44+2),"")))</f>
        <v/>
      </c>
      <c r="F46" s="5"/>
      <c r="G46" s="6"/>
      <c r="H46" s="24" t="str" cm="1">
        <f t="array" aca="1" ref="H46" ca="1">IF(OR(Formulas!J43=0,Formulas!J43="",RIGHT(Formulas!K43)="0"),"",
HYPERLINK("["&amp;Archivo_Nombre&amp;"]Datos!"&amp;LEFT(SUBSTITUTE(ADDRESS(1,IF(Formulas!J43=1,1,RIGHT(Formulas!K43)+2)),"$",""))&amp;Formulas!I43+1,
IFERROR(INDEX(Datos!$A$1:$L$1,1,RIGHT(Formulas!K43)+2)&amp;IF(Formulas!J43=1," "&amp;Formulas!I43,"")&amp;":","")))</f>
        <v>ORDEN PCRONOLOGICO 10:</v>
      </c>
      <c r="I46" s="107" cm="1">
        <f t="array" aca="1" ref="I46" ca="1">IF(OR(Formulas!J43=0,Formulas!J43="",RIGHT(Formulas!K43)="0"),"",
HYPERLINK("["&amp;Archivo_Nombre&amp;"]Datos!"&amp;LEFT(SUBSTITUTE(ADDRESS(1,RIGHT(Formulas!K43)+2),"$",""))&amp;Formulas!I43+1,
IFERROR(INDEX(Datos!$A$2:$L$101,Formulas!I43,RIGHT(Formulas!K43)+2),"")))</f>
        <v>10</v>
      </c>
      <c r="J46" s="107" t="e" cm="1">
        <f t="array" aca="1" ref="J46" ca="1">IF(OR(Formulas!K44=0,Formulas!K44=""),"",HYPERLINK("["&amp;Archivo_Nombre&amp;"]Datos!"&amp;LEFT(SUBSTITUTE(ADDRESS(1,Formulas!K44+2),"$",""))&amp;Formulas!J44+1,
IFERROR(INDEX(Datos!$A$2:$L$101,Formulas!J44,Formulas!K44+2),"")))</f>
        <v>#VALUE!</v>
      </c>
      <c r="K46" s="5"/>
      <c r="L46" s="6"/>
      <c r="M46" s="24" t="str" cm="1">
        <f t="array" aca="1" ref="M46" ca="1">IF(OR(Formulas!O43=0,Formulas!O43="",RIGHT(Formulas!P43)="0"),"",
HYPERLINK("["&amp;Archivo_Nombre&amp;"]Datos!"&amp;LEFT(SUBSTITUTE(ADDRESS(1,IF(Formulas!O43=1,1,RIGHT(Formulas!P43)+2)),"$",""))&amp;Formulas!N43+1,
IFERROR(INDEX(Datos!$A$1:$L$1,1,RIGHT(Formulas!P43)+2)&amp;IF(Formulas!O43=1," "&amp;Formulas!N43,"")&amp;":","")))</f>
        <v/>
      </c>
      <c r="N46" s="107" t="str" cm="1">
        <f t="array" aca="1" ref="N46" ca="1">IF(OR(Formulas!O43=0,Formulas!O43="",RIGHT(Formulas!P43)="0"),"",
HYPERLINK("["&amp;Archivo_Nombre&amp;"]Datos!"&amp;LEFT(SUBSTITUTE(ADDRESS(1,RIGHT(Formulas!P43)+2),"$",""))&amp;Formulas!N43+1,
IFERROR(INDEX(Datos!$A$2:$L$101,Formulas!N43,RIGHT(Formulas!P43)+2),"")))</f>
        <v/>
      </c>
      <c r="O46" s="107" t="str" cm="1">
        <f t="array" aca="1" ref="O46" ca="1">IF(OR(Formulas!P44=0,Formulas!P44=""),"",HYPERLINK("["&amp;Archivo_Nombre&amp;"]Datos!"&amp;LEFT(SUBSTITUTE(ADDRESS(1,Formulas!P44+2),"$",""))&amp;Formulas!O44+1,
IFERROR(INDEX(Datos!$A$2:$L$101,Formulas!O44,Formulas!P44+2),"")))</f>
        <v/>
      </c>
      <c r="P46" s="5"/>
      <c r="Q46" s="6"/>
      <c r="R46" s="24" t="str" cm="1">
        <f t="array" aca="1" ref="R46" ca="1">IF(OR(Formulas!T43=0,Formulas!T43="",RIGHT(Formulas!U43)="0"),"",
HYPERLINK("["&amp;Archivo_Nombre&amp;"]Datos!"&amp;LEFT(SUBSTITUTE(ADDRESS(1,IF(Formulas!T43=1,1,RIGHT(Formulas!U43)+2)),"$",""))&amp;Formulas!S43+1,
IFERROR(INDEX(Datos!$A$1:$L$1,1,RIGHT(Formulas!U43)+2)&amp;IF(Formulas!T43=1," "&amp;Formulas!S43,"")&amp;":","")))</f>
        <v>ORDEN PCRONOLOGICO 25:</v>
      </c>
      <c r="S46" s="107" cm="1">
        <f t="array" aca="1" ref="S46" ca="1">IF(OR(Formulas!T43=0,Formulas!T43="",RIGHT(Formulas!U43)="0"),"",
HYPERLINK("["&amp;Archivo_Nombre&amp;"]Datos!"&amp;LEFT(SUBSTITUTE(ADDRESS(1,RIGHT(Formulas!U43)+2),"$",""))&amp;Formulas!S43+1,
IFERROR(INDEX(Datos!$A$2:$L$101,Formulas!S43,RIGHT(Formulas!U43)+2),"")))</f>
        <v>25</v>
      </c>
      <c r="T46" s="107" t="e" cm="1">
        <f t="array" aca="1" ref="T46" ca="1">IF(OR(Formulas!U44=0,Formulas!U44=""),"",HYPERLINK("["&amp;Archivo_Nombre&amp;"]Datos!"&amp;LEFT(SUBSTITUTE(ADDRESS(1,Formulas!U44+2),"$",""))&amp;Formulas!T44+1,
IFERROR(INDEX(Datos!$A$2:$L$101,Formulas!T44,Formulas!U44+2),"")))</f>
        <v>#VALUE!</v>
      </c>
      <c r="U46" s="5"/>
      <c r="V46" s="6"/>
      <c r="W46" s="24" t="str" cm="1">
        <f t="array" aca="1" ref="W46" ca="1">IF(OR(Formulas!Y43=0,Formulas!Y43="",RIGHT(Formulas!Z43)="0"),"",
HYPERLINK("["&amp;Archivo_Nombre&amp;"]Datos!"&amp;LEFT(SUBSTITUTE(ADDRESS(1,IF(Formulas!Y43=1,1,RIGHT(Formulas!Z43)+2)),"$",""))&amp;Formulas!X43+1,
IFERROR(INDEX(Datos!$A$1:$L$1,1,RIGHT(Formulas!Z43)+2)&amp;IF(Formulas!Y43=1," "&amp;Formulas!X43,"")&amp;":","")))</f>
        <v/>
      </c>
      <c r="X46" s="107" t="str" cm="1">
        <f t="array" aca="1" ref="X46" ca="1">IF(OR(Formulas!Y43=0,Formulas!Y43="",RIGHT(Formulas!Z43)="0"),"",
HYPERLINK("["&amp;Archivo_Nombre&amp;"]Datos!"&amp;LEFT(SUBSTITUTE(ADDRESS(1,RIGHT(Formulas!Z43)+2),"$",""))&amp;Formulas!X43+1,
IFERROR(INDEX(Datos!$A$2:$L$101,Formulas!X43,RIGHT(Formulas!Z43)+2),"")))</f>
        <v/>
      </c>
      <c r="Y46" s="107" t="str" cm="1">
        <f t="array" aca="1" ref="Y46" ca="1">IF(OR(Formulas!Z44=0,Formulas!Z44=""),"",HYPERLINK("["&amp;Archivo_Nombre&amp;"]Datos!"&amp;LEFT(SUBSTITUTE(ADDRESS(1,Formulas!Z44+2),"$",""))&amp;Formulas!Y44+1,
IFERROR(INDEX(Datos!$A$2:$L$101,Formulas!Y44,Formulas!Z44+2),"")))</f>
        <v/>
      </c>
      <c r="Z46" s="13"/>
      <c r="AA46" s="6"/>
      <c r="AB46" s="24" t="str" cm="1">
        <f t="array" aca="1" ref="AB46" ca="1">IF(OR(Formulas!AD43=0,Formulas!AD43="",RIGHT(Formulas!AE43)="0"),"",
HYPERLINK("["&amp;Archivo_Nombre&amp;"]Datos!"&amp;LEFT(SUBSTITUTE(ADDRESS(1,IF(Formulas!AD43=1,1,RIGHT(Formulas!AE43)+2)),"$",""))&amp;Formulas!AC43+1,
IFERROR(INDEX(Datos!$A$1:$L$1,1,RIGHT(Formulas!AE43)+2)&amp;IF(Formulas!AD43=1," "&amp;Formulas!AC43,"")&amp;":","")))</f>
        <v/>
      </c>
      <c r="AC46" s="107" t="str" cm="1">
        <f t="array" aca="1" ref="AC46" ca="1">IF(OR(Formulas!AD43=0,Formulas!AD43="",RIGHT(Formulas!AE43)="0"),"",
HYPERLINK("["&amp;Archivo_Nombre&amp;"]Datos!"&amp;LEFT(SUBSTITUTE(ADDRESS(1,RIGHT(Formulas!AE43)+2),"$",""))&amp;Formulas!AC43+1,
IFERROR(INDEX(Datos!$A$2:$L$101,Formulas!AC43,RIGHT(Formulas!AE43)+2),"")))</f>
        <v/>
      </c>
      <c r="AD46" s="107" t="str" cm="1">
        <f t="array" aca="1" ref="AD46" ca="1">IF(OR(Formulas!AE44=0,Formulas!AE44=""),"",HYPERLINK("["&amp;Archivo_Nombre&amp;"]Datos!"&amp;LEFT(SUBSTITUTE(ADDRESS(1,Formulas!AE44+2),"$",""))&amp;Formulas!AD44+1,
IFERROR(INDEX(Datos!$A$2:$L$101,Formulas!AD44,Formulas!AE44+2),"")))</f>
        <v/>
      </c>
      <c r="AE46" s="13"/>
      <c r="AF46" s="6"/>
      <c r="AG46" s="24" t="str" cm="1">
        <f t="array" aca="1" ref="AG46" ca="1">IF(OR(Formulas!AI43=0,Formulas!AI43="",RIGHT(Formulas!AJ43)="0"),"",
HYPERLINK("["&amp;Archivo_Nombre&amp;"]Datos!"&amp;LEFT(SUBSTITUTE(ADDRESS(1,IF(Formulas!AI43=1,1,RIGHT(Formulas!AJ43)+2)),"$",""))&amp;Formulas!AH43+1,
IFERROR(INDEX(Datos!$A$1:$L$1,1,RIGHT(Formulas!AJ43)+2)&amp;IF(Formulas!AI43=1," "&amp;Formulas!AH43,"")&amp;":","")))</f>
        <v/>
      </c>
      <c r="AH46" s="107" t="str" cm="1">
        <f t="array" aca="1" ref="AH46" ca="1">IF(OR(Formulas!AI43=0,Formulas!AI43="",RIGHT(Formulas!AJ43)="0"),"",
HYPERLINK("["&amp;Archivo_Nombre&amp;"]Datos!"&amp;LEFT(SUBSTITUTE(ADDRESS(1,RIGHT(Formulas!AJ43)+2),"$",""))&amp;Formulas!AH43+1,
IFERROR(INDEX(Datos!$A$2:$L$101,Formulas!AH43,RIGHT(Formulas!AJ43)+2),"")))</f>
        <v/>
      </c>
      <c r="AI46" s="107" t="str" cm="1">
        <f t="array" aca="1" ref="AI46" ca="1">IF(OR(Formulas!AJ44=0,Formulas!AJ44=""),"",HYPERLINK("["&amp;Archivo_Nombre&amp;"]Datos!"&amp;LEFT(SUBSTITUTE(ADDRESS(1,Formulas!AJ44+2),"$",""))&amp;Formulas!AI44+1,
IFERROR(INDEX(Datos!$A$2:$L$101,Formulas!AI44,Formulas!AJ44+2),"")))</f>
        <v/>
      </c>
      <c r="AJ46" s="13"/>
      <c r="AK46" s="6"/>
      <c r="AL46" s="24" t="str" cm="1">
        <f t="array" aca="1" ref="AL46" ca="1">IF(OR(Formulas!AN43=0,Formulas!AN43="",RIGHT(Formulas!AO43)="0"),"",
HYPERLINK("["&amp;Archivo_Nombre&amp;"]Datos!"&amp;LEFT(SUBSTITUTE(ADDRESS(1,IF(Formulas!AN43=1,1,RIGHT(Formulas!AO43)+2)),"$",""))&amp;Formulas!AM43+1,
IFERROR(INDEX(Datos!$A$1:$L$1,1,RIGHT(Formulas!AO43)+2)&amp;IF(Formulas!AN43=1," "&amp;Formulas!AM43,"")&amp;":","")))</f>
        <v/>
      </c>
      <c r="AM46" s="107" t="str" cm="1">
        <f t="array" aca="1" ref="AM46" ca="1">IF(OR(Formulas!AN43=0,Formulas!AN43="",RIGHT(Formulas!AO43)="0"),"",
HYPERLINK("["&amp;Archivo_Nombre&amp;"]Datos!"&amp;LEFT(SUBSTITUTE(ADDRESS(1,RIGHT(Formulas!AO43)+2),"$",""))&amp;Formulas!AM43+1,
IFERROR(INDEX(Datos!$A$2:$L$101,Formulas!AM43,RIGHT(Formulas!AO43)+2),"")))</f>
        <v/>
      </c>
      <c r="AN46" s="107" t="str" cm="1">
        <f t="array" aca="1" ref="AN46" ca="1">IF(OR(Formulas!AO44=0,Formulas!AO44=""),"",HYPERLINK("["&amp;Archivo_Nombre&amp;"]Datos!"&amp;LEFT(SUBSTITUTE(ADDRESS(1,Formulas!AO44+2),"$",""))&amp;Formulas!AN44+1,
IFERROR(INDEX(Datos!$A$2:$L$101,Formulas!AN44,Formulas!AO44+2),"")))</f>
        <v/>
      </c>
      <c r="AO46" s="13"/>
      <c r="AP46" s="6"/>
      <c r="AQ46" s="24" t="str" cm="1">
        <f t="array" aca="1" ref="AQ46" ca="1">IF(OR(Formulas!AS43=0,Formulas!AS43="",RIGHT(Formulas!AT43)="0"),"",
HYPERLINK("["&amp;Archivo_Nombre&amp;"]Datos!"&amp;LEFT(SUBSTITUTE(ADDRESS(1,IF(Formulas!AS43=1,1,RIGHT(Formulas!AT43)+2)),"$",""))&amp;Formulas!AR43+1,
IFERROR(INDEX(Datos!$A$1:$L$1,1,RIGHT(Formulas!AT43)+2)&amp;IF(Formulas!AS43=1," "&amp;Formulas!AR43,"")&amp;":","")))</f>
        <v/>
      </c>
      <c r="AR46" s="107" t="str" cm="1">
        <f t="array" aca="1" ref="AR46" ca="1">IF(OR(Formulas!AS43=0,Formulas!AS43="",RIGHT(Formulas!AT43)="0"),"",
HYPERLINK("["&amp;Archivo_Nombre&amp;"]Datos!"&amp;LEFT(SUBSTITUTE(ADDRESS(1,RIGHT(Formulas!AT43)+2),"$",""))&amp;Formulas!AR43+1,
IFERROR(INDEX(Datos!$A$2:$L$101,Formulas!AR43,RIGHT(Formulas!AT43)+2),"")))</f>
        <v/>
      </c>
      <c r="AS46" s="107" t="str" cm="1">
        <f t="array" aca="1" ref="AS46" ca="1">IF(OR(Formulas!AT44=0,Formulas!AT44=""),"",HYPERLINK("["&amp;Archivo_Nombre&amp;"]Datos!"&amp;LEFT(SUBSTITUTE(ADDRESS(1,Formulas!AT44+2),"$",""))&amp;Formulas!AS44+1,
IFERROR(INDEX(Datos!$A$2:$L$101,Formulas!AS44,Formulas!AT44+2),"")))</f>
        <v/>
      </c>
      <c r="AT46" s="13"/>
      <c r="AU46" s="6"/>
      <c r="AV46" s="24" t="str" cm="1">
        <f t="array" aca="1" ref="AV46" ca="1">IF(OR(Formulas!AX43=0,Formulas!AX43="",RIGHT(Formulas!AY43)="0"),"",
HYPERLINK("["&amp;Archivo_Nombre&amp;"]Datos!"&amp;LEFT(SUBSTITUTE(ADDRESS(1,IF(Formulas!AX43=1,1,RIGHT(Formulas!AY43)+2)),"$",""))&amp;Formulas!AW43+1,
IFERROR(INDEX(Datos!$A$1:$L$1,1,RIGHT(Formulas!AY43)+2)&amp;IF(Formulas!AX43=1," "&amp;Formulas!AW43,"")&amp;":","")))</f>
        <v/>
      </c>
      <c r="AW46" s="107" t="str" cm="1">
        <f t="array" aca="1" ref="AW46" ca="1">IF(OR(Formulas!AX43=0,Formulas!AX43="",RIGHT(Formulas!AY43)="0"),"",
HYPERLINK("["&amp;Archivo_Nombre&amp;"]Datos!"&amp;LEFT(SUBSTITUTE(ADDRESS(1,RIGHT(Formulas!AY43)+2),"$",""))&amp;Formulas!AW43+1,
IFERROR(INDEX(Datos!$A$2:$L$101,Formulas!AW43,RIGHT(Formulas!AY43)+2),"")))</f>
        <v/>
      </c>
      <c r="AX46" s="107" t="str" cm="1">
        <f t="array" aca="1" ref="AX46" ca="1">IF(OR(Formulas!AY44=0,Formulas!AY44=""),"",HYPERLINK("["&amp;Archivo_Nombre&amp;"]Datos!"&amp;LEFT(SUBSTITUTE(ADDRESS(1,Formulas!AY44+2),"$",""))&amp;Formulas!AX44+1,
IFERROR(INDEX(Datos!$A$2:$L$101,Formulas!AX44,Formulas!AY44+2),"")))</f>
        <v/>
      </c>
      <c r="AY46" s="13"/>
    </row>
    <row r="47" spans="2:51" x14ac:dyDescent="0.25">
      <c r="B47" s="11"/>
      <c r="C47" s="24" t="str" cm="1">
        <f t="array" aca="1" ref="C47" ca="1">IF(OR(Formulas!E44=0,Formulas!E44="",RIGHT(Formulas!F44)="0"),"",
HYPERLINK("["&amp;Archivo_Nombre&amp;"]Datos!"&amp;LEFT(SUBSTITUTE(ADDRESS(1,IF(Formulas!E44=1,1,RIGHT(Formulas!F44)+2)),"$",""))&amp;Formulas!D44+1,
IFERROR(INDEX(Datos!$A$1:$L$1,1,RIGHT(Formulas!F44)+2)&amp;IF(Formulas!E44=1," "&amp;Formulas!D44,"")&amp;":","")))</f>
        <v/>
      </c>
      <c r="D47" s="107" t="str" cm="1">
        <f t="array" aca="1" ref="D47" ca="1">IF(OR(Formulas!E44=0,Formulas!E44="",RIGHT(Formulas!F44)="0"),"",
HYPERLINK("["&amp;Archivo_Nombre&amp;"]Datos!"&amp;LEFT(SUBSTITUTE(ADDRESS(1,RIGHT(Formulas!F44)+2),"$",""))&amp;Formulas!D44+1,
IFERROR(INDEX(Datos!$A$2:$L$101,Formulas!D44,RIGHT(Formulas!F44)+2),"")))</f>
        <v/>
      </c>
      <c r="E47" s="107" t="str" cm="1">
        <f t="array" aca="1" ref="E47" ca="1">IF(OR(Formulas!F45=0,Formulas!F45=""),"",HYPERLINK("["&amp;Archivo_Nombre&amp;"]Datos!"&amp;LEFT(SUBSTITUTE(ADDRESS(1,Formulas!F45+2),"$",""))&amp;Formulas!E45+1,
IFERROR(INDEX(Datos!$A$2:$L$101,Formulas!E45,Formulas!F45+2),"")))</f>
        <v/>
      </c>
      <c r="F47" s="5"/>
      <c r="G47" s="6"/>
      <c r="H47" s="24" t="str" cm="1">
        <f t="array" aca="1" ref="H47" ca="1">IF(OR(Formulas!J44=0,Formulas!J44="",RIGHT(Formulas!K44)="0"),"",
HYPERLINK("["&amp;Archivo_Nombre&amp;"]Datos!"&amp;LEFT(SUBSTITUTE(ADDRESS(1,IF(Formulas!J44=1,1,RIGHT(Formulas!K44)+2)),"$",""))&amp;Formulas!I44+1,
IFERROR(INDEX(Datos!$A$1:$L$1,1,RIGHT(Formulas!K44)+2)&amp;IF(Formulas!J44=1," "&amp;Formulas!I44,"")&amp;":","")))</f>
        <v>Tarea:</v>
      </c>
      <c r="I47" s="107" t="str" cm="1">
        <f t="array" aca="1" ref="I47" ca="1">IF(OR(Formulas!J44=0,Formulas!J44="",RIGHT(Formulas!K44)="0"),"",
HYPERLINK("["&amp;Archivo_Nombre&amp;"]Datos!"&amp;LEFT(SUBSTITUTE(ADDRESS(1,RIGHT(Formulas!K44)+2),"$",""))&amp;Formulas!I44+1,
IFERROR(INDEX(Datos!$A$2:$L$101,Formulas!I44,RIGHT(Formulas!K44)+2),"")))</f>
        <v xml:space="preserve"> Creación del Cronograma Marco de trabajo ágil</v>
      </c>
      <c r="J47" s="107" t="e" cm="1">
        <f t="array" aca="1" ref="J47" ca="1">IF(OR(Formulas!K45=0,Formulas!K45=""),"",HYPERLINK("["&amp;Archivo_Nombre&amp;"]Datos!"&amp;LEFT(SUBSTITUTE(ADDRESS(1,Formulas!K45+2),"$",""))&amp;Formulas!J45+1,
IFERROR(INDEX(Datos!$A$2:$L$101,Formulas!J45,Formulas!K45+2),"")))</f>
        <v>#VALUE!</v>
      </c>
      <c r="K47" s="5"/>
      <c r="L47" s="6"/>
      <c r="M47" s="24" t="str" cm="1">
        <f t="array" aca="1" ref="M47" ca="1">IF(OR(Formulas!O44=0,Formulas!O44="",RIGHT(Formulas!P44)="0"),"",
HYPERLINK("["&amp;Archivo_Nombre&amp;"]Datos!"&amp;LEFT(SUBSTITUTE(ADDRESS(1,IF(Formulas!O44=1,1,RIGHT(Formulas!P44)+2)),"$",""))&amp;Formulas!N44+1,
IFERROR(INDEX(Datos!$A$1:$L$1,1,RIGHT(Formulas!P44)+2)&amp;IF(Formulas!O44=1," "&amp;Formulas!N44,"")&amp;":","")))</f>
        <v/>
      </c>
      <c r="N47" s="107" t="str" cm="1">
        <f t="array" aca="1" ref="N47" ca="1">IF(OR(Formulas!O44=0,Formulas!O44="",RIGHT(Formulas!P44)="0"),"",
HYPERLINK("["&amp;Archivo_Nombre&amp;"]Datos!"&amp;LEFT(SUBSTITUTE(ADDRESS(1,RIGHT(Formulas!P44)+2),"$",""))&amp;Formulas!N44+1,
IFERROR(INDEX(Datos!$A$2:$L$101,Formulas!N44,RIGHT(Formulas!P44)+2),"")))</f>
        <v/>
      </c>
      <c r="O47" s="107" t="str" cm="1">
        <f t="array" aca="1" ref="O47" ca="1">IF(OR(Formulas!P45=0,Formulas!P45=""),"",HYPERLINK("["&amp;Archivo_Nombre&amp;"]Datos!"&amp;LEFT(SUBSTITUTE(ADDRESS(1,Formulas!P45+2),"$",""))&amp;Formulas!O45+1,
IFERROR(INDEX(Datos!$A$2:$L$101,Formulas!O45,Formulas!P45+2),"")))</f>
        <v/>
      </c>
      <c r="P47" s="5"/>
      <c r="Q47" s="6"/>
      <c r="R47" s="24" t="str" cm="1">
        <f t="array" aca="1" ref="R47" ca="1">IF(OR(Formulas!T44=0,Formulas!T44="",RIGHT(Formulas!U44)="0"),"",
HYPERLINK("["&amp;Archivo_Nombre&amp;"]Datos!"&amp;LEFT(SUBSTITUTE(ADDRESS(1,IF(Formulas!T44=1,1,RIGHT(Formulas!U44)+2)),"$",""))&amp;Formulas!S44+1,
IFERROR(INDEX(Datos!$A$1:$L$1,1,RIGHT(Formulas!U44)+2)&amp;IF(Formulas!T44=1," "&amp;Formulas!S44,"")&amp;":","")))</f>
        <v>Tarea:</v>
      </c>
      <c r="S47" s="107" t="str" cm="1">
        <f t="array" aca="1" ref="S47" ca="1">IF(OR(Formulas!T44=0,Formulas!T44="",RIGHT(Formulas!U44)="0"),"",
HYPERLINK("["&amp;Archivo_Nombre&amp;"]Datos!"&amp;LEFT(SUBSTITUTE(ADDRESS(1,RIGHT(Formulas!U44)+2),"$",""))&amp;Formulas!S44+1,
IFERROR(INDEX(Datos!$A$2:$L$101,Formulas!S44,RIGHT(Formulas!U44)+2),"")))</f>
        <v>REQ004 Cambio de IDE</v>
      </c>
      <c r="T47" s="107" t="e" cm="1">
        <f t="array" aca="1" ref="T47" ca="1">IF(OR(Formulas!U45=0,Formulas!U45=""),"",HYPERLINK("["&amp;Archivo_Nombre&amp;"]Datos!"&amp;LEFT(SUBSTITUTE(ADDRESS(1,Formulas!U45+2),"$",""))&amp;Formulas!T45+1,
IFERROR(INDEX(Datos!$A$2:$L$101,Formulas!T45,Formulas!U45+2),"")))</f>
        <v>#VALUE!</v>
      </c>
      <c r="U47" s="5"/>
      <c r="V47" s="6"/>
      <c r="W47" s="24" t="str" cm="1">
        <f t="array" aca="1" ref="W47" ca="1">IF(OR(Formulas!Y44=0,Formulas!Y44="",RIGHT(Formulas!Z44)="0"),"",
HYPERLINK("["&amp;Archivo_Nombre&amp;"]Datos!"&amp;LEFT(SUBSTITUTE(ADDRESS(1,IF(Formulas!Y44=1,1,RIGHT(Formulas!Z44)+2)),"$",""))&amp;Formulas!X44+1,
IFERROR(INDEX(Datos!$A$1:$L$1,1,RIGHT(Formulas!Z44)+2)&amp;IF(Formulas!Y44=1," "&amp;Formulas!X44,"")&amp;":","")))</f>
        <v/>
      </c>
      <c r="X47" s="107" t="str" cm="1">
        <f t="array" aca="1" ref="X47" ca="1">IF(OR(Formulas!Y44=0,Formulas!Y44="",RIGHT(Formulas!Z44)="0"),"",
HYPERLINK("["&amp;Archivo_Nombre&amp;"]Datos!"&amp;LEFT(SUBSTITUTE(ADDRESS(1,RIGHT(Formulas!Z44)+2),"$",""))&amp;Formulas!X44+1,
IFERROR(INDEX(Datos!$A$2:$L$101,Formulas!X44,RIGHT(Formulas!Z44)+2),"")))</f>
        <v/>
      </c>
      <c r="Y47" s="107" t="str" cm="1">
        <f t="array" aca="1" ref="Y47" ca="1">IF(OR(Formulas!Z45=0,Formulas!Z45=""),"",HYPERLINK("["&amp;Archivo_Nombre&amp;"]Datos!"&amp;LEFT(SUBSTITUTE(ADDRESS(1,Formulas!Z45+2),"$",""))&amp;Formulas!Y45+1,
IFERROR(INDEX(Datos!$A$2:$L$101,Formulas!Y45,Formulas!Z45+2),"")))</f>
        <v/>
      </c>
      <c r="Z47" s="13"/>
      <c r="AA47" s="6"/>
      <c r="AB47" s="24" t="str" cm="1">
        <f t="array" aca="1" ref="AB47" ca="1">IF(OR(Formulas!AD44=0,Formulas!AD44="",RIGHT(Formulas!AE44)="0"),"",
HYPERLINK("["&amp;Archivo_Nombre&amp;"]Datos!"&amp;LEFT(SUBSTITUTE(ADDRESS(1,IF(Formulas!AD44=1,1,RIGHT(Formulas!AE44)+2)),"$",""))&amp;Formulas!AC44+1,
IFERROR(INDEX(Datos!$A$1:$L$1,1,RIGHT(Formulas!AE44)+2)&amp;IF(Formulas!AD44=1," "&amp;Formulas!AC44,"")&amp;":","")))</f>
        <v/>
      </c>
      <c r="AC47" s="107" t="str" cm="1">
        <f t="array" aca="1" ref="AC47" ca="1">IF(OR(Formulas!AD44=0,Formulas!AD44="",RIGHT(Formulas!AE44)="0"),"",
HYPERLINK("["&amp;Archivo_Nombre&amp;"]Datos!"&amp;LEFT(SUBSTITUTE(ADDRESS(1,RIGHT(Formulas!AE44)+2),"$",""))&amp;Formulas!AC44+1,
IFERROR(INDEX(Datos!$A$2:$L$101,Formulas!AC44,RIGHT(Formulas!AE44)+2),"")))</f>
        <v/>
      </c>
      <c r="AD47" s="107" t="str" cm="1">
        <f t="array" aca="1" ref="AD47" ca="1">IF(OR(Formulas!AE45=0,Formulas!AE45=""),"",HYPERLINK("["&amp;Archivo_Nombre&amp;"]Datos!"&amp;LEFT(SUBSTITUTE(ADDRESS(1,Formulas!AE45+2),"$",""))&amp;Formulas!AD45+1,
IFERROR(INDEX(Datos!$A$2:$L$101,Formulas!AD45,Formulas!AE45+2),"")))</f>
        <v/>
      </c>
      <c r="AE47" s="13"/>
      <c r="AF47" s="6"/>
      <c r="AG47" s="24" t="str" cm="1">
        <f t="array" aca="1" ref="AG47" ca="1">IF(OR(Formulas!AI44=0,Formulas!AI44="",RIGHT(Formulas!AJ44)="0"),"",
HYPERLINK("["&amp;Archivo_Nombre&amp;"]Datos!"&amp;LEFT(SUBSTITUTE(ADDRESS(1,IF(Formulas!AI44=1,1,RIGHT(Formulas!AJ44)+2)),"$",""))&amp;Formulas!AH44+1,
IFERROR(INDEX(Datos!$A$1:$L$1,1,RIGHT(Formulas!AJ44)+2)&amp;IF(Formulas!AI44=1," "&amp;Formulas!AH44,"")&amp;":","")))</f>
        <v/>
      </c>
      <c r="AH47" s="107" t="str" cm="1">
        <f t="array" aca="1" ref="AH47" ca="1">IF(OR(Formulas!AI44=0,Formulas!AI44="",RIGHT(Formulas!AJ44)="0"),"",
HYPERLINK("["&amp;Archivo_Nombre&amp;"]Datos!"&amp;LEFT(SUBSTITUTE(ADDRESS(1,RIGHT(Formulas!AJ44)+2),"$",""))&amp;Formulas!AH44+1,
IFERROR(INDEX(Datos!$A$2:$L$101,Formulas!AH44,RIGHT(Formulas!AJ44)+2),"")))</f>
        <v/>
      </c>
      <c r="AI47" s="107" t="str" cm="1">
        <f t="array" aca="1" ref="AI47" ca="1">IF(OR(Formulas!AJ45=0,Formulas!AJ45=""),"",HYPERLINK("["&amp;Archivo_Nombre&amp;"]Datos!"&amp;LEFT(SUBSTITUTE(ADDRESS(1,Formulas!AJ45+2),"$",""))&amp;Formulas!AI45+1,
IFERROR(INDEX(Datos!$A$2:$L$101,Formulas!AI45,Formulas!AJ45+2),"")))</f>
        <v/>
      </c>
      <c r="AJ47" s="13"/>
      <c r="AK47" s="6"/>
      <c r="AL47" s="24" t="str" cm="1">
        <f t="array" aca="1" ref="AL47" ca="1">IF(OR(Formulas!AN44=0,Formulas!AN44="",RIGHT(Formulas!AO44)="0"),"",
HYPERLINK("["&amp;Archivo_Nombre&amp;"]Datos!"&amp;LEFT(SUBSTITUTE(ADDRESS(1,IF(Formulas!AN44=1,1,RIGHT(Formulas!AO44)+2)),"$",""))&amp;Formulas!AM44+1,
IFERROR(INDEX(Datos!$A$1:$L$1,1,RIGHT(Formulas!AO44)+2)&amp;IF(Formulas!AN44=1," "&amp;Formulas!AM44,"")&amp;":","")))</f>
        <v/>
      </c>
      <c r="AM47" s="107" t="str" cm="1">
        <f t="array" aca="1" ref="AM47" ca="1">IF(OR(Formulas!AN44=0,Formulas!AN44="",RIGHT(Formulas!AO44)="0"),"",
HYPERLINK("["&amp;Archivo_Nombre&amp;"]Datos!"&amp;LEFT(SUBSTITUTE(ADDRESS(1,RIGHT(Formulas!AO44)+2),"$",""))&amp;Formulas!AM44+1,
IFERROR(INDEX(Datos!$A$2:$L$101,Formulas!AM44,RIGHT(Formulas!AO44)+2),"")))</f>
        <v/>
      </c>
      <c r="AN47" s="107" t="str" cm="1">
        <f t="array" aca="1" ref="AN47" ca="1">IF(OR(Formulas!AO45=0,Formulas!AO45=""),"",HYPERLINK("["&amp;Archivo_Nombre&amp;"]Datos!"&amp;LEFT(SUBSTITUTE(ADDRESS(1,Formulas!AO45+2),"$",""))&amp;Formulas!AN45+1,
IFERROR(INDEX(Datos!$A$2:$L$101,Formulas!AN45,Formulas!AO45+2),"")))</f>
        <v/>
      </c>
      <c r="AO47" s="13"/>
      <c r="AP47" s="6"/>
      <c r="AQ47" s="24" t="str" cm="1">
        <f t="array" aca="1" ref="AQ47" ca="1">IF(OR(Formulas!AS44=0,Formulas!AS44="",RIGHT(Formulas!AT44)="0"),"",
HYPERLINK("["&amp;Archivo_Nombre&amp;"]Datos!"&amp;LEFT(SUBSTITUTE(ADDRESS(1,IF(Formulas!AS44=1,1,RIGHT(Formulas!AT44)+2)),"$",""))&amp;Formulas!AR44+1,
IFERROR(INDEX(Datos!$A$1:$L$1,1,RIGHT(Formulas!AT44)+2)&amp;IF(Formulas!AS44=1," "&amp;Formulas!AR44,"")&amp;":","")))</f>
        <v/>
      </c>
      <c r="AR47" s="107" t="str" cm="1">
        <f t="array" aca="1" ref="AR47" ca="1">IF(OR(Formulas!AS44=0,Formulas!AS44="",RIGHT(Formulas!AT44)="0"),"",
HYPERLINK("["&amp;Archivo_Nombre&amp;"]Datos!"&amp;LEFT(SUBSTITUTE(ADDRESS(1,RIGHT(Formulas!AT44)+2),"$",""))&amp;Formulas!AR44+1,
IFERROR(INDEX(Datos!$A$2:$L$101,Formulas!AR44,RIGHT(Formulas!AT44)+2),"")))</f>
        <v/>
      </c>
      <c r="AS47" s="107" t="str" cm="1">
        <f t="array" aca="1" ref="AS47" ca="1">IF(OR(Formulas!AT45=0,Formulas!AT45=""),"",HYPERLINK("["&amp;Archivo_Nombre&amp;"]Datos!"&amp;LEFT(SUBSTITUTE(ADDRESS(1,Formulas!AT45+2),"$",""))&amp;Formulas!AS45+1,
IFERROR(INDEX(Datos!$A$2:$L$101,Formulas!AS45,Formulas!AT45+2),"")))</f>
        <v/>
      </c>
      <c r="AT47" s="13"/>
      <c r="AU47" s="6"/>
      <c r="AV47" s="24" t="str" cm="1">
        <f t="array" aca="1" ref="AV47" ca="1">IF(OR(Formulas!AX44=0,Formulas!AX44="",RIGHT(Formulas!AY44)="0"),"",
HYPERLINK("["&amp;Archivo_Nombre&amp;"]Datos!"&amp;LEFT(SUBSTITUTE(ADDRESS(1,IF(Formulas!AX44=1,1,RIGHT(Formulas!AY44)+2)),"$",""))&amp;Formulas!AW44+1,
IFERROR(INDEX(Datos!$A$1:$L$1,1,RIGHT(Formulas!AY44)+2)&amp;IF(Formulas!AX44=1," "&amp;Formulas!AW44,"")&amp;":","")))</f>
        <v/>
      </c>
      <c r="AW47" s="107" t="str" cm="1">
        <f t="array" aca="1" ref="AW47" ca="1">IF(OR(Formulas!AX44=0,Formulas!AX44="",RIGHT(Formulas!AY44)="0"),"",
HYPERLINK("["&amp;Archivo_Nombre&amp;"]Datos!"&amp;LEFT(SUBSTITUTE(ADDRESS(1,RIGHT(Formulas!AY44)+2),"$",""))&amp;Formulas!AW44+1,
IFERROR(INDEX(Datos!$A$2:$L$101,Formulas!AW44,RIGHT(Formulas!AY44)+2),"")))</f>
        <v/>
      </c>
      <c r="AX47" s="107" t="str" cm="1">
        <f t="array" aca="1" ref="AX47" ca="1">IF(OR(Formulas!AY45=0,Formulas!AY45=""),"",HYPERLINK("["&amp;Archivo_Nombre&amp;"]Datos!"&amp;LEFT(SUBSTITUTE(ADDRESS(1,Formulas!AY45+2),"$",""))&amp;Formulas!AX45+1,
IFERROR(INDEX(Datos!$A$2:$L$101,Formulas!AX45,Formulas!AY45+2),"")))</f>
        <v/>
      </c>
      <c r="AY47" s="13"/>
    </row>
    <row r="48" spans="2:51" x14ac:dyDescent="0.25">
      <c r="B48" s="11"/>
      <c r="C48" s="24" t="str" cm="1">
        <f t="array" aca="1" ref="C48" ca="1">IF(OR(Formulas!E45=0,Formulas!E45="",RIGHT(Formulas!F45)="0"),"",
HYPERLINK("["&amp;Archivo_Nombre&amp;"]Datos!"&amp;LEFT(SUBSTITUTE(ADDRESS(1,IF(Formulas!E45=1,1,RIGHT(Formulas!F45)+2)),"$",""))&amp;Formulas!D45+1,
IFERROR(INDEX(Datos!$A$1:$L$1,1,RIGHT(Formulas!F45)+2)&amp;IF(Formulas!E45=1," "&amp;Formulas!D45,"")&amp;":","")))</f>
        <v/>
      </c>
      <c r="D48" s="107" t="str" cm="1">
        <f t="array" aca="1" ref="D48" ca="1">IF(OR(Formulas!E45=0,Formulas!E45="",RIGHT(Formulas!F45)="0"),"",
HYPERLINK("["&amp;Archivo_Nombre&amp;"]Datos!"&amp;LEFT(SUBSTITUTE(ADDRESS(1,RIGHT(Formulas!F45)+2),"$",""))&amp;Formulas!D45+1,
IFERROR(INDEX(Datos!$A$2:$L$101,Formulas!D45,RIGHT(Formulas!F45)+2),"")))</f>
        <v/>
      </c>
      <c r="E48" s="107" t="str" cm="1">
        <f t="array" aca="1" ref="E48" ca="1">IF(OR(Formulas!F46=0,Formulas!F46=""),"",HYPERLINK("["&amp;Archivo_Nombre&amp;"]Datos!"&amp;LEFT(SUBSTITUTE(ADDRESS(1,Formulas!F46+2),"$",""))&amp;Formulas!E46+1,
IFERROR(INDEX(Datos!$A$2:$L$101,Formulas!E46,Formulas!F46+2),"")))</f>
        <v/>
      </c>
      <c r="F48" s="5"/>
      <c r="G48" s="6"/>
      <c r="H48" s="24" t="str" cm="1">
        <f t="array" aca="1" ref="H48" ca="1">IF(OR(Formulas!J45=0,Formulas!J45="",RIGHT(Formulas!K45)="0"),"",
HYPERLINK("["&amp;Archivo_Nombre&amp;"]Datos!"&amp;LEFT(SUBSTITUTE(ADDRESS(1,IF(Formulas!J45=1,1,RIGHT(Formulas!K45)+2)),"$",""))&amp;Formulas!I45+1,
IFERROR(INDEX(Datos!$A$1:$L$1,1,RIGHT(Formulas!K45)+2)&amp;IF(Formulas!J45=1," "&amp;Formulas!I45,"")&amp;":","")))</f>
        <v>Descripción:</v>
      </c>
      <c r="I48" s="107" t="str" cm="1">
        <f t="array" aca="1" ref="I48" ca="1">IF(OR(Formulas!J45=0,Formulas!J45="",RIGHT(Formulas!K45)="0"),"",
HYPERLINK("["&amp;Archivo_Nombre&amp;"]Datos!"&amp;LEFT(SUBSTITUTE(ADDRESS(1,RIGHT(Formulas!K45)+2),"$",""))&amp;Formulas!I45+1,
IFERROR(INDEX(Datos!$A$2:$L$101,Formulas!I45,RIGHT(Formulas!K45)+2),"")))</f>
        <v>Creación del Cronograma Marco de trabajo ágil</v>
      </c>
      <c r="J48" s="107" t="e" cm="1">
        <f t="array" aca="1" ref="J48" ca="1">IF(OR(Formulas!K46=0,Formulas!K46=""),"",HYPERLINK("["&amp;Archivo_Nombre&amp;"]Datos!"&amp;LEFT(SUBSTITUTE(ADDRESS(1,Formulas!K46+2),"$",""))&amp;Formulas!J46+1,
IFERROR(INDEX(Datos!$A$2:$L$101,Formulas!J46,Formulas!K46+2),"")))</f>
        <v>#VALUE!</v>
      </c>
      <c r="K48" s="5"/>
      <c r="L48" s="6"/>
      <c r="M48" s="24" t="str" cm="1">
        <f t="array" aca="1" ref="M48" ca="1">IF(OR(Formulas!O45=0,Formulas!O45="",RIGHT(Formulas!P45)="0"),"",
HYPERLINK("["&amp;Archivo_Nombre&amp;"]Datos!"&amp;LEFT(SUBSTITUTE(ADDRESS(1,IF(Formulas!O45=1,1,RIGHT(Formulas!P45)+2)),"$",""))&amp;Formulas!N45+1,
IFERROR(INDEX(Datos!$A$1:$L$1,1,RIGHT(Formulas!P45)+2)&amp;IF(Formulas!O45=1," "&amp;Formulas!N45,"")&amp;":","")))</f>
        <v/>
      </c>
      <c r="N48" s="107" t="str" cm="1">
        <f t="array" aca="1" ref="N48" ca="1">IF(OR(Formulas!O45=0,Formulas!O45="",RIGHT(Formulas!P45)="0"),"",
HYPERLINK("["&amp;Archivo_Nombre&amp;"]Datos!"&amp;LEFT(SUBSTITUTE(ADDRESS(1,RIGHT(Formulas!P45)+2),"$",""))&amp;Formulas!N45+1,
IFERROR(INDEX(Datos!$A$2:$L$101,Formulas!N45,RIGHT(Formulas!P45)+2),"")))</f>
        <v/>
      </c>
      <c r="O48" s="107" t="str" cm="1">
        <f t="array" aca="1" ref="O48" ca="1">IF(OR(Formulas!P46=0,Formulas!P46=""),"",HYPERLINK("["&amp;Archivo_Nombre&amp;"]Datos!"&amp;LEFT(SUBSTITUTE(ADDRESS(1,Formulas!P46+2),"$",""))&amp;Formulas!O46+1,
IFERROR(INDEX(Datos!$A$2:$L$101,Formulas!O46,Formulas!P46+2),"")))</f>
        <v/>
      </c>
      <c r="P48" s="5"/>
      <c r="Q48" s="6"/>
      <c r="R48" s="24" t="str" cm="1">
        <f t="array" aca="1" ref="R48" ca="1">IF(OR(Formulas!T45=0,Formulas!T45="",RIGHT(Formulas!U45)="0"),"",
HYPERLINK("["&amp;Archivo_Nombre&amp;"]Datos!"&amp;LEFT(SUBSTITUTE(ADDRESS(1,IF(Formulas!T45=1,1,RIGHT(Formulas!U45)+2)),"$",""))&amp;Formulas!S45+1,
IFERROR(INDEX(Datos!$A$1:$L$1,1,RIGHT(Formulas!U45)+2)&amp;IF(Formulas!T45=1," "&amp;Formulas!S45,"")&amp;":","")))</f>
        <v>Descripción:</v>
      </c>
      <c r="S48" s="107" t="str" cm="1">
        <f t="array" aca="1" ref="S48" ca="1">IF(OR(Formulas!T45=0,Formulas!T45="",RIGHT(Formulas!U45)="0"),"",
HYPERLINK("["&amp;Archivo_Nombre&amp;"]Datos!"&amp;LEFT(SUBSTITUTE(ADDRESS(1,RIGHT(Formulas!U45)+2),"$",""))&amp;Formulas!S45+1,
IFERROR(INDEX(Datos!$A$2:$L$101,Formulas!S45,RIGHT(Formulas!U45)+2),"")))</f>
        <v>REQ004 Cambio de IDE</v>
      </c>
      <c r="T48" s="107" t="e" cm="1">
        <f t="array" aca="1" ref="T48" ca="1">IF(OR(Formulas!U46=0,Formulas!U46=""),"",HYPERLINK("["&amp;Archivo_Nombre&amp;"]Datos!"&amp;LEFT(SUBSTITUTE(ADDRESS(1,Formulas!U46+2),"$",""))&amp;Formulas!T46+1,
IFERROR(INDEX(Datos!$A$2:$L$101,Formulas!T46,Formulas!U46+2),"")))</f>
        <v>#VALUE!</v>
      </c>
      <c r="U48" s="5"/>
      <c r="V48" s="6"/>
      <c r="W48" s="24" t="str" cm="1">
        <f t="array" aca="1" ref="W48" ca="1">IF(OR(Formulas!Y45=0,Formulas!Y45="",RIGHT(Formulas!Z45)="0"),"",
HYPERLINK("["&amp;Archivo_Nombre&amp;"]Datos!"&amp;LEFT(SUBSTITUTE(ADDRESS(1,IF(Formulas!Y45=1,1,RIGHT(Formulas!Z45)+2)),"$",""))&amp;Formulas!X45+1,
IFERROR(INDEX(Datos!$A$1:$L$1,1,RIGHT(Formulas!Z45)+2)&amp;IF(Formulas!Y45=1," "&amp;Formulas!X45,"")&amp;":","")))</f>
        <v/>
      </c>
      <c r="X48" s="107" t="str" cm="1">
        <f t="array" aca="1" ref="X48" ca="1">IF(OR(Formulas!Y45=0,Formulas!Y45="",RIGHT(Formulas!Z45)="0"),"",
HYPERLINK("["&amp;Archivo_Nombre&amp;"]Datos!"&amp;LEFT(SUBSTITUTE(ADDRESS(1,RIGHT(Formulas!Z45)+2),"$",""))&amp;Formulas!X45+1,
IFERROR(INDEX(Datos!$A$2:$L$101,Formulas!X45,RIGHT(Formulas!Z45)+2),"")))</f>
        <v/>
      </c>
      <c r="Y48" s="107" t="str" cm="1">
        <f t="array" aca="1" ref="Y48" ca="1">IF(OR(Formulas!Z46=0,Formulas!Z46=""),"",HYPERLINK("["&amp;Archivo_Nombre&amp;"]Datos!"&amp;LEFT(SUBSTITUTE(ADDRESS(1,Formulas!Z46+2),"$",""))&amp;Formulas!Y46+1,
IFERROR(INDEX(Datos!$A$2:$L$101,Formulas!Y46,Formulas!Z46+2),"")))</f>
        <v/>
      </c>
      <c r="Z48" s="13"/>
      <c r="AA48" s="6"/>
      <c r="AB48" s="24" t="str" cm="1">
        <f t="array" aca="1" ref="AB48" ca="1">IF(OR(Formulas!AD45=0,Formulas!AD45="",RIGHT(Formulas!AE45)="0"),"",
HYPERLINK("["&amp;Archivo_Nombre&amp;"]Datos!"&amp;LEFT(SUBSTITUTE(ADDRESS(1,IF(Formulas!AD45=1,1,RIGHT(Formulas!AE45)+2)),"$",""))&amp;Formulas!AC45+1,
IFERROR(INDEX(Datos!$A$1:$L$1,1,RIGHT(Formulas!AE45)+2)&amp;IF(Formulas!AD45=1," "&amp;Formulas!AC45,"")&amp;":","")))</f>
        <v/>
      </c>
      <c r="AC48" s="107" t="str" cm="1">
        <f t="array" aca="1" ref="AC48" ca="1">IF(OR(Formulas!AD45=0,Formulas!AD45="",RIGHT(Formulas!AE45)="0"),"",
HYPERLINK("["&amp;Archivo_Nombre&amp;"]Datos!"&amp;LEFT(SUBSTITUTE(ADDRESS(1,RIGHT(Formulas!AE45)+2),"$",""))&amp;Formulas!AC45+1,
IFERROR(INDEX(Datos!$A$2:$L$101,Formulas!AC45,RIGHT(Formulas!AE45)+2),"")))</f>
        <v/>
      </c>
      <c r="AD48" s="107" t="str" cm="1">
        <f t="array" aca="1" ref="AD48" ca="1">IF(OR(Formulas!AE46=0,Formulas!AE46=""),"",HYPERLINK("["&amp;Archivo_Nombre&amp;"]Datos!"&amp;LEFT(SUBSTITUTE(ADDRESS(1,Formulas!AE46+2),"$",""))&amp;Formulas!AD46+1,
IFERROR(INDEX(Datos!$A$2:$L$101,Formulas!AD46,Formulas!AE46+2),"")))</f>
        <v/>
      </c>
      <c r="AE48" s="13"/>
      <c r="AF48" s="6"/>
      <c r="AG48" s="24" t="str" cm="1">
        <f t="array" aca="1" ref="AG48" ca="1">IF(OR(Formulas!AI45=0,Formulas!AI45="",RIGHT(Formulas!AJ45)="0"),"",
HYPERLINK("["&amp;Archivo_Nombre&amp;"]Datos!"&amp;LEFT(SUBSTITUTE(ADDRESS(1,IF(Formulas!AI45=1,1,RIGHT(Formulas!AJ45)+2)),"$",""))&amp;Formulas!AH45+1,
IFERROR(INDEX(Datos!$A$1:$L$1,1,RIGHT(Formulas!AJ45)+2)&amp;IF(Formulas!AI45=1," "&amp;Formulas!AH45,"")&amp;":","")))</f>
        <v/>
      </c>
      <c r="AH48" s="107" t="str" cm="1">
        <f t="array" aca="1" ref="AH48" ca="1">IF(OR(Formulas!AI45=0,Formulas!AI45="",RIGHT(Formulas!AJ45)="0"),"",
HYPERLINK("["&amp;Archivo_Nombre&amp;"]Datos!"&amp;LEFT(SUBSTITUTE(ADDRESS(1,RIGHT(Formulas!AJ45)+2),"$",""))&amp;Formulas!AH45+1,
IFERROR(INDEX(Datos!$A$2:$L$101,Formulas!AH45,RIGHT(Formulas!AJ45)+2),"")))</f>
        <v/>
      </c>
      <c r="AI48" s="107" t="str" cm="1">
        <f t="array" aca="1" ref="AI48" ca="1">IF(OR(Formulas!AJ46=0,Formulas!AJ46=""),"",HYPERLINK("["&amp;Archivo_Nombre&amp;"]Datos!"&amp;LEFT(SUBSTITUTE(ADDRESS(1,Formulas!AJ46+2),"$",""))&amp;Formulas!AI46+1,
IFERROR(INDEX(Datos!$A$2:$L$101,Formulas!AI46,Formulas!AJ46+2),"")))</f>
        <v/>
      </c>
      <c r="AJ48" s="13"/>
      <c r="AK48" s="6"/>
      <c r="AL48" s="24" t="str" cm="1">
        <f t="array" aca="1" ref="AL48" ca="1">IF(OR(Formulas!AN45=0,Formulas!AN45="",RIGHT(Formulas!AO45)="0"),"",
HYPERLINK("["&amp;Archivo_Nombre&amp;"]Datos!"&amp;LEFT(SUBSTITUTE(ADDRESS(1,IF(Formulas!AN45=1,1,RIGHT(Formulas!AO45)+2)),"$",""))&amp;Formulas!AM45+1,
IFERROR(INDEX(Datos!$A$1:$L$1,1,RIGHT(Formulas!AO45)+2)&amp;IF(Formulas!AN45=1," "&amp;Formulas!AM45,"")&amp;":","")))</f>
        <v/>
      </c>
      <c r="AM48" s="107" t="str" cm="1">
        <f t="array" aca="1" ref="AM48" ca="1">IF(OR(Formulas!AN45=0,Formulas!AN45="",RIGHT(Formulas!AO45)="0"),"",
HYPERLINK("["&amp;Archivo_Nombre&amp;"]Datos!"&amp;LEFT(SUBSTITUTE(ADDRESS(1,RIGHT(Formulas!AO45)+2),"$",""))&amp;Formulas!AM45+1,
IFERROR(INDEX(Datos!$A$2:$L$101,Formulas!AM45,RIGHT(Formulas!AO45)+2),"")))</f>
        <v/>
      </c>
      <c r="AN48" s="107" t="str" cm="1">
        <f t="array" aca="1" ref="AN48" ca="1">IF(OR(Formulas!AO46=0,Formulas!AO46=""),"",HYPERLINK("["&amp;Archivo_Nombre&amp;"]Datos!"&amp;LEFT(SUBSTITUTE(ADDRESS(1,Formulas!AO46+2),"$",""))&amp;Formulas!AN46+1,
IFERROR(INDEX(Datos!$A$2:$L$101,Formulas!AN46,Formulas!AO46+2),"")))</f>
        <v/>
      </c>
      <c r="AO48" s="13"/>
      <c r="AP48" s="6"/>
      <c r="AQ48" s="24" t="str" cm="1">
        <f t="array" aca="1" ref="AQ48" ca="1">IF(OR(Formulas!AS45=0,Formulas!AS45="",RIGHT(Formulas!AT45)="0"),"",
HYPERLINK("["&amp;Archivo_Nombre&amp;"]Datos!"&amp;LEFT(SUBSTITUTE(ADDRESS(1,IF(Formulas!AS45=1,1,RIGHT(Formulas!AT45)+2)),"$",""))&amp;Formulas!AR45+1,
IFERROR(INDEX(Datos!$A$1:$L$1,1,RIGHT(Formulas!AT45)+2)&amp;IF(Formulas!AS45=1," "&amp;Formulas!AR45,"")&amp;":","")))</f>
        <v/>
      </c>
      <c r="AR48" s="107" t="str" cm="1">
        <f t="array" aca="1" ref="AR48" ca="1">IF(OR(Formulas!AS45=0,Formulas!AS45="",RIGHT(Formulas!AT45)="0"),"",
HYPERLINK("["&amp;Archivo_Nombre&amp;"]Datos!"&amp;LEFT(SUBSTITUTE(ADDRESS(1,RIGHT(Formulas!AT45)+2),"$",""))&amp;Formulas!AR45+1,
IFERROR(INDEX(Datos!$A$2:$L$101,Formulas!AR45,RIGHT(Formulas!AT45)+2),"")))</f>
        <v/>
      </c>
      <c r="AS48" s="107" t="str" cm="1">
        <f t="array" aca="1" ref="AS48" ca="1">IF(OR(Formulas!AT46=0,Formulas!AT46=""),"",HYPERLINK("["&amp;Archivo_Nombre&amp;"]Datos!"&amp;LEFT(SUBSTITUTE(ADDRESS(1,Formulas!AT46+2),"$",""))&amp;Formulas!AS46+1,
IFERROR(INDEX(Datos!$A$2:$L$101,Formulas!AS46,Formulas!AT46+2),"")))</f>
        <v/>
      </c>
      <c r="AT48" s="13"/>
      <c r="AU48" s="6"/>
      <c r="AV48" s="24" t="str" cm="1">
        <f t="array" aca="1" ref="AV48" ca="1">IF(OR(Formulas!AX45=0,Formulas!AX45="",RIGHT(Formulas!AY45)="0"),"",
HYPERLINK("["&amp;Archivo_Nombre&amp;"]Datos!"&amp;LEFT(SUBSTITUTE(ADDRESS(1,IF(Formulas!AX45=1,1,RIGHT(Formulas!AY45)+2)),"$",""))&amp;Formulas!AW45+1,
IFERROR(INDEX(Datos!$A$1:$L$1,1,RIGHT(Formulas!AY45)+2)&amp;IF(Formulas!AX45=1," "&amp;Formulas!AW45,"")&amp;":","")))</f>
        <v/>
      </c>
      <c r="AW48" s="107" t="str" cm="1">
        <f t="array" aca="1" ref="AW48" ca="1">IF(OR(Formulas!AX45=0,Formulas!AX45="",RIGHT(Formulas!AY45)="0"),"",
HYPERLINK("["&amp;Archivo_Nombre&amp;"]Datos!"&amp;LEFT(SUBSTITUTE(ADDRESS(1,RIGHT(Formulas!AY45)+2),"$",""))&amp;Formulas!AW45+1,
IFERROR(INDEX(Datos!$A$2:$L$101,Formulas!AW45,RIGHT(Formulas!AY45)+2),"")))</f>
        <v/>
      </c>
      <c r="AX48" s="107" t="str" cm="1">
        <f t="array" aca="1" ref="AX48" ca="1">IF(OR(Formulas!AY46=0,Formulas!AY46=""),"",HYPERLINK("["&amp;Archivo_Nombre&amp;"]Datos!"&amp;LEFT(SUBSTITUTE(ADDRESS(1,Formulas!AY46+2),"$",""))&amp;Formulas!AX46+1,
IFERROR(INDEX(Datos!$A$2:$L$101,Formulas!AX46,Formulas!AY46+2),"")))</f>
        <v/>
      </c>
      <c r="AY48" s="13"/>
    </row>
    <row r="49" spans="2:51" x14ac:dyDescent="0.25">
      <c r="B49" s="11"/>
      <c r="C49" s="24" t="str" cm="1">
        <f t="array" aca="1" ref="C49" ca="1">IF(OR(Formulas!E46=0,Formulas!E46="",RIGHT(Formulas!F46)="0"),"",
HYPERLINK("["&amp;Archivo_Nombre&amp;"]Datos!"&amp;LEFT(SUBSTITUTE(ADDRESS(1,IF(Formulas!E46=1,1,RIGHT(Formulas!F46)+2)),"$",""))&amp;Formulas!D46+1,
IFERROR(INDEX(Datos!$A$1:$L$1,1,RIGHT(Formulas!F46)+2)&amp;IF(Formulas!E46=1," "&amp;Formulas!D46,"")&amp;":","")))</f>
        <v/>
      </c>
      <c r="D49" s="107" t="str" cm="1">
        <f t="array" aca="1" ref="D49" ca="1">IF(OR(Formulas!E46=0,Formulas!E46="",RIGHT(Formulas!F46)="0"),"",
HYPERLINK("["&amp;Archivo_Nombre&amp;"]Datos!"&amp;LEFT(SUBSTITUTE(ADDRESS(1,RIGHT(Formulas!F46)+2),"$",""))&amp;Formulas!D46+1,
IFERROR(INDEX(Datos!$A$2:$L$101,Formulas!D46,RIGHT(Formulas!F46)+2),"")))</f>
        <v/>
      </c>
      <c r="E49" s="107" t="str" cm="1">
        <f t="array" aca="1" ref="E49" ca="1">IF(OR(Formulas!F47=0,Formulas!F47=""),"",HYPERLINK("["&amp;Archivo_Nombre&amp;"]Datos!"&amp;LEFT(SUBSTITUTE(ADDRESS(1,Formulas!F47+2),"$",""))&amp;Formulas!E47+1,
IFERROR(INDEX(Datos!$A$2:$L$101,Formulas!E47,Formulas!F47+2),"")))</f>
        <v/>
      </c>
      <c r="F49" s="5"/>
      <c r="G49" s="6"/>
      <c r="H49" s="24" t="str" cm="1">
        <f t="array" aca="1" ref="H49" ca="1">IF(OR(Formulas!J46=0,Formulas!J46="",RIGHT(Formulas!K46)="0"),"",
HYPERLINK("["&amp;Archivo_Nombre&amp;"]Datos!"&amp;LEFT(SUBSTITUTE(ADDRESS(1,IF(Formulas!J46=1,1,RIGHT(Formulas!K46)+2)),"$",""))&amp;Formulas!I46+1,
IFERROR(INDEX(Datos!$A$1:$L$1,1,RIGHT(Formulas!K46)+2)&amp;IF(Formulas!J46=1," "&amp;Formulas!I46,"")&amp;":","")))</f>
        <v>Inicio:</v>
      </c>
      <c r="I49" s="107" cm="1">
        <f t="array" aca="1" ref="I49" ca="1">IF(OR(Formulas!J46=0,Formulas!J46="",RIGHT(Formulas!K46)="0"),"",
HYPERLINK("["&amp;Archivo_Nombre&amp;"]Datos!"&amp;LEFT(SUBSTITUTE(ADDRESS(1,RIGHT(Formulas!K46)+2),"$",""))&amp;Formulas!I46+1,
IFERROR(INDEX(Datos!$A$2:$L$101,Formulas!I46,RIGHT(Formulas!K46)+2),"")))</f>
        <v>45785</v>
      </c>
      <c r="J49" s="107" t="e" cm="1">
        <f t="array" aca="1" ref="J49" ca="1">IF(OR(Formulas!K47=0,Formulas!K47=""),"",HYPERLINK("["&amp;Archivo_Nombre&amp;"]Datos!"&amp;LEFT(SUBSTITUTE(ADDRESS(1,Formulas!K47+2),"$",""))&amp;Formulas!J47+1,
IFERROR(INDEX(Datos!$A$2:$L$101,Formulas!J47,Formulas!K47+2),"")))</f>
        <v>#VALUE!</v>
      </c>
      <c r="K49" s="5"/>
      <c r="L49" s="6"/>
      <c r="M49" s="24" t="str" cm="1">
        <f t="array" aca="1" ref="M49" ca="1">IF(OR(Formulas!O46=0,Formulas!O46="",RIGHT(Formulas!P46)="0"),"",
HYPERLINK("["&amp;Archivo_Nombre&amp;"]Datos!"&amp;LEFT(SUBSTITUTE(ADDRESS(1,IF(Formulas!O46=1,1,RIGHT(Formulas!P46)+2)),"$",""))&amp;Formulas!N46+1,
IFERROR(INDEX(Datos!$A$1:$L$1,1,RIGHT(Formulas!P46)+2)&amp;IF(Formulas!O46=1," "&amp;Formulas!N46,"")&amp;":","")))</f>
        <v/>
      </c>
      <c r="N49" s="107" t="str" cm="1">
        <f t="array" aca="1" ref="N49" ca="1">IF(OR(Formulas!O46=0,Formulas!O46="",RIGHT(Formulas!P46)="0"),"",
HYPERLINK("["&amp;Archivo_Nombre&amp;"]Datos!"&amp;LEFT(SUBSTITUTE(ADDRESS(1,RIGHT(Formulas!P46)+2),"$",""))&amp;Formulas!N46+1,
IFERROR(INDEX(Datos!$A$2:$L$101,Formulas!N46,RIGHT(Formulas!P46)+2),"")))</f>
        <v/>
      </c>
      <c r="O49" s="107" t="str" cm="1">
        <f t="array" aca="1" ref="O49" ca="1">IF(OR(Formulas!P47=0,Formulas!P47=""),"",HYPERLINK("["&amp;Archivo_Nombre&amp;"]Datos!"&amp;LEFT(SUBSTITUTE(ADDRESS(1,Formulas!P47+2),"$",""))&amp;Formulas!O47+1,
IFERROR(INDEX(Datos!$A$2:$L$101,Formulas!O47,Formulas!P47+2),"")))</f>
        <v/>
      </c>
      <c r="P49" s="5"/>
      <c r="Q49" s="6"/>
      <c r="R49" s="24" t="str" cm="1">
        <f t="array" aca="1" ref="R49" ca="1">IF(OR(Formulas!T46=0,Formulas!T46="",RIGHT(Formulas!U46)="0"),"",
HYPERLINK("["&amp;Archivo_Nombre&amp;"]Datos!"&amp;LEFT(SUBSTITUTE(ADDRESS(1,IF(Formulas!T46=1,1,RIGHT(Formulas!U46)+2)),"$",""))&amp;Formulas!S46+1,
IFERROR(INDEX(Datos!$A$1:$L$1,1,RIGHT(Formulas!U46)+2)&amp;IF(Formulas!T46=1," "&amp;Formulas!S46,"")&amp;":","")))</f>
        <v>Inicio:</v>
      </c>
      <c r="S49" s="107" cm="1">
        <f t="array" aca="1" ref="S49" ca="1">IF(OR(Formulas!T46=0,Formulas!T46="",RIGHT(Formulas!U46)="0"),"",
HYPERLINK("["&amp;Archivo_Nombre&amp;"]Datos!"&amp;LEFT(SUBSTITUTE(ADDRESS(1,RIGHT(Formulas!U46)+2),"$",""))&amp;Formulas!S46+1,
IFERROR(INDEX(Datos!$A$2:$L$101,Formulas!S46,RIGHT(Formulas!U46)+2),"")))</f>
        <v>45817</v>
      </c>
      <c r="T49" s="107" t="e" cm="1">
        <f t="array" aca="1" ref="T49" ca="1">IF(OR(Formulas!U47=0,Formulas!U47=""),"",HYPERLINK("["&amp;Archivo_Nombre&amp;"]Datos!"&amp;LEFT(SUBSTITUTE(ADDRESS(1,Formulas!U47+2),"$",""))&amp;Formulas!T47+1,
IFERROR(INDEX(Datos!$A$2:$L$101,Formulas!T47,Formulas!U47+2),"")))</f>
        <v>#VALUE!</v>
      </c>
      <c r="U49" s="5"/>
      <c r="V49" s="6"/>
      <c r="W49" s="24" t="str" cm="1">
        <f t="array" aca="1" ref="W49" ca="1">IF(OR(Formulas!Y46=0,Formulas!Y46="",RIGHT(Formulas!Z46)="0"),"",
HYPERLINK("["&amp;Archivo_Nombre&amp;"]Datos!"&amp;LEFT(SUBSTITUTE(ADDRESS(1,IF(Formulas!Y46=1,1,RIGHT(Formulas!Z46)+2)),"$",""))&amp;Formulas!X46+1,
IFERROR(INDEX(Datos!$A$1:$L$1,1,RIGHT(Formulas!Z46)+2)&amp;IF(Formulas!Y46=1," "&amp;Formulas!X46,"")&amp;":","")))</f>
        <v/>
      </c>
      <c r="X49" s="107" t="str" cm="1">
        <f t="array" aca="1" ref="X49" ca="1">IF(OR(Formulas!Y46=0,Formulas!Y46="",RIGHT(Formulas!Z46)="0"),"",
HYPERLINK("["&amp;Archivo_Nombre&amp;"]Datos!"&amp;LEFT(SUBSTITUTE(ADDRESS(1,RIGHT(Formulas!Z46)+2),"$",""))&amp;Formulas!X46+1,
IFERROR(INDEX(Datos!$A$2:$L$101,Formulas!X46,RIGHT(Formulas!Z46)+2),"")))</f>
        <v/>
      </c>
      <c r="Y49" s="107" t="str" cm="1">
        <f t="array" aca="1" ref="Y49" ca="1">IF(OR(Formulas!Z47=0,Formulas!Z47=""),"",HYPERLINK("["&amp;Archivo_Nombre&amp;"]Datos!"&amp;LEFT(SUBSTITUTE(ADDRESS(1,Formulas!Z47+2),"$",""))&amp;Formulas!Y47+1,
IFERROR(INDEX(Datos!$A$2:$L$101,Formulas!Y47,Formulas!Z47+2),"")))</f>
        <v/>
      </c>
      <c r="Z49" s="13"/>
      <c r="AA49" s="6"/>
      <c r="AB49" s="24" t="str" cm="1">
        <f t="array" aca="1" ref="AB49" ca="1">IF(OR(Formulas!AD46=0,Formulas!AD46="",RIGHT(Formulas!AE46)="0"),"",
HYPERLINK("["&amp;Archivo_Nombre&amp;"]Datos!"&amp;LEFT(SUBSTITUTE(ADDRESS(1,IF(Formulas!AD46=1,1,RIGHT(Formulas!AE46)+2)),"$",""))&amp;Formulas!AC46+1,
IFERROR(INDEX(Datos!$A$1:$L$1,1,RIGHT(Formulas!AE46)+2)&amp;IF(Formulas!AD46=1," "&amp;Formulas!AC46,"")&amp;":","")))</f>
        <v/>
      </c>
      <c r="AC49" s="107" t="str" cm="1">
        <f t="array" aca="1" ref="AC49" ca="1">IF(OR(Formulas!AD46=0,Formulas!AD46="",RIGHT(Formulas!AE46)="0"),"",
HYPERLINK("["&amp;Archivo_Nombre&amp;"]Datos!"&amp;LEFT(SUBSTITUTE(ADDRESS(1,RIGHT(Formulas!AE46)+2),"$",""))&amp;Formulas!AC46+1,
IFERROR(INDEX(Datos!$A$2:$L$101,Formulas!AC46,RIGHT(Formulas!AE46)+2),"")))</f>
        <v/>
      </c>
      <c r="AD49" s="107" t="str" cm="1">
        <f t="array" aca="1" ref="AD49" ca="1">IF(OR(Formulas!AE47=0,Formulas!AE47=""),"",HYPERLINK("["&amp;Archivo_Nombre&amp;"]Datos!"&amp;LEFT(SUBSTITUTE(ADDRESS(1,Formulas!AE47+2),"$",""))&amp;Formulas!AD47+1,
IFERROR(INDEX(Datos!$A$2:$L$101,Formulas!AD47,Formulas!AE47+2),"")))</f>
        <v/>
      </c>
      <c r="AE49" s="13"/>
      <c r="AF49" s="6"/>
      <c r="AG49" s="24" t="str" cm="1">
        <f t="array" aca="1" ref="AG49" ca="1">IF(OR(Formulas!AI46=0,Formulas!AI46="",RIGHT(Formulas!AJ46)="0"),"",
HYPERLINK("["&amp;Archivo_Nombre&amp;"]Datos!"&amp;LEFT(SUBSTITUTE(ADDRESS(1,IF(Formulas!AI46=1,1,RIGHT(Formulas!AJ46)+2)),"$",""))&amp;Formulas!AH46+1,
IFERROR(INDEX(Datos!$A$1:$L$1,1,RIGHT(Formulas!AJ46)+2)&amp;IF(Formulas!AI46=1," "&amp;Formulas!AH46,"")&amp;":","")))</f>
        <v/>
      </c>
      <c r="AH49" s="107" t="str" cm="1">
        <f t="array" aca="1" ref="AH49" ca="1">IF(OR(Formulas!AI46=0,Formulas!AI46="",RIGHT(Formulas!AJ46)="0"),"",
HYPERLINK("["&amp;Archivo_Nombre&amp;"]Datos!"&amp;LEFT(SUBSTITUTE(ADDRESS(1,RIGHT(Formulas!AJ46)+2),"$",""))&amp;Formulas!AH46+1,
IFERROR(INDEX(Datos!$A$2:$L$101,Formulas!AH46,RIGHT(Formulas!AJ46)+2),"")))</f>
        <v/>
      </c>
      <c r="AI49" s="107" t="str" cm="1">
        <f t="array" aca="1" ref="AI49" ca="1">IF(OR(Formulas!AJ47=0,Formulas!AJ47=""),"",HYPERLINK("["&amp;Archivo_Nombre&amp;"]Datos!"&amp;LEFT(SUBSTITUTE(ADDRESS(1,Formulas!AJ47+2),"$",""))&amp;Formulas!AI47+1,
IFERROR(INDEX(Datos!$A$2:$L$101,Formulas!AI47,Formulas!AJ47+2),"")))</f>
        <v/>
      </c>
      <c r="AJ49" s="13"/>
      <c r="AK49" s="6"/>
      <c r="AL49" s="24" t="str" cm="1">
        <f t="array" aca="1" ref="AL49" ca="1">IF(OR(Formulas!AN46=0,Formulas!AN46="",RIGHT(Formulas!AO46)="0"),"",
HYPERLINK("["&amp;Archivo_Nombre&amp;"]Datos!"&amp;LEFT(SUBSTITUTE(ADDRESS(1,IF(Formulas!AN46=1,1,RIGHT(Formulas!AO46)+2)),"$",""))&amp;Formulas!AM46+1,
IFERROR(INDEX(Datos!$A$1:$L$1,1,RIGHT(Formulas!AO46)+2)&amp;IF(Formulas!AN46=1," "&amp;Formulas!AM46,"")&amp;":","")))</f>
        <v/>
      </c>
      <c r="AM49" s="107" t="str" cm="1">
        <f t="array" aca="1" ref="AM49" ca="1">IF(OR(Formulas!AN46=0,Formulas!AN46="",RIGHT(Formulas!AO46)="0"),"",
HYPERLINK("["&amp;Archivo_Nombre&amp;"]Datos!"&amp;LEFT(SUBSTITUTE(ADDRESS(1,RIGHT(Formulas!AO46)+2),"$",""))&amp;Formulas!AM46+1,
IFERROR(INDEX(Datos!$A$2:$L$101,Formulas!AM46,RIGHT(Formulas!AO46)+2),"")))</f>
        <v/>
      </c>
      <c r="AN49" s="107" t="str" cm="1">
        <f t="array" aca="1" ref="AN49" ca="1">IF(OR(Formulas!AO47=0,Formulas!AO47=""),"",HYPERLINK("["&amp;Archivo_Nombre&amp;"]Datos!"&amp;LEFT(SUBSTITUTE(ADDRESS(1,Formulas!AO47+2),"$",""))&amp;Formulas!AN47+1,
IFERROR(INDEX(Datos!$A$2:$L$101,Formulas!AN47,Formulas!AO47+2),"")))</f>
        <v/>
      </c>
      <c r="AO49" s="13"/>
      <c r="AP49" s="6"/>
      <c r="AQ49" s="24" t="str" cm="1">
        <f t="array" aca="1" ref="AQ49" ca="1">IF(OR(Formulas!AS46=0,Formulas!AS46="",RIGHT(Formulas!AT46)="0"),"",
HYPERLINK("["&amp;Archivo_Nombre&amp;"]Datos!"&amp;LEFT(SUBSTITUTE(ADDRESS(1,IF(Formulas!AS46=1,1,RIGHT(Formulas!AT46)+2)),"$",""))&amp;Formulas!AR46+1,
IFERROR(INDEX(Datos!$A$1:$L$1,1,RIGHT(Formulas!AT46)+2)&amp;IF(Formulas!AS46=1," "&amp;Formulas!AR46,"")&amp;":","")))</f>
        <v/>
      </c>
      <c r="AR49" s="107" t="str" cm="1">
        <f t="array" aca="1" ref="AR49" ca="1">IF(OR(Formulas!AS46=0,Formulas!AS46="",RIGHT(Formulas!AT46)="0"),"",
HYPERLINK("["&amp;Archivo_Nombre&amp;"]Datos!"&amp;LEFT(SUBSTITUTE(ADDRESS(1,RIGHT(Formulas!AT46)+2),"$",""))&amp;Formulas!AR46+1,
IFERROR(INDEX(Datos!$A$2:$L$101,Formulas!AR46,RIGHT(Formulas!AT46)+2),"")))</f>
        <v/>
      </c>
      <c r="AS49" s="107" t="str" cm="1">
        <f t="array" aca="1" ref="AS49" ca="1">IF(OR(Formulas!AT47=0,Formulas!AT47=""),"",HYPERLINK("["&amp;Archivo_Nombre&amp;"]Datos!"&amp;LEFT(SUBSTITUTE(ADDRESS(1,Formulas!AT47+2),"$",""))&amp;Formulas!AS47+1,
IFERROR(INDEX(Datos!$A$2:$L$101,Formulas!AS47,Formulas!AT47+2),"")))</f>
        <v/>
      </c>
      <c r="AT49" s="13"/>
      <c r="AU49" s="6"/>
      <c r="AV49" s="24" t="str" cm="1">
        <f t="array" aca="1" ref="AV49" ca="1">IF(OR(Formulas!AX46=0,Formulas!AX46="",RIGHT(Formulas!AY46)="0"),"",
HYPERLINK("["&amp;Archivo_Nombre&amp;"]Datos!"&amp;LEFT(SUBSTITUTE(ADDRESS(1,IF(Formulas!AX46=1,1,RIGHT(Formulas!AY46)+2)),"$",""))&amp;Formulas!AW46+1,
IFERROR(INDEX(Datos!$A$1:$L$1,1,RIGHT(Formulas!AY46)+2)&amp;IF(Formulas!AX46=1," "&amp;Formulas!AW46,"")&amp;":","")))</f>
        <v/>
      </c>
      <c r="AW49" s="107" t="str" cm="1">
        <f t="array" aca="1" ref="AW49" ca="1">IF(OR(Formulas!AX46=0,Formulas!AX46="",RIGHT(Formulas!AY46)="0"),"",
HYPERLINK("["&amp;Archivo_Nombre&amp;"]Datos!"&amp;LEFT(SUBSTITUTE(ADDRESS(1,RIGHT(Formulas!AY46)+2),"$",""))&amp;Formulas!AW46+1,
IFERROR(INDEX(Datos!$A$2:$L$101,Formulas!AW46,RIGHT(Formulas!AY46)+2),"")))</f>
        <v/>
      </c>
      <c r="AX49" s="107" t="str" cm="1">
        <f t="array" aca="1" ref="AX49" ca="1">IF(OR(Formulas!AY47=0,Formulas!AY47=""),"",HYPERLINK("["&amp;Archivo_Nombre&amp;"]Datos!"&amp;LEFT(SUBSTITUTE(ADDRESS(1,Formulas!AY47+2),"$",""))&amp;Formulas!AX47+1,
IFERROR(INDEX(Datos!$A$2:$L$101,Formulas!AX47,Formulas!AY47+2),"")))</f>
        <v/>
      </c>
      <c r="AY49" s="13"/>
    </row>
    <row r="50" spans="2:51" x14ac:dyDescent="0.25">
      <c r="B50" s="11"/>
      <c r="C50" s="24" t="str" cm="1">
        <f t="array" aca="1" ref="C50" ca="1">IF(OR(Formulas!E47=0,Formulas!E47="",RIGHT(Formulas!F47)="0"),"",
HYPERLINK("["&amp;Archivo_Nombre&amp;"]Datos!"&amp;LEFT(SUBSTITUTE(ADDRESS(1,IF(Formulas!E47=1,1,RIGHT(Formulas!F47)+2)),"$",""))&amp;Formulas!D47+1,
IFERROR(INDEX(Datos!$A$1:$L$1,1,RIGHT(Formulas!F47)+2)&amp;IF(Formulas!E47=1," "&amp;Formulas!D47,"")&amp;":","")))</f>
        <v/>
      </c>
      <c r="D50" s="107" t="str" cm="1">
        <f t="array" aca="1" ref="D50" ca="1">IF(OR(Formulas!E47=0,Formulas!E47="",RIGHT(Formulas!F47)="0"),"",
HYPERLINK("["&amp;Archivo_Nombre&amp;"]Datos!"&amp;LEFT(SUBSTITUTE(ADDRESS(1,RIGHT(Formulas!F47)+2),"$",""))&amp;Formulas!D47+1,
IFERROR(INDEX(Datos!$A$2:$L$101,Formulas!D47,RIGHT(Formulas!F47)+2),"")))</f>
        <v/>
      </c>
      <c r="E50" s="107" t="str" cm="1">
        <f t="array" aca="1" ref="E50" ca="1">IF(OR(Formulas!F48=0,Formulas!F48=""),"",HYPERLINK("["&amp;Archivo_Nombre&amp;"]Datos!"&amp;LEFT(SUBSTITUTE(ADDRESS(1,Formulas!F48+2),"$",""))&amp;Formulas!E48+1,
IFERROR(INDEX(Datos!$A$2:$L$101,Formulas!E48,Formulas!F48+2),"")))</f>
        <v/>
      </c>
      <c r="F50" s="5"/>
      <c r="G50" s="6"/>
      <c r="H50" s="24" t="str" cm="1">
        <f t="array" aca="1" ref="H50" ca="1">IF(OR(Formulas!J47=0,Formulas!J47="",RIGHT(Formulas!K47)="0"),"",
HYPERLINK("["&amp;Archivo_Nombre&amp;"]Datos!"&amp;LEFT(SUBSTITUTE(ADDRESS(1,IF(Formulas!J47=1,1,RIGHT(Formulas!K47)+2)),"$",""))&amp;Formulas!I47+1,
IFERROR(INDEX(Datos!$A$1:$L$1,1,RIGHT(Formulas!K47)+2)&amp;IF(Formulas!J47=1," "&amp;Formulas!I47,"")&amp;":","")))</f>
        <v>Previsto:</v>
      </c>
      <c r="I50" s="107" cm="1">
        <f t="array" aca="1" ref="I50" ca="1">IF(OR(Formulas!J47=0,Formulas!J47="",RIGHT(Formulas!K47)="0"),"",
HYPERLINK("["&amp;Archivo_Nombre&amp;"]Datos!"&amp;LEFT(SUBSTITUTE(ADDRESS(1,RIGHT(Formulas!K47)+2),"$",""))&amp;Formulas!I47+1,
IFERROR(INDEX(Datos!$A$2:$L$101,Formulas!I47,RIGHT(Formulas!K47)+2),"")))</f>
        <v>45786</v>
      </c>
      <c r="J50" s="107" t="e" cm="1">
        <f t="array" aca="1" ref="J50" ca="1">IF(OR(Formulas!K48=0,Formulas!K48=""),"",HYPERLINK("["&amp;Archivo_Nombre&amp;"]Datos!"&amp;LEFT(SUBSTITUTE(ADDRESS(1,Formulas!K48+2),"$",""))&amp;Formulas!J48+1,
IFERROR(INDEX(Datos!$A$2:$L$101,Formulas!J48,Formulas!K48+2),"")))</f>
        <v>#VALUE!</v>
      </c>
      <c r="K50" s="5"/>
      <c r="L50" s="6"/>
      <c r="M50" s="24" t="str" cm="1">
        <f t="array" aca="1" ref="M50" ca="1">IF(OR(Formulas!O47=0,Formulas!O47="",RIGHT(Formulas!P47)="0"),"",
HYPERLINK("["&amp;Archivo_Nombre&amp;"]Datos!"&amp;LEFT(SUBSTITUTE(ADDRESS(1,IF(Formulas!O47=1,1,RIGHT(Formulas!P47)+2)),"$",""))&amp;Formulas!N47+1,
IFERROR(INDEX(Datos!$A$1:$L$1,1,RIGHT(Formulas!P47)+2)&amp;IF(Formulas!O47=1," "&amp;Formulas!N47,"")&amp;":","")))</f>
        <v/>
      </c>
      <c r="N50" s="107" t="str" cm="1">
        <f t="array" aca="1" ref="N50" ca="1">IF(OR(Formulas!O47=0,Formulas!O47="",RIGHT(Formulas!P47)="0"),"",
HYPERLINK("["&amp;Archivo_Nombre&amp;"]Datos!"&amp;LEFT(SUBSTITUTE(ADDRESS(1,RIGHT(Formulas!P47)+2),"$",""))&amp;Formulas!N47+1,
IFERROR(INDEX(Datos!$A$2:$L$101,Formulas!N47,RIGHT(Formulas!P47)+2),"")))</f>
        <v/>
      </c>
      <c r="O50" s="107" t="str" cm="1">
        <f t="array" aca="1" ref="O50" ca="1">IF(OR(Formulas!P48=0,Formulas!P48=""),"",HYPERLINK("["&amp;Archivo_Nombre&amp;"]Datos!"&amp;LEFT(SUBSTITUTE(ADDRESS(1,Formulas!P48+2),"$",""))&amp;Formulas!O48+1,
IFERROR(INDEX(Datos!$A$2:$L$101,Formulas!O48,Formulas!P48+2),"")))</f>
        <v/>
      </c>
      <c r="P50" s="5"/>
      <c r="Q50" s="6"/>
      <c r="R50" s="24" t="str" cm="1">
        <f t="array" aca="1" ref="R50" ca="1">IF(OR(Formulas!T47=0,Formulas!T47="",RIGHT(Formulas!U47)="0"),"",
HYPERLINK("["&amp;Archivo_Nombre&amp;"]Datos!"&amp;LEFT(SUBSTITUTE(ADDRESS(1,IF(Formulas!T47=1,1,RIGHT(Formulas!U47)+2)),"$",""))&amp;Formulas!S47+1,
IFERROR(INDEX(Datos!$A$1:$L$1,1,RIGHT(Formulas!U47)+2)&amp;IF(Formulas!T47=1," "&amp;Formulas!S47,"")&amp;":","")))</f>
        <v>Previsto:</v>
      </c>
      <c r="S50" s="107" cm="1">
        <f t="array" aca="1" ref="S50" ca="1">IF(OR(Formulas!T47=0,Formulas!T47="",RIGHT(Formulas!U47)="0"),"",
HYPERLINK("["&amp;Archivo_Nombre&amp;"]Datos!"&amp;LEFT(SUBSTITUTE(ADDRESS(1,RIGHT(Formulas!U47)+2),"$",""))&amp;Formulas!S47+1,
IFERROR(INDEX(Datos!$A$2:$L$101,Formulas!S47,RIGHT(Formulas!U47)+2),"")))</f>
        <v>45819</v>
      </c>
      <c r="T50" s="107" t="e" cm="1">
        <f t="array" aca="1" ref="T50" ca="1">IF(OR(Formulas!U48=0,Formulas!U48=""),"",HYPERLINK("["&amp;Archivo_Nombre&amp;"]Datos!"&amp;LEFT(SUBSTITUTE(ADDRESS(1,Formulas!U48+2),"$",""))&amp;Formulas!T48+1,
IFERROR(INDEX(Datos!$A$2:$L$101,Formulas!T48,Formulas!U48+2),"")))</f>
        <v>#VALUE!</v>
      </c>
      <c r="U50" s="5"/>
      <c r="V50" s="6"/>
      <c r="W50" s="24" t="str" cm="1">
        <f t="array" aca="1" ref="W50" ca="1">IF(OR(Formulas!Y47=0,Formulas!Y47="",RIGHT(Formulas!Z47)="0"),"",
HYPERLINK("["&amp;Archivo_Nombre&amp;"]Datos!"&amp;LEFT(SUBSTITUTE(ADDRESS(1,IF(Formulas!Y47=1,1,RIGHT(Formulas!Z47)+2)),"$",""))&amp;Formulas!X47+1,
IFERROR(INDEX(Datos!$A$1:$L$1,1,RIGHT(Formulas!Z47)+2)&amp;IF(Formulas!Y47=1," "&amp;Formulas!X47,"")&amp;":","")))</f>
        <v/>
      </c>
      <c r="X50" s="107" t="str" cm="1">
        <f t="array" aca="1" ref="X50" ca="1">IF(OR(Formulas!Y47=0,Formulas!Y47="",RIGHT(Formulas!Z47)="0"),"",
HYPERLINK("["&amp;Archivo_Nombre&amp;"]Datos!"&amp;LEFT(SUBSTITUTE(ADDRESS(1,RIGHT(Formulas!Z47)+2),"$",""))&amp;Formulas!X47+1,
IFERROR(INDEX(Datos!$A$2:$L$101,Formulas!X47,RIGHT(Formulas!Z47)+2),"")))</f>
        <v/>
      </c>
      <c r="Y50" s="107" t="str" cm="1">
        <f t="array" aca="1" ref="Y50" ca="1">IF(OR(Formulas!Z48=0,Formulas!Z48=""),"",HYPERLINK("["&amp;Archivo_Nombre&amp;"]Datos!"&amp;LEFT(SUBSTITUTE(ADDRESS(1,Formulas!Z48+2),"$",""))&amp;Formulas!Y48+1,
IFERROR(INDEX(Datos!$A$2:$L$101,Formulas!Y48,Formulas!Z48+2),"")))</f>
        <v/>
      </c>
      <c r="Z50" s="13"/>
      <c r="AA50" s="6"/>
      <c r="AB50" s="24" t="str" cm="1">
        <f t="array" aca="1" ref="AB50" ca="1">IF(OR(Formulas!AD47=0,Formulas!AD47="",RIGHT(Formulas!AE47)="0"),"",
HYPERLINK("["&amp;Archivo_Nombre&amp;"]Datos!"&amp;LEFT(SUBSTITUTE(ADDRESS(1,IF(Formulas!AD47=1,1,RIGHT(Formulas!AE47)+2)),"$",""))&amp;Formulas!AC47+1,
IFERROR(INDEX(Datos!$A$1:$L$1,1,RIGHT(Formulas!AE47)+2)&amp;IF(Formulas!AD47=1," "&amp;Formulas!AC47,"")&amp;":","")))</f>
        <v/>
      </c>
      <c r="AC50" s="107" t="str" cm="1">
        <f t="array" aca="1" ref="AC50" ca="1">IF(OR(Formulas!AD47=0,Formulas!AD47="",RIGHT(Formulas!AE47)="0"),"",
HYPERLINK("["&amp;Archivo_Nombre&amp;"]Datos!"&amp;LEFT(SUBSTITUTE(ADDRESS(1,RIGHT(Formulas!AE47)+2),"$",""))&amp;Formulas!AC47+1,
IFERROR(INDEX(Datos!$A$2:$L$101,Formulas!AC47,RIGHT(Formulas!AE47)+2),"")))</f>
        <v/>
      </c>
      <c r="AD50" s="107" t="str" cm="1">
        <f t="array" aca="1" ref="AD50" ca="1">IF(OR(Formulas!AE48=0,Formulas!AE48=""),"",HYPERLINK("["&amp;Archivo_Nombre&amp;"]Datos!"&amp;LEFT(SUBSTITUTE(ADDRESS(1,Formulas!AE48+2),"$",""))&amp;Formulas!AD48+1,
IFERROR(INDEX(Datos!$A$2:$L$101,Formulas!AD48,Formulas!AE48+2),"")))</f>
        <v/>
      </c>
      <c r="AE50" s="13"/>
      <c r="AF50" s="6"/>
      <c r="AG50" s="24" t="str" cm="1">
        <f t="array" aca="1" ref="AG50" ca="1">IF(OR(Formulas!AI47=0,Formulas!AI47="",RIGHT(Formulas!AJ47)="0"),"",
HYPERLINK("["&amp;Archivo_Nombre&amp;"]Datos!"&amp;LEFT(SUBSTITUTE(ADDRESS(1,IF(Formulas!AI47=1,1,RIGHT(Formulas!AJ47)+2)),"$",""))&amp;Formulas!AH47+1,
IFERROR(INDEX(Datos!$A$1:$L$1,1,RIGHT(Formulas!AJ47)+2)&amp;IF(Formulas!AI47=1," "&amp;Formulas!AH47,"")&amp;":","")))</f>
        <v/>
      </c>
      <c r="AH50" s="107" t="str" cm="1">
        <f t="array" aca="1" ref="AH50" ca="1">IF(OR(Formulas!AI47=0,Formulas!AI47="",RIGHT(Formulas!AJ47)="0"),"",
HYPERLINK("["&amp;Archivo_Nombre&amp;"]Datos!"&amp;LEFT(SUBSTITUTE(ADDRESS(1,RIGHT(Formulas!AJ47)+2),"$",""))&amp;Formulas!AH47+1,
IFERROR(INDEX(Datos!$A$2:$L$101,Formulas!AH47,RIGHT(Formulas!AJ47)+2),"")))</f>
        <v/>
      </c>
      <c r="AI50" s="107" t="str" cm="1">
        <f t="array" aca="1" ref="AI50" ca="1">IF(OR(Formulas!AJ48=0,Formulas!AJ48=""),"",HYPERLINK("["&amp;Archivo_Nombre&amp;"]Datos!"&amp;LEFT(SUBSTITUTE(ADDRESS(1,Formulas!AJ48+2),"$",""))&amp;Formulas!AI48+1,
IFERROR(INDEX(Datos!$A$2:$L$101,Formulas!AI48,Formulas!AJ48+2),"")))</f>
        <v/>
      </c>
      <c r="AJ50" s="13"/>
      <c r="AK50" s="6"/>
      <c r="AL50" s="24" t="str" cm="1">
        <f t="array" aca="1" ref="AL50" ca="1">IF(OR(Formulas!AN47=0,Formulas!AN47="",RIGHT(Formulas!AO47)="0"),"",
HYPERLINK("["&amp;Archivo_Nombre&amp;"]Datos!"&amp;LEFT(SUBSTITUTE(ADDRESS(1,IF(Formulas!AN47=1,1,RIGHT(Formulas!AO47)+2)),"$",""))&amp;Formulas!AM47+1,
IFERROR(INDEX(Datos!$A$1:$L$1,1,RIGHT(Formulas!AO47)+2)&amp;IF(Formulas!AN47=1," "&amp;Formulas!AM47,"")&amp;":","")))</f>
        <v/>
      </c>
      <c r="AM50" s="107" t="str" cm="1">
        <f t="array" aca="1" ref="AM50" ca="1">IF(OR(Formulas!AN47=0,Formulas!AN47="",RIGHT(Formulas!AO47)="0"),"",
HYPERLINK("["&amp;Archivo_Nombre&amp;"]Datos!"&amp;LEFT(SUBSTITUTE(ADDRESS(1,RIGHT(Formulas!AO47)+2),"$",""))&amp;Formulas!AM47+1,
IFERROR(INDEX(Datos!$A$2:$L$101,Formulas!AM47,RIGHT(Formulas!AO47)+2),"")))</f>
        <v/>
      </c>
      <c r="AN50" s="107" t="str" cm="1">
        <f t="array" aca="1" ref="AN50" ca="1">IF(OR(Formulas!AO48=0,Formulas!AO48=""),"",HYPERLINK("["&amp;Archivo_Nombre&amp;"]Datos!"&amp;LEFT(SUBSTITUTE(ADDRESS(1,Formulas!AO48+2),"$",""))&amp;Formulas!AN48+1,
IFERROR(INDEX(Datos!$A$2:$L$101,Formulas!AN48,Formulas!AO48+2),"")))</f>
        <v/>
      </c>
      <c r="AO50" s="13"/>
      <c r="AP50" s="6"/>
      <c r="AQ50" s="24" t="str" cm="1">
        <f t="array" aca="1" ref="AQ50" ca="1">IF(OR(Formulas!AS47=0,Formulas!AS47="",RIGHT(Formulas!AT47)="0"),"",
HYPERLINK("["&amp;Archivo_Nombre&amp;"]Datos!"&amp;LEFT(SUBSTITUTE(ADDRESS(1,IF(Formulas!AS47=1,1,RIGHT(Formulas!AT47)+2)),"$",""))&amp;Formulas!AR47+1,
IFERROR(INDEX(Datos!$A$1:$L$1,1,RIGHT(Formulas!AT47)+2)&amp;IF(Formulas!AS47=1," "&amp;Formulas!AR47,"")&amp;":","")))</f>
        <v/>
      </c>
      <c r="AR50" s="107" t="str" cm="1">
        <f t="array" aca="1" ref="AR50" ca="1">IF(OR(Formulas!AS47=0,Formulas!AS47="",RIGHT(Formulas!AT47)="0"),"",
HYPERLINK("["&amp;Archivo_Nombre&amp;"]Datos!"&amp;LEFT(SUBSTITUTE(ADDRESS(1,RIGHT(Formulas!AT47)+2),"$",""))&amp;Formulas!AR47+1,
IFERROR(INDEX(Datos!$A$2:$L$101,Formulas!AR47,RIGHT(Formulas!AT47)+2),"")))</f>
        <v/>
      </c>
      <c r="AS50" s="107" t="str" cm="1">
        <f t="array" aca="1" ref="AS50" ca="1">IF(OR(Formulas!AT48=0,Formulas!AT48=""),"",HYPERLINK("["&amp;Archivo_Nombre&amp;"]Datos!"&amp;LEFT(SUBSTITUTE(ADDRESS(1,Formulas!AT48+2),"$",""))&amp;Formulas!AS48+1,
IFERROR(INDEX(Datos!$A$2:$L$101,Formulas!AS48,Formulas!AT48+2),"")))</f>
        <v/>
      </c>
      <c r="AT50" s="13"/>
      <c r="AU50" s="6"/>
      <c r="AV50" s="24" t="str" cm="1">
        <f t="array" aca="1" ref="AV50" ca="1">IF(OR(Formulas!AX47=0,Formulas!AX47="",RIGHT(Formulas!AY47)="0"),"",
HYPERLINK("["&amp;Archivo_Nombre&amp;"]Datos!"&amp;LEFT(SUBSTITUTE(ADDRESS(1,IF(Formulas!AX47=1,1,RIGHT(Formulas!AY47)+2)),"$",""))&amp;Formulas!AW47+1,
IFERROR(INDEX(Datos!$A$1:$L$1,1,RIGHT(Formulas!AY47)+2)&amp;IF(Formulas!AX47=1," "&amp;Formulas!AW47,"")&amp;":","")))</f>
        <v/>
      </c>
      <c r="AW50" s="107" t="str" cm="1">
        <f t="array" aca="1" ref="AW50" ca="1">IF(OR(Formulas!AX47=0,Formulas!AX47="",RIGHT(Formulas!AY47)="0"),"",
HYPERLINK("["&amp;Archivo_Nombre&amp;"]Datos!"&amp;LEFT(SUBSTITUTE(ADDRESS(1,RIGHT(Formulas!AY47)+2),"$",""))&amp;Formulas!AW47+1,
IFERROR(INDEX(Datos!$A$2:$L$101,Formulas!AW47,RIGHT(Formulas!AY47)+2),"")))</f>
        <v/>
      </c>
      <c r="AX50" s="107" t="str" cm="1">
        <f t="array" aca="1" ref="AX50" ca="1">IF(OR(Formulas!AY48=0,Formulas!AY48=""),"",HYPERLINK("["&amp;Archivo_Nombre&amp;"]Datos!"&amp;LEFT(SUBSTITUTE(ADDRESS(1,Formulas!AY48+2),"$",""))&amp;Formulas!AX48+1,
IFERROR(INDEX(Datos!$A$2:$L$101,Formulas!AX48,Formulas!AY48+2),"")))</f>
        <v/>
      </c>
      <c r="AY50" s="13"/>
    </row>
    <row r="51" spans="2:51" x14ac:dyDescent="0.25">
      <c r="B51" s="11"/>
      <c r="C51" s="24" t="str" cm="1">
        <f t="array" aca="1" ref="C51" ca="1">IF(OR(Formulas!E48=0,Formulas!E48="",RIGHT(Formulas!F48)="0"),"",
HYPERLINK("["&amp;Archivo_Nombre&amp;"]Datos!"&amp;LEFT(SUBSTITUTE(ADDRESS(1,IF(Formulas!E48=1,1,RIGHT(Formulas!F48)+2)),"$",""))&amp;Formulas!D48+1,
IFERROR(INDEX(Datos!$A$1:$L$1,1,RIGHT(Formulas!F48)+2)&amp;IF(Formulas!E48=1," "&amp;Formulas!D48,"")&amp;":","")))</f>
        <v/>
      </c>
      <c r="D51" s="107" t="str" cm="1">
        <f t="array" aca="1" ref="D51" ca="1">IF(OR(Formulas!E48=0,Formulas!E48="",RIGHT(Formulas!F48)="0"),"",
HYPERLINK("["&amp;Archivo_Nombre&amp;"]Datos!"&amp;LEFT(SUBSTITUTE(ADDRESS(1,RIGHT(Formulas!F48)+2),"$",""))&amp;Formulas!D48+1,
IFERROR(INDEX(Datos!$A$2:$L$101,Formulas!D48,RIGHT(Formulas!F48)+2),"")))</f>
        <v/>
      </c>
      <c r="E51" s="107" t="str" cm="1">
        <f t="array" aca="1" ref="E51" ca="1">IF(OR(Formulas!F49=0,Formulas!F49=""),"",HYPERLINK("["&amp;Archivo_Nombre&amp;"]Datos!"&amp;LEFT(SUBSTITUTE(ADDRESS(1,Formulas!F49+2),"$",""))&amp;Formulas!E49+1,
IFERROR(INDEX(Datos!$A$2:$L$101,Formulas!E49,Formulas!F49+2),"")))</f>
        <v/>
      </c>
      <c r="F51" s="5"/>
      <c r="G51" s="6"/>
      <c r="H51" s="24" t="str" cm="1">
        <f t="array" aca="1" ref="H51" ca="1">IF(OR(Formulas!J48=0,Formulas!J48="",RIGHT(Formulas!K48)="0"),"",
HYPERLINK("["&amp;Archivo_Nombre&amp;"]Datos!"&amp;LEFT(SUBSTITUTE(ADDRESS(1,IF(Formulas!J48=1,1,RIGHT(Formulas!K48)+2)),"$",""))&amp;Formulas!I48+1,
IFERROR(INDEX(Datos!$A$1:$L$1,1,RIGHT(Formulas!K48)+2)&amp;IF(Formulas!J48=1," "&amp;Formulas!I48,"")&amp;":","")))</f>
        <v>Final:</v>
      </c>
      <c r="I51" s="107" cm="1">
        <f t="array" aca="1" ref="I51" ca="1">IF(OR(Formulas!J48=0,Formulas!J48="",RIGHT(Formulas!K48)="0"),"",
HYPERLINK("["&amp;Archivo_Nombre&amp;"]Datos!"&amp;LEFT(SUBSTITUTE(ADDRESS(1,RIGHT(Formulas!K48)+2),"$",""))&amp;Formulas!I48+1,
IFERROR(INDEX(Datos!$A$2:$L$101,Formulas!I48,RIGHT(Formulas!K48)+2),"")))</f>
        <v>45786</v>
      </c>
      <c r="J51" s="107" t="e" cm="1">
        <f t="array" aca="1" ref="J51" ca="1">IF(OR(Formulas!K49=0,Formulas!K49=""),"",HYPERLINK("["&amp;Archivo_Nombre&amp;"]Datos!"&amp;LEFT(SUBSTITUTE(ADDRESS(1,Formulas!K49+2),"$",""))&amp;Formulas!J49+1,
IFERROR(INDEX(Datos!$A$2:$L$101,Formulas!J49,Formulas!K49+2),"")))</f>
        <v>#VALUE!</v>
      </c>
      <c r="K51" s="5"/>
      <c r="L51" s="6"/>
      <c r="M51" s="24" t="str" cm="1">
        <f t="array" aca="1" ref="M51" ca="1">IF(OR(Formulas!O48=0,Formulas!O48="",RIGHT(Formulas!P48)="0"),"",
HYPERLINK("["&amp;Archivo_Nombre&amp;"]Datos!"&amp;LEFT(SUBSTITUTE(ADDRESS(1,IF(Formulas!O48=1,1,RIGHT(Formulas!P48)+2)),"$",""))&amp;Formulas!N48+1,
IFERROR(INDEX(Datos!$A$1:$L$1,1,RIGHT(Formulas!P48)+2)&amp;IF(Formulas!O48=1," "&amp;Formulas!N48,"")&amp;":","")))</f>
        <v/>
      </c>
      <c r="N51" s="107" t="str" cm="1">
        <f t="array" aca="1" ref="N51" ca="1">IF(OR(Formulas!O48=0,Formulas!O48="",RIGHT(Formulas!P48)="0"),"",
HYPERLINK("["&amp;Archivo_Nombre&amp;"]Datos!"&amp;LEFT(SUBSTITUTE(ADDRESS(1,RIGHT(Formulas!P48)+2),"$",""))&amp;Formulas!N48+1,
IFERROR(INDEX(Datos!$A$2:$L$101,Formulas!N48,RIGHT(Formulas!P48)+2),"")))</f>
        <v/>
      </c>
      <c r="O51" s="107" t="str" cm="1">
        <f t="array" aca="1" ref="O51" ca="1">IF(OR(Formulas!P49=0,Formulas!P49=""),"",HYPERLINK("["&amp;Archivo_Nombre&amp;"]Datos!"&amp;LEFT(SUBSTITUTE(ADDRESS(1,Formulas!P49+2),"$",""))&amp;Formulas!O49+1,
IFERROR(INDEX(Datos!$A$2:$L$101,Formulas!O49,Formulas!P49+2),"")))</f>
        <v/>
      </c>
      <c r="P51" s="5"/>
      <c r="Q51" s="6"/>
      <c r="R51" s="24" t="str" cm="1">
        <f t="array" aca="1" ref="R51" ca="1">IF(OR(Formulas!T48=0,Formulas!T48="",RIGHT(Formulas!U48)="0"),"",
HYPERLINK("["&amp;Archivo_Nombre&amp;"]Datos!"&amp;LEFT(SUBSTITUTE(ADDRESS(1,IF(Formulas!T48=1,1,RIGHT(Formulas!U48)+2)),"$",""))&amp;Formulas!S48+1,
IFERROR(INDEX(Datos!$A$1:$L$1,1,RIGHT(Formulas!U48)+2)&amp;IF(Formulas!T48=1," "&amp;Formulas!S48,"")&amp;":","")))</f>
        <v>Final:</v>
      </c>
      <c r="S51" s="107" cm="1">
        <f t="array" aca="1" ref="S51" ca="1">IF(OR(Formulas!T48=0,Formulas!T48="",RIGHT(Formulas!U48)="0"),"",
HYPERLINK("["&amp;Archivo_Nombre&amp;"]Datos!"&amp;LEFT(SUBSTITUTE(ADDRESS(1,RIGHT(Formulas!U48)+2),"$",""))&amp;Formulas!S48+1,
IFERROR(INDEX(Datos!$A$2:$L$101,Formulas!S48,RIGHT(Formulas!U48)+2),"")))</f>
        <v>45819</v>
      </c>
      <c r="T51" s="107" t="e" cm="1">
        <f t="array" aca="1" ref="T51" ca="1">IF(OR(Formulas!U49=0,Formulas!U49=""),"",HYPERLINK("["&amp;Archivo_Nombre&amp;"]Datos!"&amp;LEFT(SUBSTITUTE(ADDRESS(1,Formulas!U49+2),"$",""))&amp;Formulas!T49+1,
IFERROR(INDEX(Datos!$A$2:$L$101,Formulas!T49,Formulas!U49+2),"")))</f>
        <v>#VALUE!</v>
      </c>
      <c r="U51" s="5"/>
      <c r="V51" s="6"/>
      <c r="W51" s="24" t="str" cm="1">
        <f t="array" aca="1" ref="W51" ca="1">IF(OR(Formulas!Y48=0,Formulas!Y48="",RIGHT(Formulas!Z48)="0"),"",
HYPERLINK("["&amp;Archivo_Nombre&amp;"]Datos!"&amp;LEFT(SUBSTITUTE(ADDRESS(1,IF(Formulas!Y48=1,1,RIGHT(Formulas!Z48)+2)),"$",""))&amp;Formulas!X48+1,
IFERROR(INDEX(Datos!$A$1:$L$1,1,RIGHT(Formulas!Z48)+2)&amp;IF(Formulas!Y48=1," "&amp;Formulas!X48,"")&amp;":","")))</f>
        <v/>
      </c>
      <c r="X51" s="107" t="str" cm="1">
        <f t="array" aca="1" ref="X51" ca="1">IF(OR(Formulas!Y48=0,Formulas!Y48="",RIGHT(Formulas!Z48)="0"),"",
HYPERLINK("["&amp;Archivo_Nombre&amp;"]Datos!"&amp;LEFT(SUBSTITUTE(ADDRESS(1,RIGHT(Formulas!Z48)+2),"$",""))&amp;Formulas!X48+1,
IFERROR(INDEX(Datos!$A$2:$L$101,Formulas!X48,RIGHT(Formulas!Z48)+2),"")))</f>
        <v/>
      </c>
      <c r="Y51" s="107" t="str" cm="1">
        <f t="array" aca="1" ref="Y51" ca="1">IF(OR(Formulas!Z49=0,Formulas!Z49=""),"",HYPERLINK("["&amp;Archivo_Nombre&amp;"]Datos!"&amp;LEFT(SUBSTITUTE(ADDRESS(1,Formulas!Z49+2),"$",""))&amp;Formulas!Y49+1,
IFERROR(INDEX(Datos!$A$2:$L$101,Formulas!Y49,Formulas!Z49+2),"")))</f>
        <v/>
      </c>
      <c r="Z51" s="13"/>
      <c r="AA51" s="6"/>
      <c r="AB51" s="24" t="str" cm="1">
        <f t="array" aca="1" ref="AB51" ca="1">IF(OR(Formulas!AD48=0,Formulas!AD48="",RIGHT(Formulas!AE48)="0"),"",
HYPERLINK("["&amp;Archivo_Nombre&amp;"]Datos!"&amp;LEFT(SUBSTITUTE(ADDRESS(1,IF(Formulas!AD48=1,1,RIGHT(Formulas!AE48)+2)),"$",""))&amp;Formulas!AC48+1,
IFERROR(INDEX(Datos!$A$1:$L$1,1,RIGHT(Formulas!AE48)+2)&amp;IF(Formulas!AD48=1," "&amp;Formulas!AC48,"")&amp;":","")))</f>
        <v/>
      </c>
      <c r="AC51" s="107" t="str" cm="1">
        <f t="array" aca="1" ref="AC51" ca="1">IF(OR(Formulas!AD48=0,Formulas!AD48="",RIGHT(Formulas!AE48)="0"),"",
HYPERLINK("["&amp;Archivo_Nombre&amp;"]Datos!"&amp;LEFT(SUBSTITUTE(ADDRESS(1,RIGHT(Formulas!AE48)+2),"$",""))&amp;Formulas!AC48+1,
IFERROR(INDEX(Datos!$A$2:$L$101,Formulas!AC48,RIGHT(Formulas!AE48)+2),"")))</f>
        <v/>
      </c>
      <c r="AD51" s="107" t="str" cm="1">
        <f t="array" aca="1" ref="AD51" ca="1">IF(OR(Formulas!AE49=0,Formulas!AE49=""),"",HYPERLINK("["&amp;Archivo_Nombre&amp;"]Datos!"&amp;LEFT(SUBSTITUTE(ADDRESS(1,Formulas!AE49+2),"$",""))&amp;Formulas!AD49+1,
IFERROR(INDEX(Datos!$A$2:$L$101,Formulas!AD49,Formulas!AE49+2),"")))</f>
        <v/>
      </c>
      <c r="AE51" s="13"/>
      <c r="AF51" s="6"/>
      <c r="AG51" s="24" t="str" cm="1">
        <f t="array" aca="1" ref="AG51" ca="1">IF(OR(Formulas!AI48=0,Formulas!AI48="",RIGHT(Formulas!AJ48)="0"),"",
HYPERLINK("["&amp;Archivo_Nombre&amp;"]Datos!"&amp;LEFT(SUBSTITUTE(ADDRESS(1,IF(Formulas!AI48=1,1,RIGHT(Formulas!AJ48)+2)),"$",""))&amp;Formulas!AH48+1,
IFERROR(INDEX(Datos!$A$1:$L$1,1,RIGHT(Formulas!AJ48)+2)&amp;IF(Formulas!AI48=1," "&amp;Formulas!AH48,"")&amp;":","")))</f>
        <v/>
      </c>
      <c r="AH51" s="107" t="str" cm="1">
        <f t="array" aca="1" ref="AH51" ca="1">IF(OR(Formulas!AI48=0,Formulas!AI48="",RIGHT(Formulas!AJ48)="0"),"",
HYPERLINK("["&amp;Archivo_Nombre&amp;"]Datos!"&amp;LEFT(SUBSTITUTE(ADDRESS(1,RIGHT(Formulas!AJ48)+2),"$",""))&amp;Formulas!AH48+1,
IFERROR(INDEX(Datos!$A$2:$L$101,Formulas!AH48,RIGHT(Formulas!AJ48)+2),"")))</f>
        <v/>
      </c>
      <c r="AI51" s="107" t="str" cm="1">
        <f t="array" aca="1" ref="AI51" ca="1">IF(OR(Formulas!AJ49=0,Formulas!AJ49=""),"",HYPERLINK("["&amp;Archivo_Nombre&amp;"]Datos!"&amp;LEFT(SUBSTITUTE(ADDRESS(1,Formulas!AJ49+2),"$",""))&amp;Formulas!AI49+1,
IFERROR(INDEX(Datos!$A$2:$L$101,Formulas!AI49,Formulas!AJ49+2),"")))</f>
        <v/>
      </c>
      <c r="AJ51" s="13"/>
      <c r="AK51" s="6"/>
      <c r="AL51" s="24" t="str" cm="1">
        <f t="array" aca="1" ref="AL51" ca="1">IF(OR(Formulas!AN48=0,Formulas!AN48="",RIGHT(Formulas!AO48)="0"),"",
HYPERLINK("["&amp;Archivo_Nombre&amp;"]Datos!"&amp;LEFT(SUBSTITUTE(ADDRESS(1,IF(Formulas!AN48=1,1,RIGHT(Formulas!AO48)+2)),"$",""))&amp;Formulas!AM48+1,
IFERROR(INDEX(Datos!$A$1:$L$1,1,RIGHT(Formulas!AO48)+2)&amp;IF(Formulas!AN48=1," "&amp;Formulas!AM48,"")&amp;":","")))</f>
        <v/>
      </c>
      <c r="AM51" s="107" t="str" cm="1">
        <f t="array" aca="1" ref="AM51" ca="1">IF(OR(Formulas!AN48=0,Formulas!AN48="",RIGHT(Formulas!AO48)="0"),"",
HYPERLINK("["&amp;Archivo_Nombre&amp;"]Datos!"&amp;LEFT(SUBSTITUTE(ADDRESS(1,RIGHT(Formulas!AO48)+2),"$",""))&amp;Formulas!AM48+1,
IFERROR(INDEX(Datos!$A$2:$L$101,Formulas!AM48,RIGHT(Formulas!AO48)+2),"")))</f>
        <v/>
      </c>
      <c r="AN51" s="107" t="str" cm="1">
        <f t="array" aca="1" ref="AN51" ca="1">IF(OR(Formulas!AO49=0,Formulas!AO49=""),"",HYPERLINK("["&amp;Archivo_Nombre&amp;"]Datos!"&amp;LEFT(SUBSTITUTE(ADDRESS(1,Formulas!AO49+2),"$",""))&amp;Formulas!AN49+1,
IFERROR(INDEX(Datos!$A$2:$L$101,Formulas!AN49,Formulas!AO49+2),"")))</f>
        <v/>
      </c>
      <c r="AO51" s="13"/>
      <c r="AP51" s="6"/>
      <c r="AQ51" s="24" t="str" cm="1">
        <f t="array" aca="1" ref="AQ51" ca="1">IF(OR(Formulas!AS48=0,Formulas!AS48="",RIGHT(Formulas!AT48)="0"),"",
HYPERLINK("["&amp;Archivo_Nombre&amp;"]Datos!"&amp;LEFT(SUBSTITUTE(ADDRESS(1,IF(Formulas!AS48=1,1,RIGHT(Formulas!AT48)+2)),"$",""))&amp;Formulas!AR48+1,
IFERROR(INDEX(Datos!$A$1:$L$1,1,RIGHT(Formulas!AT48)+2)&amp;IF(Formulas!AS48=1," "&amp;Formulas!AR48,"")&amp;":","")))</f>
        <v/>
      </c>
      <c r="AR51" s="107" t="str" cm="1">
        <f t="array" aca="1" ref="AR51" ca="1">IF(OR(Formulas!AS48=0,Formulas!AS48="",RIGHT(Formulas!AT48)="0"),"",
HYPERLINK("["&amp;Archivo_Nombre&amp;"]Datos!"&amp;LEFT(SUBSTITUTE(ADDRESS(1,RIGHT(Formulas!AT48)+2),"$",""))&amp;Formulas!AR48+1,
IFERROR(INDEX(Datos!$A$2:$L$101,Formulas!AR48,RIGHT(Formulas!AT48)+2),"")))</f>
        <v/>
      </c>
      <c r="AS51" s="107" t="str" cm="1">
        <f t="array" aca="1" ref="AS51" ca="1">IF(OR(Formulas!AT49=0,Formulas!AT49=""),"",HYPERLINK("["&amp;Archivo_Nombre&amp;"]Datos!"&amp;LEFT(SUBSTITUTE(ADDRESS(1,Formulas!AT49+2),"$",""))&amp;Formulas!AS49+1,
IFERROR(INDEX(Datos!$A$2:$L$101,Formulas!AS49,Formulas!AT49+2),"")))</f>
        <v/>
      </c>
      <c r="AT51" s="13"/>
      <c r="AU51" s="6"/>
      <c r="AV51" s="24" t="str" cm="1">
        <f t="array" aca="1" ref="AV51" ca="1">IF(OR(Formulas!AX48=0,Formulas!AX48="",RIGHT(Formulas!AY48)="0"),"",
HYPERLINK("["&amp;Archivo_Nombre&amp;"]Datos!"&amp;LEFT(SUBSTITUTE(ADDRESS(1,IF(Formulas!AX48=1,1,RIGHT(Formulas!AY48)+2)),"$",""))&amp;Formulas!AW48+1,
IFERROR(INDEX(Datos!$A$1:$L$1,1,RIGHT(Formulas!AY48)+2)&amp;IF(Formulas!AX48=1," "&amp;Formulas!AW48,"")&amp;":","")))</f>
        <v/>
      </c>
      <c r="AW51" s="107" t="str" cm="1">
        <f t="array" aca="1" ref="AW51" ca="1">IF(OR(Formulas!AX48=0,Formulas!AX48="",RIGHT(Formulas!AY48)="0"),"",
HYPERLINK("["&amp;Archivo_Nombre&amp;"]Datos!"&amp;LEFT(SUBSTITUTE(ADDRESS(1,RIGHT(Formulas!AY48)+2),"$",""))&amp;Formulas!AW48+1,
IFERROR(INDEX(Datos!$A$2:$L$101,Formulas!AW48,RIGHT(Formulas!AY48)+2),"")))</f>
        <v/>
      </c>
      <c r="AX51" s="107" t="str" cm="1">
        <f t="array" aca="1" ref="AX51" ca="1">IF(OR(Formulas!AY49=0,Formulas!AY49=""),"",HYPERLINK("["&amp;Archivo_Nombre&amp;"]Datos!"&amp;LEFT(SUBSTITUTE(ADDRESS(1,Formulas!AY49+2),"$",""))&amp;Formulas!AX49+1,
IFERROR(INDEX(Datos!$A$2:$L$101,Formulas!AX49,Formulas!AY49+2),"")))</f>
        <v/>
      </c>
      <c r="AY51" s="13"/>
    </row>
    <row r="52" spans="2:51" x14ac:dyDescent="0.25">
      <c r="B52" s="11"/>
      <c r="C52" s="24" t="str" cm="1">
        <f t="array" aca="1" ref="C52" ca="1">IF(OR(Formulas!E49=0,Formulas!E49="",RIGHT(Formulas!F49)="0"),"",
HYPERLINK("["&amp;Archivo_Nombre&amp;"]Datos!"&amp;LEFT(SUBSTITUTE(ADDRESS(1,IF(Formulas!E49=1,1,RIGHT(Formulas!F49)+2)),"$",""))&amp;Formulas!D49+1,
IFERROR(INDEX(Datos!$A$1:$L$1,1,RIGHT(Formulas!F49)+2)&amp;IF(Formulas!E49=1," "&amp;Formulas!D49,"")&amp;":","")))</f>
        <v/>
      </c>
      <c r="D52" s="107" t="str" cm="1">
        <f t="array" aca="1" ref="D52" ca="1">IF(OR(Formulas!E49=0,Formulas!E49="",RIGHT(Formulas!F49)="0"),"",
HYPERLINK("["&amp;Archivo_Nombre&amp;"]Datos!"&amp;LEFT(SUBSTITUTE(ADDRESS(1,RIGHT(Formulas!F49)+2),"$",""))&amp;Formulas!D49+1,
IFERROR(INDEX(Datos!$A$2:$L$101,Formulas!D49,RIGHT(Formulas!F49)+2),"")))</f>
        <v/>
      </c>
      <c r="E52" s="107" t="str" cm="1">
        <f t="array" aca="1" ref="E52" ca="1">IF(OR(Formulas!F50=0,Formulas!F50=""),"",HYPERLINK("["&amp;Archivo_Nombre&amp;"]Datos!"&amp;LEFT(SUBSTITUTE(ADDRESS(1,Formulas!F50+2),"$",""))&amp;Formulas!E50+1,
IFERROR(INDEX(Datos!$A$2:$L$101,Formulas!E50,Formulas!F50+2),"")))</f>
        <v/>
      </c>
      <c r="F52" s="5"/>
      <c r="G52" s="6"/>
      <c r="H52" s="24" t="str" cm="1">
        <f t="array" aca="1" ref="H52" ca="1">IF(OR(Formulas!J49=0,Formulas!J49="",RIGHT(Formulas!K49)="0"),"",
HYPERLINK("["&amp;Archivo_Nombre&amp;"]Datos!"&amp;LEFT(SUBSTITUTE(ADDRESS(1,IF(Formulas!J49=1,1,RIGHT(Formulas!K49)+2)),"$",""))&amp;Formulas!I49+1,
IFERROR(INDEX(Datos!$A$1:$L$1,1,RIGHT(Formulas!K49)+2)&amp;IF(Formulas!J49=1," "&amp;Formulas!I49,"")&amp;":","")))</f>
        <v>Duración:</v>
      </c>
      <c r="I52" s="107" t="str" cm="1">
        <f t="array" aca="1" ref="I52" ca="1">IF(OR(Formulas!J49=0,Formulas!J49="",RIGHT(Formulas!K49)="0"),"",
HYPERLINK("["&amp;Archivo_Nombre&amp;"]Datos!"&amp;LEFT(SUBSTITUTE(ADDRESS(1,RIGHT(Formulas!K49)+2),"$",""))&amp;Formulas!I49+1,
IFERROR(INDEX(Datos!$A$2:$L$101,Formulas!I49,RIGHT(Formulas!K49)+2),"")))</f>
        <v>2 días</v>
      </c>
      <c r="J52" s="107" t="e" cm="1">
        <f t="array" aca="1" ref="J52" ca="1">IF(OR(Formulas!K50=0,Formulas!K50=""),"",HYPERLINK("["&amp;Archivo_Nombre&amp;"]Datos!"&amp;LEFT(SUBSTITUTE(ADDRESS(1,Formulas!K50+2),"$",""))&amp;Formulas!J50+1,
IFERROR(INDEX(Datos!$A$2:$L$101,Formulas!J50,Formulas!K50+2),"")))</f>
        <v>#VALUE!</v>
      </c>
      <c r="K52" s="5"/>
      <c r="L52" s="6"/>
      <c r="M52" s="24" t="str" cm="1">
        <f t="array" aca="1" ref="M52" ca="1">IF(OR(Formulas!O49=0,Formulas!O49="",RIGHT(Formulas!P49)="0"),"",
HYPERLINK("["&amp;Archivo_Nombre&amp;"]Datos!"&amp;LEFT(SUBSTITUTE(ADDRESS(1,IF(Formulas!O49=1,1,RIGHT(Formulas!P49)+2)),"$",""))&amp;Formulas!N49+1,
IFERROR(INDEX(Datos!$A$1:$L$1,1,RIGHT(Formulas!P49)+2)&amp;IF(Formulas!O49=1," "&amp;Formulas!N49,"")&amp;":","")))</f>
        <v/>
      </c>
      <c r="N52" s="107" t="str" cm="1">
        <f t="array" aca="1" ref="N52" ca="1">IF(OR(Formulas!O49=0,Formulas!O49="",RIGHT(Formulas!P49)="0"),"",
HYPERLINK("["&amp;Archivo_Nombre&amp;"]Datos!"&amp;LEFT(SUBSTITUTE(ADDRESS(1,RIGHT(Formulas!P49)+2),"$",""))&amp;Formulas!N49+1,
IFERROR(INDEX(Datos!$A$2:$L$101,Formulas!N49,RIGHT(Formulas!P49)+2),"")))</f>
        <v/>
      </c>
      <c r="O52" s="107" t="str" cm="1">
        <f t="array" aca="1" ref="O52" ca="1">IF(OR(Formulas!P50=0,Formulas!P50=""),"",HYPERLINK("["&amp;Archivo_Nombre&amp;"]Datos!"&amp;LEFT(SUBSTITUTE(ADDRESS(1,Formulas!P50+2),"$",""))&amp;Formulas!O50+1,
IFERROR(INDEX(Datos!$A$2:$L$101,Formulas!O50,Formulas!P50+2),"")))</f>
        <v/>
      </c>
      <c r="P52" s="5"/>
      <c r="Q52" s="6"/>
      <c r="R52" s="24" t="str" cm="1">
        <f t="array" aca="1" ref="R52" ca="1">IF(OR(Formulas!T49=0,Formulas!T49="",RIGHT(Formulas!U49)="0"),"",
HYPERLINK("["&amp;Archivo_Nombre&amp;"]Datos!"&amp;LEFT(SUBSTITUTE(ADDRESS(1,IF(Formulas!T49=1,1,RIGHT(Formulas!U49)+2)),"$",""))&amp;Formulas!S49+1,
IFERROR(INDEX(Datos!$A$1:$L$1,1,RIGHT(Formulas!U49)+2)&amp;IF(Formulas!T49=1," "&amp;Formulas!S49,"")&amp;":","")))</f>
        <v>Duración:</v>
      </c>
      <c r="S52" s="107" t="str" cm="1">
        <f t="array" aca="1" ref="S52" ca="1">IF(OR(Formulas!T49=0,Formulas!T49="",RIGHT(Formulas!U49)="0"),"",
HYPERLINK("["&amp;Archivo_Nombre&amp;"]Datos!"&amp;LEFT(SUBSTITUTE(ADDRESS(1,RIGHT(Formulas!U49)+2),"$",""))&amp;Formulas!S49+1,
IFERROR(INDEX(Datos!$A$2:$L$101,Formulas!S49,RIGHT(Formulas!U49)+2),"")))</f>
        <v>3 días</v>
      </c>
      <c r="T52" s="107" t="e" cm="1">
        <f t="array" aca="1" ref="T52" ca="1">IF(OR(Formulas!U50=0,Formulas!U50=""),"",HYPERLINK("["&amp;Archivo_Nombre&amp;"]Datos!"&amp;LEFT(SUBSTITUTE(ADDRESS(1,Formulas!U50+2),"$",""))&amp;Formulas!T50+1,
IFERROR(INDEX(Datos!$A$2:$L$101,Formulas!T50,Formulas!U50+2),"")))</f>
        <v>#VALUE!</v>
      </c>
      <c r="U52" s="5"/>
      <c r="V52" s="6"/>
      <c r="W52" s="24" t="str" cm="1">
        <f t="array" aca="1" ref="W52" ca="1">IF(OR(Formulas!Y49=0,Formulas!Y49="",RIGHT(Formulas!Z49)="0"),"",
HYPERLINK("["&amp;Archivo_Nombre&amp;"]Datos!"&amp;LEFT(SUBSTITUTE(ADDRESS(1,IF(Formulas!Y49=1,1,RIGHT(Formulas!Z49)+2)),"$",""))&amp;Formulas!X49+1,
IFERROR(INDEX(Datos!$A$1:$L$1,1,RIGHT(Formulas!Z49)+2)&amp;IF(Formulas!Y49=1," "&amp;Formulas!X49,"")&amp;":","")))</f>
        <v/>
      </c>
      <c r="X52" s="107" t="str" cm="1">
        <f t="array" aca="1" ref="X52" ca="1">IF(OR(Formulas!Y49=0,Formulas!Y49="",RIGHT(Formulas!Z49)="0"),"",
HYPERLINK("["&amp;Archivo_Nombre&amp;"]Datos!"&amp;LEFT(SUBSTITUTE(ADDRESS(1,RIGHT(Formulas!Z49)+2),"$",""))&amp;Formulas!X49+1,
IFERROR(INDEX(Datos!$A$2:$L$101,Formulas!X49,RIGHT(Formulas!Z49)+2),"")))</f>
        <v/>
      </c>
      <c r="Y52" s="107" t="str" cm="1">
        <f t="array" aca="1" ref="Y52" ca="1">IF(OR(Formulas!Z50=0,Formulas!Z50=""),"",HYPERLINK("["&amp;Archivo_Nombre&amp;"]Datos!"&amp;LEFT(SUBSTITUTE(ADDRESS(1,Formulas!Z50+2),"$",""))&amp;Formulas!Y50+1,
IFERROR(INDEX(Datos!$A$2:$L$101,Formulas!Y50,Formulas!Z50+2),"")))</f>
        <v/>
      </c>
      <c r="Z52" s="13"/>
      <c r="AA52" s="6"/>
      <c r="AB52" s="24" t="str" cm="1">
        <f t="array" aca="1" ref="AB52" ca="1">IF(OR(Formulas!AD49=0,Formulas!AD49="",RIGHT(Formulas!AE49)="0"),"",
HYPERLINK("["&amp;Archivo_Nombre&amp;"]Datos!"&amp;LEFT(SUBSTITUTE(ADDRESS(1,IF(Formulas!AD49=1,1,RIGHT(Formulas!AE49)+2)),"$",""))&amp;Formulas!AC49+1,
IFERROR(INDEX(Datos!$A$1:$L$1,1,RIGHT(Formulas!AE49)+2)&amp;IF(Formulas!AD49=1," "&amp;Formulas!AC49,"")&amp;":","")))</f>
        <v/>
      </c>
      <c r="AC52" s="107" t="str" cm="1">
        <f t="array" aca="1" ref="AC52" ca="1">IF(OR(Formulas!AD49=0,Formulas!AD49="",RIGHT(Formulas!AE49)="0"),"",
HYPERLINK("["&amp;Archivo_Nombre&amp;"]Datos!"&amp;LEFT(SUBSTITUTE(ADDRESS(1,RIGHT(Formulas!AE49)+2),"$",""))&amp;Formulas!AC49+1,
IFERROR(INDEX(Datos!$A$2:$L$101,Formulas!AC49,RIGHT(Formulas!AE49)+2),"")))</f>
        <v/>
      </c>
      <c r="AD52" s="107" t="str" cm="1">
        <f t="array" aca="1" ref="AD52" ca="1">IF(OR(Formulas!AE50=0,Formulas!AE50=""),"",HYPERLINK("["&amp;Archivo_Nombre&amp;"]Datos!"&amp;LEFT(SUBSTITUTE(ADDRESS(1,Formulas!AE50+2),"$",""))&amp;Formulas!AD50+1,
IFERROR(INDEX(Datos!$A$2:$L$101,Formulas!AD50,Formulas!AE50+2),"")))</f>
        <v/>
      </c>
      <c r="AE52" s="13"/>
      <c r="AF52" s="6"/>
      <c r="AG52" s="24" t="str" cm="1">
        <f t="array" aca="1" ref="AG52" ca="1">IF(OR(Formulas!AI49=0,Formulas!AI49="",RIGHT(Formulas!AJ49)="0"),"",
HYPERLINK("["&amp;Archivo_Nombre&amp;"]Datos!"&amp;LEFT(SUBSTITUTE(ADDRESS(1,IF(Formulas!AI49=1,1,RIGHT(Formulas!AJ49)+2)),"$",""))&amp;Formulas!AH49+1,
IFERROR(INDEX(Datos!$A$1:$L$1,1,RIGHT(Formulas!AJ49)+2)&amp;IF(Formulas!AI49=1," "&amp;Formulas!AH49,"")&amp;":","")))</f>
        <v/>
      </c>
      <c r="AH52" s="107" t="str" cm="1">
        <f t="array" aca="1" ref="AH52" ca="1">IF(OR(Formulas!AI49=0,Formulas!AI49="",RIGHT(Formulas!AJ49)="0"),"",
HYPERLINK("["&amp;Archivo_Nombre&amp;"]Datos!"&amp;LEFT(SUBSTITUTE(ADDRESS(1,RIGHT(Formulas!AJ49)+2),"$",""))&amp;Formulas!AH49+1,
IFERROR(INDEX(Datos!$A$2:$L$101,Formulas!AH49,RIGHT(Formulas!AJ49)+2),"")))</f>
        <v/>
      </c>
      <c r="AI52" s="107" t="str" cm="1">
        <f t="array" aca="1" ref="AI52" ca="1">IF(OR(Formulas!AJ50=0,Formulas!AJ50=""),"",HYPERLINK("["&amp;Archivo_Nombre&amp;"]Datos!"&amp;LEFT(SUBSTITUTE(ADDRESS(1,Formulas!AJ50+2),"$",""))&amp;Formulas!AI50+1,
IFERROR(INDEX(Datos!$A$2:$L$101,Formulas!AI50,Formulas!AJ50+2),"")))</f>
        <v/>
      </c>
      <c r="AJ52" s="13"/>
      <c r="AK52" s="6"/>
      <c r="AL52" s="24" t="str" cm="1">
        <f t="array" aca="1" ref="AL52" ca="1">IF(OR(Formulas!AN49=0,Formulas!AN49="",RIGHT(Formulas!AO49)="0"),"",
HYPERLINK("["&amp;Archivo_Nombre&amp;"]Datos!"&amp;LEFT(SUBSTITUTE(ADDRESS(1,IF(Formulas!AN49=1,1,RIGHT(Formulas!AO49)+2)),"$",""))&amp;Formulas!AM49+1,
IFERROR(INDEX(Datos!$A$1:$L$1,1,RIGHT(Formulas!AO49)+2)&amp;IF(Formulas!AN49=1," "&amp;Formulas!AM49,"")&amp;":","")))</f>
        <v/>
      </c>
      <c r="AM52" s="107" t="str" cm="1">
        <f t="array" aca="1" ref="AM52" ca="1">IF(OR(Formulas!AN49=0,Formulas!AN49="",RIGHT(Formulas!AO49)="0"),"",
HYPERLINK("["&amp;Archivo_Nombre&amp;"]Datos!"&amp;LEFT(SUBSTITUTE(ADDRESS(1,RIGHT(Formulas!AO49)+2),"$",""))&amp;Formulas!AM49+1,
IFERROR(INDEX(Datos!$A$2:$L$101,Formulas!AM49,RIGHT(Formulas!AO49)+2),"")))</f>
        <v/>
      </c>
      <c r="AN52" s="107" t="str" cm="1">
        <f t="array" aca="1" ref="AN52" ca="1">IF(OR(Formulas!AO50=0,Formulas!AO50=""),"",HYPERLINK("["&amp;Archivo_Nombre&amp;"]Datos!"&amp;LEFT(SUBSTITUTE(ADDRESS(1,Formulas!AO50+2),"$",""))&amp;Formulas!AN50+1,
IFERROR(INDEX(Datos!$A$2:$L$101,Formulas!AN50,Formulas!AO50+2),"")))</f>
        <v/>
      </c>
      <c r="AO52" s="13"/>
      <c r="AP52" s="6"/>
      <c r="AQ52" s="24" t="str" cm="1">
        <f t="array" aca="1" ref="AQ52" ca="1">IF(OR(Formulas!AS49=0,Formulas!AS49="",RIGHT(Formulas!AT49)="0"),"",
HYPERLINK("["&amp;Archivo_Nombre&amp;"]Datos!"&amp;LEFT(SUBSTITUTE(ADDRESS(1,IF(Formulas!AS49=1,1,RIGHT(Formulas!AT49)+2)),"$",""))&amp;Formulas!AR49+1,
IFERROR(INDEX(Datos!$A$1:$L$1,1,RIGHT(Formulas!AT49)+2)&amp;IF(Formulas!AS49=1," "&amp;Formulas!AR49,"")&amp;":","")))</f>
        <v/>
      </c>
      <c r="AR52" s="107" t="str" cm="1">
        <f t="array" aca="1" ref="AR52" ca="1">IF(OR(Formulas!AS49=0,Formulas!AS49="",RIGHT(Formulas!AT49)="0"),"",
HYPERLINK("["&amp;Archivo_Nombre&amp;"]Datos!"&amp;LEFT(SUBSTITUTE(ADDRESS(1,RIGHT(Formulas!AT49)+2),"$",""))&amp;Formulas!AR49+1,
IFERROR(INDEX(Datos!$A$2:$L$101,Formulas!AR49,RIGHT(Formulas!AT49)+2),"")))</f>
        <v/>
      </c>
      <c r="AS52" s="107" t="str" cm="1">
        <f t="array" aca="1" ref="AS52" ca="1">IF(OR(Formulas!AT50=0,Formulas!AT50=""),"",HYPERLINK("["&amp;Archivo_Nombre&amp;"]Datos!"&amp;LEFT(SUBSTITUTE(ADDRESS(1,Formulas!AT50+2),"$",""))&amp;Formulas!AS50+1,
IFERROR(INDEX(Datos!$A$2:$L$101,Formulas!AS50,Formulas!AT50+2),"")))</f>
        <v/>
      </c>
      <c r="AT52" s="13"/>
      <c r="AU52" s="6"/>
      <c r="AV52" s="24" t="str" cm="1">
        <f t="array" aca="1" ref="AV52" ca="1">IF(OR(Formulas!AX49=0,Formulas!AX49="",RIGHT(Formulas!AY49)="0"),"",
HYPERLINK("["&amp;Archivo_Nombre&amp;"]Datos!"&amp;LEFT(SUBSTITUTE(ADDRESS(1,IF(Formulas!AX49=1,1,RIGHT(Formulas!AY49)+2)),"$",""))&amp;Formulas!AW49+1,
IFERROR(INDEX(Datos!$A$1:$L$1,1,RIGHT(Formulas!AY49)+2)&amp;IF(Formulas!AX49=1," "&amp;Formulas!AW49,"")&amp;":","")))</f>
        <v/>
      </c>
      <c r="AW52" s="107" t="str" cm="1">
        <f t="array" aca="1" ref="AW52" ca="1">IF(OR(Formulas!AX49=0,Formulas!AX49="",RIGHT(Formulas!AY49)="0"),"",
HYPERLINK("["&amp;Archivo_Nombre&amp;"]Datos!"&amp;LEFT(SUBSTITUTE(ADDRESS(1,RIGHT(Formulas!AY49)+2),"$",""))&amp;Formulas!AW49+1,
IFERROR(INDEX(Datos!$A$2:$L$101,Formulas!AW49,RIGHT(Formulas!AY49)+2),"")))</f>
        <v/>
      </c>
      <c r="AX52" s="107" t="str" cm="1">
        <f t="array" aca="1" ref="AX52" ca="1">IF(OR(Formulas!AY50=0,Formulas!AY50=""),"",HYPERLINK("["&amp;Archivo_Nombre&amp;"]Datos!"&amp;LEFT(SUBSTITUTE(ADDRESS(1,Formulas!AY50+2),"$",""))&amp;Formulas!AX50+1,
IFERROR(INDEX(Datos!$A$2:$L$101,Formulas!AX50,Formulas!AY50+2),"")))</f>
        <v/>
      </c>
      <c r="AY52" s="13"/>
    </row>
    <row r="53" spans="2:51" x14ac:dyDescent="0.25">
      <c r="B53" s="11"/>
      <c r="C53" s="24" t="str" cm="1">
        <f t="array" aca="1" ref="C53" ca="1">IF(OR(Formulas!E50=0,Formulas!E50="",RIGHT(Formulas!F50)="0"),"",
HYPERLINK("["&amp;Archivo_Nombre&amp;"]Datos!"&amp;LEFT(SUBSTITUTE(ADDRESS(1,IF(Formulas!E50=1,1,RIGHT(Formulas!F50)+2)),"$",""))&amp;Formulas!D50+1,
IFERROR(INDEX(Datos!$A$1:$L$1,1,RIGHT(Formulas!F50)+2)&amp;IF(Formulas!E50=1," "&amp;Formulas!D50,"")&amp;":","")))</f>
        <v/>
      </c>
      <c r="D53" s="107" t="str" cm="1">
        <f t="array" aca="1" ref="D53" ca="1">IF(OR(Formulas!E50=0,Formulas!E50="",RIGHT(Formulas!F50)="0"),"",
HYPERLINK("["&amp;Archivo_Nombre&amp;"]Datos!"&amp;LEFT(SUBSTITUTE(ADDRESS(1,RIGHT(Formulas!F50)+2),"$",""))&amp;Formulas!D50+1,
IFERROR(INDEX(Datos!$A$2:$L$101,Formulas!D50,RIGHT(Formulas!F50)+2),"")))</f>
        <v/>
      </c>
      <c r="E53" s="107" t="str" cm="1">
        <f t="array" aca="1" ref="E53" ca="1">IF(OR(Formulas!F51=0,Formulas!F51=""),"",HYPERLINK("["&amp;Archivo_Nombre&amp;"]Datos!"&amp;LEFT(SUBSTITUTE(ADDRESS(1,Formulas!F51+2),"$",""))&amp;Formulas!E51+1,
IFERROR(INDEX(Datos!$A$2:$L$101,Formulas!E51,Formulas!F51+2),"")))</f>
        <v/>
      </c>
      <c r="F53" s="5"/>
      <c r="G53" s="6"/>
      <c r="H53" s="24" t="str" cm="1">
        <f t="array" aca="1" ref="H53" ca="1">IF(OR(Formulas!J50=0,Formulas!J50="",RIGHT(Formulas!K50)="0"),"",
HYPERLINK("["&amp;Archivo_Nombre&amp;"]Datos!"&amp;LEFT(SUBSTITUTE(ADDRESS(1,IF(Formulas!J50=1,1,RIGHT(Formulas!K50)+2)),"$",""))&amp;Formulas!I50+1,
IFERROR(INDEX(Datos!$A$1:$L$1,1,RIGHT(Formulas!K50)+2)&amp;IF(Formulas!J50=1," "&amp;Formulas!I50,"")&amp;":","")))</f>
        <v>Retraso:</v>
      </c>
      <c r="I53" s="107" t="str" cm="1">
        <f t="array" aca="1" ref="I53" ca="1">IF(OR(Formulas!J50=0,Formulas!J50="",RIGHT(Formulas!K50)="0"),"",
HYPERLINK("["&amp;Archivo_Nombre&amp;"]Datos!"&amp;LEFT(SUBSTITUTE(ADDRESS(1,RIGHT(Formulas!K50)+2),"$",""))&amp;Formulas!I50+1,
IFERROR(INDEX(Datos!$A$2:$L$101,Formulas!I50,RIGHT(Formulas!K50)+2),"")))</f>
        <v>0 días</v>
      </c>
      <c r="J53" s="107" t="e" cm="1">
        <f t="array" aca="1" ref="J53" ca="1">IF(OR(Formulas!K51=0,Formulas!K51=""),"",HYPERLINK("["&amp;Archivo_Nombre&amp;"]Datos!"&amp;LEFT(SUBSTITUTE(ADDRESS(1,Formulas!K51+2),"$",""))&amp;Formulas!J51+1,
IFERROR(INDEX(Datos!$A$2:$L$101,Formulas!J51,Formulas!K51+2),"")))</f>
        <v>#VALUE!</v>
      </c>
      <c r="K53" s="5"/>
      <c r="L53" s="6"/>
      <c r="M53" s="24" t="str" cm="1">
        <f t="array" aca="1" ref="M53" ca="1">IF(OR(Formulas!O50=0,Formulas!O50="",RIGHT(Formulas!P50)="0"),"",
HYPERLINK("["&amp;Archivo_Nombre&amp;"]Datos!"&amp;LEFT(SUBSTITUTE(ADDRESS(1,IF(Formulas!O50=1,1,RIGHT(Formulas!P50)+2)),"$",""))&amp;Formulas!N50+1,
IFERROR(INDEX(Datos!$A$1:$L$1,1,RIGHT(Formulas!P50)+2)&amp;IF(Formulas!O50=1," "&amp;Formulas!N50,"")&amp;":","")))</f>
        <v/>
      </c>
      <c r="N53" s="107" t="str" cm="1">
        <f t="array" aca="1" ref="N53" ca="1">IF(OR(Formulas!O50=0,Formulas!O50="",RIGHT(Formulas!P50)="0"),"",
HYPERLINK("["&amp;Archivo_Nombre&amp;"]Datos!"&amp;LEFT(SUBSTITUTE(ADDRESS(1,RIGHT(Formulas!P50)+2),"$",""))&amp;Formulas!N50+1,
IFERROR(INDEX(Datos!$A$2:$L$101,Formulas!N50,RIGHT(Formulas!P50)+2),"")))</f>
        <v/>
      </c>
      <c r="O53" s="107" t="str" cm="1">
        <f t="array" aca="1" ref="O53" ca="1">IF(OR(Formulas!P51=0,Formulas!P51=""),"",HYPERLINK("["&amp;Archivo_Nombre&amp;"]Datos!"&amp;LEFT(SUBSTITUTE(ADDRESS(1,Formulas!P51+2),"$",""))&amp;Formulas!O51+1,
IFERROR(INDEX(Datos!$A$2:$L$101,Formulas!O51,Formulas!P51+2),"")))</f>
        <v/>
      </c>
      <c r="P53" s="5"/>
      <c r="Q53" s="6"/>
      <c r="R53" s="24" t="str" cm="1">
        <f t="array" aca="1" ref="R53" ca="1">IF(OR(Formulas!T50=0,Formulas!T50="",RIGHT(Formulas!U50)="0"),"",
HYPERLINK("["&amp;Archivo_Nombre&amp;"]Datos!"&amp;LEFT(SUBSTITUTE(ADDRESS(1,IF(Formulas!T50=1,1,RIGHT(Formulas!U50)+2)),"$",""))&amp;Formulas!S50+1,
IFERROR(INDEX(Datos!$A$1:$L$1,1,RIGHT(Formulas!U50)+2)&amp;IF(Formulas!T50=1," "&amp;Formulas!S50,"")&amp;":","")))</f>
        <v>Retraso:</v>
      </c>
      <c r="S53" s="107" t="str" cm="1">
        <f t="array" aca="1" ref="S53" ca="1">IF(OR(Formulas!T50=0,Formulas!T50="",RIGHT(Formulas!U50)="0"),"",
HYPERLINK("["&amp;Archivo_Nombre&amp;"]Datos!"&amp;LEFT(SUBSTITUTE(ADDRESS(1,RIGHT(Formulas!U50)+2),"$",""))&amp;Formulas!S50+1,
IFERROR(INDEX(Datos!$A$2:$L$101,Formulas!S50,RIGHT(Formulas!U50)+2),"")))</f>
        <v>0 días</v>
      </c>
      <c r="T53" s="107" t="e" cm="1">
        <f t="array" aca="1" ref="T53" ca="1">IF(OR(Formulas!U51=0,Formulas!U51=""),"",HYPERLINK("["&amp;Archivo_Nombre&amp;"]Datos!"&amp;LEFT(SUBSTITUTE(ADDRESS(1,Formulas!U51+2),"$",""))&amp;Formulas!T51+1,
IFERROR(INDEX(Datos!$A$2:$L$101,Formulas!T51,Formulas!U51+2),"")))</f>
        <v>#VALUE!</v>
      </c>
      <c r="U53" s="5"/>
      <c r="V53" s="6"/>
      <c r="W53" s="24" t="str" cm="1">
        <f t="array" aca="1" ref="W53" ca="1">IF(OR(Formulas!Y50=0,Formulas!Y50="",RIGHT(Formulas!Z50)="0"),"",
HYPERLINK("["&amp;Archivo_Nombre&amp;"]Datos!"&amp;LEFT(SUBSTITUTE(ADDRESS(1,IF(Formulas!Y50=1,1,RIGHT(Formulas!Z50)+2)),"$",""))&amp;Formulas!X50+1,
IFERROR(INDEX(Datos!$A$1:$L$1,1,RIGHT(Formulas!Z50)+2)&amp;IF(Formulas!Y50=1," "&amp;Formulas!X50,"")&amp;":","")))</f>
        <v/>
      </c>
      <c r="X53" s="107" t="str" cm="1">
        <f t="array" aca="1" ref="X53" ca="1">IF(OR(Formulas!Y50=0,Formulas!Y50="",RIGHT(Formulas!Z50)="0"),"",
HYPERLINK("["&amp;Archivo_Nombre&amp;"]Datos!"&amp;LEFT(SUBSTITUTE(ADDRESS(1,RIGHT(Formulas!Z50)+2),"$",""))&amp;Formulas!X50+1,
IFERROR(INDEX(Datos!$A$2:$L$101,Formulas!X50,RIGHT(Formulas!Z50)+2),"")))</f>
        <v/>
      </c>
      <c r="Y53" s="107" t="str" cm="1">
        <f t="array" aca="1" ref="Y53" ca="1">IF(OR(Formulas!Z51=0,Formulas!Z51=""),"",HYPERLINK("["&amp;Archivo_Nombre&amp;"]Datos!"&amp;LEFT(SUBSTITUTE(ADDRESS(1,Formulas!Z51+2),"$",""))&amp;Formulas!Y51+1,
IFERROR(INDEX(Datos!$A$2:$L$101,Formulas!Y51,Formulas!Z51+2),"")))</f>
        <v/>
      </c>
      <c r="Z53" s="13"/>
      <c r="AA53" s="6"/>
      <c r="AB53" s="24" t="str" cm="1">
        <f t="array" aca="1" ref="AB53" ca="1">IF(OR(Formulas!AD50=0,Formulas!AD50="",RIGHT(Formulas!AE50)="0"),"",
HYPERLINK("["&amp;Archivo_Nombre&amp;"]Datos!"&amp;LEFT(SUBSTITUTE(ADDRESS(1,IF(Formulas!AD50=1,1,RIGHT(Formulas!AE50)+2)),"$",""))&amp;Formulas!AC50+1,
IFERROR(INDEX(Datos!$A$1:$L$1,1,RIGHT(Formulas!AE50)+2)&amp;IF(Formulas!AD50=1," "&amp;Formulas!AC50,"")&amp;":","")))</f>
        <v/>
      </c>
      <c r="AC53" s="107" t="str" cm="1">
        <f t="array" aca="1" ref="AC53" ca="1">IF(OR(Formulas!AD50=0,Formulas!AD50="",RIGHT(Formulas!AE50)="0"),"",
HYPERLINK("["&amp;Archivo_Nombre&amp;"]Datos!"&amp;LEFT(SUBSTITUTE(ADDRESS(1,RIGHT(Formulas!AE50)+2),"$",""))&amp;Formulas!AC50+1,
IFERROR(INDEX(Datos!$A$2:$L$101,Formulas!AC50,RIGHT(Formulas!AE50)+2),"")))</f>
        <v/>
      </c>
      <c r="AD53" s="107" t="str" cm="1">
        <f t="array" aca="1" ref="AD53" ca="1">IF(OR(Formulas!AE51=0,Formulas!AE51=""),"",HYPERLINK("["&amp;Archivo_Nombre&amp;"]Datos!"&amp;LEFT(SUBSTITUTE(ADDRESS(1,Formulas!AE51+2),"$",""))&amp;Formulas!AD51+1,
IFERROR(INDEX(Datos!$A$2:$L$101,Formulas!AD51,Formulas!AE51+2),"")))</f>
        <v/>
      </c>
      <c r="AE53" s="13"/>
      <c r="AF53" s="6"/>
      <c r="AG53" s="24" t="str" cm="1">
        <f t="array" aca="1" ref="AG53" ca="1">IF(OR(Formulas!AI50=0,Formulas!AI50="",RIGHT(Formulas!AJ50)="0"),"",
HYPERLINK("["&amp;Archivo_Nombre&amp;"]Datos!"&amp;LEFT(SUBSTITUTE(ADDRESS(1,IF(Formulas!AI50=1,1,RIGHT(Formulas!AJ50)+2)),"$",""))&amp;Formulas!AH50+1,
IFERROR(INDEX(Datos!$A$1:$L$1,1,RIGHT(Formulas!AJ50)+2)&amp;IF(Formulas!AI50=1," "&amp;Formulas!AH50,"")&amp;":","")))</f>
        <v/>
      </c>
      <c r="AH53" s="107" t="str" cm="1">
        <f t="array" aca="1" ref="AH53" ca="1">IF(OR(Formulas!AI50=0,Formulas!AI50="",RIGHT(Formulas!AJ50)="0"),"",
HYPERLINK("["&amp;Archivo_Nombre&amp;"]Datos!"&amp;LEFT(SUBSTITUTE(ADDRESS(1,RIGHT(Formulas!AJ50)+2),"$",""))&amp;Formulas!AH50+1,
IFERROR(INDEX(Datos!$A$2:$L$101,Formulas!AH50,RIGHT(Formulas!AJ50)+2),"")))</f>
        <v/>
      </c>
      <c r="AI53" s="107" t="str" cm="1">
        <f t="array" aca="1" ref="AI53" ca="1">IF(OR(Formulas!AJ51=0,Formulas!AJ51=""),"",HYPERLINK("["&amp;Archivo_Nombre&amp;"]Datos!"&amp;LEFT(SUBSTITUTE(ADDRESS(1,Formulas!AJ51+2),"$",""))&amp;Formulas!AI51+1,
IFERROR(INDEX(Datos!$A$2:$L$101,Formulas!AI51,Formulas!AJ51+2),"")))</f>
        <v/>
      </c>
      <c r="AJ53" s="13"/>
      <c r="AK53" s="6"/>
      <c r="AL53" s="24" t="str" cm="1">
        <f t="array" aca="1" ref="AL53" ca="1">IF(OR(Formulas!AN50=0,Formulas!AN50="",RIGHT(Formulas!AO50)="0"),"",
HYPERLINK("["&amp;Archivo_Nombre&amp;"]Datos!"&amp;LEFT(SUBSTITUTE(ADDRESS(1,IF(Formulas!AN50=1,1,RIGHT(Formulas!AO50)+2)),"$",""))&amp;Formulas!AM50+1,
IFERROR(INDEX(Datos!$A$1:$L$1,1,RIGHT(Formulas!AO50)+2)&amp;IF(Formulas!AN50=1," "&amp;Formulas!AM50,"")&amp;":","")))</f>
        <v/>
      </c>
      <c r="AM53" s="107" t="str" cm="1">
        <f t="array" aca="1" ref="AM53" ca="1">IF(OR(Formulas!AN50=0,Formulas!AN50="",RIGHT(Formulas!AO50)="0"),"",
HYPERLINK("["&amp;Archivo_Nombre&amp;"]Datos!"&amp;LEFT(SUBSTITUTE(ADDRESS(1,RIGHT(Formulas!AO50)+2),"$",""))&amp;Formulas!AM50+1,
IFERROR(INDEX(Datos!$A$2:$L$101,Formulas!AM50,RIGHT(Formulas!AO50)+2),"")))</f>
        <v/>
      </c>
      <c r="AN53" s="107" t="str" cm="1">
        <f t="array" aca="1" ref="AN53" ca="1">IF(OR(Formulas!AO51=0,Formulas!AO51=""),"",HYPERLINK("["&amp;Archivo_Nombre&amp;"]Datos!"&amp;LEFT(SUBSTITUTE(ADDRESS(1,Formulas!AO51+2),"$",""))&amp;Formulas!AN51+1,
IFERROR(INDEX(Datos!$A$2:$L$101,Formulas!AN51,Formulas!AO51+2),"")))</f>
        <v/>
      </c>
      <c r="AO53" s="13"/>
      <c r="AP53" s="6"/>
      <c r="AQ53" s="24" t="str" cm="1">
        <f t="array" aca="1" ref="AQ53" ca="1">IF(OR(Formulas!AS50=0,Formulas!AS50="",RIGHT(Formulas!AT50)="0"),"",
HYPERLINK("["&amp;Archivo_Nombre&amp;"]Datos!"&amp;LEFT(SUBSTITUTE(ADDRESS(1,IF(Formulas!AS50=1,1,RIGHT(Formulas!AT50)+2)),"$",""))&amp;Formulas!AR50+1,
IFERROR(INDEX(Datos!$A$1:$L$1,1,RIGHT(Formulas!AT50)+2)&amp;IF(Formulas!AS50=1," "&amp;Formulas!AR50,"")&amp;":","")))</f>
        <v/>
      </c>
      <c r="AR53" s="107" t="str" cm="1">
        <f t="array" aca="1" ref="AR53" ca="1">IF(OR(Formulas!AS50=0,Formulas!AS50="",RIGHT(Formulas!AT50)="0"),"",
HYPERLINK("["&amp;Archivo_Nombre&amp;"]Datos!"&amp;LEFT(SUBSTITUTE(ADDRESS(1,RIGHT(Formulas!AT50)+2),"$",""))&amp;Formulas!AR50+1,
IFERROR(INDEX(Datos!$A$2:$L$101,Formulas!AR50,RIGHT(Formulas!AT50)+2),"")))</f>
        <v/>
      </c>
      <c r="AS53" s="107" t="str" cm="1">
        <f t="array" aca="1" ref="AS53" ca="1">IF(OR(Formulas!AT51=0,Formulas!AT51=""),"",HYPERLINK("["&amp;Archivo_Nombre&amp;"]Datos!"&amp;LEFT(SUBSTITUTE(ADDRESS(1,Formulas!AT51+2),"$",""))&amp;Formulas!AS51+1,
IFERROR(INDEX(Datos!$A$2:$L$101,Formulas!AS51,Formulas!AT51+2),"")))</f>
        <v/>
      </c>
      <c r="AT53" s="13"/>
      <c r="AU53" s="6"/>
      <c r="AV53" s="24" t="str" cm="1">
        <f t="array" aca="1" ref="AV53" ca="1">IF(OR(Formulas!AX50=0,Formulas!AX50="",RIGHT(Formulas!AY50)="0"),"",
HYPERLINK("["&amp;Archivo_Nombre&amp;"]Datos!"&amp;LEFT(SUBSTITUTE(ADDRESS(1,IF(Formulas!AX50=1,1,RIGHT(Formulas!AY50)+2)),"$",""))&amp;Formulas!AW50+1,
IFERROR(INDEX(Datos!$A$1:$L$1,1,RIGHT(Formulas!AY50)+2)&amp;IF(Formulas!AX50=1," "&amp;Formulas!AW50,"")&amp;":","")))</f>
        <v/>
      </c>
      <c r="AW53" s="107" t="str" cm="1">
        <f t="array" aca="1" ref="AW53" ca="1">IF(OR(Formulas!AX50=0,Formulas!AX50="",RIGHT(Formulas!AY50)="0"),"",
HYPERLINK("["&amp;Archivo_Nombre&amp;"]Datos!"&amp;LEFT(SUBSTITUTE(ADDRESS(1,RIGHT(Formulas!AY50)+2),"$",""))&amp;Formulas!AW50+1,
IFERROR(INDEX(Datos!$A$2:$L$101,Formulas!AW50,RIGHT(Formulas!AY50)+2),"")))</f>
        <v/>
      </c>
      <c r="AX53" s="107" t="str" cm="1">
        <f t="array" aca="1" ref="AX53" ca="1">IF(OR(Formulas!AY51=0,Formulas!AY51=""),"",HYPERLINK("["&amp;Archivo_Nombre&amp;"]Datos!"&amp;LEFT(SUBSTITUTE(ADDRESS(1,Formulas!AY51+2),"$",""))&amp;Formulas!AX51+1,
IFERROR(INDEX(Datos!$A$2:$L$101,Formulas!AX51,Formulas!AY51+2),"")))</f>
        <v/>
      </c>
      <c r="AY53" s="13"/>
    </row>
    <row r="54" spans="2:51" x14ac:dyDescent="0.25">
      <c r="B54" s="11"/>
      <c r="C54" s="24" t="str" cm="1">
        <f t="array" aca="1" ref="C54" ca="1">IF(OR(Formulas!E51=0,Formulas!E51="",RIGHT(Formulas!F51)="0"),"",
HYPERLINK("["&amp;Archivo_Nombre&amp;"]Datos!"&amp;LEFT(SUBSTITUTE(ADDRESS(1,IF(Formulas!E51=1,1,RIGHT(Formulas!F51)+2)),"$",""))&amp;Formulas!D51+1,
IFERROR(INDEX(Datos!$A$1:$L$1,1,RIGHT(Formulas!F51)+2)&amp;IF(Formulas!E51=1," "&amp;Formulas!D51,"")&amp;":","")))</f>
        <v/>
      </c>
      <c r="D54" s="107" t="str" cm="1">
        <f t="array" aca="1" ref="D54" ca="1">IF(OR(Formulas!E51=0,Formulas!E51="",RIGHT(Formulas!F51)="0"),"",
HYPERLINK("["&amp;Archivo_Nombre&amp;"]Datos!"&amp;LEFT(SUBSTITUTE(ADDRESS(1,RIGHT(Formulas!F51)+2),"$",""))&amp;Formulas!D51+1,
IFERROR(INDEX(Datos!$A$2:$L$101,Formulas!D51,RIGHT(Formulas!F51)+2),"")))</f>
        <v/>
      </c>
      <c r="E54" s="107" t="str" cm="1">
        <f t="array" aca="1" ref="E54" ca="1">IF(OR(Formulas!F52=0,Formulas!F52=""),"",HYPERLINK("["&amp;Archivo_Nombre&amp;"]Datos!"&amp;LEFT(SUBSTITUTE(ADDRESS(1,Formulas!F52+2),"$",""))&amp;Formulas!E52+1,
IFERROR(INDEX(Datos!$A$2:$L$101,Formulas!E52,Formulas!F52+2),"")))</f>
        <v/>
      </c>
      <c r="F54" s="5"/>
      <c r="G54" s="6"/>
      <c r="H54" s="24" t="str" cm="1">
        <f t="array" aca="1" ref="H54" ca="1">IF(OR(Formulas!J51=0,Formulas!J51="",RIGHT(Formulas!K51)="0"),"",
HYPERLINK("["&amp;Archivo_Nombre&amp;"]Datos!"&amp;LEFT(SUBSTITUTE(ADDRESS(1,IF(Formulas!J51=1,1,RIGHT(Formulas!K51)+2)),"$",""))&amp;Formulas!I51+1,
IFERROR(INDEX(Datos!$A$1:$L$1,1,RIGHT(Formulas!K51)+2)&amp;IF(Formulas!J51=1," "&amp;Formulas!I51,"")&amp;":","")))</f>
        <v/>
      </c>
      <c r="I54" s="107" t="str" cm="1">
        <f t="array" aca="1" ref="I54" ca="1">IF(OR(Formulas!J51=0,Formulas!J51="",RIGHT(Formulas!K51)="0"),"",
HYPERLINK("["&amp;Archivo_Nombre&amp;"]Datos!"&amp;LEFT(SUBSTITUTE(ADDRESS(1,RIGHT(Formulas!K51)+2),"$",""))&amp;Formulas!I51+1,
IFERROR(INDEX(Datos!$A$2:$L$101,Formulas!I51,RIGHT(Formulas!K51)+2),"")))</f>
        <v/>
      </c>
      <c r="J54" s="107" t="str" cm="1">
        <f t="array" aca="1" ref="J54" ca="1">IF(OR(Formulas!K52=0,Formulas!K52=""),"",HYPERLINK("["&amp;Archivo_Nombre&amp;"]Datos!"&amp;LEFT(SUBSTITUTE(ADDRESS(1,Formulas!K52+2),"$",""))&amp;Formulas!J52+1,
IFERROR(INDEX(Datos!$A$2:$L$101,Formulas!J52,Formulas!K52+2),"")))</f>
        <v/>
      </c>
      <c r="K54" s="5"/>
      <c r="L54" s="6"/>
      <c r="M54" s="24" t="str" cm="1">
        <f t="array" aca="1" ref="M54" ca="1">IF(OR(Formulas!O51=0,Formulas!O51="",RIGHT(Formulas!P51)="0"),"",
HYPERLINK("["&amp;Archivo_Nombre&amp;"]Datos!"&amp;LEFT(SUBSTITUTE(ADDRESS(1,IF(Formulas!O51=1,1,RIGHT(Formulas!P51)+2)),"$",""))&amp;Formulas!N51+1,
IFERROR(INDEX(Datos!$A$1:$L$1,1,RIGHT(Formulas!P51)+2)&amp;IF(Formulas!O51=1," "&amp;Formulas!N51,"")&amp;":","")))</f>
        <v/>
      </c>
      <c r="N54" s="107" t="str" cm="1">
        <f t="array" aca="1" ref="N54" ca="1">IF(OR(Formulas!O51=0,Formulas!O51="",RIGHT(Formulas!P51)="0"),"",
HYPERLINK("["&amp;Archivo_Nombre&amp;"]Datos!"&amp;LEFT(SUBSTITUTE(ADDRESS(1,RIGHT(Formulas!P51)+2),"$",""))&amp;Formulas!N51+1,
IFERROR(INDEX(Datos!$A$2:$L$101,Formulas!N51,RIGHT(Formulas!P51)+2),"")))</f>
        <v/>
      </c>
      <c r="O54" s="107" t="str" cm="1">
        <f t="array" aca="1" ref="O54" ca="1">IF(OR(Formulas!P52=0,Formulas!P52=""),"",HYPERLINK("["&amp;Archivo_Nombre&amp;"]Datos!"&amp;LEFT(SUBSTITUTE(ADDRESS(1,Formulas!P52+2),"$",""))&amp;Formulas!O52+1,
IFERROR(INDEX(Datos!$A$2:$L$101,Formulas!O52,Formulas!P52+2),"")))</f>
        <v/>
      </c>
      <c r="P54" s="5"/>
      <c r="Q54" s="6"/>
      <c r="R54" s="24" t="str" cm="1">
        <f t="array" aca="1" ref="R54" ca="1">IF(OR(Formulas!T51=0,Formulas!T51="",RIGHT(Formulas!U51)="0"),"",
HYPERLINK("["&amp;Archivo_Nombre&amp;"]Datos!"&amp;LEFT(SUBSTITUTE(ADDRESS(1,IF(Formulas!T51=1,1,RIGHT(Formulas!U51)+2)),"$",""))&amp;Formulas!S51+1,
IFERROR(INDEX(Datos!$A$1:$L$1,1,RIGHT(Formulas!U51)+2)&amp;IF(Formulas!T51=1," "&amp;Formulas!S51,"")&amp;":","")))</f>
        <v/>
      </c>
      <c r="S54" s="107" t="str" cm="1">
        <f t="array" aca="1" ref="S54" ca="1">IF(OR(Formulas!T51=0,Formulas!T51="",RIGHT(Formulas!U51)="0"),"",
HYPERLINK("["&amp;Archivo_Nombre&amp;"]Datos!"&amp;LEFT(SUBSTITUTE(ADDRESS(1,RIGHT(Formulas!U51)+2),"$",""))&amp;Formulas!S51+1,
IFERROR(INDEX(Datos!$A$2:$L$101,Formulas!S51,RIGHT(Formulas!U51)+2),"")))</f>
        <v/>
      </c>
      <c r="T54" s="107" t="str" cm="1">
        <f t="array" aca="1" ref="T54" ca="1">IF(OR(Formulas!U52=0,Formulas!U52=""),"",HYPERLINK("["&amp;Archivo_Nombre&amp;"]Datos!"&amp;LEFT(SUBSTITUTE(ADDRESS(1,Formulas!U52+2),"$",""))&amp;Formulas!T52+1,
IFERROR(INDEX(Datos!$A$2:$L$101,Formulas!T52,Formulas!U52+2),"")))</f>
        <v/>
      </c>
      <c r="U54" s="5"/>
      <c r="V54" s="6"/>
      <c r="W54" s="24" t="str" cm="1">
        <f t="array" aca="1" ref="W54" ca="1">IF(OR(Formulas!Y51=0,Formulas!Y51="",RIGHT(Formulas!Z51)="0"),"",
HYPERLINK("["&amp;Archivo_Nombre&amp;"]Datos!"&amp;LEFT(SUBSTITUTE(ADDRESS(1,IF(Formulas!Y51=1,1,RIGHT(Formulas!Z51)+2)),"$",""))&amp;Formulas!X51+1,
IFERROR(INDEX(Datos!$A$1:$L$1,1,RIGHT(Formulas!Z51)+2)&amp;IF(Formulas!Y51=1," "&amp;Formulas!X51,"")&amp;":","")))</f>
        <v/>
      </c>
      <c r="X54" s="107" t="str" cm="1">
        <f t="array" aca="1" ref="X54" ca="1">IF(OR(Formulas!Y51=0,Formulas!Y51="",RIGHT(Formulas!Z51)="0"),"",
HYPERLINK("["&amp;Archivo_Nombre&amp;"]Datos!"&amp;LEFT(SUBSTITUTE(ADDRESS(1,RIGHT(Formulas!Z51)+2),"$",""))&amp;Formulas!X51+1,
IFERROR(INDEX(Datos!$A$2:$L$101,Formulas!X51,RIGHT(Formulas!Z51)+2),"")))</f>
        <v/>
      </c>
      <c r="Y54" s="107" t="str" cm="1">
        <f t="array" aca="1" ref="Y54" ca="1">IF(OR(Formulas!Z52=0,Formulas!Z52=""),"",HYPERLINK("["&amp;Archivo_Nombre&amp;"]Datos!"&amp;LEFT(SUBSTITUTE(ADDRESS(1,Formulas!Z52+2),"$",""))&amp;Formulas!Y52+1,
IFERROR(INDEX(Datos!$A$2:$L$101,Formulas!Y52,Formulas!Z52+2),"")))</f>
        <v/>
      </c>
      <c r="Z54" s="13"/>
      <c r="AA54" s="6"/>
      <c r="AB54" s="24" t="str" cm="1">
        <f t="array" aca="1" ref="AB54" ca="1">IF(OR(Formulas!AD51=0,Formulas!AD51="",RIGHT(Formulas!AE51)="0"),"",
HYPERLINK("["&amp;Archivo_Nombre&amp;"]Datos!"&amp;LEFT(SUBSTITUTE(ADDRESS(1,IF(Formulas!AD51=1,1,RIGHT(Formulas!AE51)+2)),"$",""))&amp;Formulas!AC51+1,
IFERROR(INDEX(Datos!$A$1:$L$1,1,RIGHT(Formulas!AE51)+2)&amp;IF(Formulas!AD51=1," "&amp;Formulas!AC51,"")&amp;":","")))</f>
        <v/>
      </c>
      <c r="AC54" s="107" t="str" cm="1">
        <f t="array" aca="1" ref="AC54" ca="1">IF(OR(Formulas!AD51=0,Formulas!AD51="",RIGHT(Formulas!AE51)="0"),"",
HYPERLINK("["&amp;Archivo_Nombre&amp;"]Datos!"&amp;LEFT(SUBSTITUTE(ADDRESS(1,RIGHT(Formulas!AE51)+2),"$",""))&amp;Formulas!AC51+1,
IFERROR(INDEX(Datos!$A$2:$L$101,Formulas!AC51,RIGHT(Formulas!AE51)+2),"")))</f>
        <v/>
      </c>
      <c r="AD54" s="107" t="str" cm="1">
        <f t="array" aca="1" ref="AD54" ca="1">IF(OR(Formulas!AE52=0,Formulas!AE52=""),"",HYPERLINK("["&amp;Archivo_Nombre&amp;"]Datos!"&amp;LEFT(SUBSTITUTE(ADDRESS(1,Formulas!AE52+2),"$",""))&amp;Formulas!AD52+1,
IFERROR(INDEX(Datos!$A$2:$L$101,Formulas!AD52,Formulas!AE52+2),"")))</f>
        <v/>
      </c>
      <c r="AE54" s="13"/>
      <c r="AF54" s="6"/>
      <c r="AG54" s="24" t="str" cm="1">
        <f t="array" aca="1" ref="AG54" ca="1">IF(OR(Formulas!AI51=0,Formulas!AI51="",RIGHT(Formulas!AJ51)="0"),"",
HYPERLINK("["&amp;Archivo_Nombre&amp;"]Datos!"&amp;LEFT(SUBSTITUTE(ADDRESS(1,IF(Formulas!AI51=1,1,RIGHT(Formulas!AJ51)+2)),"$",""))&amp;Formulas!AH51+1,
IFERROR(INDEX(Datos!$A$1:$L$1,1,RIGHT(Formulas!AJ51)+2)&amp;IF(Formulas!AI51=1," "&amp;Formulas!AH51,"")&amp;":","")))</f>
        <v/>
      </c>
      <c r="AH54" s="107" t="str" cm="1">
        <f t="array" aca="1" ref="AH54" ca="1">IF(OR(Formulas!AI51=0,Formulas!AI51="",RIGHT(Formulas!AJ51)="0"),"",
HYPERLINK("["&amp;Archivo_Nombre&amp;"]Datos!"&amp;LEFT(SUBSTITUTE(ADDRESS(1,RIGHT(Formulas!AJ51)+2),"$",""))&amp;Formulas!AH51+1,
IFERROR(INDEX(Datos!$A$2:$L$101,Formulas!AH51,RIGHT(Formulas!AJ51)+2),"")))</f>
        <v/>
      </c>
      <c r="AI54" s="107" t="str" cm="1">
        <f t="array" aca="1" ref="AI54" ca="1">IF(OR(Formulas!AJ52=0,Formulas!AJ52=""),"",HYPERLINK("["&amp;Archivo_Nombre&amp;"]Datos!"&amp;LEFT(SUBSTITUTE(ADDRESS(1,Formulas!AJ52+2),"$",""))&amp;Formulas!AI52+1,
IFERROR(INDEX(Datos!$A$2:$L$101,Formulas!AI52,Formulas!AJ52+2),"")))</f>
        <v/>
      </c>
      <c r="AJ54" s="13"/>
      <c r="AK54" s="6"/>
      <c r="AL54" s="24" t="str" cm="1">
        <f t="array" aca="1" ref="AL54" ca="1">IF(OR(Formulas!AN51=0,Formulas!AN51="",RIGHT(Formulas!AO51)="0"),"",
HYPERLINK("["&amp;Archivo_Nombre&amp;"]Datos!"&amp;LEFT(SUBSTITUTE(ADDRESS(1,IF(Formulas!AN51=1,1,RIGHT(Formulas!AO51)+2)),"$",""))&amp;Formulas!AM51+1,
IFERROR(INDEX(Datos!$A$1:$L$1,1,RIGHT(Formulas!AO51)+2)&amp;IF(Formulas!AN51=1," "&amp;Formulas!AM51,"")&amp;":","")))</f>
        <v/>
      </c>
      <c r="AM54" s="107" t="str" cm="1">
        <f t="array" aca="1" ref="AM54" ca="1">IF(OR(Formulas!AN51=0,Formulas!AN51="",RIGHT(Formulas!AO51)="0"),"",
HYPERLINK("["&amp;Archivo_Nombre&amp;"]Datos!"&amp;LEFT(SUBSTITUTE(ADDRESS(1,RIGHT(Formulas!AO51)+2),"$",""))&amp;Formulas!AM51+1,
IFERROR(INDEX(Datos!$A$2:$L$101,Formulas!AM51,RIGHT(Formulas!AO51)+2),"")))</f>
        <v/>
      </c>
      <c r="AN54" s="107" t="str" cm="1">
        <f t="array" aca="1" ref="AN54" ca="1">IF(OR(Formulas!AO52=0,Formulas!AO52=""),"",HYPERLINK("["&amp;Archivo_Nombre&amp;"]Datos!"&amp;LEFT(SUBSTITUTE(ADDRESS(1,Formulas!AO52+2),"$",""))&amp;Formulas!AN52+1,
IFERROR(INDEX(Datos!$A$2:$L$101,Formulas!AN52,Formulas!AO52+2),"")))</f>
        <v/>
      </c>
      <c r="AO54" s="13"/>
      <c r="AP54" s="6"/>
      <c r="AQ54" s="24" t="str" cm="1">
        <f t="array" aca="1" ref="AQ54" ca="1">IF(OR(Formulas!AS51=0,Formulas!AS51="",RIGHT(Formulas!AT51)="0"),"",
HYPERLINK("["&amp;Archivo_Nombre&amp;"]Datos!"&amp;LEFT(SUBSTITUTE(ADDRESS(1,IF(Formulas!AS51=1,1,RIGHT(Formulas!AT51)+2)),"$",""))&amp;Formulas!AR51+1,
IFERROR(INDEX(Datos!$A$1:$L$1,1,RIGHT(Formulas!AT51)+2)&amp;IF(Formulas!AS51=1," "&amp;Formulas!AR51,"")&amp;":","")))</f>
        <v/>
      </c>
      <c r="AR54" s="107" t="str" cm="1">
        <f t="array" aca="1" ref="AR54" ca="1">IF(OR(Formulas!AS51=0,Formulas!AS51="",RIGHT(Formulas!AT51)="0"),"",
HYPERLINK("["&amp;Archivo_Nombre&amp;"]Datos!"&amp;LEFT(SUBSTITUTE(ADDRESS(1,RIGHT(Formulas!AT51)+2),"$",""))&amp;Formulas!AR51+1,
IFERROR(INDEX(Datos!$A$2:$L$101,Formulas!AR51,RIGHT(Formulas!AT51)+2),"")))</f>
        <v/>
      </c>
      <c r="AS54" s="107" t="str" cm="1">
        <f t="array" aca="1" ref="AS54" ca="1">IF(OR(Formulas!AT52=0,Formulas!AT52=""),"",HYPERLINK("["&amp;Archivo_Nombre&amp;"]Datos!"&amp;LEFT(SUBSTITUTE(ADDRESS(1,Formulas!AT52+2),"$",""))&amp;Formulas!AS52+1,
IFERROR(INDEX(Datos!$A$2:$L$101,Formulas!AS52,Formulas!AT52+2),"")))</f>
        <v/>
      </c>
      <c r="AT54" s="13"/>
      <c r="AU54" s="6"/>
      <c r="AV54" s="24" t="str" cm="1">
        <f t="array" aca="1" ref="AV54" ca="1">IF(OR(Formulas!AX51=0,Formulas!AX51="",RIGHT(Formulas!AY51)="0"),"",
HYPERLINK("["&amp;Archivo_Nombre&amp;"]Datos!"&amp;LEFT(SUBSTITUTE(ADDRESS(1,IF(Formulas!AX51=1,1,RIGHT(Formulas!AY51)+2)),"$",""))&amp;Formulas!AW51+1,
IFERROR(INDEX(Datos!$A$1:$L$1,1,RIGHT(Formulas!AY51)+2)&amp;IF(Formulas!AX51=1," "&amp;Formulas!AW51,"")&amp;":","")))</f>
        <v/>
      </c>
      <c r="AW54" s="107" t="str" cm="1">
        <f t="array" aca="1" ref="AW54" ca="1">IF(OR(Formulas!AX51=0,Formulas!AX51="",RIGHT(Formulas!AY51)="0"),"",
HYPERLINK("["&amp;Archivo_Nombre&amp;"]Datos!"&amp;LEFT(SUBSTITUTE(ADDRESS(1,RIGHT(Formulas!AY51)+2),"$",""))&amp;Formulas!AW51+1,
IFERROR(INDEX(Datos!$A$2:$L$101,Formulas!AW51,RIGHT(Formulas!AY51)+2),"")))</f>
        <v/>
      </c>
      <c r="AX54" s="107" t="str" cm="1">
        <f t="array" aca="1" ref="AX54" ca="1">IF(OR(Formulas!AY52=0,Formulas!AY52=""),"",HYPERLINK("["&amp;Archivo_Nombre&amp;"]Datos!"&amp;LEFT(SUBSTITUTE(ADDRESS(1,Formulas!AY52+2),"$",""))&amp;Formulas!AX52+1,
IFERROR(INDEX(Datos!$A$2:$L$101,Formulas!AX52,Formulas!AY52+2),"")))</f>
        <v/>
      </c>
      <c r="AY54" s="13"/>
    </row>
    <row r="55" spans="2:51" x14ac:dyDescent="0.25">
      <c r="B55" s="11"/>
      <c r="C55" s="24" t="str" cm="1">
        <f t="array" aca="1" ref="C55" ca="1">IF(OR(Formulas!E52=0,Formulas!E52="",RIGHT(Formulas!F52)="0"),"",
HYPERLINK("["&amp;Archivo_Nombre&amp;"]Datos!"&amp;LEFT(SUBSTITUTE(ADDRESS(1,IF(Formulas!E52=1,1,RIGHT(Formulas!F52)+2)),"$",""))&amp;Formulas!D52+1,
IFERROR(INDEX(Datos!$A$1:$L$1,1,RIGHT(Formulas!F52)+2)&amp;IF(Formulas!E52=1," "&amp;Formulas!D52,"")&amp;":","")))</f>
        <v/>
      </c>
      <c r="D55" s="107" t="str" cm="1">
        <f t="array" aca="1" ref="D55" ca="1">IF(OR(Formulas!E52=0,Formulas!E52="",RIGHT(Formulas!F52)="0"),"",
HYPERLINK("["&amp;Archivo_Nombre&amp;"]Datos!"&amp;LEFT(SUBSTITUTE(ADDRESS(1,RIGHT(Formulas!F52)+2),"$",""))&amp;Formulas!D52+1,
IFERROR(INDEX(Datos!$A$2:$L$101,Formulas!D52,RIGHT(Formulas!F52)+2),"")))</f>
        <v/>
      </c>
      <c r="E55" s="107" t="str" cm="1">
        <f t="array" aca="1" ref="E55" ca="1">IF(OR(Formulas!F53=0,Formulas!F53=""),"",HYPERLINK("["&amp;Archivo_Nombre&amp;"]Datos!"&amp;LEFT(SUBSTITUTE(ADDRESS(1,Formulas!F53+2),"$",""))&amp;Formulas!E53+1,
IFERROR(INDEX(Datos!$A$2:$L$101,Formulas!E53,Formulas!F53+2),"")))</f>
        <v/>
      </c>
      <c r="F55" s="5"/>
      <c r="G55" s="6"/>
      <c r="H55" s="24" t="str" cm="1">
        <f t="array" aca="1" ref="H55" ca="1">IF(OR(Formulas!J52=0,Formulas!J52="",RIGHT(Formulas!K52)="0"),"",
HYPERLINK("["&amp;Archivo_Nombre&amp;"]Datos!"&amp;LEFT(SUBSTITUTE(ADDRESS(1,IF(Formulas!J52=1,1,RIGHT(Formulas!K52)+2)),"$",""))&amp;Formulas!I52+1,
IFERROR(INDEX(Datos!$A$1:$L$1,1,RIGHT(Formulas!K52)+2)&amp;IF(Formulas!J52=1," "&amp;Formulas!I52,"")&amp;":","")))</f>
        <v/>
      </c>
      <c r="I55" s="107" t="str" cm="1">
        <f t="array" aca="1" ref="I55" ca="1">IF(OR(Formulas!J52=0,Formulas!J52="",RIGHT(Formulas!K52)="0"),"",
HYPERLINK("["&amp;Archivo_Nombre&amp;"]Datos!"&amp;LEFT(SUBSTITUTE(ADDRESS(1,RIGHT(Formulas!K52)+2),"$",""))&amp;Formulas!I52+1,
IFERROR(INDEX(Datos!$A$2:$L$101,Formulas!I52,RIGHT(Formulas!K52)+2),"")))</f>
        <v/>
      </c>
      <c r="J55" s="107" t="e" cm="1">
        <f t="array" aca="1" ref="J55" ca="1">IF(OR(Formulas!K53=0,Formulas!K53=""),"",HYPERLINK("["&amp;Archivo_Nombre&amp;"]Datos!"&amp;LEFT(SUBSTITUTE(ADDRESS(1,Formulas!K53+2),"$",""))&amp;Formulas!J53+1,
IFERROR(INDEX(Datos!$A$2:$L$101,Formulas!J53,Formulas!K53+2),"")))</f>
        <v>#VALUE!</v>
      </c>
      <c r="K55" s="5"/>
      <c r="L55" s="6"/>
      <c r="M55" s="24" t="str" cm="1">
        <f t="array" aca="1" ref="M55" ca="1">IF(OR(Formulas!O52=0,Formulas!O52="",RIGHT(Formulas!P52)="0"),"",
HYPERLINK("["&amp;Archivo_Nombre&amp;"]Datos!"&amp;LEFT(SUBSTITUTE(ADDRESS(1,IF(Formulas!O52=1,1,RIGHT(Formulas!P52)+2)),"$",""))&amp;Formulas!N52+1,
IFERROR(INDEX(Datos!$A$1:$L$1,1,RIGHT(Formulas!P52)+2)&amp;IF(Formulas!O52=1," "&amp;Formulas!N52,"")&amp;":","")))</f>
        <v/>
      </c>
      <c r="N55" s="107" t="str" cm="1">
        <f t="array" aca="1" ref="N55" ca="1">IF(OR(Formulas!O52=0,Formulas!O52="",RIGHT(Formulas!P52)="0"),"",
HYPERLINK("["&amp;Archivo_Nombre&amp;"]Datos!"&amp;LEFT(SUBSTITUTE(ADDRESS(1,RIGHT(Formulas!P52)+2),"$",""))&amp;Formulas!N52+1,
IFERROR(INDEX(Datos!$A$2:$L$101,Formulas!N52,RIGHT(Formulas!P52)+2),"")))</f>
        <v/>
      </c>
      <c r="O55" s="107" t="str" cm="1">
        <f t="array" aca="1" ref="O55" ca="1">IF(OR(Formulas!P53=0,Formulas!P53=""),"",HYPERLINK("["&amp;Archivo_Nombre&amp;"]Datos!"&amp;LEFT(SUBSTITUTE(ADDRESS(1,Formulas!P53+2),"$",""))&amp;Formulas!O53+1,
IFERROR(INDEX(Datos!$A$2:$L$101,Formulas!O53,Formulas!P53+2),"")))</f>
        <v/>
      </c>
      <c r="P55" s="5"/>
      <c r="Q55" s="6"/>
      <c r="R55" s="24" t="str" cm="1">
        <f t="array" aca="1" ref="R55" ca="1">IF(OR(Formulas!T52=0,Formulas!T52="",RIGHT(Formulas!U52)="0"),"",
HYPERLINK("["&amp;Archivo_Nombre&amp;"]Datos!"&amp;LEFT(SUBSTITUTE(ADDRESS(1,IF(Formulas!T52=1,1,RIGHT(Formulas!U52)+2)),"$",""))&amp;Formulas!S52+1,
IFERROR(INDEX(Datos!$A$1:$L$1,1,RIGHT(Formulas!U52)+2)&amp;IF(Formulas!T52=1," "&amp;Formulas!S52,"")&amp;":","")))</f>
        <v/>
      </c>
      <c r="S55" s="107" t="str" cm="1">
        <f t="array" aca="1" ref="S55" ca="1">IF(OR(Formulas!T52=0,Formulas!T52="",RIGHT(Formulas!U52)="0"),"",
HYPERLINK("["&amp;Archivo_Nombre&amp;"]Datos!"&amp;LEFT(SUBSTITUTE(ADDRESS(1,RIGHT(Formulas!U52)+2),"$",""))&amp;Formulas!S52+1,
IFERROR(INDEX(Datos!$A$2:$L$101,Formulas!S52,RIGHT(Formulas!U52)+2),"")))</f>
        <v/>
      </c>
      <c r="T55" s="107" t="e" cm="1">
        <f t="array" aca="1" ref="T55" ca="1">IF(OR(Formulas!U53=0,Formulas!U53=""),"",HYPERLINK("["&amp;Archivo_Nombre&amp;"]Datos!"&amp;LEFT(SUBSTITUTE(ADDRESS(1,Formulas!U53+2),"$",""))&amp;Formulas!T53+1,
IFERROR(INDEX(Datos!$A$2:$L$101,Formulas!T53,Formulas!U53+2),"")))</f>
        <v>#VALUE!</v>
      </c>
      <c r="U55" s="5"/>
      <c r="V55" s="6"/>
      <c r="W55" s="24" t="str" cm="1">
        <f t="array" aca="1" ref="W55" ca="1">IF(OR(Formulas!Y52=0,Formulas!Y52="",RIGHT(Formulas!Z52)="0"),"",
HYPERLINK("["&amp;Archivo_Nombre&amp;"]Datos!"&amp;LEFT(SUBSTITUTE(ADDRESS(1,IF(Formulas!Y52=1,1,RIGHT(Formulas!Z52)+2)),"$",""))&amp;Formulas!X52+1,
IFERROR(INDEX(Datos!$A$1:$L$1,1,RIGHT(Formulas!Z52)+2)&amp;IF(Formulas!Y52=1," "&amp;Formulas!X52,"")&amp;":","")))</f>
        <v/>
      </c>
      <c r="X55" s="107" t="str" cm="1">
        <f t="array" aca="1" ref="X55" ca="1">IF(OR(Formulas!Y52=0,Formulas!Y52="",RIGHT(Formulas!Z52)="0"),"",
HYPERLINK("["&amp;Archivo_Nombre&amp;"]Datos!"&amp;LEFT(SUBSTITUTE(ADDRESS(1,RIGHT(Formulas!Z52)+2),"$",""))&amp;Formulas!X52+1,
IFERROR(INDEX(Datos!$A$2:$L$101,Formulas!X52,RIGHT(Formulas!Z52)+2),"")))</f>
        <v/>
      </c>
      <c r="Y55" s="107" t="str" cm="1">
        <f t="array" aca="1" ref="Y55" ca="1">IF(OR(Formulas!Z53=0,Formulas!Z53=""),"",HYPERLINK("["&amp;Archivo_Nombre&amp;"]Datos!"&amp;LEFT(SUBSTITUTE(ADDRESS(1,Formulas!Z53+2),"$",""))&amp;Formulas!Y53+1,
IFERROR(INDEX(Datos!$A$2:$L$101,Formulas!Y53,Formulas!Z53+2),"")))</f>
        <v/>
      </c>
      <c r="Z55" s="13"/>
      <c r="AA55" s="6"/>
      <c r="AB55" s="24" t="str" cm="1">
        <f t="array" aca="1" ref="AB55" ca="1">IF(OR(Formulas!AD52=0,Formulas!AD52="",RIGHT(Formulas!AE52)="0"),"",
HYPERLINK("["&amp;Archivo_Nombre&amp;"]Datos!"&amp;LEFT(SUBSTITUTE(ADDRESS(1,IF(Formulas!AD52=1,1,RIGHT(Formulas!AE52)+2)),"$",""))&amp;Formulas!AC52+1,
IFERROR(INDEX(Datos!$A$1:$L$1,1,RIGHT(Formulas!AE52)+2)&amp;IF(Formulas!AD52=1," "&amp;Formulas!AC52,"")&amp;":","")))</f>
        <v/>
      </c>
      <c r="AC55" s="107" t="str" cm="1">
        <f t="array" aca="1" ref="AC55" ca="1">IF(OR(Formulas!AD52=0,Formulas!AD52="",RIGHT(Formulas!AE52)="0"),"",
HYPERLINK("["&amp;Archivo_Nombre&amp;"]Datos!"&amp;LEFT(SUBSTITUTE(ADDRESS(1,RIGHT(Formulas!AE52)+2),"$",""))&amp;Formulas!AC52+1,
IFERROR(INDEX(Datos!$A$2:$L$101,Formulas!AC52,RIGHT(Formulas!AE52)+2),"")))</f>
        <v/>
      </c>
      <c r="AD55" s="107" t="str" cm="1">
        <f t="array" aca="1" ref="AD55" ca="1">IF(OR(Formulas!AE53=0,Formulas!AE53=""),"",HYPERLINK("["&amp;Archivo_Nombre&amp;"]Datos!"&amp;LEFT(SUBSTITUTE(ADDRESS(1,Formulas!AE53+2),"$",""))&amp;Formulas!AD53+1,
IFERROR(INDEX(Datos!$A$2:$L$101,Formulas!AD53,Formulas!AE53+2),"")))</f>
        <v/>
      </c>
      <c r="AE55" s="13"/>
      <c r="AF55" s="6"/>
      <c r="AG55" s="24" t="str" cm="1">
        <f t="array" aca="1" ref="AG55" ca="1">IF(OR(Formulas!AI52=0,Formulas!AI52="",RIGHT(Formulas!AJ52)="0"),"",
HYPERLINK("["&amp;Archivo_Nombre&amp;"]Datos!"&amp;LEFT(SUBSTITUTE(ADDRESS(1,IF(Formulas!AI52=1,1,RIGHT(Formulas!AJ52)+2)),"$",""))&amp;Formulas!AH52+1,
IFERROR(INDEX(Datos!$A$1:$L$1,1,RIGHT(Formulas!AJ52)+2)&amp;IF(Formulas!AI52=1," "&amp;Formulas!AH52,"")&amp;":","")))</f>
        <v/>
      </c>
      <c r="AH55" s="107" t="str" cm="1">
        <f t="array" aca="1" ref="AH55" ca="1">IF(OR(Formulas!AI52=0,Formulas!AI52="",RIGHT(Formulas!AJ52)="0"),"",
HYPERLINK("["&amp;Archivo_Nombre&amp;"]Datos!"&amp;LEFT(SUBSTITUTE(ADDRESS(1,RIGHT(Formulas!AJ52)+2),"$",""))&amp;Formulas!AH52+1,
IFERROR(INDEX(Datos!$A$2:$L$101,Formulas!AH52,RIGHT(Formulas!AJ52)+2),"")))</f>
        <v/>
      </c>
      <c r="AI55" s="107" t="str" cm="1">
        <f t="array" aca="1" ref="AI55" ca="1">IF(OR(Formulas!AJ53=0,Formulas!AJ53=""),"",HYPERLINK("["&amp;Archivo_Nombre&amp;"]Datos!"&amp;LEFT(SUBSTITUTE(ADDRESS(1,Formulas!AJ53+2),"$",""))&amp;Formulas!AI53+1,
IFERROR(INDEX(Datos!$A$2:$L$101,Formulas!AI53,Formulas!AJ53+2),"")))</f>
        <v/>
      </c>
      <c r="AJ55" s="13"/>
      <c r="AK55" s="6"/>
      <c r="AL55" s="24" t="str" cm="1">
        <f t="array" aca="1" ref="AL55" ca="1">IF(OR(Formulas!AN52=0,Formulas!AN52="",RIGHT(Formulas!AO52)="0"),"",
HYPERLINK("["&amp;Archivo_Nombre&amp;"]Datos!"&amp;LEFT(SUBSTITUTE(ADDRESS(1,IF(Formulas!AN52=1,1,RIGHT(Formulas!AO52)+2)),"$",""))&amp;Formulas!AM52+1,
IFERROR(INDEX(Datos!$A$1:$L$1,1,RIGHT(Formulas!AO52)+2)&amp;IF(Formulas!AN52=1," "&amp;Formulas!AM52,"")&amp;":","")))</f>
        <v/>
      </c>
      <c r="AM55" s="107" t="str" cm="1">
        <f t="array" aca="1" ref="AM55" ca="1">IF(OR(Formulas!AN52=0,Formulas!AN52="",RIGHT(Formulas!AO52)="0"),"",
HYPERLINK("["&amp;Archivo_Nombre&amp;"]Datos!"&amp;LEFT(SUBSTITUTE(ADDRESS(1,RIGHT(Formulas!AO52)+2),"$",""))&amp;Formulas!AM52+1,
IFERROR(INDEX(Datos!$A$2:$L$101,Formulas!AM52,RIGHT(Formulas!AO52)+2),"")))</f>
        <v/>
      </c>
      <c r="AN55" s="107" t="str" cm="1">
        <f t="array" aca="1" ref="AN55" ca="1">IF(OR(Formulas!AO53=0,Formulas!AO53=""),"",HYPERLINK("["&amp;Archivo_Nombre&amp;"]Datos!"&amp;LEFT(SUBSTITUTE(ADDRESS(1,Formulas!AO53+2),"$",""))&amp;Formulas!AN53+1,
IFERROR(INDEX(Datos!$A$2:$L$101,Formulas!AN53,Formulas!AO53+2),"")))</f>
        <v/>
      </c>
      <c r="AO55" s="13"/>
      <c r="AP55" s="6"/>
      <c r="AQ55" s="24" t="str" cm="1">
        <f t="array" aca="1" ref="AQ55" ca="1">IF(OR(Formulas!AS52=0,Formulas!AS52="",RIGHT(Formulas!AT52)="0"),"",
HYPERLINK("["&amp;Archivo_Nombre&amp;"]Datos!"&amp;LEFT(SUBSTITUTE(ADDRESS(1,IF(Formulas!AS52=1,1,RIGHT(Formulas!AT52)+2)),"$",""))&amp;Formulas!AR52+1,
IFERROR(INDEX(Datos!$A$1:$L$1,1,RIGHT(Formulas!AT52)+2)&amp;IF(Formulas!AS52=1," "&amp;Formulas!AR52,"")&amp;":","")))</f>
        <v/>
      </c>
      <c r="AR55" s="107" t="str" cm="1">
        <f t="array" aca="1" ref="AR55" ca="1">IF(OR(Formulas!AS52=0,Formulas!AS52="",RIGHT(Formulas!AT52)="0"),"",
HYPERLINK("["&amp;Archivo_Nombre&amp;"]Datos!"&amp;LEFT(SUBSTITUTE(ADDRESS(1,RIGHT(Formulas!AT52)+2),"$",""))&amp;Formulas!AR52+1,
IFERROR(INDEX(Datos!$A$2:$L$101,Formulas!AR52,RIGHT(Formulas!AT52)+2),"")))</f>
        <v/>
      </c>
      <c r="AS55" s="107" t="str" cm="1">
        <f t="array" aca="1" ref="AS55" ca="1">IF(OR(Formulas!AT53=0,Formulas!AT53=""),"",HYPERLINK("["&amp;Archivo_Nombre&amp;"]Datos!"&amp;LEFT(SUBSTITUTE(ADDRESS(1,Formulas!AT53+2),"$",""))&amp;Formulas!AS53+1,
IFERROR(INDEX(Datos!$A$2:$L$101,Formulas!AS53,Formulas!AT53+2),"")))</f>
        <v/>
      </c>
      <c r="AT55" s="13"/>
      <c r="AU55" s="6"/>
      <c r="AV55" s="24" t="str" cm="1">
        <f t="array" aca="1" ref="AV55" ca="1">IF(OR(Formulas!AX52=0,Formulas!AX52="",RIGHT(Formulas!AY52)="0"),"",
HYPERLINK("["&amp;Archivo_Nombre&amp;"]Datos!"&amp;LEFT(SUBSTITUTE(ADDRESS(1,IF(Formulas!AX52=1,1,RIGHT(Formulas!AY52)+2)),"$",""))&amp;Formulas!AW52+1,
IFERROR(INDEX(Datos!$A$1:$L$1,1,RIGHT(Formulas!AY52)+2)&amp;IF(Formulas!AX52=1," "&amp;Formulas!AW52,"")&amp;":","")))</f>
        <v/>
      </c>
      <c r="AW55" s="107" t="str" cm="1">
        <f t="array" aca="1" ref="AW55" ca="1">IF(OR(Formulas!AX52=0,Formulas!AX52="",RIGHT(Formulas!AY52)="0"),"",
HYPERLINK("["&amp;Archivo_Nombre&amp;"]Datos!"&amp;LEFT(SUBSTITUTE(ADDRESS(1,RIGHT(Formulas!AY52)+2),"$",""))&amp;Formulas!AW52+1,
IFERROR(INDEX(Datos!$A$2:$L$101,Formulas!AW52,RIGHT(Formulas!AY52)+2),"")))</f>
        <v/>
      </c>
      <c r="AX55" s="107" t="str" cm="1">
        <f t="array" aca="1" ref="AX55" ca="1">IF(OR(Formulas!AY53=0,Formulas!AY53=""),"",HYPERLINK("["&amp;Archivo_Nombre&amp;"]Datos!"&amp;LEFT(SUBSTITUTE(ADDRESS(1,Formulas!AY53+2),"$",""))&amp;Formulas!AX53+1,
IFERROR(INDEX(Datos!$A$2:$L$101,Formulas!AX53,Formulas!AY53+2),"")))</f>
        <v/>
      </c>
      <c r="AY55" s="13"/>
    </row>
    <row r="56" spans="2:51" x14ac:dyDescent="0.25">
      <c r="B56" s="11"/>
      <c r="C56" s="24" t="str" cm="1">
        <f t="array" aca="1" ref="C56" ca="1">IF(OR(Formulas!E53=0,Formulas!E53="",RIGHT(Formulas!F53)="0"),"",
HYPERLINK("["&amp;Archivo_Nombre&amp;"]Datos!"&amp;LEFT(SUBSTITUTE(ADDRESS(1,IF(Formulas!E53=1,1,RIGHT(Formulas!F53)+2)),"$",""))&amp;Formulas!D53+1,
IFERROR(INDEX(Datos!$A$1:$L$1,1,RIGHT(Formulas!F53)+2)&amp;IF(Formulas!E53=1," "&amp;Formulas!D53,"")&amp;":","")))</f>
        <v/>
      </c>
      <c r="D56" s="107" t="str" cm="1">
        <f t="array" aca="1" ref="D56" ca="1">IF(OR(Formulas!E53=0,Formulas!E53="",RIGHT(Formulas!F53)="0"),"",
HYPERLINK("["&amp;Archivo_Nombre&amp;"]Datos!"&amp;LEFT(SUBSTITUTE(ADDRESS(1,RIGHT(Formulas!F53)+2),"$",""))&amp;Formulas!D53+1,
IFERROR(INDEX(Datos!$A$2:$L$101,Formulas!D53,RIGHT(Formulas!F53)+2),"")))</f>
        <v/>
      </c>
      <c r="E56" s="107" t="str" cm="1">
        <f t="array" aca="1" ref="E56" ca="1">IF(OR(Formulas!F54=0,Formulas!F54=""),"",HYPERLINK("["&amp;Archivo_Nombre&amp;"]Datos!"&amp;LEFT(SUBSTITUTE(ADDRESS(1,Formulas!F54+2),"$",""))&amp;Formulas!E54+1,
IFERROR(INDEX(Datos!$A$2:$L$101,Formulas!E54,Formulas!F54+2),"")))</f>
        <v/>
      </c>
      <c r="F56" s="5"/>
      <c r="G56" s="6"/>
      <c r="H56" s="24" t="str" cm="1">
        <f t="array" aca="1" ref="H56" ca="1">IF(OR(Formulas!J53=0,Formulas!J53="",RIGHT(Formulas!K53)="0"),"",
HYPERLINK("["&amp;Archivo_Nombre&amp;"]Datos!"&amp;LEFT(SUBSTITUTE(ADDRESS(1,IF(Formulas!J53=1,1,RIGHT(Formulas!K53)+2)),"$",""))&amp;Formulas!I53+1,
IFERROR(INDEX(Datos!$A$1:$L$1,1,RIGHT(Formulas!K53)+2)&amp;IF(Formulas!J53=1," "&amp;Formulas!I53,"")&amp;":","")))</f>
        <v>ORDEN PCRONOLOGICO 1:</v>
      </c>
      <c r="I56" s="107" cm="1">
        <f t="array" aca="1" ref="I56" ca="1">IF(OR(Formulas!J53=0,Formulas!J53="",RIGHT(Formulas!K53)="0"),"",
HYPERLINK("["&amp;Archivo_Nombre&amp;"]Datos!"&amp;LEFT(SUBSTITUTE(ADDRESS(1,RIGHT(Formulas!K53)+2),"$",""))&amp;Formulas!I53+1,
IFERROR(INDEX(Datos!$A$2:$L$101,Formulas!I53,RIGHT(Formulas!K53)+2),"")))</f>
        <v>1</v>
      </c>
      <c r="J56" s="107" t="e" cm="1">
        <f t="array" aca="1" ref="J56" ca="1">IF(OR(Formulas!K54=0,Formulas!K54=""),"",HYPERLINK("["&amp;Archivo_Nombre&amp;"]Datos!"&amp;LEFT(SUBSTITUTE(ADDRESS(1,Formulas!K54+2),"$",""))&amp;Formulas!J54+1,
IFERROR(INDEX(Datos!$A$2:$L$101,Formulas!J54,Formulas!K54+2),"")))</f>
        <v>#VALUE!</v>
      </c>
      <c r="K56" s="5"/>
      <c r="L56" s="6"/>
      <c r="M56" s="24" t="str" cm="1">
        <f t="array" aca="1" ref="M56" ca="1">IF(OR(Formulas!O53=0,Formulas!O53="",RIGHT(Formulas!P53)="0"),"",
HYPERLINK("["&amp;Archivo_Nombre&amp;"]Datos!"&amp;LEFT(SUBSTITUTE(ADDRESS(1,IF(Formulas!O53=1,1,RIGHT(Formulas!P53)+2)),"$",""))&amp;Formulas!N53+1,
IFERROR(INDEX(Datos!$A$1:$L$1,1,RIGHT(Formulas!P53)+2)&amp;IF(Formulas!O53=1," "&amp;Formulas!N53,"")&amp;":","")))</f>
        <v/>
      </c>
      <c r="N56" s="107" t="str" cm="1">
        <f t="array" aca="1" ref="N56" ca="1">IF(OR(Formulas!O53=0,Formulas!O53="",RIGHT(Formulas!P53)="0"),"",
HYPERLINK("["&amp;Archivo_Nombre&amp;"]Datos!"&amp;LEFT(SUBSTITUTE(ADDRESS(1,RIGHT(Formulas!P53)+2),"$",""))&amp;Formulas!N53+1,
IFERROR(INDEX(Datos!$A$2:$L$101,Formulas!N53,RIGHT(Formulas!P53)+2),"")))</f>
        <v/>
      </c>
      <c r="O56" s="107" t="str" cm="1">
        <f t="array" aca="1" ref="O56" ca="1">IF(OR(Formulas!P54=0,Formulas!P54=""),"",HYPERLINK("["&amp;Archivo_Nombre&amp;"]Datos!"&amp;LEFT(SUBSTITUTE(ADDRESS(1,Formulas!P54+2),"$",""))&amp;Formulas!O54+1,
IFERROR(INDEX(Datos!$A$2:$L$101,Formulas!O54,Formulas!P54+2),"")))</f>
        <v/>
      </c>
      <c r="P56" s="5"/>
      <c r="Q56" s="6"/>
      <c r="R56" s="24" t="str" cm="1">
        <f t="array" aca="1" ref="R56" ca="1">IF(OR(Formulas!T53=0,Formulas!T53="",RIGHT(Formulas!U53)="0"),"",
HYPERLINK("["&amp;Archivo_Nombre&amp;"]Datos!"&amp;LEFT(SUBSTITUTE(ADDRESS(1,IF(Formulas!T53=1,1,RIGHT(Formulas!U53)+2)),"$",""))&amp;Formulas!S53+1,
IFERROR(INDEX(Datos!$A$1:$L$1,1,RIGHT(Formulas!U53)+2)&amp;IF(Formulas!T53=1," "&amp;Formulas!S53,"")&amp;":","")))</f>
        <v>ORDEN PCRONOLOGICO 24:</v>
      </c>
      <c r="S56" s="107" cm="1">
        <f t="array" aca="1" ref="S56" ca="1">IF(OR(Formulas!T53=0,Formulas!T53="",RIGHT(Formulas!U53)="0"),"",
HYPERLINK("["&amp;Archivo_Nombre&amp;"]Datos!"&amp;LEFT(SUBSTITUTE(ADDRESS(1,RIGHT(Formulas!U53)+2),"$",""))&amp;Formulas!S53+1,
IFERROR(INDEX(Datos!$A$2:$L$101,Formulas!S53,RIGHT(Formulas!U53)+2),"")))</f>
        <v>24</v>
      </c>
      <c r="T56" s="107" t="e" cm="1">
        <f t="array" aca="1" ref="T56" ca="1">IF(OR(Formulas!U54=0,Formulas!U54=""),"",HYPERLINK("["&amp;Archivo_Nombre&amp;"]Datos!"&amp;LEFT(SUBSTITUTE(ADDRESS(1,Formulas!U54+2),"$",""))&amp;Formulas!T54+1,
IFERROR(INDEX(Datos!$A$2:$L$101,Formulas!T54,Formulas!U54+2),"")))</f>
        <v>#VALUE!</v>
      </c>
      <c r="U56" s="5"/>
      <c r="V56" s="6"/>
      <c r="W56" s="24" t="str" cm="1">
        <f t="array" aca="1" ref="W56" ca="1">IF(OR(Formulas!Y53=0,Formulas!Y53="",RIGHT(Formulas!Z53)="0"),"",
HYPERLINK("["&amp;Archivo_Nombre&amp;"]Datos!"&amp;LEFT(SUBSTITUTE(ADDRESS(1,IF(Formulas!Y53=1,1,RIGHT(Formulas!Z53)+2)),"$",""))&amp;Formulas!X53+1,
IFERROR(INDEX(Datos!$A$1:$L$1,1,RIGHT(Formulas!Z53)+2)&amp;IF(Formulas!Y53=1," "&amp;Formulas!X53,"")&amp;":","")))</f>
        <v/>
      </c>
      <c r="X56" s="107" t="str" cm="1">
        <f t="array" aca="1" ref="X56" ca="1">IF(OR(Formulas!Y53=0,Formulas!Y53="",RIGHT(Formulas!Z53)="0"),"",
HYPERLINK("["&amp;Archivo_Nombre&amp;"]Datos!"&amp;LEFT(SUBSTITUTE(ADDRESS(1,RIGHT(Formulas!Z53)+2),"$",""))&amp;Formulas!X53+1,
IFERROR(INDEX(Datos!$A$2:$L$101,Formulas!X53,RIGHT(Formulas!Z53)+2),"")))</f>
        <v/>
      </c>
      <c r="Y56" s="107" t="str" cm="1">
        <f t="array" aca="1" ref="Y56" ca="1">IF(OR(Formulas!Z54=0,Formulas!Z54=""),"",HYPERLINK("["&amp;Archivo_Nombre&amp;"]Datos!"&amp;LEFT(SUBSTITUTE(ADDRESS(1,Formulas!Z54+2),"$",""))&amp;Formulas!Y54+1,
IFERROR(INDEX(Datos!$A$2:$L$101,Formulas!Y54,Formulas!Z54+2),"")))</f>
        <v/>
      </c>
      <c r="Z56" s="13"/>
      <c r="AA56" s="6"/>
      <c r="AB56" s="24" t="str" cm="1">
        <f t="array" aca="1" ref="AB56" ca="1">IF(OR(Formulas!AD53=0,Formulas!AD53="",RIGHT(Formulas!AE53)="0"),"",
HYPERLINK("["&amp;Archivo_Nombre&amp;"]Datos!"&amp;LEFT(SUBSTITUTE(ADDRESS(1,IF(Formulas!AD53=1,1,RIGHT(Formulas!AE53)+2)),"$",""))&amp;Formulas!AC53+1,
IFERROR(INDEX(Datos!$A$1:$L$1,1,RIGHT(Formulas!AE53)+2)&amp;IF(Formulas!AD53=1," "&amp;Formulas!AC53,"")&amp;":","")))</f>
        <v/>
      </c>
      <c r="AC56" s="107" t="str" cm="1">
        <f t="array" aca="1" ref="AC56" ca="1">IF(OR(Formulas!AD53=0,Formulas!AD53="",RIGHT(Formulas!AE53)="0"),"",
HYPERLINK("["&amp;Archivo_Nombre&amp;"]Datos!"&amp;LEFT(SUBSTITUTE(ADDRESS(1,RIGHT(Formulas!AE53)+2),"$",""))&amp;Formulas!AC53+1,
IFERROR(INDEX(Datos!$A$2:$L$101,Formulas!AC53,RIGHT(Formulas!AE53)+2),"")))</f>
        <v/>
      </c>
      <c r="AD56" s="107" t="str" cm="1">
        <f t="array" aca="1" ref="AD56" ca="1">IF(OR(Formulas!AE54=0,Formulas!AE54=""),"",HYPERLINK("["&amp;Archivo_Nombre&amp;"]Datos!"&amp;LEFT(SUBSTITUTE(ADDRESS(1,Formulas!AE54+2),"$",""))&amp;Formulas!AD54+1,
IFERROR(INDEX(Datos!$A$2:$L$101,Formulas!AD54,Formulas!AE54+2),"")))</f>
        <v/>
      </c>
      <c r="AE56" s="13"/>
      <c r="AF56" s="6"/>
      <c r="AG56" s="24" t="str" cm="1">
        <f t="array" aca="1" ref="AG56" ca="1">IF(OR(Formulas!AI53=0,Formulas!AI53="",RIGHT(Formulas!AJ53)="0"),"",
HYPERLINK("["&amp;Archivo_Nombre&amp;"]Datos!"&amp;LEFT(SUBSTITUTE(ADDRESS(1,IF(Formulas!AI53=1,1,RIGHT(Formulas!AJ53)+2)),"$",""))&amp;Formulas!AH53+1,
IFERROR(INDEX(Datos!$A$1:$L$1,1,RIGHT(Formulas!AJ53)+2)&amp;IF(Formulas!AI53=1," "&amp;Formulas!AH53,"")&amp;":","")))</f>
        <v/>
      </c>
      <c r="AH56" s="107" t="str" cm="1">
        <f t="array" aca="1" ref="AH56" ca="1">IF(OR(Formulas!AI53=0,Formulas!AI53="",RIGHT(Formulas!AJ53)="0"),"",
HYPERLINK("["&amp;Archivo_Nombre&amp;"]Datos!"&amp;LEFT(SUBSTITUTE(ADDRESS(1,RIGHT(Formulas!AJ53)+2),"$",""))&amp;Formulas!AH53+1,
IFERROR(INDEX(Datos!$A$2:$L$101,Formulas!AH53,RIGHT(Formulas!AJ53)+2),"")))</f>
        <v/>
      </c>
      <c r="AI56" s="107" t="str" cm="1">
        <f t="array" aca="1" ref="AI56" ca="1">IF(OR(Formulas!AJ54=0,Formulas!AJ54=""),"",HYPERLINK("["&amp;Archivo_Nombre&amp;"]Datos!"&amp;LEFT(SUBSTITUTE(ADDRESS(1,Formulas!AJ54+2),"$",""))&amp;Formulas!AI54+1,
IFERROR(INDEX(Datos!$A$2:$L$101,Formulas!AI54,Formulas!AJ54+2),"")))</f>
        <v/>
      </c>
      <c r="AJ56" s="13"/>
      <c r="AK56" s="6"/>
      <c r="AL56" s="24" t="str" cm="1">
        <f t="array" aca="1" ref="AL56" ca="1">IF(OR(Formulas!AN53=0,Formulas!AN53="",RIGHT(Formulas!AO53)="0"),"",
HYPERLINK("["&amp;Archivo_Nombre&amp;"]Datos!"&amp;LEFT(SUBSTITUTE(ADDRESS(1,IF(Formulas!AN53=1,1,RIGHT(Formulas!AO53)+2)),"$",""))&amp;Formulas!AM53+1,
IFERROR(INDEX(Datos!$A$1:$L$1,1,RIGHT(Formulas!AO53)+2)&amp;IF(Formulas!AN53=1," "&amp;Formulas!AM53,"")&amp;":","")))</f>
        <v/>
      </c>
      <c r="AM56" s="107" t="str" cm="1">
        <f t="array" aca="1" ref="AM56" ca="1">IF(OR(Formulas!AN53=0,Formulas!AN53="",RIGHT(Formulas!AO53)="0"),"",
HYPERLINK("["&amp;Archivo_Nombre&amp;"]Datos!"&amp;LEFT(SUBSTITUTE(ADDRESS(1,RIGHT(Formulas!AO53)+2),"$",""))&amp;Formulas!AM53+1,
IFERROR(INDEX(Datos!$A$2:$L$101,Formulas!AM53,RIGHT(Formulas!AO53)+2),"")))</f>
        <v/>
      </c>
      <c r="AN56" s="107" t="str" cm="1">
        <f t="array" aca="1" ref="AN56" ca="1">IF(OR(Formulas!AO54=0,Formulas!AO54=""),"",HYPERLINK("["&amp;Archivo_Nombre&amp;"]Datos!"&amp;LEFT(SUBSTITUTE(ADDRESS(1,Formulas!AO54+2),"$",""))&amp;Formulas!AN54+1,
IFERROR(INDEX(Datos!$A$2:$L$101,Formulas!AN54,Formulas!AO54+2),"")))</f>
        <v/>
      </c>
      <c r="AO56" s="13"/>
      <c r="AP56" s="6"/>
      <c r="AQ56" s="24" t="str" cm="1">
        <f t="array" aca="1" ref="AQ56" ca="1">IF(OR(Formulas!AS53=0,Formulas!AS53="",RIGHT(Formulas!AT53)="0"),"",
HYPERLINK("["&amp;Archivo_Nombre&amp;"]Datos!"&amp;LEFT(SUBSTITUTE(ADDRESS(1,IF(Formulas!AS53=1,1,RIGHT(Formulas!AT53)+2)),"$",""))&amp;Formulas!AR53+1,
IFERROR(INDEX(Datos!$A$1:$L$1,1,RIGHT(Formulas!AT53)+2)&amp;IF(Formulas!AS53=1," "&amp;Formulas!AR53,"")&amp;":","")))</f>
        <v/>
      </c>
      <c r="AR56" s="107" t="str" cm="1">
        <f t="array" aca="1" ref="AR56" ca="1">IF(OR(Formulas!AS53=0,Formulas!AS53="",RIGHT(Formulas!AT53)="0"),"",
HYPERLINK("["&amp;Archivo_Nombre&amp;"]Datos!"&amp;LEFT(SUBSTITUTE(ADDRESS(1,RIGHT(Formulas!AT53)+2),"$",""))&amp;Formulas!AR53+1,
IFERROR(INDEX(Datos!$A$2:$L$101,Formulas!AR53,RIGHT(Formulas!AT53)+2),"")))</f>
        <v/>
      </c>
      <c r="AS56" s="107" t="str" cm="1">
        <f t="array" aca="1" ref="AS56" ca="1">IF(OR(Formulas!AT54=0,Formulas!AT54=""),"",HYPERLINK("["&amp;Archivo_Nombre&amp;"]Datos!"&amp;LEFT(SUBSTITUTE(ADDRESS(1,Formulas!AT54+2),"$",""))&amp;Formulas!AS54+1,
IFERROR(INDEX(Datos!$A$2:$L$101,Formulas!AS54,Formulas!AT54+2),"")))</f>
        <v/>
      </c>
      <c r="AT56" s="13"/>
      <c r="AU56" s="6"/>
      <c r="AV56" s="24" t="str" cm="1">
        <f t="array" aca="1" ref="AV56" ca="1">IF(OR(Formulas!AX53=0,Formulas!AX53="",RIGHT(Formulas!AY53)="0"),"",
HYPERLINK("["&amp;Archivo_Nombre&amp;"]Datos!"&amp;LEFT(SUBSTITUTE(ADDRESS(1,IF(Formulas!AX53=1,1,RIGHT(Formulas!AY53)+2)),"$",""))&amp;Formulas!AW53+1,
IFERROR(INDEX(Datos!$A$1:$L$1,1,RIGHT(Formulas!AY53)+2)&amp;IF(Formulas!AX53=1," "&amp;Formulas!AW53,"")&amp;":","")))</f>
        <v/>
      </c>
      <c r="AW56" s="107" t="str" cm="1">
        <f t="array" aca="1" ref="AW56" ca="1">IF(OR(Formulas!AX53=0,Formulas!AX53="",RIGHT(Formulas!AY53)="0"),"",
HYPERLINK("["&amp;Archivo_Nombre&amp;"]Datos!"&amp;LEFT(SUBSTITUTE(ADDRESS(1,RIGHT(Formulas!AY53)+2),"$",""))&amp;Formulas!AW53+1,
IFERROR(INDEX(Datos!$A$2:$L$101,Formulas!AW53,RIGHT(Formulas!AY53)+2),"")))</f>
        <v/>
      </c>
      <c r="AX56" s="107" t="str" cm="1">
        <f t="array" aca="1" ref="AX56" ca="1">IF(OR(Formulas!AY54=0,Formulas!AY54=""),"",HYPERLINK("["&amp;Archivo_Nombre&amp;"]Datos!"&amp;LEFT(SUBSTITUTE(ADDRESS(1,Formulas!AY54+2),"$",""))&amp;Formulas!AX54+1,
IFERROR(INDEX(Datos!$A$2:$L$101,Formulas!AX54,Formulas!AY54+2),"")))</f>
        <v/>
      </c>
      <c r="AY56" s="13"/>
    </row>
    <row r="57" spans="2:51" x14ac:dyDescent="0.25">
      <c r="B57" s="11"/>
      <c r="C57" s="24" t="str" cm="1">
        <f t="array" aca="1" ref="C57" ca="1">IF(OR(Formulas!E54=0,Formulas!E54="",RIGHT(Formulas!F54)="0"),"",
HYPERLINK("["&amp;Archivo_Nombre&amp;"]Datos!"&amp;LEFT(SUBSTITUTE(ADDRESS(1,IF(Formulas!E54=1,1,RIGHT(Formulas!F54)+2)),"$",""))&amp;Formulas!D54+1,
IFERROR(INDEX(Datos!$A$1:$L$1,1,RIGHT(Formulas!F54)+2)&amp;IF(Formulas!E54=1," "&amp;Formulas!D54,"")&amp;":","")))</f>
        <v/>
      </c>
      <c r="D57" s="107" t="str" cm="1">
        <f t="array" aca="1" ref="D57" ca="1">IF(OR(Formulas!E54=0,Formulas!E54="",RIGHT(Formulas!F54)="0"),"",
HYPERLINK("["&amp;Archivo_Nombre&amp;"]Datos!"&amp;LEFT(SUBSTITUTE(ADDRESS(1,RIGHT(Formulas!F54)+2),"$",""))&amp;Formulas!D54+1,
IFERROR(INDEX(Datos!$A$2:$L$101,Formulas!D54,RIGHT(Formulas!F54)+2),"")))</f>
        <v/>
      </c>
      <c r="E57" s="107" t="str" cm="1">
        <f t="array" aca="1" ref="E57" ca="1">IF(OR(Formulas!F55=0,Formulas!F55=""),"",HYPERLINK("["&amp;Archivo_Nombre&amp;"]Datos!"&amp;LEFT(SUBSTITUTE(ADDRESS(1,Formulas!F55+2),"$",""))&amp;Formulas!E55+1,
IFERROR(INDEX(Datos!$A$2:$L$101,Formulas!E55,Formulas!F55+2),"")))</f>
        <v/>
      </c>
      <c r="F57" s="5"/>
      <c r="G57" s="6"/>
      <c r="H57" s="24" t="str" cm="1">
        <f t="array" aca="1" ref="H57" ca="1">IF(OR(Formulas!J54=0,Formulas!J54="",RIGHT(Formulas!K54)="0"),"",
HYPERLINK("["&amp;Archivo_Nombre&amp;"]Datos!"&amp;LEFT(SUBSTITUTE(ADDRESS(1,IF(Formulas!J54=1,1,RIGHT(Formulas!K54)+2)),"$",""))&amp;Formulas!I54+1,
IFERROR(INDEX(Datos!$A$1:$L$1,1,RIGHT(Formulas!K54)+2)&amp;IF(Formulas!J54=1," "&amp;Formulas!I54,"")&amp;":","")))</f>
        <v>Tarea:</v>
      </c>
      <c r="I57" s="107" t="str" cm="1">
        <f t="array" aca="1" ref="I57" ca="1">IF(OR(Formulas!J54=0,Formulas!J54="",RIGHT(Formulas!K54)="0"),"",
HYPERLINK("["&amp;Archivo_Nombre&amp;"]Datos!"&amp;LEFT(SUBSTITUTE(ADDRESS(1,RIGHT(Formulas!K54)+2),"$",""))&amp;Formulas!I54+1,
IFERROR(INDEX(Datos!$A$2:$L$101,Formulas!I54,RIGHT(Formulas!K54)+2),"")))</f>
        <v>Planificación del proyecto</v>
      </c>
      <c r="J57" s="107" t="e" cm="1">
        <f t="array" aca="1" ref="J57" ca="1">IF(OR(Formulas!K55=0,Formulas!K55=""),"",HYPERLINK("["&amp;Archivo_Nombre&amp;"]Datos!"&amp;LEFT(SUBSTITUTE(ADDRESS(1,Formulas!K55+2),"$",""))&amp;Formulas!J55+1,
IFERROR(INDEX(Datos!$A$2:$L$101,Formulas!J55,Formulas!K55+2),"")))</f>
        <v>#VALUE!</v>
      </c>
      <c r="K57" s="5"/>
      <c r="L57" s="6"/>
      <c r="M57" s="24" t="str" cm="1">
        <f t="array" aca="1" ref="M57" ca="1">IF(OR(Formulas!O54=0,Formulas!O54="",RIGHT(Formulas!P54)="0"),"",
HYPERLINK("["&amp;Archivo_Nombre&amp;"]Datos!"&amp;LEFT(SUBSTITUTE(ADDRESS(1,IF(Formulas!O54=1,1,RIGHT(Formulas!P54)+2)),"$",""))&amp;Formulas!N54+1,
IFERROR(INDEX(Datos!$A$1:$L$1,1,RIGHT(Formulas!P54)+2)&amp;IF(Formulas!O54=1," "&amp;Formulas!N54,"")&amp;":","")))</f>
        <v/>
      </c>
      <c r="N57" s="107" t="str" cm="1">
        <f t="array" aca="1" ref="N57" ca="1">IF(OR(Formulas!O54=0,Formulas!O54="",RIGHT(Formulas!P54)="0"),"",
HYPERLINK("["&amp;Archivo_Nombre&amp;"]Datos!"&amp;LEFT(SUBSTITUTE(ADDRESS(1,RIGHT(Formulas!P54)+2),"$",""))&amp;Formulas!N54+1,
IFERROR(INDEX(Datos!$A$2:$L$101,Formulas!N54,RIGHT(Formulas!P54)+2),"")))</f>
        <v/>
      </c>
      <c r="O57" s="107" t="str" cm="1">
        <f t="array" aca="1" ref="O57" ca="1">IF(OR(Formulas!P55=0,Formulas!P55=""),"",HYPERLINK("["&amp;Archivo_Nombre&amp;"]Datos!"&amp;LEFT(SUBSTITUTE(ADDRESS(1,Formulas!P55+2),"$",""))&amp;Formulas!O55+1,
IFERROR(INDEX(Datos!$A$2:$L$101,Formulas!O55,Formulas!P55+2),"")))</f>
        <v/>
      </c>
      <c r="P57" s="5"/>
      <c r="Q57" s="6"/>
      <c r="R57" s="24" t="str" cm="1">
        <f t="array" aca="1" ref="R57" ca="1">IF(OR(Formulas!T54=0,Formulas!T54="",RIGHT(Formulas!U54)="0"),"",
HYPERLINK("["&amp;Archivo_Nombre&amp;"]Datos!"&amp;LEFT(SUBSTITUTE(ADDRESS(1,IF(Formulas!T54=1,1,RIGHT(Formulas!U54)+2)),"$",""))&amp;Formulas!S54+1,
IFERROR(INDEX(Datos!$A$1:$L$1,1,RIGHT(Formulas!U54)+2)&amp;IF(Formulas!T54=1," "&amp;Formulas!S54,"")&amp;":","")))</f>
        <v>Tarea:</v>
      </c>
      <c r="S57" s="107" t="str" cm="1">
        <f t="array" aca="1" ref="S57" ca="1">IF(OR(Formulas!T54=0,Formulas!T54="",RIGHT(Formulas!U54)="0"),"",
HYPERLINK("["&amp;Archivo_Nombre&amp;"]Datos!"&amp;LEFT(SUBSTITUTE(ADDRESS(1,RIGHT(Formulas!U54)+2),"$",""))&amp;Formulas!S54+1,
IFERROR(INDEX(Datos!$A$2:$L$101,Formulas!S54,RIGHT(Formulas!U54)+2),"")))</f>
        <v>Finalización del sprint 1</v>
      </c>
      <c r="T57" s="107" t="e" cm="1">
        <f t="array" aca="1" ref="T57" ca="1">IF(OR(Formulas!U55=0,Formulas!U55=""),"",HYPERLINK("["&amp;Archivo_Nombre&amp;"]Datos!"&amp;LEFT(SUBSTITUTE(ADDRESS(1,Formulas!U55+2),"$",""))&amp;Formulas!T55+1,
IFERROR(INDEX(Datos!$A$2:$L$101,Formulas!T55,Formulas!U55+2),"")))</f>
        <v>#VALUE!</v>
      </c>
      <c r="U57" s="5"/>
      <c r="V57" s="6"/>
      <c r="W57" s="24" t="str" cm="1">
        <f t="array" aca="1" ref="W57" ca="1">IF(OR(Formulas!Y54=0,Formulas!Y54="",RIGHT(Formulas!Z54)="0"),"",
HYPERLINK("["&amp;Archivo_Nombre&amp;"]Datos!"&amp;LEFT(SUBSTITUTE(ADDRESS(1,IF(Formulas!Y54=1,1,RIGHT(Formulas!Z54)+2)),"$",""))&amp;Formulas!X54+1,
IFERROR(INDEX(Datos!$A$1:$L$1,1,RIGHT(Formulas!Z54)+2)&amp;IF(Formulas!Y54=1," "&amp;Formulas!X54,"")&amp;":","")))</f>
        <v/>
      </c>
      <c r="X57" s="107" t="str" cm="1">
        <f t="array" aca="1" ref="X57" ca="1">IF(OR(Formulas!Y54=0,Formulas!Y54="",RIGHT(Formulas!Z54)="0"),"",
HYPERLINK("["&amp;Archivo_Nombre&amp;"]Datos!"&amp;LEFT(SUBSTITUTE(ADDRESS(1,RIGHT(Formulas!Z54)+2),"$",""))&amp;Formulas!X54+1,
IFERROR(INDEX(Datos!$A$2:$L$101,Formulas!X54,RIGHT(Formulas!Z54)+2),"")))</f>
        <v/>
      </c>
      <c r="Y57" s="107" t="str" cm="1">
        <f t="array" aca="1" ref="Y57" ca="1">IF(OR(Formulas!Z55=0,Formulas!Z55=""),"",HYPERLINK("["&amp;Archivo_Nombre&amp;"]Datos!"&amp;LEFT(SUBSTITUTE(ADDRESS(1,Formulas!Z55+2),"$",""))&amp;Formulas!Y55+1,
IFERROR(INDEX(Datos!$A$2:$L$101,Formulas!Y55,Formulas!Z55+2),"")))</f>
        <v/>
      </c>
      <c r="Z57" s="13"/>
      <c r="AA57" s="6"/>
      <c r="AB57" s="24" t="str" cm="1">
        <f t="array" aca="1" ref="AB57" ca="1">IF(OR(Formulas!AD54=0,Formulas!AD54="",RIGHT(Formulas!AE54)="0"),"",
HYPERLINK("["&amp;Archivo_Nombre&amp;"]Datos!"&amp;LEFT(SUBSTITUTE(ADDRESS(1,IF(Formulas!AD54=1,1,RIGHT(Formulas!AE54)+2)),"$",""))&amp;Formulas!AC54+1,
IFERROR(INDEX(Datos!$A$1:$L$1,1,RIGHT(Formulas!AE54)+2)&amp;IF(Formulas!AD54=1," "&amp;Formulas!AC54,"")&amp;":","")))</f>
        <v/>
      </c>
      <c r="AC57" s="107" t="str" cm="1">
        <f t="array" aca="1" ref="AC57" ca="1">IF(OR(Formulas!AD54=0,Formulas!AD54="",RIGHT(Formulas!AE54)="0"),"",
HYPERLINK("["&amp;Archivo_Nombre&amp;"]Datos!"&amp;LEFT(SUBSTITUTE(ADDRESS(1,RIGHT(Formulas!AE54)+2),"$",""))&amp;Formulas!AC54+1,
IFERROR(INDEX(Datos!$A$2:$L$101,Formulas!AC54,RIGHT(Formulas!AE54)+2),"")))</f>
        <v/>
      </c>
      <c r="AD57" s="107" t="str" cm="1">
        <f t="array" aca="1" ref="AD57" ca="1">IF(OR(Formulas!AE55=0,Formulas!AE55=""),"",HYPERLINK("["&amp;Archivo_Nombre&amp;"]Datos!"&amp;LEFT(SUBSTITUTE(ADDRESS(1,Formulas!AE55+2),"$",""))&amp;Formulas!AD55+1,
IFERROR(INDEX(Datos!$A$2:$L$101,Formulas!AD55,Formulas!AE55+2),"")))</f>
        <v/>
      </c>
      <c r="AE57" s="13"/>
      <c r="AF57" s="6"/>
      <c r="AG57" s="24" t="str" cm="1">
        <f t="array" aca="1" ref="AG57" ca="1">IF(OR(Formulas!AI54=0,Formulas!AI54="",RIGHT(Formulas!AJ54)="0"),"",
HYPERLINK("["&amp;Archivo_Nombre&amp;"]Datos!"&amp;LEFT(SUBSTITUTE(ADDRESS(1,IF(Formulas!AI54=1,1,RIGHT(Formulas!AJ54)+2)),"$",""))&amp;Formulas!AH54+1,
IFERROR(INDEX(Datos!$A$1:$L$1,1,RIGHT(Formulas!AJ54)+2)&amp;IF(Formulas!AI54=1," "&amp;Formulas!AH54,"")&amp;":","")))</f>
        <v/>
      </c>
      <c r="AH57" s="107" t="str" cm="1">
        <f t="array" aca="1" ref="AH57" ca="1">IF(OR(Formulas!AI54=0,Formulas!AI54="",RIGHT(Formulas!AJ54)="0"),"",
HYPERLINK("["&amp;Archivo_Nombre&amp;"]Datos!"&amp;LEFT(SUBSTITUTE(ADDRESS(1,RIGHT(Formulas!AJ54)+2),"$",""))&amp;Formulas!AH54+1,
IFERROR(INDEX(Datos!$A$2:$L$101,Formulas!AH54,RIGHT(Formulas!AJ54)+2),"")))</f>
        <v/>
      </c>
      <c r="AI57" s="107" t="str" cm="1">
        <f t="array" aca="1" ref="AI57" ca="1">IF(OR(Formulas!AJ55=0,Formulas!AJ55=""),"",HYPERLINK("["&amp;Archivo_Nombre&amp;"]Datos!"&amp;LEFT(SUBSTITUTE(ADDRESS(1,Formulas!AJ55+2),"$",""))&amp;Formulas!AI55+1,
IFERROR(INDEX(Datos!$A$2:$L$101,Formulas!AI55,Formulas!AJ55+2),"")))</f>
        <v/>
      </c>
      <c r="AJ57" s="13"/>
      <c r="AK57" s="6"/>
      <c r="AL57" s="24" t="str" cm="1">
        <f t="array" aca="1" ref="AL57" ca="1">IF(OR(Formulas!AN54=0,Formulas!AN54="",RIGHT(Formulas!AO54)="0"),"",
HYPERLINK("["&amp;Archivo_Nombre&amp;"]Datos!"&amp;LEFT(SUBSTITUTE(ADDRESS(1,IF(Formulas!AN54=1,1,RIGHT(Formulas!AO54)+2)),"$",""))&amp;Formulas!AM54+1,
IFERROR(INDEX(Datos!$A$1:$L$1,1,RIGHT(Formulas!AO54)+2)&amp;IF(Formulas!AN54=1," "&amp;Formulas!AM54,"")&amp;":","")))</f>
        <v/>
      </c>
      <c r="AM57" s="107" t="str" cm="1">
        <f t="array" aca="1" ref="AM57" ca="1">IF(OR(Formulas!AN54=0,Formulas!AN54="",RIGHT(Formulas!AO54)="0"),"",
HYPERLINK("["&amp;Archivo_Nombre&amp;"]Datos!"&amp;LEFT(SUBSTITUTE(ADDRESS(1,RIGHT(Formulas!AO54)+2),"$",""))&amp;Formulas!AM54+1,
IFERROR(INDEX(Datos!$A$2:$L$101,Formulas!AM54,RIGHT(Formulas!AO54)+2),"")))</f>
        <v/>
      </c>
      <c r="AN57" s="107" t="str" cm="1">
        <f t="array" aca="1" ref="AN57" ca="1">IF(OR(Formulas!AO55=0,Formulas!AO55=""),"",HYPERLINK("["&amp;Archivo_Nombre&amp;"]Datos!"&amp;LEFT(SUBSTITUTE(ADDRESS(1,Formulas!AO55+2),"$",""))&amp;Formulas!AN55+1,
IFERROR(INDEX(Datos!$A$2:$L$101,Formulas!AN55,Formulas!AO55+2),"")))</f>
        <v/>
      </c>
      <c r="AO57" s="13"/>
      <c r="AP57" s="6"/>
      <c r="AQ57" s="24" t="str" cm="1">
        <f t="array" aca="1" ref="AQ57" ca="1">IF(OR(Formulas!AS54=0,Formulas!AS54="",RIGHT(Formulas!AT54)="0"),"",
HYPERLINK("["&amp;Archivo_Nombre&amp;"]Datos!"&amp;LEFT(SUBSTITUTE(ADDRESS(1,IF(Formulas!AS54=1,1,RIGHT(Formulas!AT54)+2)),"$",""))&amp;Formulas!AR54+1,
IFERROR(INDEX(Datos!$A$1:$L$1,1,RIGHT(Formulas!AT54)+2)&amp;IF(Formulas!AS54=1," "&amp;Formulas!AR54,"")&amp;":","")))</f>
        <v/>
      </c>
      <c r="AR57" s="107" t="str" cm="1">
        <f t="array" aca="1" ref="AR57" ca="1">IF(OR(Formulas!AS54=0,Formulas!AS54="",RIGHT(Formulas!AT54)="0"),"",
HYPERLINK("["&amp;Archivo_Nombre&amp;"]Datos!"&amp;LEFT(SUBSTITUTE(ADDRESS(1,RIGHT(Formulas!AT54)+2),"$",""))&amp;Formulas!AR54+1,
IFERROR(INDEX(Datos!$A$2:$L$101,Formulas!AR54,RIGHT(Formulas!AT54)+2),"")))</f>
        <v/>
      </c>
      <c r="AS57" s="107" t="str" cm="1">
        <f t="array" aca="1" ref="AS57" ca="1">IF(OR(Formulas!AT55=0,Formulas!AT55=""),"",HYPERLINK("["&amp;Archivo_Nombre&amp;"]Datos!"&amp;LEFT(SUBSTITUTE(ADDRESS(1,Formulas!AT55+2),"$",""))&amp;Formulas!AS55+1,
IFERROR(INDEX(Datos!$A$2:$L$101,Formulas!AS55,Formulas!AT55+2),"")))</f>
        <v/>
      </c>
      <c r="AT57" s="13"/>
      <c r="AU57" s="6"/>
      <c r="AV57" s="24" t="str" cm="1">
        <f t="array" aca="1" ref="AV57" ca="1">IF(OR(Formulas!AX54=0,Formulas!AX54="",RIGHT(Formulas!AY54)="0"),"",
HYPERLINK("["&amp;Archivo_Nombre&amp;"]Datos!"&amp;LEFT(SUBSTITUTE(ADDRESS(1,IF(Formulas!AX54=1,1,RIGHT(Formulas!AY54)+2)),"$",""))&amp;Formulas!AW54+1,
IFERROR(INDEX(Datos!$A$1:$L$1,1,RIGHT(Formulas!AY54)+2)&amp;IF(Formulas!AX54=1," "&amp;Formulas!AW54,"")&amp;":","")))</f>
        <v/>
      </c>
      <c r="AW57" s="107" t="str" cm="1">
        <f t="array" aca="1" ref="AW57" ca="1">IF(OR(Formulas!AX54=0,Formulas!AX54="",RIGHT(Formulas!AY54)="0"),"",
HYPERLINK("["&amp;Archivo_Nombre&amp;"]Datos!"&amp;LEFT(SUBSTITUTE(ADDRESS(1,RIGHT(Formulas!AY54)+2),"$",""))&amp;Formulas!AW54+1,
IFERROR(INDEX(Datos!$A$2:$L$101,Formulas!AW54,RIGHT(Formulas!AY54)+2),"")))</f>
        <v/>
      </c>
      <c r="AX57" s="107" t="str" cm="1">
        <f t="array" aca="1" ref="AX57" ca="1">IF(OR(Formulas!AY55=0,Formulas!AY55=""),"",HYPERLINK("["&amp;Archivo_Nombre&amp;"]Datos!"&amp;LEFT(SUBSTITUTE(ADDRESS(1,Formulas!AY55+2),"$",""))&amp;Formulas!AX55+1,
IFERROR(INDEX(Datos!$A$2:$L$101,Formulas!AX55,Formulas!AY55+2),"")))</f>
        <v/>
      </c>
      <c r="AY57" s="13"/>
    </row>
    <row r="58" spans="2:51" x14ac:dyDescent="0.25">
      <c r="B58" s="11"/>
      <c r="C58" s="24" t="str" cm="1">
        <f t="array" aca="1" ref="C58" ca="1">IF(OR(Formulas!E55=0,Formulas!E55="",RIGHT(Formulas!F55)="0"),"",
HYPERLINK("["&amp;Archivo_Nombre&amp;"]Datos!"&amp;LEFT(SUBSTITUTE(ADDRESS(1,IF(Formulas!E55=1,1,RIGHT(Formulas!F55)+2)),"$",""))&amp;Formulas!D55+1,
IFERROR(INDEX(Datos!$A$1:$L$1,1,RIGHT(Formulas!F55)+2)&amp;IF(Formulas!E55=1," "&amp;Formulas!D55,"")&amp;":","")))</f>
        <v/>
      </c>
      <c r="D58" s="107" t="str" cm="1">
        <f t="array" aca="1" ref="D58" ca="1">IF(OR(Formulas!E55=0,Formulas!E55="",RIGHT(Formulas!F55)="0"),"",
HYPERLINK("["&amp;Archivo_Nombre&amp;"]Datos!"&amp;LEFT(SUBSTITUTE(ADDRESS(1,RIGHT(Formulas!F55)+2),"$",""))&amp;Formulas!D55+1,
IFERROR(INDEX(Datos!$A$2:$L$101,Formulas!D55,RIGHT(Formulas!F55)+2),"")))</f>
        <v/>
      </c>
      <c r="E58" s="107" t="str" cm="1">
        <f t="array" aca="1" ref="E58" ca="1">IF(OR(Formulas!F56=0,Formulas!F56=""),"",HYPERLINK("["&amp;Archivo_Nombre&amp;"]Datos!"&amp;LEFT(SUBSTITUTE(ADDRESS(1,Formulas!F56+2),"$",""))&amp;Formulas!E56+1,
IFERROR(INDEX(Datos!$A$2:$L$101,Formulas!E56,Formulas!F56+2),"")))</f>
        <v/>
      </c>
      <c r="F58" s="5"/>
      <c r="G58" s="6"/>
      <c r="H58" s="24" t="str" cm="1">
        <f t="array" aca="1" ref="H58" ca="1">IF(OR(Formulas!J55=0,Formulas!J55="",RIGHT(Formulas!K55)="0"),"",
HYPERLINK("["&amp;Archivo_Nombre&amp;"]Datos!"&amp;LEFT(SUBSTITUTE(ADDRESS(1,IF(Formulas!J55=1,1,RIGHT(Formulas!K55)+2)),"$",""))&amp;Formulas!I55+1,
IFERROR(INDEX(Datos!$A$1:$L$1,1,RIGHT(Formulas!K55)+2)&amp;IF(Formulas!J55=1," "&amp;Formulas!I55,"")&amp;":","")))</f>
        <v>Descripción:</v>
      </c>
      <c r="I58" s="107" t="str" cm="1">
        <f t="array" aca="1" ref="I58" ca="1">IF(OR(Formulas!J55=0,Formulas!J55="",RIGHT(Formulas!K55)="0"),"",
HYPERLINK("["&amp;Archivo_Nombre&amp;"]Datos!"&amp;LEFT(SUBSTITUTE(ADDRESS(1,RIGHT(Formulas!K55)+2),"$",""))&amp;Formulas!I55+1,
IFERROR(INDEX(Datos!$A$2:$L$101,Formulas!I55,RIGHT(Formulas!K55)+2),"")))</f>
        <v>Se definieron los objetivos iniciales, cronograma general y roles del equipo.</v>
      </c>
      <c r="J58" s="107" t="e" cm="1">
        <f t="array" aca="1" ref="J58" ca="1">IF(OR(Formulas!K56=0,Formulas!K56=""),"",HYPERLINK("["&amp;Archivo_Nombre&amp;"]Datos!"&amp;LEFT(SUBSTITUTE(ADDRESS(1,Formulas!K56+2),"$",""))&amp;Formulas!J56+1,
IFERROR(INDEX(Datos!$A$2:$L$101,Formulas!J56,Formulas!K56+2),"")))</f>
        <v>#VALUE!</v>
      </c>
      <c r="K58" s="5"/>
      <c r="L58" s="6"/>
      <c r="M58" s="24" t="str" cm="1">
        <f t="array" aca="1" ref="M58" ca="1">IF(OR(Formulas!O55=0,Formulas!O55="",RIGHT(Formulas!P55)="0"),"",
HYPERLINK("["&amp;Archivo_Nombre&amp;"]Datos!"&amp;LEFT(SUBSTITUTE(ADDRESS(1,IF(Formulas!O55=1,1,RIGHT(Formulas!P55)+2)),"$",""))&amp;Formulas!N55+1,
IFERROR(INDEX(Datos!$A$1:$L$1,1,RIGHT(Formulas!P55)+2)&amp;IF(Formulas!O55=1," "&amp;Formulas!N55,"")&amp;":","")))</f>
        <v/>
      </c>
      <c r="N58" s="107" t="str" cm="1">
        <f t="array" aca="1" ref="N58" ca="1">IF(OR(Formulas!O55=0,Formulas!O55="",RIGHT(Formulas!P55)="0"),"",
HYPERLINK("["&amp;Archivo_Nombre&amp;"]Datos!"&amp;LEFT(SUBSTITUTE(ADDRESS(1,RIGHT(Formulas!P55)+2),"$",""))&amp;Formulas!N55+1,
IFERROR(INDEX(Datos!$A$2:$L$101,Formulas!N55,RIGHT(Formulas!P55)+2),"")))</f>
        <v/>
      </c>
      <c r="O58" s="107" t="str" cm="1">
        <f t="array" aca="1" ref="O58" ca="1">IF(OR(Formulas!P56=0,Formulas!P56=""),"",HYPERLINK("["&amp;Archivo_Nombre&amp;"]Datos!"&amp;LEFT(SUBSTITUTE(ADDRESS(1,Formulas!P56+2),"$",""))&amp;Formulas!O56+1,
IFERROR(INDEX(Datos!$A$2:$L$101,Formulas!O56,Formulas!P56+2),"")))</f>
        <v/>
      </c>
      <c r="P58" s="5"/>
      <c r="Q58" s="6"/>
      <c r="R58" s="24" t="str" cm="1">
        <f t="array" aca="1" ref="R58" ca="1">IF(OR(Formulas!T55=0,Formulas!T55="",RIGHT(Formulas!U55)="0"),"",
HYPERLINK("["&amp;Archivo_Nombre&amp;"]Datos!"&amp;LEFT(SUBSTITUTE(ADDRESS(1,IF(Formulas!T55=1,1,RIGHT(Formulas!U55)+2)),"$",""))&amp;Formulas!S55+1,
IFERROR(INDEX(Datos!$A$1:$L$1,1,RIGHT(Formulas!U55)+2)&amp;IF(Formulas!T55=1," "&amp;Formulas!S55,"")&amp;":","")))</f>
        <v>Descripción:</v>
      </c>
      <c r="S58" s="107" t="str" cm="1">
        <f t="array" aca="1" ref="S58" ca="1">IF(OR(Formulas!T55=0,Formulas!T55="",RIGHT(Formulas!U55)="0"),"",
HYPERLINK("["&amp;Archivo_Nombre&amp;"]Datos!"&amp;LEFT(SUBSTITUTE(ADDRESS(1,RIGHT(Formulas!U55)+2),"$",""))&amp;Formulas!S55+1,
IFERROR(INDEX(Datos!$A$2:$L$101,Formulas!S55,RIGHT(Formulas!U55)+2),"")))</f>
        <v>Finalización del sprint 1</v>
      </c>
      <c r="T58" s="107" t="e" cm="1">
        <f t="array" aca="1" ref="T58" ca="1">IF(OR(Formulas!U56=0,Formulas!U56=""),"",HYPERLINK("["&amp;Archivo_Nombre&amp;"]Datos!"&amp;LEFT(SUBSTITUTE(ADDRESS(1,Formulas!U56+2),"$",""))&amp;Formulas!T56+1,
IFERROR(INDEX(Datos!$A$2:$L$101,Formulas!T56,Formulas!U56+2),"")))</f>
        <v>#VALUE!</v>
      </c>
      <c r="U58" s="5"/>
      <c r="V58" s="6"/>
      <c r="W58" s="24" t="str" cm="1">
        <f t="array" aca="1" ref="W58" ca="1">IF(OR(Formulas!Y55=0,Formulas!Y55="",RIGHT(Formulas!Z55)="0"),"",
HYPERLINK("["&amp;Archivo_Nombre&amp;"]Datos!"&amp;LEFT(SUBSTITUTE(ADDRESS(1,IF(Formulas!Y55=1,1,RIGHT(Formulas!Z55)+2)),"$",""))&amp;Formulas!X55+1,
IFERROR(INDEX(Datos!$A$1:$L$1,1,RIGHT(Formulas!Z55)+2)&amp;IF(Formulas!Y55=1," "&amp;Formulas!X55,"")&amp;":","")))</f>
        <v/>
      </c>
      <c r="X58" s="107" t="str" cm="1">
        <f t="array" aca="1" ref="X58" ca="1">IF(OR(Formulas!Y55=0,Formulas!Y55="",RIGHT(Formulas!Z55)="0"),"",
HYPERLINK("["&amp;Archivo_Nombre&amp;"]Datos!"&amp;LEFT(SUBSTITUTE(ADDRESS(1,RIGHT(Formulas!Z55)+2),"$",""))&amp;Formulas!X55+1,
IFERROR(INDEX(Datos!$A$2:$L$101,Formulas!X55,RIGHT(Formulas!Z55)+2),"")))</f>
        <v/>
      </c>
      <c r="Y58" s="107" t="str" cm="1">
        <f t="array" aca="1" ref="Y58" ca="1">IF(OR(Formulas!Z56=0,Formulas!Z56=""),"",HYPERLINK("["&amp;Archivo_Nombre&amp;"]Datos!"&amp;LEFT(SUBSTITUTE(ADDRESS(1,Formulas!Z56+2),"$",""))&amp;Formulas!Y56+1,
IFERROR(INDEX(Datos!$A$2:$L$101,Formulas!Y56,Formulas!Z56+2),"")))</f>
        <v/>
      </c>
      <c r="Z58" s="13"/>
      <c r="AA58" s="6"/>
      <c r="AB58" s="24" t="str" cm="1">
        <f t="array" aca="1" ref="AB58" ca="1">IF(OR(Formulas!AD55=0,Formulas!AD55="",RIGHT(Formulas!AE55)="0"),"",
HYPERLINK("["&amp;Archivo_Nombre&amp;"]Datos!"&amp;LEFT(SUBSTITUTE(ADDRESS(1,IF(Formulas!AD55=1,1,RIGHT(Formulas!AE55)+2)),"$",""))&amp;Formulas!AC55+1,
IFERROR(INDEX(Datos!$A$1:$L$1,1,RIGHT(Formulas!AE55)+2)&amp;IF(Formulas!AD55=1," "&amp;Formulas!AC55,"")&amp;":","")))</f>
        <v/>
      </c>
      <c r="AC58" s="107" t="str" cm="1">
        <f t="array" aca="1" ref="AC58" ca="1">IF(OR(Formulas!AD55=0,Formulas!AD55="",RIGHT(Formulas!AE55)="0"),"",
HYPERLINK("["&amp;Archivo_Nombre&amp;"]Datos!"&amp;LEFT(SUBSTITUTE(ADDRESS(1,RIGHT(Formulas!AE55)+2),"$",""))&amp;Formulas!AC55+1,
IFERROR(INDEX(Datos!$A$2:$L$101,Formulas!AC55,RIGHT(Formulas!AE55)+2),"")))</f>
        <v/>
      </c>
      <c r="AD58" s="107" t="str" cm="1">
        <f t="array" aca="1" ref="AD58" ca="1">IF(OR(Formulas!AE56=0,Formulas!AE56=""),"",HYPERLINK("["&amp;Archivo_Nombre&amp;"]Datos!"&amp;LEFT(SUBSTITUTE(ADDRESS(1,Formulas!AE56+2),"$",""))&amp;Formulas!AD56+1,
IFERROR(INDEX(Datos!$A$2:$L$101,Formulas!AD56,Formulas!AE56+2),"")))</f>
        <v/>
      </c>
      <c r="AE58" s="13"/>
      <c r="AF58" s="6"/>
      <c r="AG58" s="24" t="str" cm="1">
        <f t="array" aca="1" ref="AG58" ca="1">IF(OR(Formulas!AI55=0,Formulas!AI55="",RIGHT(Formulas!AJ55)="0"),"",
HYPERLINK("["&amp;Archivo_Nombre&amp;"]Datos!"&amp;LEFT(SUBSTITUTE(ADDRESS(1,IF(Formulas!AI55=1,1,RIGHT(Formulas!AJ55)+2)),"$",""))&amp;Formulas!AH55+1,
IFERROR(INDEX(Datos!$A$1:$L$1,1,RIGHT(Formulas!AJ55)+2)&amp;IF(Formulas!AI55=1," "&amp;Formulas!AH55,"")&amp;":","")))</f>
        <v/>
      </c>
      <c r="AH58" s="107" t="str" cm="1">
        <f t="array" aca="1" ref="AH58" ca="1">IF(OR(Formulas!AI55=0,Formulas!AI55="",RIGHT(Formulas!AJ55)="0"),"",
HYPERLINK("["&amp;Archivo_Nombre&amp;"]Datos!"&amp;LEFT(SUBSTITUTE(ADDRESS(1,RIGHT(Formulas!AJ55)+2),"$",""))&amp;Formulas!AH55+1,
IFERROR(INDEX(Datos!$A$2:$L$101,Formulas!AH55,RIGHT(Formulas!AJ55)+2),"")))</f>
        <v/>
      </c>
      <c r="AI58" s="107" t="str" cm="1">
        <f t="array" aca="1" ref="AI58" ca="1">IF(OR(Formulas!AJ56=0,Formulas!AJ56=""),"",HYPERLINK("["&amp;Archivo_Nombre&amp;"]Datos!"&amp;LEFT(SUBSTITUTE(ADDRESS(1,Formulas!AJ56+2),"$",""))&amp;Formulas!AI56+1,
IFERROR(INDEX(Datos!$A$2:$L$101,Formulas!AI56,Formulas!AJ56+2),"")))</f>
        <v/>
      </c>
      <c r="AJ58" s="13"/>
      <c r="AK58" s="6"/>
      <c r="AL58" s="24" t="str" cm="1">
        <f t="array" aca="1" ref="AL58" ca="1">IF(OR(Formulas!AN55=0,Formulas!AN55="",RIGHT(Formulas!AO55)="0"),"",
HYPERLINK("["&amp;Archivo_Nombre&amp;"]Datos!"&amp;LEFT(SUBSTITUTE(ADDRESS(1,IF(Formulas!AN55=1,1,RIGHT(Formulas!AO55)+2)),"$",""))&amp;Formulas!AM55+1,
IFERROR(INDEX(Datos!$A$1:$L$1,1,RIGHT(Formulas!AO55)+2)&amp;IF(Formulas!AN55=1," "&amp;Formulas!AM55,"")&amp;":","")))</f>
        <v/>
      </c>
      <c r="AM58" s="107" t="str" cm="1">
        <f t="array" aca="1" ref="AM58" ca="1">IF(OR(Formulas!AN55=0,Formulas!AN55="",RIGHT(Formulas!AO55)="0"),"",
HYPERLINK("["&amp;Archivo_Nombre&amp;"]Datos!"&amp;LEFT(SUBSTITUTE(ADDRESS(1,RIGHT(Formulas!AO55)+2),"$",""))&amp;Formulas!AM55+1,
IFERROR(INDEX(Datos!$A$2:$L$101,Formulas!AM55,RIGHT(Formulas!AO55)+2),"")))</f>
        <v/>
      </c>
      <c r="AN58" s="107" t="str" cm="1">
        <f t="array" aca="1" ref="AN58" ca="1">IF(OR(Formulas!AO56=0,Formulas!AO56=""),"",HYPERLINK("["&amp;Archivo_Nombre&amp;"]Datos!"&amp;LEFT(SUBSTITUTE(ADDRESS(1,Formulas!AO56+2),"$",""))&amp;Formulas!AN56+1,
IFERROR(INDEX(Datos!$A$2:$L$101,Formulas!AN56,Formulas!AO56+2),"")))</f>
        <v/>
      </c>
      <c r="AO58" s="13"/>
      <c r="AP58" s="6"/>
      <c r="AQ58" s="24" t="str" cm="1">
        <f t="array" aca="1" ref="AQ58" ca="1">IF(OR(Formulas!AS55=0,Formulas!AS55="",RIGHT(Formulas!AT55)="0"),"",
HYPERLINK("["&amp;Archivo_Nombre&amp;"]Datos!"&amp;LEFT(SUBSTITUTE(ADDRESS(1,IF(Formulas!AS55=1,1,RIGHT(Formulas!AT55)+2)),"$",""))&amp;Formulas!AR55+1,
IFERROR(INDEX(Datos!$A$1:$L$1,1,RIGHT(Formulas!AT55)+2)&amp;IF(Formulas!AS55=1," "&amp;Formulas!AR55,"")&amp;":","")))</f>
        <v/>
      </c>
      <c r="AR58" s="107" t="str" cm="1">
        <f t="array" aca="1" ref="AR58" ca="1">IF(OR(Formulas!AS55=0,Formulas!AS55="",RIGHT(Formulas!AT55)="0"),"",
HYPERLINK("["&amp;Archivo_Nombre&amp;"]Datos!"&amp;LEFT(SUBSTITUTE(ADDRESS(1,RIGHT(Formulas!AT55)+2),"$",""))&amp;Formulas!AR55+1,
IFERROR(INDEX(Datos!$A$2:$L$101,Formulas!AR55,RIGHT(Formulas!AT55)+2),"")))</f>
        <v/>
      </c>
      <c r="AS58" s="107" t="str" cm="1">
        <f t="array" aca="1" ref="AS58" ca="1">IF(OR(Formulas!AT56=0,Formulas!AT56=""),"",HYPERLINK("["&amp;Archivo_Nombre&amp;"]Datos!"&amp;LEFT(SUBSTITUTE(ADDRESS(1,Formulas!AT56+2),"$",""))&amp;Formulas!AS56+1,
IFERROR(INDEX(Datos!$A$2:$L$101,Formulas!AS56,Formulas!AT56+2),"")))</f>
        <v/>
      </c>
      <c r="AT58" s="13"/>
      <c r="AU58" s="6"/>
      <c r="AV58" s="24" t="str" cm="1">
        <f t="array" aca="1" ref="AV58" ca="1">IF(OR(Formulas!AX55=0,Formulas!AX55="",RIGHT(Formulas!AY55)="0"),"",
HYPERLINK("["&amp;Archivo_Nombre&amp;"]Datos!"&amp;LEFT(SUBSTITUTE(ADDRESS(1,IF(Formulas!AX55=1,1,RIGHT(Formulas!AY55)+2)),"$",""))&amp;Formulas!AW55+1,
IFERROR(INDEX(Datos!$A$1:$L$1,1,RIGHT(Formulas!AY55)+2)&amp;IF(Formulas!AX55=1," "&amp;Formulas!AW55,"")&amp;":","")))</f>
        <v/>
      </c>
      <c r="AW58" s="107" t="str" cm="1">
        <f t="array" aca="1" ref="AW58" ca="1">IF(OR(Formulas!AX55=0,Formulas!AX55="",RIGHT(Formulas!AY55)="0"),"",
HYPERLINK("["&amp;Archivo_Nombre&amp;"]Datos!"&amp;LEFT(SUBSTITUTE(ADDRESS(1,RIGHT(Formulas!AY55)+2),"$",""))&amp;Formulas!AW55+1,
IFERROR(INDEX(Datos!$A$2:$L$101,Formulas!AW55,RIGHT(Formulas!AY55)+2),"")))</f>
        <v/>
      </c>
      <c r="AX58" s="107" t="str" cm="1">
        <f t="array" aca="1" ref="AX58" ca="1">IF(OR(Formulas!AY56=0,Formulas!AY56=""),"",HYPERLINK("["&amp;Archivo_Nombre&amp;"]Datos!"&amp;LEFT(SUBSTITUTE(ADDRESS(1,Formulas!AY56+2),"$",""))&amp;Formulas!AX56+1,
IFERROR(INDEX(Datos!$A$2:$L$101,Formulas!AX56,Formulas!AY56+2),"")))</f>
        <v/>
      </c>
      <c r="AY58" s="13"/>
    </row>
    <row r="59" spans="2:51" x14ac:dyDescent="0.25">
      <c r="B59" s="11"/>
      <c r="C59" s="24" t="str" cm="1">
        <f t="array" aca="1" ref="C59" ca="1">IF(OR(Formulas!E56=0,Formulas!E56="",RIGHT(Formulas!F56)="0"),"",
HYPERLINK("["&amp;Archivo_Nombre&amp;"]Datos!"&amp;LEFT(SUBSTITUTE(ADDRESS(1,IF(Formulas!E56=1,1,RIGHT(Formulas!F56)+2)),"$",""))&amp;Formulas!D56+1,
IFERROR(INDEX(Datos!$A$1:$L$1,1,RIGHT(Formulas!F56)+2)&amp;IF(Formulas!E56=1," "&amp;Formulas!D56,"")&amp;":","")))</f>
        <v/>
      </c>
      <c r="D59" s="107" t="str" cm="1">
        <f t="array" aca="1" ref="D59" ca="1">IF(OR(Formulas!E56=0,Formulas!E56="",RIGHT(Formulas!F56)="0"),"",
HYPERLINK("["&amp;Archivo_Nombre&amp;"]Datos!"&amp;LEFT(SUBSTITUTE(ADDRESS(1,RIGHT(Formulas!F56)+2),"$",""))&amp;Formulas!D56+1,
IFERROR(INDEX(Datos!$A$2:$L$101,Formulas!D56,RIGHT(Formulas!F56)+2),"")))</f>
        <v/>
      </c>
      <c r="E59" s="107" t="str" cm="1">
        <f t="array" aca="1" ref="E59" ca="1">IF(OR(Formulas!F57=0,Formulas!F57=""),"",HYPERLINK("["&amp;Archivo_Nombre&amp;"]Datos!"&amp;LEFT(SUBSTITUTE(ADDRESS(1,Formulas!F57+2),"$",""))&amp;Formulas!E57+1,
IFERROR(INDEX(Datos!$A$2:$L$101,Formulas!E57,Formulas!F57+2),"")))</f>
        <v/>
      </c>
      <c r="F59" s="5"/>
      <c r="G59" s="6"/>
      <c r="H59" s="24" t="str" cm="1">
        <f t="array" aca="1" ref="H59" ca="1">IF(OR(Formulas!J56=0,Formulas!J56="",RIGHT(Formulas!K56)="0"),"",
HYPERLINK("["&amp;Archivo_Nombre&amp;"]Datos!"&amp;LEFT(SUBSTITUTE(ADDRESS(1,IF(Formulas!J56=1,1,RIGHT(Formulas!K56)+2)),"$",""))&amp;Formulas!I56+1,
IFERROR(INDEX(Datos!$A$1:$L$1,1,RIGHT(Formulas!K56)+2)&amp;IF(Formulas!J56=1," "&amp;Formulas!I56,"")&amp;":","")))</f>
        <v>Inicio:</v>
      </c>
      <c r="I59" s="107" cm="1">
        <f t="array" aca="1" ref="I59" ca="1">IF(OR(Formulas!J56=0,Formulas!J56="",RIGHT(Formulas!K56)="0"),"",
HYPERLINK("["&amp;Archivo_Nombre&amp;"]Datos!"&amp;LEFT(SUBSTITUTE(ADDRESS(1,RIGHT(Formulas!K56)+2),"$",""))&amp;Formulas!I56+1,
IFERROR(INDEX(Datos!$A$2:$L$101,Formulas!I56,RIGHT(Formulas!K56)+2),"")))</f>
        <v>45775</v>
      </c>
      <c r="J59" s="107" t="e" cm="1">
        <f t="array" aca="1" ref="J59" ca="1">IF(OR(Formulas!K57=0,Formulas!K57=""),"",HYPERLINK("["&amp;Archivo_Nombre&amp;"]Datos!"&amp;LEFT(SUBSTITUTE(ADDRESS(1,Formulas!K57+2),"$",""))&amp;Formulas!J57+1,
IFERROR(INDEX(Datos!$A$2:$L$101,Formulas!J57,Formulas!K57+2),"")))</f>
        <v>#VALUE!</v>
      </c>
      <c r="K59" s="5"/>
      <c r="L59" s="6"/>
      <c r="M59" s="24" t="str" cm="1">
        <f t="array" aca="1" ref="M59" ca="1">IF(OR(Formulas!O56=0,Formulas!O56="",RIGHT(Formulas!P56)="0"),"",
HYPERLINK("["&amp;Archivo_Nombre&amp;"]Datos!"&amp;LEFT(SUBSTITUTE(ADDRESS(1,IF(Formulas!O56=1,1,RIGHT(Formulas!P56)+2)),"$",""))&amp;Formulas!N56+1,
IFERROR(INDEX(Datos!$A$1:$L$1,1,RIGHT(Formulas!P56)+2)&amp;IF(Formulas!O56=1," "&amp;Formulas!N56,"")&amp;":","")))</f>
        <v/>
      </c>
      <c r="N59" s="107" t="str" cm="1">
        <f t="array" aca="1" ref="N59" ca="1">IF(OR(Formulas!O56=0,Formulas!O56="",RIGHT(Formulas!P56)="0"),"",
HYPERLINK("["&amp;Archivo_Nombre&amp;"]Datos!"&amp;LEFT(SUBSTITUTE(ADDRESS(1,RIGHT(Formulas!P56)+2),"$",""))&amp;Formulas!N56+1,
IFERROR(INDEX(Datos!$A$2:$L$101,Formulas!N56,RIGHT(Formulas!P56)+2),"")))</f>
        <v/>
      </c>
      <c r="O59" s="107" t="str" cm="1">
        <f t="array" aca="1" ref="O59" ca="1">IF(OR(Formulas!P57=0,Formulas!P57=""),"",HYPERLINK("["&amp;Archivo_Nombre&amp;"]Datos!"&amp;LEFT(SUBSTITUTE(ADDRESS(1,Formulas!P57+2),"$",""))&amp;Formulas!O57+1,
IFERROR(INDEX(Datos!$A$2:$L$101,Formulas!O57,Formulas!P57+2),"")))</f>
        <v/>
      </c>
      <c r="P59" s="5"/>
      <c r="Q59" s="6"/>
      <c r="R59" s="24" t="str" cm="1">
        <f t="array" aca="1" ref="R59" ca="1">IF(OR(Formulas!T56=0,Formulas!T56="",RIGHT(Formulas!U56)="0"),"",
HYPERLINK("["&amp;Archivo_Nombre&amp;"]Datos!"&amp;LEFT(SUBSTITUTE(ADDRESS(1,IF(Formulas!T56=1,1,RIGHT(Formulas!U56)+2)),"$",""))&amp;Formulas!S56+1,
IFERROR(INDEX(Datos!$A$1:$L$1,1,RIGHT(Formulas!U56)+2)&amp;IF(Formulas!T56=1," "&amp;Formulas!S56,"")&amp;":","")))</f>
        <v>Inicio:</v>
      </c>
      <c r="S59" s="107" cm="1">
        <f t="array" aca="1" ref="S59" ca="1">IF(OR(Formulas!T56=0,Formulas!T56="",RIGHT(Formulas!U56)="0"),"",
HYPERLINK("["&amp;Archivo_Nombre&amp;"]Datos!"&amp;LEFT(SUBSTITUTE(ADDRESS(1,RIGHT(Formulas!U56)+2),"$",""))&amp;Formulas!S56+1,
IFERROR(INDEX(Datos!$A$2:$L$101,Formulas!S56,RIGHT(Formulas!U56)+2),"")))</f>
        <v>45814</v>
      </c>
      <c r="T59" s="107" t="e" cm="1">
        <f t="array" aca="1" ref="T59" ca="1">IF(OR(Formulas!U57=0,Formulas!U57=""),"",HYPERLINK("["&amp;Archivo_Nombre&amp;"]Datos!"&amp;LEFT(SUBSTITUTE(ADDRESS(1,Formulas!U57+2),"$",""))&amp;Formulas!T57+1,
IFERROR(INDEX(Datos!$A$2:$L$101,Formulas!T57,Formulas!U57+2),"")))</f>
        <v>#VALUE!</v>
      </c>
      <c r="U59" s="5"/>
      <c r="V59" s="6"/>
      <c r="W59" s="24" t="str" cm="1">
        <f t="array" aca="1" ref="W59" ca="1">IF(OR(Formulas!Y56=0,Formulas!Y56="",RIGHT(Formulas!Z56)="0"),"",
HYPERLINK("["&amp;Archivo_Nombre&amp;"]Datos!"&amp;LEFT(SUBSTITUTE(ADDRESS(1,IF(Formulas!Y56=1,1,RIGHT(Formulas!Z56)+2)),"$",""))&amp;Formulas!X56+1,
IFERROR(INDEX(Datos!$A$1:$L$1,1,RIGHT(Formulas!Z56)+2)&amp;IF(Formulas!Y56=1," "&amp;Formulas!X56,"")&amp;":","")))</f>
        <v/>
      </c>
      <c r="X59" s="107" t="str" cm="1">
        <f t="array" aca="1" ref="X59" ca="1">IF(OR(Formulas!Y56=0,Formulas!Y56="",RIGHT(Formulas!Z56)="0"),"",
HYPERLINK("["&amp;Archivo_Nombre&amp;"]Datos!"&amp;LEFT(SUBSTITUTE(ADDRESS(1,RIGHT(Formulas!Z56)+2),"$",""))&amp;Formulas!X56+1,
IFERROR(INDEX(Datos!$A$2:$L$101,Formulas!X56,RIGHT(Formulas!Z56)+2),"")))</f>
        <v/>
      </c>
      <c r="Y59" s="107" t="str" cm="1">
        <f t="array" aca="1" ref="Y59" ca="1">IF(OR(Formulas!Z57=0,Formulas!Z57=""),"",HYPERLINK("["&amp;Archivo_Nombre&amp;"]Datos!"&amp;LEFT(SUBSTITUTE(ADDRESS(1,Formulas!Z57+2),"$",""))&amp;Formulas!Y57+1,
IFERROR(INDEX(Datos!$A$2:$L$101,Formulas!Y57,Formulas!Z57+2),"")))</f>
        <v/>
      </c>
      <c r="Z59" s="13"/>
      <c r="AA59" s="6"/>
      <c r="AB59" s="24" t="str" cm="1">
        <f t="array" aca="1" ref="AB59" ca="1">IF(OR(Formulas!AD56=0,Formulas!AD56="",RIGHT(Formulas!AE56)="0"),"",
HYPERLINK("["&amp;Archivo_Nombre&amp;"]Datos!"&amp;LEFT(SUBSTITUTE(ADDRESS(1,IF(Formulas!AD56=1,1,RIGHT(Formulas!AE56)+2)),"$",""))&amp;Formulas!AC56+1,
IFERROR(INDEX(Datos!$A$1:$L$1,1,RIGHT(Formulas!AE56)+2)&amp;IF(Formulas!AD56=1," "&amp;Formulas!AC56,"")&amp;":","")))</f>
        <v/>
      </c>
      <c r="AC59" s="107" t="str" cm="1">
        <f t="array" aca="1" ref="AC59" ca="1">IF(OR(Formulas!AD56=0,Formulas!AD56="",RIGHT(Formulas!AE56)="0"),"",
HYPERLINK("["&amp;Archivo_Nombre&amp;"]Datos!"&amp;LEFT(SUBSTITUTE(ADDRESS(1,RIGHT(Formulas!AE56)+2),"$",""))&amp;Formulas!AC56+1,
IFERROR(INDEX(Datos!$A$2:$L$101,Formulas!AC56,RIGHT(Formulas!AE56)+2),"")))</f>
        <v/>
      </c>
      <c r="AD59" s="107" t="str" cm="1">
        <f t="array" aca="1" ref="AD59" ca="1">IF(OR(Formulas!AE57=0,Formulas!AE57=""),"",HYPERLINK("["&amp;Archivo_Nombre&amp;"]Datos!"&amp;LEFT(SUBSTITUTE(ADDRESS(1,Formulas!AE57+2),"$",""))&amp;Formulas!AD57+1,
IFERROR(INDEX(Datos!$A$2:$L$101,Formulas!AD57,Formulas!AE57+2),"")))</f>
        <v/>
      </c>
      <c r="AE59" s="13"/>
      <c r="AF59" s="6"/>
      <c r="AG59" s="24" t="str" cm="1">
        <f t="array" aca="1" ref="AG59" ca="1">IF(OR(Formulas!AI56=0,Formulas!AI56="",RIGHT(Formulas!AJ56)="0"),"",
HYPERLINK("["&amp;Archivo_Nombre&amp;"]Datos!"&amp;LEFT(SUBSTITUTE(ADDRESS(1,IF(Formulas!AI56=1,1,RIGHT(Formulas!AJ56)+2)),"$",""))&amp;Formulas!AH56+1,
IFERROR(INDEX(Datos!$A$1:$L$1,1,RIGHT(Formulas!AJ56)+2)&amp;IF(Formulas!AI56=1," "&amp;Formulas!AH56,"")&amp;":","")))</f>
        <v/>
      </c>
      <c r="AH59" s="107" t="str" cm="1">
        <f t="array" aca="1" ref="AH59" ca="1">IF(OR(Formulas!AI56=0,Formulas!AI56="",RIGHT(Formulas!AJ56)="0"),"",
HYPERLINK("["&amp;Archivo_Nombre&amp;"]Datos!"&amp;LEFT(SUBSTITUTE(ADDRESS(1,RIGHT(Formulas!AJ56)+2),"$",""))&amp;Formulas!AH56+1,
IFERROR(INDEX(Datos!$A$2:$L$101,Formulas!AH56,RIGHT(Formulas!AJ56)+2),"")))</f>
        <v/>
      </c>
      <c r="AI59" s="107" t="str" cm="1">
        <f t="array" aca="1" ref="AI59" ca="1">IF(OR(Formulas!AJ57=0,Formulas!AJ57=""),"",HYPERLINK("["&amp;Archivo_Nombre&amp;"]Datos!"&amp;LEFT(SUBSTITUTE(ADDRESS(1,Formulas!AJ57+2),"$",""))&amp;Formulas!AI57+1,
IFERROR(INDEX(Datos!$A$2:$L$101,Formulas!AI57,Formulas!AJ57+2),"")))</f>
        <v/>
      </c>
      <c r="AJ59" s="13"/>
      <c r="AK59" s="6"/>
      <c r="AL59" s="24" t="str" cm="1">
        <f t="array" aca="1" ref="AL59" ca="1">IF(OR(Formulas!AN56=0,Formulas!AN56="",RIGHT(Formulas!AO56)="0"),"",
HYPERLINK("["&amp;Archivo_Nombre&amp;"]Datos!"&amp;LEFT(SUBSTITUTE(ADDRESS(1,IF(Formulas!AN56=1,1,RIGHT(Formulas!AO56)+2)),"$",""))&amp;Formulas!AM56+1,
IFERROR(INDEX(Datos!$A$1:$L$1,1,RIGHT(Formulas!AO56)+2)&amp;IF(Formulas!AN56=1," "&amp;Formulas!AM56,"")&amp;":","")))</f>
        <v/>
      </c>
      <c r="AM59" s="107" t="str" cm="1">
        <f t="array" aca="1" ref="AM59" ca="1">IF(OR(Formulas!AN56=0,Formulas!AN56="",RIGHT(Formulas!AO56)="0"),"",
HYPERLINK("["&amp;Archivo_Nombre&amp;"]Datos!"&amp;LEFT(SUBSTITUTE(ADDRESS(1,RIGHT(Formulas!AO56)+2),"$",""))&amp;Formulas!AM56+1,
IFERROR(INDEX(Datos!$A$2:$L$101,Formulas!AM56,RIGHT(Formulas!AO56)+2),"")))</f>
        <v/>
      </c>
      <c r="AN59" s="107" t="str" cm="1">
        <f t="array" aca="1" ref="AN59" ca="1">IF(OR(Formulas!AO57=0,Formulas!AO57=""),"",HYPERLINK("["&amp;Archivo_Nombre&amp;"]Datos!"&amp;LEFT(SUBSTITUTE(ADDRESS(1,Formulas!AO57+2),"$",""))&amp;Formulas!AN57+1,
IFERROR(INDEX(Datos!$A$2:$L$101,Formulas!AN57,Formulas!AO57+2),"")))</f>
        <v/>
      </c>
      <c r="AO59" s="13"/>
      <c r="AP59" s="6"/>
      <c r="AQ59" s="24" t="str" cm="1">
        <f t="array" aca="1" ref="AQ59" ca="1">IF(OR(Formulas!AS56=0,Formulas!AS56="",RIGHT(Formulas!AT56)="0"),"",
HYPERLINK("["&amp;Archivo_Nombre&amp;"]Datos!"&amp;LEFT(SUBSTITUTE(ADDRESS(1,IF(Formulas!AS56=1,1,RIGHT(Formulas!AT56)+2)),"$",""))&amp;Formulas!AR56+1,
IFERROR(INDEX(Datos!$A$1:$L$1,1,RIGHT(Formulas!AT56)+2)&amp;IF(Formulas!AS56=1," "&amp;Formulas!AR56,"")&amp;":","")))</f>
        <v/>
      </c>
      <c r="AR59" s="107" t="str" cm="1">
        <f t="array" aca="1" ref="AR59" ca="1">IF(OR(Formulas!AS56=0,Formulas!AS56="",RIGHT(Formulas!AT56)="0"),"",
HYPERLINK("["&amp;Archivo_Nombre&amp;"]Datos!"&amp;LEFT(SUBSTITUTE(ADDRESS(1,RIGHT(Formulas!AT56)+2),"$",""))&amp;Formulas!AR56+1,
IFERROR(INDEX(Datos!$A$2:$L$101,Formulas!AR56,RIGHT(Formulas!AT56)+2),"")))</f>
        <v/>
      </c>
      <c r="AS59" s="107" t="str" cm="1">
        <f t="array" aca="1" ref="AS59" ca="1">IF(OR(Formulas!AT57=0,Formulas!AT57=""),"",HYPERLINK("["&amp;Archivo_Nombre&amp;"]Datos!"&amp;LEFT(SUBSTITUTE(ADDRESS(1,Formulas!AT57+2),"$",""))&amp;Formulas!AS57+1,
IFERROR(INDEX(Datos!$A$2:$L$101,Formulas!AS57,Formulas!AT57+2),"")))</f>
        <v/>
      </c>
      <c r="AT59" s="13"/>
      <c r="AU59" s="6"/>
      <c r="AV59" s="24" t="str" cm="1">
        <f t="array" aca="1" ref="AV59" ca="1">IF(OR(Formulas!AX56=0,Formulas!AX56="",RIGHT(Formulas!AY56)="0"),"",
HYPERLINK("["&amp;Archivo_Nombre&amp;"]Datos!"&amp;LEFT(SUBSTITUTE(ADDRESS(1,IF(Formulas!AX56=1,1,RIGHT(Formulas!AY56)+2)),"$",""))&amp;Formulas!AW56+1,
IFERROR(INDEX(Datos!$A$1:$L$1,1,RIGHT(Formulas!AY56)+2)&amp;IF(Formulas!AX56=1," "&amp;Formulas!AW56,"")&amp;":","")))</f>
        <v/>
      </c>
      <c r="AW59" s="107" t="str" cm="1">
        <f t="array" aca="1" ref="AW59" ca="1">IF(OR(Formulas!AX56=0,Formulas!AX56="",RIGHT(Formulas!AY56)="0"),"",
HYPERLINK("["&amp;Archivo_Nombre&amp;"]Datos!"&amp;LEFT(SUBSTITUTE(ADDRESS(1,RIGHT(Formulas!AY56)+2),"$",""))&amp;Formulas!AW56+1,
IFERROR(INDEX(Datos!$A$2:$L$101,Formulas!AW56,RIGHT(Formulas!AY56)+2),"")))</f>
        <v/>
      </c>
      <c r="AX59" s="107" t="str" cm="1">
        <f t="array" aca="1" ref="AX59" ca="1">IF(OR(Formulas!AY57=0,Formulas!AY57=""),"",HYPERLINK("["&amp;Archivo_Nombre&amp;"]Datos!"&amp;LEFT(SUBSTITUTE(ADDRESS(1,Formulas!AY57+2),"$",""))&amp;Formulas!AX57+1,
IFERROR(INDEX(Datos!$A$2:$L$101,Formulas!AX57,Formulas!AY57+2),"")))</f>
        <v/>
      </c>
      <c r="AY59" s="13"/>
    </row>
    <row r="60" spans="2:51" x14ac:dyDescent="0.25">
      <c r="B60" s="11"/>
      <c r="C60" s="24" t="str" cm="1">
        <f t="array" aca="1" ref="C60" ca="1">IF(OR(Formulas!E57=0,Formulas!E57="",RIGHT(Formulas!F57)="0"),"",
HYPERLINK("["&amp;Archivo_Nombre&amp;"]Datos!"&amp;LEFT(SUBSTITUTE(ADDRESS(1,IF(Formulas!E57=1,1,RIGHT(Formulas!F57)+2)),"$",""))&amp;Formulas!D57+1,
IFERROR(INDEX(Datos!$A$1:$L$1,1,RIGHT(Formulas!F57)+2)&amp;IF(Formulas!E57=1," "&amp;Formulas!D57,"")&amp;":","")))</f>
        <v/>
      </c>
      <c r="D60" s="107" t="str" cm="1">
        <f t="array" aca="1" ref="D60" ca="1">IF(OR(Formulas!E57=0,Formulas!E57="",RIGHT(Formulas!F57)="0"),"",
HYPERLINK("["&amp;Archivo_Nombre&amp;"]Datos!"&amp;LEFT(SUBSTITUTE(ADDRESS(1,RIGHT(Formulas!F57)+2),"$",""))&amp;Formulas!D57+1,
IFERROR(INDEX(Datos!$A$2:$L$101,Formulas!D57,RIGHT(Formulas!F57)+2),"")))</f>
        <v/>
      </c>
      <c r="E60" s="107" t="str" cm="1">
        <f t="array" aca="1" ref="E60" ca="1">IF(OR(Formulas!F58=0,Formulas!F58=""),"",HYPERLINK("["&amp;Archivo_Nombre&amp;"]Datos!"&amp;LEFT(SUBSTITUTE(ADDRESS(1,Formulas!F58+2),"$",""))&amp;Formulas!E58+1,
IFERROR(INDEX(Datos!$A$2:$L$101,Formulas!E58,Formulas!F58+2),"")))</f>
        <v/>
      </c>
      <c r="F60" s="5"/>
      <c r="G60" s="6"/>
      <c r="H60" s="24" t="str" cm="1">
        <f t="array" aca="1" ref="H60" ca="1">IF(OR(Formulas!J57=0,Formulas!J57="",RIGHT(Formulas!K57)="0"),"",
HYPERLINK("["&amp;Archivo_Nombre&amp;"]Datos!"&amp;LEFT(SUBSTITUTE(ADDRESS(1,IF(Formulas!J57=1,1,RIGHT(Formulas!K57)+2)),"$",""))&amp;Formulas!I57+1,
IFERROR(INDEX(Datos!$A$1:$L$1,1,RIGHT(Formulas!K57)+2)&amp;IF(Formulas!J57=1," "&amp;Formulas!I57,"")&amp;":","")))</f>
        <v>Previsto:</v>
      </c>
      <c r="I60" s="107" cm="1">
        <f t="array" aca="1" ref="I60" ca="1">IF(OR(Formulas!J57=0,Formulas!J57="",RIGHT(Formulas!K57)="0"),"",
HYPERLINK("["&amp;Archivo_Nombre&amp;"]Datos!"&amp;LEFT(SUBSTITUTE(ADDRESS(1,RIGHT(Formulas!K57)+2),"$",""))&amp;Formulas!I57+1,
IFERROR(INDEX(Datos!$A$2:$L$101,Formulas!I57,RIGHT(Formulas!K57)+2),"")))</f>
        <v>45777</v>
      </c>
      <c r="J60" s="107" t="e" cm="1">
        <f t="array" aca="1" ref="J60" ca="1">IF(OR(Formulas!K58=0,Formulas!K58=""),"",HYPERLINK("["&amp;Archivo_Nombre&amp;"]Datos!"&amp;LEFT(SUBSTITUTE(ADDRESS(1,Formulas!K58+2),"$",""))&amp;Formulas!J58+1,
IFERROR(INDEX(Datos!$A$2:$L$101,Formulas!J58,Formulas!K58+2),"")))</f>
        <v>#VALUE!</v>
      </c>
      <c r="K60" s="5"/>
      <c r="L60" s="6"/>
      <c r="M60" s="24" t="str" cm="1">
        <f t="array" aca="1" ref="M60" ca="1">IF(OR(Formulas!O57=0,Formulas!O57="",RIGHT(Formulas!P57)="0"),"",
HYPERLINK("["&amp;Archivo_Nombre&amp;"]Datos!"&amp;LEFT(SUBSTITUTE(ADDRESS(1,IF(Formulas!O57=1,1,RIGHT(Formulas!P57)+2)),"$",""))&amp;Formulas!N57+1,
IFERROR(INDEX(Datos!$A$1:$L$1,1,RIGHT(Formulas!P57)+2)&amp;IF(Formulas!O57=1," "&amp;Formulas!N57,"")&amp;":","")))</f>
        <v/>
      </c>
      <c r="N60" s="107" t="str" cm="1">
        <f t="array" aca="1" ref="N60" ca="1">IF(OR(Formulas!O57=0,Formulas!O57="",RIGHT(Formulas!P57)="0"),"",
HYPERLINK("["&amp;Archivo_Nombre&amp;"]Datos!"&amp;LEFT(SUBSTITUTE(ADDRESS(1,RIGHT(Formulas!P57)+2),"$",""))&amp;Formulas!N57+1,
IFERROR(INDEX(Datos!$A$2:$L$101,Formulas!N57,RIGHT(Formulas!P57)+2),"")))</f>
        <v/>
      </c>
      <c r="O60" s="107" t="str" cm="1">
        <f t="array" aca="1" ref="O60" ca="1">IF(OR(Formulas!P58=0,Formulas!P58=""),"",HYPERLINK("["&amp;Archivo_Nombre&amp;"]Datos!"&amp;LEFT(SUBSTITUTE(ADDRESS(1,Formulas!P58+2),"$",""))&amp;Formulas!O58+1,
IFERROR(INDEX(Datos!$A$2:$L$101,Formulas!O58,Formulas!P58+2),"")))</f>
        <v/>
      </c>
      <c r="P60" s="5"/>
      <c r="Q60" s="6"/>
      <c r="R60" s="24" t="str" cm="1">
        <f t="array" aca="1" ref="R60" ca="1">IF(OR(Formulas!T57=0,Formulas!T57="",RIGHT(Formulas!U57)="0"),"",
HYPERLINK("["&amp;Archivo_Nombre&amp;"]Datos!"&amp;LEFT(SUBSTITUTE(ADDRESS(1,IF(Formulas!T57=1,1,RIGHT(Formulas!U57)+2)),"$",""))&amp;Formulas!S57+1,
IFERROR(INDEX(Datos!$A$1:$L$1,1,RIGHT(Formulas!U57)+2)&amp;IF(Formulas!T57=1," "&amp;Formulas!S57,"")&amp;":","")))</f>
        <v>Previsto:</v>
      </c>
      <c r="S60" s="107" cm="1">
        <f t="array" aca="1" ref="S60" ca="1">IF(OR(Formulas!T57=0,Formulas!T57="",RIGHT(Formulas!U57)="0"),"",
HYPERLINK("["&amp;Archivo_Nombre&amp;"]Datos!"&amp;LEFT(SUBSTITUTE(ADDRESS(1,RIGHT(Formulas!U57)+2),"$",""))&amp;Formulas!S57+1,
IFERROR(INDEX(Datos!$A$2:$L$101,Formulas!S57,RIGHT(Formulas!U57)+2),"")))</f>
        <v>45815</v>
      </c>
      <c r="T60" s="107" t="e" cm="1">
        <f t="array" aca="1" ref="T60" ca="1">IF(OR(Formulas!U58=0,Formulas!U58=""),"",HYPERLINK("["&amp;Archivo_Nombre&amp;"]Datos!"&amp;LEFT(SUBSTITUTE(ADDRESS(1,Formulas!U58+2),"$",""))&amp;Formulas!T58+1,
IFERROR(INDEX(Datos!$A$2:$L$101,Formulas!T58,Formulas!U58+2),"")))</f>
        <v>#VALUE!</v>
      </c>
      <c r="U60" s="5"/>
      <c r="V60" s="6"/>
      <c r="W60" s="24" t="str" cm="1">
        <f t="array" aca="1" ref="W60" ca="1">IF(OR(Formulas!Y57=0,Formulas!Y57="",RIGHT(Formulas!Z57)="0"),"",
HYPERLINK("["&amp;Archivo_Nombre&amp;"]Datos!"&amp;LEFT(SUBSTITUTE(ADDRESS(1,IF(Formulas!Y57=1,1,RIGHT(Formulas!Z57)+2)),"$",""))&amp;Formulas!X57+1,
IFERROR(INDEX(Datos!$A$1:$L$1,1,RIGHT(Formulas!Z57)+2)&amp;IF(Formulas!Y57=1," "&amp;Formulas!X57,"")&amp;":","")))</f>
        <v/>
      </c>
      <c r="X60" s="107" t="str" cm="1">
        <f t="array" aca="1" ref="X60" ca="1">IF(OR(Formulas!Y57=0,Formulas!Y57="",RIGHT(Formulas!Z57)="0"),"",
HYPERLINK("["&amp;Archivo_Nombre&amp;"]Datos!"&amp;LEFT(SUBSTITUTE(ADDRESS(1,RIGHT(Formulas!Z57)+2),"$",""))&amp;Formulas!X57+1,
IFERROR(INDEX(Datos!$A$2:$L$101,Formulas!X57,RIGHT(Formulas!Z57)+2),"")))</f>
        <v/>
      </c>
      <c r="Y60" s="107" t="str" cm="1">
        <f t="array" aca="1" ref="Y60" ca="1">IF(OR(Formulas!Z58=0,Formulas!Z58=""),"",HYPERLINK("["&amp;Archivo_Nombre&amp;"]Datos!"&amp;LEFT(SUBSTITUTE(ADDRESS(1,Formulas!Z58+2),"$",""))&amp;Formulas!Y58+1,
IFERROR(INDEX(Datos!$A$2:$L$101,Formulas!Y58,Formulas!Z58+2),"")))</f>
        <v/>
      </c>
      <c r="Z60" s="13"/>
      <c r="AA60" s="6"/>
      <c r="AB60" s="24" t="str" cm="1">
        <f t="array" aca="1" ref="AB60" ca="1">IF(OR(Formulas!AD57=0,Formulas!AD57="",RIGHT(Formulas!AE57)="0"),"",
HYPERLINK("["&amp;Archivo_Nombre&amp;"]Datos!"&amp;LEFT(SUBSTITUTE(ADDRESS(1,IF(Formulas!AD57=1,1,RIGHT(Formulas!AE57)+2)),"$",""))&amp;Formulas!AC57+1,
IFERROR(INDEX(Datos!$A$1:$L$1,1,RIGHT(Formulas!AE57)+2)&amp;IF(Formulas!AD57=1," "&amp;Formulas!AC57,"")&amp;":","")))</f>
        <v/>
      </c>
      <c r="AC60" s="107" t="str" cm="1">
        <f t="array" aca="1" ref="AC60" ca="1">IF(OR(Formulas!AD57=0,Formulas!AD57="",RIGHT(Formulas!AE57)="0"),"",
HYPERLINK("["&amp;Archivo_Nombre&amp;"]Datos!"&amp;LEFT(SUBSTITUTE(ADDRESS(1,RIGHT(Formulas!AE57)+2),"$",""))&amp;Formulas!AC57+1,
IFERROR(INDEX(Datos!$A$2:$L$101,Formulas!AC57,RIGHT(Formulas!AE57)+2),"")))</f>
        <v/>
      </c>
      <c r="AD60" s="107" t="str" cm="1">
        <f t="array" aca="1" ref="AD60" ca="1">IF(OR(Formulas!AE58=0,Formulas!AE58=""),"",HYPERLINK("["&amp;Archivo_Nombre&amp;"]Datos!"&amp;LEFT(SUBSTITUTE(ADDRESS(1,Formulas!AE58+2),"$",""))&amp;Formulas!AD58+1,
IFERROR(INDEX(Datos!$A$2:$L$101,Formulas!AD58,Formulas!AE58+2),"")))</f>
        <v/>
      </c>
      <c r="AE60" s="13"/>
      <c r="AF60" s="6"/>
      <c r="AG60" s="24" t="str" cm="1">
        <f t="array" aca="1" ref="AG60" ca="1">IF(OR(Formulas!AI57=0,Formulas!AI57="",RIGHT(Formulas!AJ57)="0"),"",
HYPERLINK("["&amp;Archivo_Nombre&amp;"]Datos!"&amp;LEFT(SUBSTITUTE(ADDRESS(1,IF(Formulas!AI57=1,1,RIGHT(Formulas!AJ57)+2)),"$",""))&amp;Formulas!AH57+1,
IFERROR(INDEX(Datos!$A$1:$L$1,1,RIGHT(Formulas!AJ57)+2)&amp;IF(Formulas!AI57=1," "&amp;Formulas!AH57,"")&amp;":","")))</f>
        <v/>
      </c>
      <c r="AH60" s="107" t="str" cm="1">
        <f t="array" aca="1" ref="AH60" ca="1">IF(OR(Formulas!AI57=0,Formulas!AI57="",RIGHT(Formulas!AJ57)="0"),"",
HYPERLINK("["&amp;Archivo_Nombre&amp;"]Datos!"&amp;LEFT(SUBSTITUTE(ADDRESS(1,RIGHT(Formulas!AJ57)+2),"$",""))&amp;Formulas!AH57+1,
IFERROR(INDEX(Datos!$A$2:$L$101,Formulas!AH57,RIGHT(Formulas!AJ57)+2),"")))</f>
        <v/>
      </c>
      <c r="AI60" s="107" t="str" cm="1">
        <f t="array" aca="1" ref="AI60" ca="1">IF(OR(Formulas!AJ58=0,Formulas!AJ58=""),"",HYPERLINK("["&amp;Archivo_Nombre&amp;"]Datos!"&amp;LEFT(SUBSTITUTE(ADDRESS(1,Formulas!AJ58+2),"$",""))&amp;Formulas!AI58+1,
IFERROR(INDEX(Datos!$A$2:$L$101,Formulas!AI58,Formulas!AJ58+2),"")))</f>
        <v/>
      </c>
      <c r="AJ60" s="13"/>
      <c r="AK60" s="6"/>
      <c r="AL60" s="24" t="str" cm="1">
        <f t="array" aca="1" ref="AL60" ca="1">IF(OR(Formulas!AN57=0,Formulas!AN57="",RIGHT(Formulas!AO57)="0"),"",
HYPERLINK("["&amp;Archivo_Nombre&amp;"]Datos!"&amp;LEFT(SUBSTITUTE(ADDRESS(1,IF(Formulas!AN57=1,1,RIGHT(Formulas!AO57)+2)),"$",""))&amp;Formulas!AM57+1,
IFERROR(INDEX(Datos!$A$1:$L$1,1,RIGHT(Formulas!AO57)+2)&amp;IF(Formulas!AN57=1," "&amp;Formulas!AM57,"")&amp;":","")))</f>
        <v/>
      </c>
      <c r="AM60" s="107" t="str" cm="1">
        <f t="array" aca="1" ref="AM60" ca="1">IF(OR(Formulas!AN57=0,Formulas!AN57="",RIGHT(Formulas!AO57)="0"),"",
HYPERLINK("["&amp;Archivo_Nombre&amp;"]Datos!"&amp;LEFT(SUBSTITUTE(ADDRESS(1,RIGHT(Formulas!AO57)+2),"$",""))&amp;Formulas!AM57+1,
IFERROR(INDEX(Datos!$A$2:$L$101,Formulas!AM57,RIGHT(Formulas!AO57)+2),"")))</f>
        <v/>
      </c>
      <c r="AN60" s="107" t="str" cm="1">
        <f t="array" aca="1" ref="AN60" ca="1">IF(OR(Formulas!AO58=0,Formulas!AO58=""),"",HYPERLINK("["&amp;Archivo_Nombre&amp;"]Datos!"&amp;LEFT(SUBSTITUTE(ADDRESS(1,Formulas!AO58+2),"$",""))&amp;Formulas!AN58+1,
IFERROR(INDEX(Datos!$A$2:$L$101,Formulas!AN58,Formulas!AO58+2),"")))</f>
        <v/>
      </c>
      <c r="AO60" s="13"/>
      <c r="AP60" s="6"/>
      <c r="AQ60" s="24" t="str" cm="1">
        <f t="array" aca="1" ref="AQ60" ca="1">IF(OR(Formulas!AS57=0,Formulas!AS57="",RIGHT(Formulas!AT57)="0"),"",
HYPERLINK("["&amp;Archivo_Nombre&amp;"]Datos!"&amp;LEFT(SUBSTITUTE(ADDRESS(1,IF(Formulas!AS57=1,1,RIGHT(Formulas!AT57)+2)),"$",""))&amp;Formulas!AR57+1,
IFERROR(INDEX(Datos!$A$1:$L$1,1,RIGHT(Formulas!AT57)+2)&amp;IF(Formulas!AS57=1," "&amp;Formulas!AR57,"")&amp;":","")))</f>
        <v/>
      </c>
      <c r="AR60" s="107" t="str" cm="1">
        <f t="array" aca="1" ref="AR60" ca="1">IF(OR(Formulas!AS57=0,Formulas!AS57="",RIGHT(Formulas!AT57)="0"),"",
HYPERLINK("["&amp;Archivo_Nombre&amp;"]Datos!"&amp;LEFT(SUBSTITUTE(ADDRESS(1,RIGHT(Formulas!AT57)+2),"$",""))&amp;Formulas!AR57+1,
IFERROR(INDEX(Datos!$A$2:$L$101,Formulas!AR57,RIGHT(Formulas!AT57)+2),"")))</f>
        <v/>
      </c>
      <c r="AS60" s="107" t="str" cm="1">
        <f t="array" aca="1" ref="AS60" ca="1">IF(OR(Formulas!AT58=0,Formulas!AT58=""),"",HYPERLINK("["&amp;Archivo_Nombre&amp;"]Datos!"&amp;LEFT(SUBSTITUTE(ADDRESS(1,Formulas!AT58+2),"$",""))&amp;Formulas!AS58+1,
IFERROR(INDEX(Datos!$A$2:$L$101,Formulas!AS58,Formulas!AT58+2),"")))</f>
        <v/>
      </c>
      <c r="AT60" s="13"/>
      <c r="AU60" s="6"/>
      <c r="AV60" s="24" t="str" cm="1">
        <f t="array" aca="1" ref="AV60" ca="1">IF(OR(Formulas!AX57=0,Formulas!AX57="",RIGHT(Formulas!AY57)="0"),"",
HYPERLINK("["&amp;Archivo_Nombre&amp;"]Datos!"&amp;LEFT(SUBSTITUTE(ADDRESS(1,IF(Formulas!AX57=1,1,RIGHT(Formulas!AY57)+2)),"$",""))&amp;Formulas!AW57+1,
IFERROR(INDEX(Datos!$A$1:$L$1,1,RIGHT(Formulas!AY57)+2)&amp;IF(Formulas!AX57=1," "&amp;Formulas!AW57,"")&amp;":","")))</f>
        <v/>
      </c>
      <c r="AW60" s="107" t="str" cm="1">
        <f t="array" aca="1" ref="AW60" ca="1">IF(OR(Formulas!AX57=0,Formulas!AX57="",RIGHT(Formulas!AY57)="0"),"",
HYPERLINK("["&amp;Archivo_Nombre&amp;"]Datos!"&amp;LEFT(SUBSTITUTE(ADDRESS(1,RIGHT(Formulas!AY57)+2),"$",""))&amp;Formulas!AW57+1,
IFERROR(INDEX(Datos!$A$2:$L$101,Formulas!AW57,RIGHT(Formulas!AY57)+2),"")))</f>
        <v/>
      </c>
      <c r="AX60" s="107" t="str" cm="1">
        <f t="array" aca="1" ref="AX60" ca="1">IF(OR(Formulas!AY58=0,Formulas!AY58=""),"",HYPERLINK("["&amp;Archivo_Nombre&amp;"]Datos!"&amp;LEFT(SUBSTITUTE(ADDRESS(1,Formulas!AY58+2),"$",""))&amp;Formulas!AX58+1,
IFERROR(INDEX(Datos!$A$2:$L$101,Formulas!AX58,Formulas!AY58+2),"")))</f>
        <v/>
      </c>
      <c r="AY60" s="13"/>
    </row>
    <row r="61" spans="2:51" x14ac:dyDescent="0.25">
      <c r="B61" s="11"/>
      <c r="C61" s="24" t="str" cm="1">
        <f t="array" aca="1" ref="C61" ca="1">IF(OR(Formulas!E58=0,Formulas!E58="",RIGHT(Formulas!F58)="0"),"",
HYPERLINK("["&amp;Archivo_Nombre&amp;"]Datos!"&amp;LEFT(SUBSTITUTE(ADDRESS(1,IF(Formulas!E58=1,1,RIGHT(Formulas!F58)+2)),"$",""))&amp;Formulas!D58+1,
IFERROR(INDEX(Datos!$A$1:$L$1,1,RIGHT(Formulas!F58)+2)&amp;IF(Formulas!E58=1," "&amp;Formulas!D58,"")&amp;":","")))</f>
        <v/>
      </c>
      <c r="D61" s="107" t="str" cm="1">
        <f t="array" aca="1" ref="D61" ca="1">IF(OR(Formulas!E58=0,Formulas!E58="",RIGHT(Formulas!F58)="0"),"",
HYPERLINK("["&amp;Archivo_Nombre&amp;"]Datos!"&amp;LEFT(SUBSTITUTE(ADDRESS(1,RIGHT(Formulas!F58)+2),"$",""))&amp;Formulas!D58+1,
IFERROR(INDEX(Datos!$A$2:$L$101,Formulas!D58,RIGHT(Formulas!F58)+2),"")))</f>
        <v/>
      </c>
      <c r="E61" s="107" t="str" cm="1">
        <f t="array" aca="1" ref="E61" ca="1">IF(OR(Formulas!F59=0,Formulas!F59=""),"",HYPERLINK("["&amp;Archivo_Nombre&amp;"]Datos!"&amp;LEFT(SUBSTITUTE(ADDRESS(1,Formulas!F59+2),"$",""))&amp;Formulas!E59+1,
IFERROR(INDEX(Datos!$A$2:$L$101,Formulas!E59,Formulas!F59+2),"")))</f>
        <v/>
      </c>
      <c r="F61" s="5"/>
      <c r="G61" s="6"/>
      <c r="H61" s="24" t="str" cm="1">
        <f t="array" aca="1" ref="H61" ca="1">IF(OR(Formulas!J58=0,Formulas!J58="",RIGHT(Formulas!K58)="0"),"",
HYPERLINK("["&amp;Archivo_Nombre&amp;"]Datos!"&amp;LEFT(SUBSTITUTE(ADDRESS(1,IF(Formulas!J58=1,1,RIGHT(Formulas!K58)+2)),"$",""))&amp;Formulas!I58+1,
IFERROR(INDEX(Datos!$A$1:$L$1,1,RIGHT(Formulas!K58)+2)&amp;IF(Formulas!J58=1," "&amp;Formulas!I58,"")&amp;":","")))</f>
        <v>Final:</v>
      </c>
      <c r="I61" s="107" cm="1">
        <f t="array" aca="1" ref="I61" ca="1">IF(OR(Formulas!J58=0,Formulas!J58="",RIGHT(Formulas!K58)="0"),"",
HYPERLINK("["&amp;Archivo_Nombre&amp;"]Datos!"&amp;LEFT(SUBSTITUTE(ADDRESS(1,RIGHT(Formulas!K58)+2),"$",""))&amp;Formulas!I58+1,
IFERROR(INDEX(Datos!$A$2:$L$101,Formulas!I58,RIGHT(Formulas!K58)+2),"")))</f>
        <v>45777</v>
      </c>
      <c r="J61" s="107" t="e" cm="1">
        <f t="array" aca="1" ref="J61" ca="1">IF(OR(Formulas!K59=0,Formulas!K59=""),"",HYPERLINK("["&amp;Archivo_Nombre&amp;"]Datos!"&amp;LEFT(SUBSTITUTE(ADDRESS(1,Formulas!K59+2),"$",""))&amp;Formulas!J59+1,
IFERROR(INDEX(Datos!$A$2:$L$101,Formulas!J59,Formulas!K59+2),"")))</f>
        <v>#VALUE!</v>
      </c>
      <c r="K61" s="5"/>
      <c r="L61" s="6"/>
      <c r="M61" s="24" t="str" cm="1">
        <f t="array" aca="1" ref="M61" ca="1">IF(OR(Formulas!O58=0,Formulas!O58="",RIGHT(Formulas!P58)="0"),"",
HYPERLINK("["&amp;Archivo_Nombre&amp;"]Datos!"&amp;LEFT(SUBSTITUTE(ADDRESS(1,IF(Formulas!O58=1,1,RIGHT(Formulas!P58)+2)),"$",""))&amp;Formulas!N58+1,
IFERROR(INDEX(Datos!$A$1:$L$1,1,RIGHT(Formulas!P58)+2)&amp;IF(Formulas!O58=1," "&amp;Formulas!N58,"")&amp;":","")))</f>
        <v/>
      </c>
      <c r="N61" s="107" t="str" cm="1">
        <f t="array" aca="1" ref="N61" ca="1">IF(OR(Formulas!O58=0,Formulas!O58="",RIGHT(Formulas!P58)="0"),"",
HYPERLINK("["&amp;Archivo_Nombre&amp;"]Datos!"&amp;LEFT(SUBSTITUTE(ADDRESS(1,RIGHT(Formulas!P58)+2),"$",""))&amp;Formulas!N58+1,
IFERROR(INDEX(Datos!$A$2:$L$101,Formulas!N58,RIGHT(Formulas!P58)+2),"")))</f>
        <v/>
      </c>
      <c r="O61" s="107" t="str" cm="1">
        <f t="array" aca="1" ref="O61" ca="1">IF(OR(Formulas!P59=0,Formulas!P59=""),"",HYPERLINK("["&amp;Archivo_Nombre&amp;"]Datos!"&amp;LEFT(SUBSTITUTE(ADDRESS(1,Formulas!P59+2),"$",""))&amp;Formulas!O59+1,
IFERROR(INDEX(Datos!$A$2:$L$101,Formulas!O59,Formulas!P59+2),"")))</f>
        <v/>
      </c>
      <c r="P61" s="5"/>
      <c r="Q61" s="6"/>
      <c r="R61" s="24" t="str" cm="1">
        <f t="array" aca="1" ref="R61" ca="1">IF(OR(Formulas!T58=0,Formulas!T58="",RIGHT(Formulas!U58)="0"),"",
HYPERLINK("["&amp;Archivo_Nombre&amp;"]Datos!"&amp;LEFT(SUBSTITUTE(ADDRESS(1,IF(Formulas!T58=1,1,RIGHT(Formulas!U58)+2)),"$",""))&amp;Formulas!S58+1,
IFERROR(INDEX(Datos!$A$1:$L$1,1,RIGHT(Formulas!U58)+2)&amp;IF(Formulas!T58=1," "&amp;Formulas!S58,"")&amp;":","")))</f>
        <v>Final:</v>
      </c>
      <c r="S61" s="107" cm="1">
        <f t="array" aca="1" ref="S61" ca="1">IF(OR(Formulas!T58=0,Formulas!T58="",RIGHT(Formulas!U58)="0"),"",
HYPERLINK("["&amp;Archivo_Nombre&amp;"]Datos!"&amp;LEFT(SUBSTITUTE(ADDRESS(1,RIGHT(Formulas!U58)+2),"$",""))&amp;Formulas!S58+1,
IFERROR(INDEX(Datos!$A$2:$L$101,Formulas!S58,RIGHT(Formulas!U58)+2),"")))</f>
        <v>45815</v>
      </c>
      <c r="T61" s="107" t="e" cm="1">
        <f t="array" aca="1" ref="T61" ca="1">IF(OR(Formulas!U59=0,Formulas!U59=""),"",HYPERLINK("["&amp;Archivo_Nombre&amp;"]Datos!"&amp;LEFT(SUBSTITUTE(ADDRESS(1,Formulas!U59+2),"$",""))&amp;Formulas!T59+1,
IFERROR(INDEX(Datos!$A$2:$L$101,Formulas!T59,Formulas!U59+2),"")))</f>
        <v>#VALUE!</v>
      </c>
      <c r="U61" s="5"/>
      <c r="V61" s="6"/>
      <c r="W61" s="24" t="str" cm="1">
        <f t="array" aca="1" ref="W61" ca="1">IF(OR(Formulas!Y58=0,Formulas!Y58="",RIGHT(Formulas!Z58)="0"),"",
HYPERLINK("["&amp;Archivo_Nombre&amp;"]Datos!"&amp;LEFT(SUBSTITUTE(ADDRESS(1,IF(Formulas!Y58=1,1,RIGHT(Formulas!Z58)+2)),"$",""))&amp;Formulas!X58+1,
IFERROR(INDEX(Datos!$A$1:$L$1,1,RIGHT(Formulas!Z58)+2)&amp;IF(Formulas!Y58=1," "&amp;Formulas!X58,"")&amp;":","")))</f>
        <v/>
      </c>
      <c r="X61" s="107" t="str" cm="1">
        <f t="array" aca="1" ref="X61" ca="1">IF(OR(Formulas!Y58=0,Formulas!Y58="",RIGHT(Formulas!Z58)="0"),"",
HYPERLINK("["&amp;Archivo_Nombre&amp;"]Datos!"&amp;LEFT(SUBSTITUTE(ADDRESS(1,RIGHT(Formulas!Z58)+2),"$",""))&amp;Formulas!X58+1,
IFERROR(INDEX(Datos!$A$2:$L$101,Formulas!X58,RIGHT(Formulas!Z58)+2),"")))</f>
        <v/>
      </c>
      <c r="Y61" s="107" t="str" cm="1">
        <f t="array" aca="1" ref="Y61" ca="1">IF(OR(Formulas!Z59=0,Formulas!Z59=""),"",HYPERLINK("["&amp;Archivo_Nombre&amp;"]Datos!"&amp;LEFT(SUBSTITUTE(ADDRESS(1,Formulas!Z59+2),"$",""))&amp;Formulas!Y59+1,
IFERROR(INDEX(Datos!$A$2:$L$101,Formulas!Y59,Formulas!Z59+2),"")))</f>
        <v/>
      </c>
      <c r="Z61" s="13"/>
      <c r="AA61" s="6"/>
      <c r="AB61" s="24" t="str" cm="1">
        <f t="array" aca="1" ref="AB61" ca="1">IF(OR(Formulas!AD58=0,Formulas!AD58="",RIGHT(Formulas!AE58)="0"),"",
HYPERLINK("["&amp;Archivo_Nombre&amp;"]Datos!"&amp;LEFT(SUBSTITUTE(ADDRESS(1,IF(Formulas!AD58=1,1,RIGHT(Formulas!AE58)+2)),"$",""))&amp;Formulas!AC58+1,
IFERROR(INDEX(Datos!$A$1:$L$1,1,RIGHT(Formulas!AE58)+2)&amp;IF(Formulas!AD58=1," "&amp;Formulas!AC58,"")&amp;":","")))</f>
        <v/>
      </c>
      <c r="AC61" s="107" t="str" cm="1">
        <f t="array" aca="1" ref="AC61" ca="1">IF(OR(Formulas!AD58=0,Formulas!AD58="",RIGHT(Formulas!AE58)="0"),"",
HYPERLINK("["&amp;Archivo_Nombre&amp;"]Datos!"&amp;LEFT(SUBSTITUTE(ADDRESS(1,RIGHT(Formulas!AE58)+2),"$",""))&amp;Formulas!AC58+1,
IFERROR(INDEX(Datos!$A$2:$L$101,Formulas!AC58,RIGHT(Formulas!AE58)+2),"")))</f>
        <v/>
      </c>
      <c r="AD61" s="107" t="str" cm="1">
        <f t="array" aca="1" ref="AD61" ca="1">IF(OR(Formulas!AE59=0,Formulas!AE59=""),"",HYPERLINK("["&amp;Archivo_Nombre&amp;"]Datos!"&amp;LEFT(SUBSTITUTE(ADDRESS(1,Formulas!AE59+2),"$",""))&amp;Formulas!AD59+1,
IFERROR(INDEX(Datos!$A$2:$L$101,Formulas!AD59,Formulas!AE59+2),"")))</f>
        <v/>
      </c>
      <c r="AE61" s="13"/>
      <c r="AF61" s="6"/>
      <c r="AG61" s="24" t="str" cm="1">
        <f t="array" aca="1" ref="AG61" ca="1">IF(OR(Formulas!AI58=0,Formulas!AI58="",RIGHT(Formulas!AJ58)="0"),"",
HYPERLINK("["&amp;Archivo_Nombre&amp;"]Datos!"&amp;LEFT(SUBSTITUTE(ADDRESS(1,IF(Formulas!AI58=1,1,RIGHT(Formulas!AJ58)+2)),"$",""))&amp;Formulas!AH58+1,
IFERROR(INDEX(Datos!$A$1:$L$1,1,RIGHT(Formulas!AJ58)+2)&amp;IF(Formulas!AI58=1," "&amp;Formulas!AH58,"")&amp;":","")))</f>
        <v/>
      </c>
      <c r="AH61" s="107" t="str" cm="1">
        <f t="array" aca="1" ref="AH61" ca="1">IF(OR(Formulas!AI58=0,Formulas!AI58="",RIGHT(Formulas!AJ58)="0"),"",
HYPERLINK("["&amp;Archivo_Nombre&amp;"]Datos!"&amp;LEFT(SUBSTITUTE(ADDRESS(1,RIGHT(Formulas!AJ58)+2),"$",""))&amp;Formulas!AH58+1,
IFERROR(INDEX(Datos!$A$2:$L$101,Formulas!AH58,RIGHT(Formulas!AJ58)+2),"")))</f>
        <v/>
      </c>
      <c r="AI61" s="107" t="str" cm="1">
        <f t="array" aca="1" ref="AI61" ca="1">IF(OR(Formulas!AJ59=0,Formulas!AJ59=""),"",HYPERLINK("["&amp;Archivo_Nombre&amp;"]Datos!"&amp;LEFT(SUBSTITUTE(ADDRESS(1,Formulas!AJ59+2),"$",""))&amp;Formulas!AI59+1,
IFERROR(INDEX(Datos!$A$2:$L$101,Formulas!AI59,Formulas!AJ59+2),"")))</f>
        <v/>
      </c>
      <c r="AJ61" s="13"/>
      <c r="AK61" s="6"/>
      <c r="AL61" s="24" t="str" cm="1">
        <f t="array" aca="1" ref="AL61" ca="1">IF(OR(Formulas!AN58=0,Formulas!AN58="",RIGHT(Formulas!AO58)="0"),"",
HYPERLINK("["&amp;Archivo_Nombre&amp;"]Datos!"&amp;LEFT(SUBSTITUTE(ADDRESS(1,IF(Formulas!AN58=1,1,RIGHT(Formulas!AO58)+2)),"$",""))&amp;Formulas!AM58+1,
IFERROR(INDEX(Datos!$A$1:$L$1,1,RIGHT(Formulas!AO58)+2)&amp;IF(Formulas!AN58=1," "&amp;Formulas!AM58,"")&amp;":","")))</f>
        <v/>
      </c>
      <c r="AM61" s="107" t="str" cm="1">
        <f t="array" aca="1" ref="AM61" ca="1">IF(OR(Formulas!AN58=0,Formulas!AN58="",RIGHT(Formulas!AO58)="0"),"",
HYPERLINK("["&amp;Archivo_Nombre&amp;"]Datos!"&amp;LEFT(SUBSTITUTE(ADDRESS(1,RIGHT(Formulas!AO58)+2),"$",""))&amp;Formulas!AM58+1,
IFERROR(INDEX(Datos!$A$2:$L$101,Formulas!AM58,RIGHT(Formulas!AO58)+2),"")))</f>
        <v/>
      </c>
      <c r="AN61" s="107" t="str" cm="1">
        <f t="array" aca="1" ref="AN61" ca="1">IF(OR(Formulas!AO59=0,Formulas!AO59=""),"",HYPERLINK("["&amp;Archivo_Nombre&amp;"]Datos!"&amp;LEFT(SUBSTITUTE(ADDRESS(1,Formulas!AO59+2),"$",""))&amp;Formulas!AN59+1,
IFERROR(INDEX(Datos!$A$2:$L$101,Formulas!AN59,Formulas!AO59+2),"")))</f>
        <v/>
      </c>
      <c r="AO61" s="13"/>
      <c r="AP61" s="6"/>
      <c r="AQ61" s="24" t="str" cm="1">
        <f t="array" aca="1" ref="AQ61" ca="1">IF(OR(Formulas!AS58=0,Formulas!AS58="",RIGHT(Formulas!AT58)="0"),"",
HYPERLINK("["&amp;Archivo_Nombre&amp;"]Datos!"&amp;LEFT(SUBSTITUTE(ADDRESS(1,IF(Formulas!AS58=1,1,RIGHT(Formulas!AT58)+2)),"$",""))&amp;Formulas!AR58+1,
IFERROR(INDEX(Datos!$A$1:$L$1,1,RIGHT(Formulas!AT58)+2)&amp;IF(Formulas!AS58=1," "&amp;Formulas!AR58,"")&amp;":","")))</f>
        <v/>
      </c>
      <c r="AR61" s="107" t="str" cm="1">
        <f t="array" aca="1" ref="AR61" ca="1">IF(OR(Formulas!AS58=0,Formulas!AS58="",RIGHT(Formulas!AT58)="0"),"",
HYPERLINK("["&amp;Archivo_Nombre&amp;"]Datos!"&amp;LEFT(SUBSTITUTE(ADDRESS(1,RIGHT(Formulas!AT58)+2),"$",""))&amp;Formulas!AR58+1,
IFERROR(INDEX(Datos!$A$2:$L$101,Formulas!AR58,RIGHT(Formulas!AT58)+2),"")))</f>
        <v/>
      </c>
      <c r="AS61" s="107" t="str" cm="1">
        <f t="array" aca="1" ref="AS61" ca="1">IF(OR(Formulas!AT59=0,Formulas!AT59=""),"",HYPERLINK("["&amp;Archivo_Nombre&amp;"]Datos!"&amp;LEFT(SUBSTITUTE(ADDRESS(1,Formulas!AT59+2),"$",""))&amp;Formulas!AS59+1,
IFERROR(INDEX(Datos!$A$2:$L$101,Formulas!AS59,Formulas!AT59+2),"")))</f>
        <v/>
      </c>
      <c r="AT61" s="13"/>
      <c r="AU61" s="6"/>
      <c r="AV61" s="24" t="str" cm="1">
        <f t="array" aca="1" ref="AV61" ca="1">IF(OR(Formulas!AX58=0,Formulas!AX58="",RIGHT(Formulas!AY58)="0"),"",
HYPERLINK("["&amp;Archivo_Nombre&amp;"]Datos!"&amp;LEFT(SUBSTITUTE(ADDRESS(1,IF(Formulas!AX58=1,1,RIGHT(Formulas!AY58)+2)),"$",""))&amp;Formulas!AW58+1,
IFERROR(INDEX(Datos!$A$1:$L$1,1,RIGHT(Formulas!AY58)+2)&amp;IF(Formulas!AX58=1," "&amp;Formulas!AW58,"")&amp;":","")))</f>
        <v/>
      </c>
      <c r="AW61" s="107" t="str" cm="1">
        <f t="array" aca="1" ref="AW61" ca="1">IF(OR(Formulas!AX58=0,Formulas!AX58="",RIGHT(Formulas!AY58)="0"),"",
HYPERLINK("["&amp;Archivo_Nombre&amp;"]Datos!"&amp;LEFT(SUBSTITUTE(ADDRESS(1,RIGHT(Formulas!AY58)+2),"$",""))&amp;Formulas!AW58+1,
IFERROR(INDEX(Datos!$A$2:$L$101,Formulas!AW58,RIGHT(Formulas!AY58)+2),"")))</f>
        <v/>
      </c>
      <c r="AX61" s="107" t="str" cm="1">
        <f t="array" aca="1" ref="AX61" ca="1">IF(OR(Formulas!AY59=0,Formulas!AY59=""),"",HYPERLINK("["&amp;Archivo_Nombre&amp;"]Datos!"&amp;LEFT(SUBSTITUTE(ADDRESS(1,Formulas!AY59+2),"$",""))&amp;Formulas!AX59+1,
IFERROR(INDEX(Datos!$A$2:$L$101,Formulas!AX59,Formulas!AY59+2),"")))</f>
        <v/>
      </c>
      <c r="AY61" s="13"/>
    </row>
    <row r="62" spans="2:51" x14ac:dyDescent="0.25">
      <c r="B62" s="11"/>
      <c r="C62" s="24" t="str" cm="1">
        <f t="array" aca="1" ref="C62" ca="1">IF(OR(Formulas!E59=0,Formulas!E59="",RIGHT(Formulas!F59)="0"),"",
HYPERLINK("["&amp;Archivo_Nombre&amp;"]Datos!"&amp;LEFT(SUBSTITUTE(ADDRESS(1,IF(Formulas!E59=1,1,RIGHT(Formulas!F59)+2)),"$",""))&amp;Formulas!D59+1,
IFERROR(INDEX(Datos!$A$1:$L$1,1,RIGHT(Formulas!F59)+2)&amp;IF(Formulas!E59=1," "&amp;Formulas!D59,"")&amp;":","")))</f>
        <v/>
      </c>
      <c r="D62" s="107" t="str" cm="1">
        <f t="array" aca="1" ref="D62" ca="1">IF(OR(Formulas!E59=0,Formulas!E59="",RIGHT(Formulas!F59)="0"),"",
HYPERLINK("["&amp;Archivo_Nombre&amp;"]Datos!"&amp;LEFT(SUBSTITUTE(ADDRESS(1,RIGHT(Formulas!F59)+2),"$",""))&amp;Formulas!D59+1,
IFERROR(INDEX(Datos!$A$2:$L$101,Formulas!D59,RIGHT(Formulas!F59)+2),"")))</f>
        <v/>
      </c>
      <c r="E62" s="107" t="str" cm="1">
        <f t="array" aca="1" ref="E62" ca="1">IF(OR(Formulas!F60=0,Formulas!F60=""),"",HYPERLINK("["&amp;Archivo_Nombre&amp;"]Datos!"&amp;LEFT(SUBSTITUTE(ADDRESS(1,Formulas!F60+2),"$",""))&amp;Formulas!E60+1,
IFERROR(INDEX(Datos!$A$2:$L$101,Formulas!E60,Formulas!F60+2),"")))</f>
        <v/>
      </c>
      <c r="F62" s="5"/>
      <c r="G62" s="6"/>
      <c r="H62" s="24" t="str" cm="1">
        <f t="array" aca="1" ref="H62" ca="1">IF(OR(Formulas!J59=0,Formulas!J59="",RIGHT(Formulas!K59)="0"),"",
HYPERLINK("["&amp;Archivo_Nombre&amp;"]Datos!"&amp;LEFT(SUBSTITUTE(ADDRESS(1,IF(Formulas!J59=1,1,RIGHT(Formulas!K59)+2)),"$",""))&amp;Formulas!I59+1,
IFERROR(INDEX(Datos!$A$1:$L$1,1,RIGHT(Formulas!K59)+2)&amp;IF(Formulas!J59=1," "&amp;Formulas!I59,"")&amp;":","")))</f>
        <v>Duración:</v>
      </c>
      <c r="I62" s="107" t="str" cm="1">
        <f t="array" aca="1" ref="I62" ca="1">IF(OR(Formulas!J59=0,Formulas!J59="",RIGHT(Formulas!K59)="0"),"",
HYPERLINK("["&amp;Archivo_Nombre&amp;"]Datos!"&amp;LEFT(SUBSTITUTE(ADDRESS(1,RIGHT(Formulas!K59)+2),"$",""))&amp;Formulas!I59+1,
IFERROR(INDEX(Datos!$A$2:$L$101,Formulas!I59,RIGHT(Formulas!K59)+2),"")))</f>
        <v>3 días</v>
      </c>
      <c r="J62" s="107" t="e" cm="1">
        <f t="array" aca="1" ref="J62" ca="1">IF(OR(Formulas!K60=0,Formulas!K60=""),"",HYPERLINK("["&amp;Archivo_Nombre&amp;"]Datos!"&amp;LEFT(SUBSTITUTE(ADDRESS(1,Formulas!K60+2),"$",""))&amp;Formulas!J60+1,
IFERROR(INDEX(Datos!$A$2:$L$101,Formulas!J60,Formulas!K60+2),"")))</f>
        <v>#VALUE!</v>
      </c>
      <c r="K62" s="5"/>
      <c r="L62" s="6"/>
      <c r="M62" s="24" t="str" cm="1">
        <f t="array" aca="1" ref="M62" ca="1">IF(OR(Formulas!O59=0,Formulas!O59="",RIGHT(Formulas!P59)="0"),"",
HYPERLINK("["&amp;Archivo_Nombre&amp;"]Datos!"&amp;LEFT(SUBSTITUTE(ADDRESS(1,IF(Formulas!O59=1,1,RIGHT(Formulas!P59)+2)),"$",""))&amp;Formulas!N59+1,
IFERROR(INDEX(Datos!$A$1:$L$1,1,RIGHT(Formulas!P59)+2)&amp;IF(Formulas!O59=1," "&amp;Formulas!N59,"")&amp;":","")))</f>
        <v/>
      </c>
      <c r="N62" s="107" t="str" cm="1">
        <f t="array" aca="1" ref="N62" ca="1">IF(OR(Formulas!O59=0,Formulas!O59="",RIGHT(Formulas!P59)="0"),"",
HYPERLINK("["&amp;Archivo_Nombre&amp;"]Datos!"&amp;LEFT(SUBSTITUTE(ADDRESS(1,RIGHT(Formulas!P59)+2),"$",""))&amp;Formulas!N59+1,
IFERROR(INDEX(Datos!$A$2:$L$101,Formulas!N59,RIGHT(Formulas!P59)+2),"")))</f>
        <v/>
      </c>
      <c r="O62" s="107" t="str" cm="1">
        <f t="array" aca="1" ref="O62" ca="1">IF(OR(Formulas!P60=0,Formulas!P60=""),"",HYPERLINK("["&amp;Archivo_Nombre&amp;"]Datos!"&amp;LEFT(SUBSTITUTE(ADDRESS(1,Formulas!P60+2),"$",""))&amp;Formulas!O60+1,
IFERROR(INDEX(Datos!$A$2:$L$101,Formulas!O60,Formulas!P60+2),"")))</f>
        <v/>
      </c>
      <c r="P62" s="5"/>
      <c r="Q62" s="6"/>
      <c r="R62" s="24" t="str" cm="1">
        <f t="array" aca="1" ref="R62" ca="1">IF(OR(Formulas!T59=0,Formulas!T59="",RIGHT(Formulas!U59)="0"),"",
HYPERLINK("["&amp;Archivo_Nombre&amp;"]Datos!"&amp;LEFT(SUBSTITUTE(ADDRESS(1,IF(Formulas!T59=1,1,RIGHT(Formulas!U59)+2)),"$",""))&amp;Formulas!S59+1,
IFERROR(INDEX(Datos!$A$1:$L$1,1,RIGHT(Formulas!U59)+2)&amp;IF(Formulas!T59=1," "&amp;Formulas!S59,"")&amp;":","")))</f>
        <v>Duración:</v>
      </c>
      <c r="S62" s="107" t="str" cm="1">
        <f t="array" aca="1" ref="S62" ca="1">IF(OR(Formulas!T59=0,Formulas!T59="",RIGHT(Formulas!U59)="0"),"",
HYPERLINK("["&amp;Archivo_Nombre&amp;"]Datos!"&amp;LEFT(SUBSTITUTE(ADDRESS(1,RIGHT(Formulas!U59)+2),"$",""))&amp;Formulas!S59+1,
IFERROR(INDEX(Datos!$A$2:$L$101,Formulas!S59,RIGHT(Formulas!U59)+2),"")))</f>
        <v>2 días</v>
      </c>
      <c r="T62" s="107" t="e" cm="1">
        <f t="array" aca="1" ref="T62" ca="1">IF(OR(Formulas!U60=0,Formulas!U60=""),"",HYPERLINK("["&amp;Archivo_Nombre&amp;"]Datos!"&amp;LEFT(SUBSTITUTE(ADDRESS(1,Formulas!U60+2),"$",""))&amp;Formulas!T60+1,
IFERROR(INDEX(Datos!$A$2:$L$101,Formulas!T60,Formulas!U60+2),"")))</f>
        <v>#VALUE!</v>
      </c>
      <c r="U62" s="5"/>
      <c r="V62" s="6"/>
      <c r="W62" s="24" t="str" cm="1">
        <f t="array" aca="1" ref="W62" ca="1">IF(OR(Formulas!Y59=0,Formulas!Y59="",RIGHT(Formulas!Z59)="0"),"",
HYPERLINK("["&amp;Archivo_Nombre&amp;"]Datos!"&amp;LEFT(SUBSTITUTE(ADDRESS(1,IF(Formulas!Y59=1,1,RIGHT(Formulas!Z59)+2)),"$",""))&amp;Formulas!X59+1,
IFERROR(INDEX(Datos!$A$1:$L$1,1,RIGHT(Formulas!Z59)+2)&amp;IF(Formulas!Y59=1," "&amp;Formulas!X59,"")&amp;":","")))</f>
        <v/>
      </c>
      <c r="X62" s="107" t="str" cm="1">
        <f t="array" aca="1" ref="X62" ca="1">IF(OR(Formulas!Y59=0,Formulas!Y59="",RIGHT(Formulas!Z59)="0"),"",
HYPERLINK("["&amp;Archivo_Nombre&amp;"]Datos!"&amp;LEFT(SUBSTITUTE(ADDRESS(1,RIGHT(Formulas!Z59)+2),"$",""))&amp;Formulas!X59+1,
IFERROR(INDEX(Datos!$A$2:$L$101,Formulas!X59,RIGHT(Formulas!Z59)+2),"")))</f>
        <v/>
      </c>
      <c r="Y62" s="107" t="str" cm="1">
        <f t="array" aca="1" ref="Y62" ca="1">IF(OR(Formulas!Z60=0,Formulas!Z60=""),"",HYPERLINK("["&amp;Archivo_Nombre&amp;"]Datos!"&amp;LEFT(SUBSTITUTE(ADDRESS(1,Formulas!Z60+2),"$",""))&amp;Formulas!Y60+1,
IFERROR(INDEX(Datos!$A$2:$L$101,Formulas!Y60,Formulas!Z60+2),"")))</f>
        <v/>
      </c>
      <c r="Z62" s="13"/>
      <c r="AA62" s="6"/>
      <c r="AB62" s="24" t="str" cm="1">
        <f t="array" aca="1" ref="AB62" ca="1">IF(OR(Formulas!AD59=0,Formulas!AD59="",RIGHT(Formulas!AE59)="0"),"",
HYPERLINK("["&amp;Archivo_Nombre&amp;"]Datos!"&amp;LEFT(SUBSTITUTE(ADDRESS(1,IF(Formulas!AD59=1,1,RIGHT(Formulas!AE59)+2)),"$",""))&amp;Formulas!AC59+1,
IFERROR(INDEX(Datos!$A$1:$L$1,1,RIGHT(Formulas!AE59)+2)&amp;IF(Formulas!AD59=1," "&amp;Formulas!AC59,"")&amp;":","")))</f>
        <v/>
      </c>
      <c r="AC62" s="107" t="str" cm="1">
        <f t="array" aca="1" ref="AC62" ca="1">IF(OR(Formulas!AD59=0,Formulas!AD59="",RIGHT(Formulas!AE59)="0"),"",
HYPERLINK("["&amp;Archivo_Nombre&amp;"]Datos!"&amp;LEFT(SUBSTITUTE(ADDRESS(1,RIGHT(Formulas!AE59)+2),"$",""))&amp;Formulas!AC59+1,
IFERROR(INDEX(Datos!$A$2:$L$101,Formulas!AC59,RIGHT(Formulas!AE59)+2),"")))</f>
        <v/>
      </c>
      <c r="AD62" s="107" t="str" cm="1">
        <f t="array" aca="1" ref="AD62" ca="1">IF(OR(Formulas!AE60=0,Formulas!AE60=""),"",HYPERLINK("["&amp;Archivo_Nombre&amp;"]Datos!"&amp;LEFT(SUBSTITUTE(ADDRESS(1,Formulas!AE60+2),"$",""))&amp;Formulas!AD60+1,
IFERROR(INDEX(Datos!$A$2:$L$101,Formulas!AD60,Formulas!AE60+2),"")))</f>
        <v/>
      </c>
      <c r="AE62" s="13"/>
      <c r="AF62" s="6"/>
      <c r="AG62" s="24" t="str" cm="1">
        <f t="array" aca="1" ref="AG62" ca="1">IF(OR(Formulas!AI59=0,Formulas!AI59="",RIGHT(Formulas!AJ59)="0"),"",
HYPERLINK("["&amp;Archivo_Nombre&amp;"]Datos!"&amp;LEFT(SUBSTITUTE(ADDRESS(1,IF(Formulas!AI59=1,1,RIGHT(Formulas!AJ59)+2)),"$",""))&amp;Formulas!AH59+1,
IFERROR(INDEX(Datos!$A$1:$L$1,1,RIGHT(Formulas!AJ59)+2)&amp;IF(Formulas!AI59=1," "&amp;Formulas!AH59,"")&amp;":","")))</f>
        <v/>
      </c>
      <c r="AH62" s="107" t="str" cm="1">
        <f t="array" aca="1" ref="AH62" ca="1">IF(OR(Formulas!AI59=0,Formulas!AI59="",RIGHT(Formulas!AJ59)="0"),"",
HYPERLINK("["&amp;Archivo_Nombre&amp;"]Datos!"&amp;LEFT(SUBSTITUTE(ADDRESS(1,RIGHT(Formulas!AJ59)+2),"$",""))&amp;Formulas!AH59+1,
IFERROR(INDEX(Datos!$A$2:$L$101,Formulas!AH59,RIGHT(Formulas!AJ59)+2),"")))</f>
        <v/>
      </c>
      <c r="AI62" s="107" t="str" cm="1">
        <f t="array" aca="1" ref="AI62" ca="1">IF(OR(Formulas!AJ60=0,Formulas!AJ60=""),"",HYPERLINK("["&amp;Archivo_Nombre&amp;"]Datos!"&amp;LEFT(SUBSTITUTE(ADDRESS(1,Formulas!AJ60+2),"$",""))&amp;Formulas!AI60+1,
IFERROR(INDEX(Datos!$A$2:$L$101,Formulas!AI60,Formulas!AJ60+2),"")))</f>
        <v/>
      </c>
      <c r="AJ62" s="13"/>
      <c r="AK62" s="6"/>
      <c r="AL62" s="24" t="str" cm="1">
        <f t="array" aca="1" ref="AL62" ca="1">IF(OR(Formulas!AN59=0,Formulas!AN59="",RIGHT(Formulas!AO59)="0"),"",
HYPERLINK("["&amp;Archivo_Nombre&amp;"]Datos!"&amp;LEFT(SUBSTITUTE(ADDRESS(1,IF(Formulas!AN59=1,1,RIGHT(Formulas!AO59)+2)),"$",""))&amp;Formulas!AM59+1,
IFERROR(INDEX(Datos!$A$1:$L$1,1,RIGHT(Formulas!AO59)+2)&amp;IF(Formulas!AN59=1," "&amp;Formulas!AM59,"")&amp;":","")))</f>
        <v/>
      </c>
      <c r="AM62" s="107" t="str" cm="1">
        <f t="array" aca="1" ref="AM62" ca="1">IF(OR(Formulas!AN59=0,Formulas!AN59="",RIGHT(Formulas!AO59)="0"),"",
HYPERLINK("["&amp;Archivo_Nombre&amp;"]Datos!"&amp;LEFT(SUBSTITUTE(ADDRESS(1,RIGHT(Formulas!AO59)+2),"$",""))&amp;Formulas!AM59+1,
IFERROR(INDEX(Datos!$A$2:$L$101,Formulas!AM59,RIGHT(Formulas!AO59)+2),"")))</f>
        <v/>
      </c>
      <c r="AN62" s="107" t="str" cm="1">
        <f t="array" aca="1" ref="AN62" ca="1">IF(OR(Formulas!AO60=0,Formulas!AO60=""),"",HYPERLINK("["&amp;Archivo_Nombre&amp;"]Datos!"&amp;LEFT(SUBSTITUTE(ADDRESS(1,Formulas!AO60+2),"$",""))&amp;Formulas!AN60+1,
IFERROR(INDEX(Datos!$A$2:$L$101,Formulas!AN60,Formulas!AO60+2),"")))</f>
        <v/>
      </c>
      <c r="AO62" s="13"/>
      <c r="AP62" s="6"/>
      <c r="AQ62" s="24" t="str" cm="1">
        <f t="array" aca="1" ref="AQ62" ca="1">IF(OR(Formulas!AS59=0,Formulas!AS59="",RIGHT(Formulas!AT59)="0"),"",
HYPERLINK("["&amp;Archivo_Nombre&amp;"]Datos!"&amp;LEFT(SUBSTITUTE(ADDRESS(1,IF(Formulas!AS59=1,1,RIGHT(Formulas!AT59)+2)),"$",""))&amp;Formulas!AR59+1,
IFERROR(INDEX(Datos!$A$1:$L$1,1,RIGHT(Formulas!AT59)+2)&amp;IF(Formulas!AS59=1," "&amp;Formulas!AR59,"")&amp;":","")))</f>
        <v/>
      </c>
      <c r="AR62" s="107" t="str" cm="1">
        <f t="array" aca="1" ref="AR62" ca="1">IF(OR(Formulas!AS59=0,Formulas!AS59="",RIGHT(Formulas!AT59)="0"),"",
HYPERLINK("["&amp;Archivo_Nombre&amp;"]Datos!"&amp;LEFT(SUBSTITUTE(ADDRESS(1,RIGHT(Formulas!AT59)+2),"$",""))&amp;Formulas!AR59+1,
IFERROR(INDEX(Datos!$A$2:$L$101,Formulas!AR59,RIGHT(Formulas!AT59)+2),"")))</f>
        <v/>
      </c>
      <c r="AS62" s="107" t="str" cm="1">
        <f t="array" aca="1" ref="AS62" ca="1">IF(OR(Formulas!AT60=0,Formulas!AT60=""),"",HYPERLINK("["&amp;Archivo_Nombre&amp;"]Datos!"&amp;LEFT(SUBSTITUTE(ADDRESS(1,Formulas!AT60+2),"$",""))&amp;Formulas!AS60+1,
IFERROR(INDEX(Datos!$A$2:$L$101,Formulas!AS60,Formulas!AT60+2),"")))</f>
        <v/>
      </c>
      <c r="AT62" s="13"/>
      <c r="AU62" s="6"/>
      <c r="AV62" s="24" t="str" cm="1">
        <f t="array" aca="1" ref="AV62" ca="1">IF(OR(Formulas!AX59=0,Formulas!AX59="",RIGHT(Formulas!AY59)="0"),"",
HYPERLINK("["&amp;Archivo_Nombre&amp;"]Datos!"&amp;LEFT(SUBSTITUTE(ADDRESS(1,IF(Formulas!AX59=1,1,RIGHT(Formulas!AY59)+2)),"$",""))&amp;Formulas!AW59+1,
IFERROR(INDEX(Datos!$A$1:$L$1,1,RIGHT(Formulas!AY59)+2)&amp;IF(Formulas!AX59=1," "&amp;Formulas!AW59,"")&amp;":","")))</f>
        <v/>
      </c>
      <c r="AW62" s="107" t="str" cm="1">
        <f t="array" aca="1" ref="AW62" ca="1">IF(OR(Formulas!AX59=0,Formulas!AX59="",RIGHT(Formulas!AY59)="0"),"",
HYPERLINK("["&amp;Archivo_Nombre&amp;"]Datos!"&amp;LEFT(SUBSTITUTE(ADDRESS(1,RIGHT(Formulas!AY59)+2),"$",""))&amp;Formulas!AW59+1,
IFERROR(INDEX(Datos!$A$2:$L$101,Formulas!AW59,RIGHT(Formulas!AY59)+2),"")))</f>
        <v/>
      </c>
      <c r="AX62" s="107" t="str" cm="1">
        <f t="array" aca="1" ref="AX62" ca="1">IF(OR(Formulas!AY60=0,Formulas!AY60=""),"",HYPERLINK("["&amp;Archivo_Nombre&amp;"]Datos!"&amp;LEFT(SUBSTITUTE(ADDRESS(1,Formulas!AY60+2),"$",""))&amp;Formulas!AX60+1,
IFERROR(INDEX(Datos!$A$2:$L$101,Formulas!AX60,Formulas!AY60+2),"")))</f>
        <v/>
      </c>
      <c r="AY62" s="13"/>
    </row>
    <row r="63" spans="2:51" x14ac:dyDescent="0.25">
      <c r="B63" s="11"/>
      <c r="C63" s="24" t="str" cm="1">
        <f t="array" aca="1" ref="C63" ca="1">IF(OR(Formulas!E60=0,Formulas!E60="",RIGHT(Formulas!F60)="0"),"",
HYPERLINK("["&amp;Archivo_Nombre&amp;"]Datos!"&amp;LEFT(SUBSTITUTE(ADDRESS(1,IF(Formulas!E60=1,1,RIGHT(Formulas!F60)+2)),"$",""))&amp;Formulas!D60+1,
IFERROR(INDEX(Datos!$A$1:$L$1,1,RIGHT(Formulas!F60)+2)&amp;IF(Formulas!E60=1," "&amp;Formulas!D60,"")&amp;":","")))</f>
        <v/>
      </c>
      <c r="D63" s="107" t="str" cm="1">
        <f t="array" aca="1" ref="D63" ca="1">IF(OR(Formulas!E60=0,Formulas!E60="",RIGHT(Formulas!F60)="0"),"",
HYPERLINK("["&amp;Archivo_Nombre&amp;"]Datos!"&amp;LEFT(SUBSTITUTE(ADDRESS(1,RIGHT(Formulas!F60)+2),"$",""))&amp;Formulas!D60+1,
IFERROR(INDEX(Datos!$A$2:$L$101,Formulas!D60,RIGHT(Formulas!F60)+2),"")))</f>
        <v/>
      </c>
      <c r="E63" s="107" t="str" cm="1">
        <f t="array" aca="1" ref="E63" ca="1">IF(OR(Formulas!F61=0,Formulas!F61=""),"",HYPERLINK("["&amp;Archivo_Nombre&amp;"]Datos!"&amp;LEFT(SUBSTITUTE(ADDRESS(1,Formulas!F61+2),"$",""))&amp;Formulas!E61+1,
IFERROR(INDEX(Datos!$A$2:$L$101,Formulas!E61,Formulas!F61+2),"")))</f>
        <v/>
      </c>
      <c r="F63" s="5"/>
      <c r="G63" s="6"/>
      <c r="H63" s="24" t="str" cm="1">
        <f t="array" aca="1" ref="H63" ca="1">IF(OR(Formulas!J60=0,Formulas!J60="",RIGHT(Formulas!K60)="0"),"",
HYPERLINK("["&amp;Archivo_Nombre&amp;"]Datos!"&amp;LEFT(SUBSTITUTE(ADDRESS(1,IF(Formulas!J60=1,1,RIGHT(Formulas!K60)+2)),"$",""))&amp;Formulas!I60+1,
IFERROR(INDEX(Datos!$A$1:$L$1,1,RIGHT(Formulas!K60)+2)&amp;IF(Formulas!J60=1," "&amp;Formulas!I60,"")&amp;":","")))</f>
        <v>Retraso:</v>
      </c>
      <c r="I63" s="107" t="str" cm="1">
        <f t="array" aca="1" ref="I63" ca="1">IF(OR(Formulas!J60=0,Formulas!J60="",RIGHT(Formulas!K60)="0"),"",
HYPERLINK("["&amp;Archivo_Nombre&amp;"]Datos!"&amp;LEFT(SUBSTITUTE(ADDRESS(1,RIGHT(Formulas!K60)+2),"$",""))&amp;Formulas!I60+1,
IFERROR(INDEX(Datos!$A$2:$L$101,Formulas!I60,RIGHT(Formulas!K60)+2),"")))</f>
        <v>0 días</v>
      </c>
      <c r="J63" s="107" t="e" cm="1">
        <f t="array" aca="1" ref="J63" ca="1">IF(OR(Formulas!K61=0,Formulas!K61=""),"",HYPERLINK("["&amp;Archivo_Nombre&amp;"]Datos!"&amp;LEFT(SUBSTITUTE(ADDRESS(1,Formulas!K61+2),"$",""))&amp;Formulas!J61+1,
IFERROR(INDEX(Datos!$A$2:$L$101,Formulas!J61,Formulas!K61+2),"")))</f>
        <v>#VALUE!</v>
      </c>
      <c r="K63" s="5"/>
      <c r="L63" s="6"/>
      <c r="M63" s="24" t="str" cm="1">
        <f t="array" aca="1" ref="M63" ca="1">IF(OR(Formulas!O60=0,Formulas!O60="",RIGHT(Formulas!P60)="0"),"",
HYPERLINK("["&amp;Archivo_Nombre&amp;"]Datos!"&amp;LEFT(SUBSTITUTE(ADDRESS(1,IF(Formulas!O60=1,1,RIGHT(Formulas!P60)+2)),"$",""))&amp;Formulas!N60+1,
IFERROR(INDEX(Datos!$A$1:$L$1,1,RIGHT(Formulas!P60)+2)&amp;IF(Formulas!O60=1," "&amp;Formulas!N60,"")&amp;":","")))</f>
        <v/>
      </c>
      <c r="N63" s="107" t="str" cm="1">
        <f t="array" aca="1" ref="N63" ca="1">IF(OR(Formulas!O60=0,Formulas!O60="",RIGHT(Formulas!P60)="0"),"",
HYPERLINK("["&amp;Archivo_Nombre&amp;"]Datos!"&amp;LEFT(SUBSTITUTE(ADDRESS(1,RIGHT(Formulas!P60)+2),"$",""))&amp;Formulas!N60+1,
IFERROR(INDEX(Datos!$A$2:$L$101,Formulas!N60,RIGHT(Formulas!P60)+2),"")))</f>
        <v/>
      </c>
      <c r="O63" s="107" t="str" cm="1">
        <f t="array" aca="1" ref="O63" ca="1">IF(OR(Formulas!P61=0,Formulas!P61=""),"",HYPERLINK("["&amp;Archivo_Nombre&amp;"]Datos!"&amp;LEFT(SUBSTITUTE(ADDRESS(1,Formulas!P61+2),"$",""))&amp;Formulas!O61+1,
IFERROR(INDEX(Datos!$A$2:$L$101,Formulas!O61,Formulas!P61+2),"")))</f>
        <v/>
      </c>
      <c r="P63" s="5"/>
      <c r="Q63" s="6"/>
      <c r="R63" s="24" t="str" cm="1">
        <f t="array" aca="1" ref="R63" ca="1">IF(OR(Formulas!T60=0,Formulas!T60="",RIGHT(Formulas!U60)="0"),"",
HYPERLINK("["&amp;Archivo_Nombre&amp;"]Datos!"&amp;LEFT(SUBSTITUTE(ADDRESS(1,IF(Formulas!T60=1,1,RIGHT(Formulas!U60)+2)),"$",""))&amp;Formulas!S60+1,
IFERROR(INDEX(Datos!$A$1:$L$1,1,RIGHT(Formulas!U60)+2)&amp;IF(Formulas!T60=1," "&amp;Formulas!S60,"")&amp;":","")))</f>
        <v>Retraso:</v>
      </c>
      <c r="S63" s="107" t="str" cm="1">
        <f t="array" aca="1" ref="S63" ca="1">IF(OR(Formulas!T60=0,Formulas!T60="",RIGHT(Formulas!U60)="0"),"",
HYPERLINK("["&amp;Archivo_Nombre&amp;"]Datos!"&amp;LEFT(SUBSTITUTE(ADDRESS(1,RIGHT(Formulas!U60)+2),"$",""))&amp;Formulas!S60+1,
IFERROR(INDEX(Datos!$A$2:$L$101,Formulas!S60,RIGHT(Formulas!U60)+2),"")))</f>
        <v>0 días</v>
      </c>
      <c r="T63" s="107" t="e" cm="1">
        <f t="array" aca="1" ref="T63" ca="1">IF(OR(Formulas!U61=0,Formulas!U61=""),"",HYPERLINK("["&amp;Archivo_Nombre&amp;"]Datos!"&amp;LEFT(SUBSTITUTE(ADDRESS(1,Formulas!U61+2),"$",""))&amp;Formulas!T61+1,
IFERROR(INDEX(Datos!$A$2:$L$101,Formulas!T61,Formulas!U61+2),"")))</f>
        <v>#VALUE!</v>
      </c>
      <c r="U63" s="5"/>
      <c r="V63" s="6"/>
      <c r="W63" s="24" t="str" cm="1">
        <f t="array" aca="1" ref="W63" ca="1">IF(OR(Formulas!Y60=0,Formulas!Y60="",RIGHT(Formulas!Z60)="0"),"",
HYPERLINK("["&amp;Archivo_Nombre&amp;"]Datos!"&amp;LEFT(SUBSTITUTE(ADDRESS(1,IF(Formulas!Y60=1,1,RIGHT(Formulas!Z60)+2)),"$",""))&amp;Formulas!X60+1,
IFERROR(INDEX(Datos!$A$1:$L$1,1,RIGHT(Formulas!Z60)+2)&amp;IF(Formulas!Y60=1," "&amp;Formulas!X60,"")&amp;":","")))</f>
        <v/>
      </c>
      <c r="X63" s="107" t="str" cm="1">
        <f t="array" aca="1" ref="X63" ca="1">IF(OR(Formulas!Y60=0,Formulas!Y60="",RIGHT(Formulas!Z60)="0"),"",
HYPERLINK("["&amp;Archivo_Nombre&amp;"]Datos!"&amp;LEFT(SUBSTITUTE(ADDRESS(1,RIGHT(Formulas!Z60)+2),"$",""))&amp;Formulas!X60+1,
IFERROR(INDEX(Datos!$A$2:$L$101,Formulas!X60,RIGHT(Formulas!Z60)+2),"")))</f>
        <v/>
      </c>
      <c r="Y63" s="107" t="str" cm="1">
        <f t="array" aca="1" ref="Y63" ca="1">IF(OR(Formulas!Z61=0,Formulas!Z61=""),"",HYPERLINK("["&amp;Archivo_Nombre&amp;"]Datos!"&amp;LEFT(SUBSTITUTE(ADDRESS(1,Formulas!Z61+2),"$",""))&amp;Formulas!Y61+1,
IFERROR(INDEX(Datos!$A$2:$L$101,Formulas!Y61,Formulas!Z61+2),"")))</f>
        <v/>
      </c>
      <c r="Z63" s="13"/>
      <c r="AA63" s="6"/>
      <c r="AB63" s="24" t="str" cm="1">
        <f t="array" aca="1" ref="AB63" ca="1">IF(OR(Formulas!AD60=0,Formulas!AD60="",RIGHT(Formulas!AE60)="0"),"",
HYPERLINK("["&amp;Archivo_Nombre&amp;"]Datos!"&amp;LEFT(SUBSTITUTE(ADDRESS(1,IF(Formulas!AD60=1,1,RIGHT(Formulas!AE60)+2)),"$",""))&amp;Formulas!AC60+1,
IFERROR(INDEX(Datos!$A$1:$L$1,1,RIGHT(Formulas!AE60)+2)&amp;IF(Formulas!AD60=1," "&amp;Formulas!AC60,"")&amp;":","")))</f>
        <v/>
      </c>
      <c r="AC63" s="107" t="str" cm="1">
        <f t="array" aca="1" ref="AC63" ca="1">IF(OR(Formulas!AD60=0,Formulas!AD60="",RIGHT(Formulas!AE60)="0"),"",
HYPERLINK("["&amp;Archivo_Nombre&amp;"]Datos!"&amp;LEFT(SUBSTITUTE(ADDRESS(1,RIGHT(Formulas!AE60)+2),"$",""))&amp;Formulas!AC60+1,
IFERROR(INDEX(Datos!$A$2:$L$101,Formulas!AC60,RIGHT(Formulas!AE60)+2),"")))</f>
        <v/>
      </c>
      <c r="AD63" s="107" t="str" cm="1">
        <f t="array" aca="1" ref="AD63" ca="1">IF(OR(Formulas!AE61=0,Formulas!AE61=""),"",HYPERLINK("["&amp;Archivo_Nombre&amp;"]Datos!"&amp;LEFT(SUBSTITUTE(ADDRESS(1,Formulas!AE61+2),"$",""))&amp;Formulas!AD61+1,
IFERROR(INDEX(Datos!$A$2:$L$101,Formulas!AD61,Formulas!AE61+2),"")))</f>
        <v/>
      </c>
      <c r="AE63" s="13"/>
      <c r="AF63" s="6"/>
      <c r="AG63" s="24" t="str" cm="1">
        <f t="array" aca="1" ref="AG63" ca="1">IF(OR(Formulas!AI60=0,Formulas!AI60="",RIGHT(Formulas!AJ60)="0"),"",
HYPERLINK("["&amp;Archivo_Nombre&amp;"]Datos!"&amp;LEFT(SUBSTITUTE(ADDRESS(1,IF(Formulas!AI60=1,1,RIGHT(Formulas!AJ60)+2)),"$",""))&amp;Formulas!AH60+1,
IFERROR(INDEX(Datos!$A$1:$L$1,1,RIGHT(Formulas!AJ60)+2)&amp;IF(Formulas!AI60=1," "&amp;Formulas!AH60,"")&amp;":","")))</f>
        <v/>
      </c>
      <c r="AH63" s="107" t="str" cm="1">
        <f t="array" aca="1" ref="AH63" ca="1">IF(OR(Formulas!AI60=0,Formulas!AI60="",RIGHT(Formulas!AJ60)="0"),"",
HYPERLINK("["&amp;Archivo_Nombre&amp;"]Datos!"&amp;LEFT(SUBSTITUTE(ADDRESS(1,RIGHT(Formulas!AJ60)+2),"$",""))&amp;Formulas!AH60+1,
IFERROR(INDEX(Datos!$A$2:$L$101,Formulas!AH60,RIGHT(Formulas!AJ60)+2),"")))</f>
        <v/>
      </c>
      <c r="AI63" s="107" t="str" cm="1">
        <f t="array" aca="1" ref="AI63" ca="1">IF(OR(Formulas!AJ61=0,Formulas!AJ61=""),"",HYPERLINK("["&amp;Archivo_Nombre&amp;"]Datos!"&amp;LEFT(SUBSTITUTE(ADDRESS(1,Formulas!AJ61+2),"$",""))&amp;Formulas!AI61+1,
IFERROR(INDEX(Datos!$A$2:$L$101,Formulas!AI61,Formulas!AJ61+2),"")))</f>
        <v/>
      </c>
      <c r="AJ63" s="13"/>
      <c r="AK63" s="6"/>
      <c r="AL63" s="24" t="str" cm="1">
        <f t="array" aca="1" ref="AL63" ca="1">IF(OR(Formulas!AN60=0,Formulas!AN60="",RIGHT(Formulas!AO60)="0"),"",
HYPERLINK("["&amp;Archivo_Nombre&amp;"]Datos!"&amp;LEFT(SUBSTITUTE(ADDRESS(1,IF(Formulas!AN60=1,1,RIGHT(Formulas!AO60)+2)),"$",""))&amp;Formulas!AM60+1,
IFERROR(INDEX(Datos!$A$1:$L$1,1,RIGHT(Formulas!AO60)+2)&amp;IF(Formulas!AN60=1," "&amp;Formulas!AM60,"")&amp;":","")))</f>
        <v/>
      </c>
      <c r="AM63" s="107" t="str" cm="1">
        <f t="array" aca="1" ref="AM63" ca="1">IF(OR(Formulas!AN60=0,Formulas!AN60="",RIGHT(Formulas!AO60)="0"),"",
HYPERLINK("["&amp;Archivo_Nombre&amp;"]Datos!"&amp;LEFT(SUBSTITUTE(ADDRESS(1,RIGHT(Formulas!AO60)+2),"$",""))&amp;Formulas!AM60+1,
IFERROR(INDEX(Datos!$A$2:$L$101,Formulas!AM60,RIGHT(Formulas!AO60)+2),"")))</f>
        <v/>
      </c>
      <c r="AN63" s="107" t="str" cm="1">
        <f t="array" aca="1" ref="AN63" ca="1">IF(OR(Formulas!AO61=0,Formulas!AO61=""),"",HYPERLINK("["&amp;Archivo_Nombre&amp;"]Datos!"&amp;LEFT(SUBSTITUTE(ADDRESS(1,Formulas!AO61+2),"$",""))&amp;Formulas!AN61+1,
IFERROR(INDEX(Datos!$A$2:$L$101,Formulas!AN61,Formulas!AO61+2),"")))</f>
        <v/>
      </c>
      <c r="AO63" s="13"/>
      <c r="AP63" s="6"/>
      <c r="AQ63" s="24" t="str" cm="1">
        <f t="array" aca="1" ref="AQ63" ca="1">IF(OR(Formulas!AS60=0,Formulas!AS60="",RIGHT(Formulas!AT60)="0"),"",
HYPERLINK("["&amp;Archivo_Nombre&amp;"]Datos!"&amp;LEFT(SUBSTITUTE(ADDRESS(1,IF(Formulas!AS60=1,1,RIGHT(Formulas!AT60)+2)),"$",""))&amp;Formulas!AR60+1,
IFERROR(INDEX(Datos!$A$1:$L$1,1,RIGHT(Formulas!AT60)+2)&amp;IF(Formulas!AS60=1," "&amp;Formulas!AR60,"")&amp;":","")))</f>
        <v/>
      </c>
      <c r="AR63" s="107" t="str" cm="1">
        <f t="array" aca="1" ref="AR63" ca="1">IF(OR(Formulas!AS60=0,Formulas!AS60="",RIGHT(Formulas!AT60)="0"),"",
HYPERLINK("["&amp;Archivo_Nombre&amp;"]Datos!"&amp;LEFT(SUBSTITUTE(ADDRESS(1,RIGHT(Formulas!AT60)+2),"$",""))&amp;Formulas!AR60+1,
IFERROR(INDEX(Datos!$A$2:$L$101,Formulas!AR60,RIGHT(Formulas!AT60)+2),"")))</f>
        <v/>
      </c>
      <c r="AS63" s="107" t="str" cm="1">
        <f t="array" aca="1" ref="AS63" ca="1">IF(OR(Formulas!AT61=0,Formulas!AT61=""),"",HYPERLINK("["&amp;Archivo_Nombre&amp;"]Datos!"&amp;LEFT(SUBSTITUTE(ADDRESS(1,Formulas!AT61+2),"$",""))&amp;Formulas!AS61+1,
IFERROR(INDEX(Datos!$A$2:$L$101,Formulas!AS61,Formulas!AT61+2),"")))</f>
        <v/>
      </c>
      <c r="AT63" s="13"/>
      <c r="AU63" s="6"/>
      <c r="AV63" s="24" t="str" cm="1">
        <f t="array" aca="1" ref="AV63" ca="1">IF(OR(Formulas!AX60=0,Formulas!AX60="",RIGHT(Formulas!AY60)="0"),"",
HYPERLINK("["&amp;Archivo_Nombre&amp;"]Datos!"&amp;LEFT(SUBSTITUTE(ADDRESS(1,IF(Formulas!AX60=1,1,RIGHT(Formulas!AY60)+2)),"$",""))&amp;Formulas!AW60+1,
IFERROR(INDEX(Datos!$A$1:$L$1,1,RIGHT(Formulas!AY60)+2)&amp;IF(Formulas!AX60=1," "&amp;Formulas!AW60,"")&amp;":","")))</f>
        <v/>
      </c>
      <c r="AW63" s="107" t="str" cm="1">
        <f t="array" aca="1" ref="AW63" ca="1">IF(OR(Formulas!AX60=0,Formulas!AX60="",RIGHT(Formulas!AY60)="0"),"",
HYPERLINK("["&amp;Archivo_Nombre&amp;"]Datos!"&amp;LEFT(SUBSTITUTE(ADDRESS(1,RIGHT(Formulas!AY60)+2),"$",""))&amp;Formulas!AW60+1,
IFERROR(INDEX(Datos!$A$2:$L$101,Formulas!AW60,RIGHT(Formulas!AY60)+2),"")))</f>
        <v/>
      </c>
      <c r="AX63" s="107" t="str" cm="1">
        <f t="array" aca="1" ref="AX63" ca="1">IF(OR(Formulas!AY61=0,Formulas!AY61=""),"",HYPERLINK("["&amp;Archivo_Nombre&amp;"]Datos!"&amp;LEFT(SUBSTITUTE(ADDRESS(1,Formulas!AY61+2),"$",""))&amp;Formulas!AX61+1,
IFERROR(INDEX(Datos!$A$2:$L$101,Formulas!AX61,Formulas!AY61+2),"")))</f>
        <v/>
      </c>
      <c r="AY63" s="13"/>
    </row>
    <row r="64" spans="2:51" x14ac:dyDescent="0.25">
      <c r="B64" s="11"/>
      <c r="C64" s="24" t="str" cm="1">
        <f t="array" aca="1" ref="C64" ca="1">IF(OR(Formulas!E61=0,Formulas!E61="",RIGHT(Formulas!F61)="0"),"",
HYPERLINK("["&amp;Archivo_Nombre&amp;"]Datos!"&amp;LEFT(SUBSTITUTE(ADDRESS(1,IF(Formulas!E61=1,1,RIGHT(Formulas!F61)+2)),"$",""))&amp;Formulas!D61+1,
IFERROR(INDEX(Datos!$A$1:$L$1,1,RIGHT(Formulas!F61)+2)&amp;IF(Formulas!E61=1," "&amp;Formulas!D61,"")&amp;":","")))</f>
        <v/>
      </c>
      <c r="D64" s="107" t="str" cm="1">
        <f t="array" aca="1" ref="D64" ca="1">IF(OR(Formulas!E61=0,Formulas!E61="",RIGHT(Formulas!F61)="0"),"",
HYPERLINK("["&amp;Archivo_Nombre&amp;"]Datos!"&amp;LEFT(SUBSTITUTE(ADDRESS(1,RIGHT(Formulas!F61)+2),"$",""))&amp;Formulas!D61+1,
IFERROR(INDEX(Datos!$A$2:$L$101,Formulas!D61,RIGHT(Formulas!F61)+2),"")))</f>
        <v/>
      </c>
      <c r="E64" s="107" t="str" cm="1">
        <f t="array" aca="1" ref="E64" ca="1">IF(OR(Formulas!F62=0,Formulas!F62=""),"",HYPERLINK("["&amp;Archivo_Nombre&amp;"]Datos!"&amp;LEFT(SUBSTITUTE(ADDRESS(1,Formulas!F62+2),"$",""))&amp;Formulas!E62+1,
IFERROR(INDEX(Datos!$A$2:$L$101,Formulas!E62,Formulas!F62+2),"")))</f>
        <v/>
      </c>
      <c r="F64" s="5"/>
      <c r="G64" s="6"/>
      <c r="H64" s="24" t="str" cm="1">
        <f t="array" aca="1" ref="H64" ca="1">IF(OR(Formulas!J61=0,Formulas!J61="",RIGHT(Formulas!K61)="0"),"",
HYPERLINK("["&amp;Archivo_Nombre&amp;"]Datos!"&amp;LEFT(SUBSTITUTE(ADDRESS(1,IF(Formulas!J61=1,1,RIGHT(Formulas!K61)+2)),"$",""))&amp;Formulas!I61+1,
IFERROR(INDEX(Datos!$A$1:$L$1,1,RIGHT(Formulas!K61)+2)&amp;IF(Formulas!J61=1," "&amp;Formulas!I61,"")&amp;":","")))</f>
        <v/>
      </c>
      <c r="I64" s="107" t="str" cm="1">
        <f t="array" aca="1" ref="I64" ca="1">IF(OR(Formulas!J61=0,Formulas!J61="",RIGHT(Formulas!K61)="0"),"",
HYPERLINK("["&amp;Archivo_Nombre&amp;"]Datos!"&amp;LEFT(SUBSTITUTE(ADDRESS(1,RIGHT(Formulas!K61)+2),"$",""))&amp;Formulas!I61+1,
IFERROR(INDEX(Datos!$A$2:$L$101,Formulas!I61,RIGHT(Formulas!K61)+2),"")))</f>
        <v/>
      </c>
      <c r="J64" s="107" t="str" cm="1">
        <f t="array" aca="1" ref="J64" ca="1">IF(OR(Formulas!K62=0,Formulas!K62=""),"",HYPERLINK("["&amp;Archivo_Nombre&amp;"]Datos!"&amp;LEFT(SUBSTITUTE(ADDRESS(1,Formulas!K62+2),"$",""))&amp;Formulas!J62+1,
IFERROR(INDEX(Datos!$A$2:$L$101,Formulas!J62,Formulas!K62+2),"")))</f>
        <v/>
      </c>
      <c r="K64" s="5"/>
      <c r="L64" s="6"/>
      <c r="M64" s="24" t="str" cm="1">
        <f t="array" aca="1" ref="M64" ca="1">IF(OR(Formulas!O61=0,Formulas!O61="",RIGHT(Formulas!P61)="0"),"",
HYPERLINK("["&amp;Archivo_Nombre&amp;"]Datos!"&amp;LEFT(SUBSTITUTE(ADDRESS(1,IF(Formulas!O61=1,1,RIGHT(Formulas!P61)+2)),"$",""))&amp;Formulas!N61+1,
IFERROR(INDEX(Datos!$A$1:$L$1,1,RIGHT(Formulas!P61)+2)&amp;IF(Formulas!O61=1," "&amp;Formulas!N61,"")&amp;":","")))</f>
        <v/>
      </c>
      <c r="N64" s="107" t="str" cm="1">
        <f t="array" aca="1" ref="N64" ca="1">IF(OR(Formulas!O61=0,Formulas!O61="",RIGHT(Formulas!P61)="0"),"",
HYPERLINK("["&amp;Archivo_Nombre&amp;"]Datos!"&amp;LEFT(SUBSTITUTE(ADDRESS(1,RIGHT(Formulas!P61)+2),"$",""))&amp;Formulas!N61+1,
IFERROR(INDEX(Datos!$A$2:$L$101,Formulas!N61,RIGHT(Formulas!P61)+2),"")))</f>
        <v/>
      </c>
      <c r="O64" s="107" t="str" cm="1">
        <f t="array" aca="1" ref="O64" ca="1">IF(OR(Formulas!P62=0,Formulas!P62=""),"",HYPERLINK("["&amp;Archivo_Nombre&amp;"]Datos!"&amp;LEFT(SUBSTITUTE(ADDRESS(1,Formulas!P62+2),"$",""))&amp;Formulas!O62+1,
IFERROR(INDEX(Datos!$A$2:$L$101,Formulas!O62,Formulas!P62+2),"")))</f>
        <v/>
      </c>
      <c r="P64" s="5"/>
      <c r="Q64" s="6"/>
      <c r="R64" s="24" t="str" cm="1">
        <f t="array" aca="1" ref="R64" ca="1">IF(OR(Formulas!T61=0,Formulas!T61="",RIGHT(Formulas!U61)="0"),"",
HYPERLINK("["&amp;Archivo_Nombre&amp;"]Datos!"&amp;LEFT(SUBSTITUTE(ADDRESS(1,IF(Formulas!T61=1,1,RIGHT(Formulas!U61)+2)),"$",""))&amp;Formulas!S61+1,
IFERROR(INDEX(Datos!$A$1:$L$1,1,RIGHT(Formulas!U61)+2)&amp;IF(Formulas!T61=1," "&amp;Formulas!S61,"")&amp;":","")))</f>
        <v/>
      </c>
      <c r="S64" s="107" t="str" cm="1">
        <f t="array" aca="1" ref="S64" ca="1">IF(OR(Formulas!T61=0,Formulas!T61="",RIGHT(Formulas!U61)="0"),"",
HYPERLINK("["&amp;Archivo_Nombre&amp;"]Datos!"&amp;LEFT(SUBSTITUTE(ADDRESS(1,RIGHT(Formulas!U61)+2),"$",""))&amp;Formulas!S61+1,
IFERROR(INDEX(Datos!$A$2:$L$101,Formulas!S61,RIGHT(Formulas!U61)+2),"")))</f>
        <v/>
      </c>
      <c r="T64" s="107" t="str" cm="1">
        <f t="array" aca="1" ref="T64" ca="1">IF(OR(Formulas!U62=0,Formulas!U62=""),"",HYPERLINK("["&amp;Archivo_Nombre&amp;"]Datos!"&amp;LEFT(SUBSTITUTE(ADDRESS(1,Formulas!U62+2),"$",""))&amp;Formulas!T62+1,
IFERROR(INDEX(Datos!$A$2:$L$101,Formulas!T62,Formulas!U62+2),"")))</f>
        <v/>
      </c>
      <c r="U64" s="5"/>
      <c r="V64" s="6"/>
      <c r="W64" s="24" t="str" cm="1">
        <f t="array" aca="1" ref="W64" ca="1">IF(OR(Formulas!Y61=0,Formulas!Y61="",RIGHT(Formulas!Z61)="0"),"",
HYPERLINK("["&amp;Archivo_Nombre&amp;"]Datos!"&amp;LEFT(SUBSTITUTE(ADDRESS(1,IF(Formulas!Y61=1,1,RIGHT(Formulas!Z61)+2)),"$",""))&amp;Formulas!X61+1,
IFERROR(INDEX(Datos!$A$1:$L$1,1,RIGHT(Formulas!Z61)+2)&amp;IF(Formulas!Y61=1," "&amp;Formulas!X61,"")&amp;":","")))</f>
        <v/>
      </c>
      <c r="X64" s="107" t="str" cm="1">
        <f t="array" aca="1" ref="X64" ca="1">IF(OR(Formulas!Y61=0,Formulas!Y61="",RIGHT(Formulas!Z61)="0"),"",
HYPERLINK("["&amp;Archivo_Nombre&amp;"]Datos!"&amp;LEFT(SUBSTITUTE(ADDRESS(1,RIGHT(Formulas!Z61)+2),"$",""))&amp;Formulas!X61+1,
IFERROR(INDEX(Datos!$A$2:$L$101,Formulas!X61,RIGHT(Formulas!Z61)+2),"")))</f>
        <v/>
      </c>
      <c r="Y64" s="107" t="str" cm="1">
        <f t="array" aca="1" ref="Y64" ca="1">IF(OR(Formulas!Z62=0,Formulas!Z62=""),"",HYPERLINK("["&amp;Archivo_Nombre&amp;"]Datos!"&amp;LEFT(SUBSTITUTE(ADDRESS(1,Formulas!Z62+2),"$",""))&amp;Formulas!Y62+1,
IFERROR(INDEX(Datos!$A$2:$L$101,Formulas!Y62,Formulas!Z62+2),"")))</f>
        <v/>
      </c>
      <c r="Z64" s="13"/>
      <c r="AA64" s="6"/>
      <c r="AB64" s="24" t="str" cm="1">
        <f t="array" aca="1" ref="AB64" ca="1">IF(OR(Formulas!AD61=0,Formulas!AD61="",RIGHT(Formulas!AE61)="0"),"",
HYPERLINK("["&amp;Archivo_Nombre&amp;"]Datos!"&amp;LEFT(SUBSTITUTE(ADDRESS(1,IF(Formulas!AD61=1,1,RIGHT(Formulas!AE61)+2)),"$",""))&amp;Formulas!AC61+1,
IFERROR(INDEX(Datos!$A$1:$L$1,1,RIGHT(Formulas!AE61)+2)&amp;IF(Formulas!AD61=1," "&amp;Formulas!AC61,"")&amp;":","")))</f>
        <v/>
      </c>
      <c r="AC64" s="107" t="str" cm="1">
        <f t="array" aca="1" ref="AC64" ca="1">IF(OR(Formulas!AD61=0,Formulas!AD61="",RIGHT(Formulas!AE61)="0"),"",
HYPERLINK("["&amp;Archivo_Nombre&amp;"]Datos!"&amp;LEFT(SUBSTITUTE(ADDRESS(1,RIGHT(Formulas!AE61)+2),"$",""))&amp;Formulas!AC61+1,
IFERROR(INDEX(Datos!$A$2:$L$101,Formulas!AC61,RIGHT(Formulas!AE61)+2),"")))</f>
        <v/>
      </c>
      <c r="AD64" s="107" t="str" cm="1">
        <f t="array" aca="1" ref="AD64" ca="1">IF(OR(Formulas!AE62=0,Formulas!AE62=""),"",HYPERLINK("["&amp;Archivo_Nombre&amp;"]Datos!"&amp;LEFT(SUBSTITUTE(ADDRESS(1,Formulas!AE62+2),"$",""))&amp;Formulas!AD62+1,
IFERROR(INDEX(Datos!$A$2:$L$101,Formulas!AD62,Formulas!AE62+2),"")))</f>
        <v/>
      </c>
      <c r="AE64" s="13"/>
      <c r="AF64" s="6"/>
      <c r="AG64" s="24" t="str" cm="1">
        <f t="array" aca="1" ref="AG64" ca="1">IF(OR(Formulas!AI61=0,Formulas!AI61="",RIGHT(Formulas!AJ61)="0"),"",
HYPERLINK("["&amp;Archivo_Nombre&amp;"]Datos!"&amp;LEFT(SUBSTITUTE(ADDRESS(1,IF(Formulas!AI61=1,1,RIGHT(Formulas!AJ61)+2)),"$",""))&amp;Formulas!AH61+1,
IFERROR(INDEX(Datos!$A$1:$L$1,1,RIGHT(Formulas!AJ61)+2)&amp;IF(Formulas!AI61=1," "&amp;Formulas!AH61,"")&amp;":","")))</f>
        <v/>
      </c>
      <c r="AH64" s="107" t="str" cm="1">
        <f t="array" aca="1" ref="AH64" ca="1">IF(OR(Formulas!AI61=0,Formulas!AI61="",RIGHT(Formulas!AJ61)="0"),"",
HYPERLINK("["&amp;Archivo_Nombre&amp;"]Datos!"&amp;LEFT(SUBSTITUTE(ADDRESS(1,RIGHT(Formulas!AJ61)+2),"$",""))&amp;Formulas!AH61+1,
IFERROR(INDEX(Datos!$A$2:$L$101,Formulas!AH61,RIGHT(Formulas!AJ61)+2),"")))</f>
        <v/>
      </c>
      <c r="AI64" s="107" t="str" cm="1">
        <f t="array" aca="1" ref="AI64" ca="1">IF(OR(Formulas!AJ62=0,Formulas!AJ62=""),"",HYPERLINK("["&amp;Archivo_Nombre&amp;"]Datos!"&amp;LEFT(SUBSTITUTE(ADDRESS(1,Formulas!AJ62+2),"$",""))&amp;Formulas!AI62+1,
IFERROR(INDEX(Datos!$A$2:$L$101,Formulas!AI62,Formulas!AJ62+2),"")))</f>
        <v/>
      </c>
      <c r="AJ64" s="13"/>
      <c r="AK64" s="6"/>
      <c r="AL64" s="24" t="str" cm="1">
        <f t="array" aca="1" ref="AL64" ca="1">IF(OR(Formulas!AN61=0,Formulas!AN61="",RIGHT(Formulas!AO61)="0"),"",
HYPERLINK("["&amp;Archivo_Nombre&amp;"]Datos!"&amp;LEFT(SUBSTITUTE(ADDRESS(1,IF(Formulas!AN61=1,1,RIGHT(Formulas!AO61)+2)),"$",""))&amp;Formulas!AM61+1,
IFERROR(INDEX(Datos!$A$1:$L$1,1,RIGHT(Formulas!AO61)+2)&amp;IF(Formulas!AN61=1," "&amp;Formulas!AM61,"")&amp;":","")))</f>
        <v/>
      </c>
      <c r="AM64" s="107" t="str" cm="1">
        <f t="array" aca="1" ref="AM64" ca="1">IF(OR(Formulas!AN61=0,Formulas!AN61="",RIGHT(Formulas!AO61)="0"),"",
HYPERLINK("["&amp;Archivo_Nombre&amp;"]Datos!"&amp;LEFT(SUBSTITUTE(ADDRESS(1,RIGHT(Formulas!AO61)+2),"$",""))&amp;Formulas!AM61+1,
IFERROR(INDEX(Datos!$A$2:$L$101,Formulas!AM61,RIGHT(Formulas!AO61)+2),"")))</f>
        <v/>
      </c>
      <c r="AN64" s="107" t="str" cm="1">
        <f t="array" aca="1" ref="AN64" ca="1">IF(OR(Formulas!AO62=0,Formulas!AO62=""),"",HYPERLINK("["&amp;Archivo_Nombre&amp;"]Datos!"&amp;LEFT(SUBSTITUTE(ADDRESS(1,Formulas!AO62+2),"$",""))&amp;Formulas!AN62+1,
IFERROR(INDEX(Datos!$A$2:$L$101,Formulas!AN62,Formulas!AO62+2),"")))</f>
        <v/>
      </c>
      <c r="AO64" s="13"/>
      <c r="AP64" s="6"/>
      <c r="AQ64" s="24" t="str" cm="1">
        <f t="array" aca="1" ref="AQ64" ca="1">IF(OR(Formulas!AS61=0,Formulas!AS61="",RIGHT(Formulas!AT61)="0"),"",
HYPERLINK("["&amp;Archivo_Nombre&amp;"]Datos!"&amp;LEFT(SUBSTITUTE(ADDRESS(1,IF(Formulas!AS61=1,1,RIGHT(Formulas!AT61)+2)),"$",""))&amp;Formulas!AR61+1,
IFERROR(INDEX(Datos!$A$1:$L$1,1,RIGHT(Formulas!AT61)+2)&amp;IF(Formulas!AS61=1," "&amp;Formulas!AR61,"")&amp;":","")))</f>
        <v/>
      </c>
      <c r="AR64" s="107" t="str" cm="1">
        <f t="array" aca="1" ref="AR64" ca="1">IF(OR(Formulas!AS61=0,Formulas!AS61="",RIGHT(Formulas!AT61)="0"),"",
HYPERLINK("["&amp;Archivo_Nombre&amp;"]Datos!"&amp;LEFT(SUBSTITUTE(ADDRESS(1,RIGHT(Formulas!AT61)+2),"$",""))&amp;Formulas!AR61+1,
IFERROR(INDEX(Datos!$A$2:$L$101,Formulas!AR61,RIGHT(Formulas!AT61)+2),"")))</f>
        <v/>
      </c>
      <c r="AS64" s="107" t="str" cm="1">
        <f t="array" aca="1" ref="AS64" ca="1">IF(OR(Formulas!AT62=0,Formulas!AT62=""),"",HYPERLINK("["&amp;Archivo_Nombre&amp;"]Datos!"&amp;LEFT(SUBSTITUTE(ADDRESS(1,Formulas!AT62+2),"$",""))&amp;Formulas!AS62+1,
IFERROR(INDEX(Datos!$A$2:$L$101,Formulas!AS62,Formulas!AT62+2),"")))</f>
        <v/>
      </c>
      <c r="AT64" s="13"/>
      <c r="AU64" s="6"/>
      <c r="AV64" s="24" t="str" cm="1">
        <f t="array" aca="1" ref="AV64" ca="1">IF(OR(Formulas!AX61=0,Formulas!AX61="",RIGHT(Formulas!AY61)="0"),"",
HYPERLINK("["&amp;Archivo_Nombre&amp;"]Datos!"&amp;LEFT(SUBSTITUTE(ADDRESS(1,IF(Formulas!AX61=1,1,RIGHT(Formulas!AY61)+2)),"$",""))&amp;Formulas!AW61+1,
IFERROR(INDEX(Datos!$A$1:$L$1,1,RIGHT(Formulas!AY61)+2)&amp;IF(Formulas!AX61=1," "&amp;Formulas!AW61,"")&amp;":","")))</f>
        <v/>
      </c>
      <c r="AW64" s="107" t="str" cm="1">
        <f t="array" aca="1" ref="AW64" ca="1">IF(OR(Formulas!AX61=0,Formulas!AX61="",RIGHT(Formulas!AY61)="0"),"",
HYPERLINK("["&amp;Archivo_Nombre&amp;"]Datos!"&amp;LEFT(SUBSTITUTE(ADDRESS(1,RIGHT(Formulas!AY61)+2),"$",""))&amp;Formulas!AW61+1,
IFERROR(INDEX(Datos!$A$2:$L$101,Formulas!AW61,RIGHT(Formulas!AY61)+2),"")))</f>
        <v/>
      </c>
      <c r="AX64" s="107" t="str" cm="1">
        <f t="array" aca="1" ref="AX64" ca="1">IF(OR(Formulas!AY62=0,Formulas!AY62=""),"",HYPERLINK("["&amp;Archivo_Nombre&amp;"]Datos!"&amp;LEFT(SUBSTITUTE(ADDRESS(1,Formulas!AY62+2),"$",""))&amp;Formulas!AX62+1,
IFERROR(INDEX(Datos!$A$2:$L$101,Formulas!AX62,Formulas!AY62+2),"")))</f>
        <v/>
      </c>
      <c r="AY64" s="13"/>
    </row>
    <row r="65" spans="2:51" x14ac:dyDescent="0.25">
      <c r="B65" s="11"/>
      <c r="C65" s="24" t="str" cm="1">
        <f t="array" aca="1" ref="C65" ca="1">IF(OR(Formulas!E62=0,Formulas!E62="",RIGHT(Formulas!F62)="0"),"",
HYPERLINK("["&amp;Archivo_Nombre&amp;"]Datos!"&amp;LEFT(SUBSTITUTE(ADDRESS(1,IF(Formulas!E62=1,1,RIGHT(Formulas!F62)+2)),"$",""))&amp;Formulas!D62+1,
IFERROR(INDEX(Datos!$A$1:$L$1,1,RIGHT(Formulas!F62)+2)&amp;IF(Formulas!E62=1," "&amp;Formulas!D62,"")&amp;":","")))</f>
        <v/>
      </c>
      <c r="D65" s="107" t="str" cm="1">
        <f t="array" aca="1" ref="D65" ca="1">IF(OR(Formulas!E62=0,Formulas!E62="",RIGHT(Formulas!F62)="0"),"",
HYPERLINK("["&amp;Archivo_Nombre&amp;"]Datos!"&amp;LEFT(SUBSTITUTE(ADDRESS(1,RIGHT(Formulas!F62)+2),"$",""))&amp;Formulas!D62+1,
IFERROR(INDEX(Datos!$A$2:$L$101,Formulas!D62,RIGHT(Formulas!F62)+2),"")))</f>
        <v/>
      </c>
      <c r="E65" s="107" t="str" cm="1">
        <f t="array" aca="1" ref="E65" ca="1">IF(OR(Formulas!F63=0,Formulas!F63=""),"",HYPERLINK("["&amp;Archivo_Nombre&amp;"]Datos!"&amp;LEFT(SUBSTITUTE(ADDRESS(1,Formulas!F63+2),"$",""))&amp;Formulas!E63+1,
IFERROR(INDEX(Datos!$A$2:$L$101,Formulas!E63,Formulas!F63+2),"")))</f>
        <v/>
      </c>
      <c r="F65" s="5"/>
      <c r="G65" s="6"/>
      <c r="H65" s="24" t="str" cm="1">
        <f t="array" aca="1" ref="H65" ca="1">IF(OR(Formulas!J62=0,Formulas!J62="",RIGHT(Formulas!K62)="0"),"",
HYPERLINK("["&amp;Archivo_Nombre&amp;"]Datos!"&amp;LEFT(SUBSTITUTE(ADDRESS(1,IF(Formulas!J62=1,1,RIGHT(Formulas!K62)+2)),"$",""))&amp;Formulas!I62+1,
IFERROR(INDEX(Datos!$A$1:$L$1,1,RIGHT(Formulas!K62)+2)&amp;IF(Formulas!J62=1," "&amp;Formulas!I62,"")&amp;":","")))</f>
        <v/>
      </c>
      <c r="I65" s="107" t="str" cm="1">
        <f t="array" aca="1" ref="I65" ca="1">IF(OR(Formulas!J62=0,Formulas!J62="",RIGHT(Formulas!K62)="0"),"",
HYPERLINK("["&amp;Archivo_Nombre&amp;"]Datos!"&amp;LEFT(SUBSTITUTE(ADDRESS(1,RIGHT(Formulas!K62)+2),"$",""))&amp;Formulas!I62+1,
IFERROR(INDEX(Datos!$A$2:$L$101,Formulas!I62,RIGHT(Formulas!K62)+2),"")))</f>
        <v/>
      </c>
      <c r="J65" s="107" t="str" cm="1">
        <f t="array" aca="1" ref="J65" ca="1">IF(OR(Formulas!K63=0,Formulas!K63=""),"",HYPERLINK("["&amp;Archivo_Nombre&amp;"]Datos!"&amp;LEFT(SUBSTITUTE(ADDRESS(1,Formulas!K63+2),"$",""))&amp;Formulas!J63+1,
IFERROR(INDEX(Datos!$A$2:$L$101,Formulas!J63,Formulas!K63+2),"")))</f>
        <v/>
      </c>
      <c r="K65" s="5"/>
      <c r="L65" s="6"/>
      <c r="M65" s="24" t="str" cm="1">
        <f t="array" aca="1" ref="M65" ca="1">IF(OR(Formulas!O62=0,Formulas!O62="",RIGHT(Formulas!P62)="0"),"",
HYPERLINK("["&amp;Archivo_Nombre&amp;"]Datos!"&amp;LEFT(SUBSTITUTE(ADDRESS(1,IF(Formulas!O62=1,1,RIGHT(Formulas!P62)+2)),"$",""))&amp;Formulas!N62+1,
IFERROR(INDEX(Datos!$A$1:$L$1,1,RIGHT(Formulas!P62)+2)&amp;IF(Formulas!O62=1," "&amp;Formulas!N62,"")&amp;":","")))</f>
        <v/>
      </c>
      <c r="N65" s="107" t="str" cm="1">
        <f t="array" aca="1" ref="N65" ca="1">IF(OR(Formulas!O62=0,Formulas!O62="",RIGHT(Formulas!P62)="0"),"",
HYPERLINK("["&amp;Archivo_Nombre&amp;"]Datos!"&amp;LEFT(SUBSTITUTE(ADDRESS(1,RIGHT(Formulas!P62)+2),"$",""))&amp;Formulas!N62+1,
IFERROR(INDEX(Datos!$A$2:$L$101,Formulas!N62,RIGHT(Formulas!P62)+2),"")))</f>
        <v/>
      </c>
      <c r="O65" s="107" t="str" cm="1">
        <f t="array" aca="1" ref="O65" ca="1">IF(OR(Formulas!P63=0,Formulas!P63=""),"",HYPERLINK("["&amp;Archivo_Nombre&amp;"]Datos!"&amp;LEFT(SUBSTITUTE(ADDRESS(1,Formulas!P63+2),"$",""))&amp;Formulas!O63+1,
IFERROR(INDEX(Datos!$A$2:$L$101,Formulas!O63,Formulas!P63+2),"")))</f>
        <v/>
      </c>
      <c r="P65" s="5"/>
      <c r="Q65" s="6"/>
      <c r="R65" s="24" t="str" cm="1">
        <f t="array" aca="1" ref="R65" ca="1">IF(OR(Formulas!T62=0,Formulas!T62="",RIGHT(Formulas!U62)="0"),"",
HYPERLINK("["&amp;Archivo_Nombre&amp;"]Datos!"&amp;LEFT(SUBSTITUTE(ADDRESS(1,IF(Formulas!T62=1,1,RIGHT(Formulas!U62)+2)),"$",""))&amp;Formulas!S62+1,
IFERROR(INDEX(Datos!$A$1:$L$1,1,RIGHT(Formulas!U62)+2)&amp;IF(Formulas!T62=1," "&amp;Formulas!S62,"")&amp;":","")))</f>
        <v/>
      </c>
      <c r="S65" s="107" t="str" cm="1">
        <f t="array" aca="1" ref="S65" ca="1">IF(OR(Formulas!T62=0,Formulas!T62="",RIGHT(Formulas!U62)="0"),"",
HYPERLINK("["&amp;Archivo_Nombre&amp;"]Datos!"&amp;LEFT(SUBSTITUTE(ADDRESS(1,RIGHT(Formulas!U62)+2),"$",""))&amp;Formulas!S62+1,
IFERROR(INDEX(Datos!$A$2:$L$101,Formulas!S62,RIGHT(Formulas!U62)+2),"")))</f>
        <v/>
      </c>
      <c r="T65" s="107" t="e" cm="1">
        <f t="array" aca="1" ref="T65" ca="1">IF(OR(Formulas!U63=0,Formulas!U63=""),"",HYPERLINK("["&amp;Archivo_Nombre&amp;"]Datos!"&amp;LEFT(SUBSTITUTE(ADDRESS(1,Formulas!U63+2),"$",""))&amp;Formulas!T63+1,
IFERROR(INDEX(Datos!$A$2:$L$101,Formulas!T63,Formulas!U63+2),"")))</f>
        <v>#VALUE!</v>
      </c>
      <c r="U65" s="5"/>
      <c r="V65" s="6"/>
      <c r="W65" s="24" t="str" cm="1">
        <f t="array" aca="1" ref="W65" ca="1">IF(OR(Formulas!Y62=0,Formulas!Y62="",RIGHT(Formulas!Z62)="0"),"",
HYPERLINK("["&amp;Archivo_Nombre&amp;"]Datos!"&amp;LEFT(SUBSTITUTE(ADDRESS(1,IF(Formulas!Y62=1,1,RIGHT(Formulas!Z62)+2)),"$",""))&amp;Formulas!X62+1,
IFERROR(INDEX(Datos!$A$1:$L$1,1,RIGHT(Formulas!Z62)+2)&amp;IF(Formulas!Y62=1," "&amp;Formulas!X62,"")&amp;":","")))</f>
        <v/>
      </c>
      <c r="X65" s="107" t="str" cm="1">
        <f t="array" aca="1" ref="X65" ca="1">IF(OR(Formulas!Y62=0,Formulas!Y62="",RIGHT(Formulas!Z62)="0"),"",
HYPERLINK("["&amp;Archivo_Nombre&amp;"]Datos!"&amp;LEFT(SUBSTITUTE(ADDRESS(1,RIGHT(Formulas!Z62)+2),"$",""))&amp;Formulas!X62+1,
IFERROR(INDEX(Datos!$A$2:$L$101,Formulas!X62,RIGHT(Formulas!Z62)+2),"")))</f>
        <v/>
      </c>
      <c r="Y65" s="107" t="str" cm="1">
        <f t="array" aca="1" ref="Y65" ca="1">IF(OR(Formulas!Z63=0,Formulas!Z63=""),"",HYPERLINK("["&amp;Archivo_Nombre&amp;"]Datos!"&amp;LEFT(SUBSTITUTE(ADDRESS(1,Formulas!Z63+2),"$",""))&amp;Formulas!Y63+1,
IFERROR(INDEX(Datos!$A$2:$L$101,Formulas!Y63,Formulas!Z63+2),"")))</f>
        <v/>
      </c>
      <c r="Z65" s="13"/>
      <c r="AA65" s="6"/>
      <c r="AB65" s="24" t="str" cm="1">
        <f t="array" aca="1" ref="AB65" ca="1">IF(OR(Formulas!AD62=0,Formulas!AD62="",RIGHT(Formulas!AE62)="0"),"",
HYPERLINK("["&amp;Archivo_Nombre&amp;"]Datos!"&amp;LEFT(SUBSTITUTE(ADDRESS(1,IF(Formulas!AD62=1,1,RIGHT(Formulas!AE62)+2)),"$",""))&amp;Formulas!AC62+1,
IFERROR(INDEX(Datos!$A$1:$L$1,1,RIGHT(Formulas!AE62)+2)&amp;IF(Formulas!AD62=1," "&amp;Formulas!AC62,"")&amp;":","")))</f>
        <v/>
      </c>
      <c r="AC65" s="107" t="str" cm="1">
        <f t="array" aca="1" ref="AC65" ca="1">IF(OR(Formulas!AD62=0,Formulas!AD62="",RIGHT(Formulas!AE62)="0"),"",
HYPERLINK("["&amp;Archivo_Nombre&amp;"]Datos!"&amp;LEFT(SUBSTITUTE(ADDRESS(1,RIGHT(Formulas!AE62)+2),"$",""))&amp;Formulas!AC62+1,
IFERROR(INDEX(Datos!$A$2:$L$101,Formulas!AC62,RIGHT(Formulas!AE62)+2),"")))</f>
        <v/>
      </c>
      <c r="AD65" s="107" t="str" cm="1">
        <f t="array" aca="1" ref="AD65" ca="1">IF(OR(Formulas!AE63=0,Formulas!AE63=""),"",HYPERLINK("["&amp;Archivo_Nombre&amp;"]Datos!"&amp;LEFT(SUBSTITUTE(ADDRESS(1,Formulas!AE63+2),"$",""))&amp;Formulas!AD63+1,
IFERROR(INDEX(Datos!$A$2:$L$101,Formulas!AD63,Formulas!AE63+2),"")))</f>
        <v/>
      </c>
      <c r="AE65" s="13"/>
      <c r="AF65" s="6"/>
      <c r="AG65" s="24" t="str" cm="1">
        <f t="array" aca="1" ref="AG65" ca="1">IF(OR(Formulas!AI62=0,Formulas!AI62="",RIGHT(Formulas!AJ62)="0"),"",
HYPERLINK("["&amp;Archivo_Nombre&amp;"]Datos!"&amp;LEFT(SUBSTITUTE(ADDRESS(1,IF(Formulas!AI62=1,1,RIGHT(Formulas!AJ62)+2)),"$",""))&amp;Formulas!AH62+1,
IFERROR(INDEX(Datos!$A$1:$L$1,1,RIGHT(Formulas!AJ62)+2)&amp;IF(Formulas!AI62=1," "&amp;Formulas!AH62,"")&amp;":","")))</f>
        <v/>
      </c>
      <c r="AH65" s="107" t="str" cm="1">
        <f t="array" aca="1" ref="AH65" ca="1">IF(OR(Formulas!AI62=0,Formulas!AI62="",RIGHT(Formulas!AJ62)="0"),"",
HYPERLINK("["&amp;Archivo_Nombre&amp;"]Datos!"&amp;LEFT(SUBSTITUTE(ADDRESS(1,RIGHT(Formulas!AJ62)+2),"$",""))&amp;Formulas!AH62+1,
IFERROR(INDEX(Datos!$A$2:$L$101,Formulas!AH62,RIGHT(Formulas!AJ62)+2),"")))</f>
        <v/>
      </c>
      <c r="AI65" s="107" t="str" cm="1">
        <f t="array" aca="1" ref="AI65" ca="1">IF(OR(Formulas!AJ63=0,Formulas!AJ63=""),"",HYPERLINK("["&amp;Archivo_Nombre&amp;"]Datos!"&amp;LEFT(SUBSTITUTE(ADDRESS(1,Formulas!AJ63+2),"$",""))&amp;Formulas!AI63+1,
IFERROR(INDEX(Datos!$A$2:$L$101,Formulas!AI63,Formulas!AJ63+2),"")))</f>
        <v/>
      </c>
      <c r="AJ65" s="13"/>
      <c r="AK65" s="6"/>
      <c r="AL65" s="24" t="str" cm="1">
        <f t="array" aca="1" ref="AL65" ca="1">IF(OR(Formulas!AN62=0,Formulas!AN62="",RIGHT(Formulas!AO62)="0"),"",
HYPERLINK("["&amp;Archivo_Nombre&amp;"]Datos!"&amp;LEFT(SUBSTITUTE(ADDRESS(1,IF(Formulas!AN62=1,1,RIGHT(Formulas!AO62)+2)),"$",""))&amp;Formulas!AM62+1,
IFERROR(INDEX(Datos!$A$1:$L$1,1,RIGHT(Formulas!AO62)+2)&amp;IF(Formulas!AN62=1," "&amp;Formulas!AM62,"")&amp;":","")))</f>
        <v/>
      </c>
      <c r="AM65" s="107" t="str" cm="1">
        <f t="array" aca="1" ref="AM65" ca="1">IF(OR(Formulas!AN62=0,Formulas!AN62="",RIGHT(Formulas!AO62)="0"),"",
HYPERLINK("["&amp;Archivo_Nombre&amp;"]Datos!"&amp;LEFT(SUBSTITUTE(ADDRESS(1,RIGHT(Formulas!AO62)+2),"$",""))&amp;Formulas!AM62+1,
IFERROR(INDEX(Datos!$A$2:$L$101,Formulas!AM62,RIGHT(Formulas!AO62)+2),"")))</f>
        <v/>
      </c>
      <c r="AN65" s="107" t="str" cm="1">
        <f t="array" aca="1" ref="AN65" ca="1">IF(OR(Formulas!AO63=0,Formulas!AO63=""),"",HYPERLINK("["&amp;Archivo_Nombre&amp;"]Datos!"&amp;LEFT(SUBSTITUTE(ADDRESS(1,Formulas!AO63+2),"$",""))&amp;Formulas!AN63+1,
IFERROR(INDEX(Datos!$A$2:$L$101,Formulas!AN63,Formulas!AO63+2),"")))</f>
        <v/>
      </c>
      <c r="AO65" s="13"/>
      <c r="AP65" s="6"/>
      <c r="AQ65" s="24" t="str" cm="1">
        <f t="array" aca="1" ref="AQ65" ca="1">IF(OR(Formulas!AS62=0,Formulas!AS62="",RIGHT(Formulas!AT62)="0"),"",
HYPERLINK("["&amp;Archivo_Nombre&amp;"]Datos!"&amp;LEFT(SUBSTITUTE(ADDRESS(1,IF(Formulas!AS62=1,1,RIGHT(Formulas!AT62)+2)),"$",""))&amp;Formulas!AR62+1,
IFERROR(INDEX(Datos!$A$1:$L$1,1,RIGHT(Formulas!AT62)+2)&amp;IF(Formulas!AS62=1," "&amp;Formulas!AR62,"")&amp;":","")))</f>
        <v/>
      </c>
      <c r="AR65" s="107" t="str" cm="1">
        <f t="array" aca="1" ref="AR65" ca="1">IF(OR(Formulas!AS62=0,Formulas!AS62="",RIGHT(Formulas!AT62)="0"),"",
HYPERLINK("["&amp;Archivo_Nombre&amp;"]Datos!"&amp;LEFT(SUBSTITUTE(ADDRESS(1,RIGHT(Formulas!AT62)+2),"$",""))&amp;Formulas!AR62+1,
IFERROR(INDEX(Datos!$A$2:$L$101,Formulas!AR62,RIGHT(Formulas!AT62)+2),"")))</f>
        <v/>
      </c>
      <c r="AS65" s="107" t="str" cm="1">
        <f t="array" aca="1" ref="AS65" ca="1">IF(OR(Formulas!AT63=0,Formulas!AT63=""),"",HYPERLINK("["&amp;Archivo_Nombre&amp;"]Datos!"&amp;LEFT(SUBSTITUTE(ADDRESS(1,Formulas!AT63+2),"$",""))&amp;Formulas!AS63+1,
IFERROR(INDEX(Datos!$A$2:$L$101,Formulas!AS63,Formulas!AT63+2),"")))</f>
        <v/>
      </c>
      <c r="AT65" s="13"/>
      <c r="AU65" s="6"/>
      <c r="AV65" s="24" t="str" cm="1">
        <f t="array" aca="1" ref="AV65" ca="1">IF(OR(Formulas!AX62=0,Formulas!AX62="",RIGHT(Formulas!AY62)="0"),"",
HYPERLINK("["&amp;Archivo_Nombre&amp;"]Datos!"&amp;LEFT(SUBSTITUTE(ADDRESS(1,IF(Formulas!AX62=1,1,RIGHT(Formulas!AY62)+2)),"$",""))&amp;Formulas!AW62+1,
IFERROR(INDEX(Datos!$A$1:$L$1,1,RIGHT(Formulas!AY62)+2)&amp;IF(Formulas!AX62=1," "&amp;Formulas!AW62,"")&amp;":","")))</f>
        <v/>
      </c>
      <c r="AW65" s="107" t="str" cm="1">
        <f t="array" aca="1" ref="AW65" ca="1">IF(OR(Formulas!AX62=0,Formulas!AX62="",RIGHT(Formulas!AY62)="0"),"",
HYPERLINK("["&amp;Archivo_Nombre&amp;"]Datos!"&amp;LEFT(SUBSTITUTE(ADDRESS(1,RIGHT(Formulas!AY62)+2),"$",""))&amp;Formulas!AW62+1,
IFERROR(INDEX(Datos!$A$2:$L$101,Formulas!AW62,RIGHT(Formulas!AY62)+2),"")))</f>
        <v/>
      </c>
      <c r="AX65" s="107" t="str" cm="1">
        <f t="array" aca="1" ref="AX65" ca="1">IF(OR(Formulas!AY63=0,Formulas!AY63=""),"",HYPERLINK("["&amp;Archivo_Nombre&amp;"]Datos!"&amp;LEFT(SUBSTITUTE(ADDRESS(1,Formulas!AY63+2),"$",""))&amp;Formulas!AX63+1,
IFERROR(INDEX(Datos!$A$2:$L$101,Formulas!AX63,Formulas!AY63+2),"")))</f>
        <v/>
      </c>
      <c r="AY65" s="13"/>
    </row>
    <row r="66" spans="2:51" x14ac:dyDescent="0.25">
      <c r="B66" s="11"/>
      <c r="C66" s="24" t="str" cm="1">
        <f t="array" aca="1" ref="C66" ca="1">IF(OR(Formulas!E63=0,Formulas!E63="",RIGHT(Formulas!F63)="0"),"",
HYPERLINK("["&amp;Archivo_Nombre&amp;"]Datos!"&amp;LEFT(SUBSTITUTE(ADDRESS(1,IF(Formulas!E63=1,1,RIGHT(Formulas!F63)+2)),"$",""))&amp;Formulas!D63+1,
IFERROR(INDEX(Datos!$A$1:$L$1,1,RIGHT(Formulas!F63)+2)&amp;IF(Formulas!E63=1," "&amp;Formulas!D63,"")&amp;":","")))</f>
        <v/>
      </c>
      <c r="D66" s="107" t="str" cm="1">
        <f t="array" aca="1" ref="D66" ca="1">IF(OR(Formulas!E63=0,Formulas!E63="",RIGHT(Formulas!F63)="0"),"",
HYPERLINK("["&amp;Archivo_Nombre&amp;"]Datos!"&amp;LEFT(SUBSTITUTE(ADDRESS(1,RIGHT(Formulas!F63)+2),"$",""))&amp;Formulas!D63+1,
IFERROR(INDEX(Datos!$A$2:$L$101,Formulas!D63,RIGHT(Formulas!F63)+2),"")))</f>
        <v/>
      </c>
      <c r="E66" s="107" t="str" cm="1">
        <f t="array" aca="1" ref="E66" ca="1">IF(OR(Formulas!F64=0,Formulas!F64=""),"",HYPERLINK("["&amp;Archivo_Nombre&amp;"]Datos!"&amp;LEFT(SUBSTITUTE(ADDRESS(1,Formulas!F64+2),"$",""))&amp;Formulas!E64+1,
IFERROR(INDEX(Datos!$A$2:$L$101,Formulas!E64,Formulas!F64+2),"")))</f>
        <v/>
      </c>
      <c r="F66" s="5"/>
      <c r="G66" s="6"/>
      <c r="H66" s="24" t="str" cm="1">
        <f t="array" aca="1" ref="H66" ca="1">IF(OR(Formulas!J63=0,Formulas!J63="",RIGHT(Formulas!K63)="0"),"",
HYPERLINK("["&amp;Archivo_Nombre&amp;"]Datos!"&amp;LEFT(SUBSTITUTE(ADDRESS(1,IF(Formulas!J63=1,1,RIGHT(Formulas!K63)+2)),"$",""))&amp;Formulas!I63+1,
IFERROR(INDEX(Datos!$A$1:$L$1,1,RIGHT(Formulas!K63)+2)&amp;IF(Formulas!J63=1," "&amp;Formulas!I63,"")&amp;":","")))</f>
        <v/>
      </c>
      <c r="I66" s="107" t="str" cm="1">
        <f t="array" aca="1" ref="I66" ca="1">IF(OR(Formulas!J63=0,Formulas!J63="",RIGHT(Formulas!K63)="0"),"",
HYPERLINK("["&amp;Archivo_Nombre&amp;"]Datos!"&amp;LEFT(SUBSTITUTE(ADDRESS(1,RIGHT(Formulas!K63)+2),"$",""))&amp;Formulas!I63+1,
IFERROR(INDEX(Datos!$A$2:$L$101,Formulas!I63,RIGHT(Formulas!K63)+2),"")))</f>
        <v/>
      </c>
      <c r="J66" s="107" t="str" cm="1">
        <f t="array" aca="1" ref="J66" ca="1">IF(OR(Formulas!K64=0,Formulas!K64=""),"",HYPERLINK("["&amp;Archivo_Nombre&amp;"]Datos!"&amp;LEFT(SUBSTITUTE(ADDRESS(1,Formulas!K64+2),"$",""))&amp;Formulas!J64+1,
IFERROR(INDEX(Datos!$A$2:$L$101,Formulas!J64,Formulas!K64+2),"")))</f>
        <v/>
      </c>
      <c r="K66" s="5"/>
      <c r="L66" s="6"/>
      <c r="M66" s="24" t="str" cm="1">
        <f t="array" aca="1" ref="M66" ca="1">IF(OR(Formulas!O63=0,Formulas!O63="",RIGHT(Formulas!P63)="0"),"",
HYPERLINK("["&amp;Archivo_Nombre&amp;"]Datos!"&amp;LEFT(SUBSTITUTE(ADDRESS(1,IF(Formulas!O63=1,1,RIGHT(Formulas!P63)+2)),"$",""))&amp;Formulas!N63+1,
IFERROR(INDEX(Datos!$A$1:$L$1,1,RIGHT(Formulas!P63)+2)&amp;IF(Formulas!O63=1," "&amp;Formulas!N63,"")&amp;":","")))</f>
        <v/>
      </c>
      <c r="N66" s="107" t="str" cm="1">
        <f t="array" aca="1" ref="N66" ca="1">IF(OR(Formulas!O63=0,Formulas!O63="",RIGHT(Formulas!P63)="0"),"",
HYPERLINK("["&amp;Archivo_Nombre&amp;"]Datos!"&amp;LEFT(SUBSTITUTE(ADDRESS(1,RIGHT(Formulas!P63)+2),"$",""))&amp;Formulas!N63+1,
IFERROR(INDEX(Datos!$A$2:$L$101,Formulas!N63,RIGHT(Formulas!P63)+2),"")))</f>
        <v/>
      </c>
      <c r="O66" s="107" t="str" cm="1">
        <f t="array" aca="1" ref="O66" ca="1">IF(OR(Formulas!P64=0,Formulas!P64=""),"",HYPERLINK("["&amp;Archivo_Nombre&amp;"]Datos!"&amp;LEFT(SUBSTITUTE(ADDRESS(1,Formulas!P64+2),"$",""))&amp;Formulas!O64+1,
IFERROR(INDEX(Datos!$A$2:$L$101,Formulas!O64,Formulas!P64+2),"")))</f>
        <v/>
      </c>
      <c r="P66" s="5"/>
      <c r="Q66" s="6"/>
      <c r="R66" s="24" t="str" cm="1">
        <f t="array" aca="1" ref="R66" ca="1">IF(OR(Formulas!T63=0,Formulas!T63="",RIGHT(Formulas!U63)="0"),"",
HYPERLINK("["&amp;Archivo_Nombre&amp;"]Datos!"&amp;LEFT(SUBSTITUTE(ADDRESS(1,IF(Formulas!T63=1,1,RIGHT(Formulas!U63)+2)),"$",""))&amp;Formulas!S63+1,
IFERROR(INDEX(Datos!$A$1:$L$1,1,RIGHT(Formulas!U63)+2)&amp;IF(Formulas!T63=1," "&amp;Formulas!S63,"")&amp;":","")))</f>
        <v>ORDEN PCRONOLOGICO 23:</v>
      </c>
      <c r="S66" s="107" cm="1">
        <f t="array" aca="1" ref="S66" ca="1">IF(OR(Formulas!T63=0,Formulas!T63="",RIGHT(Formulas!U63)="0"),"",
HYPERLINK("["&amp;Archivo_Nombre&amp;"]Datos!"&amp;LEFT(SUBSTITUTE(ADDRESS(1,RIGHT(Formulas!U63)+2),"$",""))&amp;Formulas!S63+1,
IFERROR(INDEX(Datos!$A$2:$L$101,Formulas!S63,RIGHT(Formulas!U63)+2),"")))</f>
        <v>23</v>
      </c>
      <c r="T66" s="107" t="e" cm="1">
        <f t="array" aca="1" ref="T66" ca="1">IF(OR(Formulas!U64=0,Formulas!U64=""),"",HYPERLINK("["&amp;Archivo_Nombre&amp;"]Datos!"&amp;LEFT(SUBSTITUTE(ADDRESS(1,Formulas!U64+2),"$",""))&amp;Formulas!T64+1,
IFERROR(INDEX(Datos!$A$2:$L$101,Formulas!T64,Formulas!U64+2),"")))</f>
        <v>#VALUE!</v>
      </c>
      <c r="U66" s="5"/>
      <c r="V66" s="6"/>
      <c r="W66" s="24" t="str" cm="1">
        <f t="array" aca="1" ref="W66" ca="1">IF(OR(Formulas!Y63=0,Formulas!Y63="",RIGHT(Formulas!Z63)="0"),"",
HYPERLINK("["&amp;Archivo_Nombre&amp;"]Datos!"&amp;LEFT(SUBSTITUTE(ADDRESS(1,IF(Formulas!Y63=1,1,RIGHT(Formulas!Z63)+2)),"$",""))&amp;Formulas!X63+1,
IFERROR(INDEX(Datos!$A$1:$L$1,1,RIGHT(Formulas!Z63)+2)&amp;IF(Formulas!Y63=1," "&amp;Formulas!X63,"")&amp;":","")))</f>
        <v/>
      </c>
      <c r="X66" s="107" t="str" cm="1">
        <f t="array" aca="1" ref="X66" ca="1">IF(OR(Formulas!Y63=0,Formulas!Y63="",RIGHT(Formulas!Z63)="0"),"",
HYPERLINK("["&amp;Archivo_Nombre&amp;"]Datos!"&amp;LEFT(SUBSTITUTE(ADDRESS(1,RIGHT(Formulas!Z63)+2),"$",""))&amp;Formulas!X63+1,
IFERROR(INDEX(Datos!$A$2:$L$101,Formulas!X63,RIGHT(Formulas!Z63)+2),"")))</f>
        <v/>
      </c>
      <c r="Y66" s="107" t="str" cm="1">
        <f t="array" aca="1" ref="Y66" ca="1">IF(OR(Formulas!Z64=0,Formulas!Z64=""),"",HYPERLINK("["&amp;Archivo_Nombre&amp;"]Datos!"&amp;LEFT(SUBSTITUTE(ADDRESS(1,Formulas!Z64+2),"$",""))&amp;Formulas!Y64+1,
IFERROR(INDEX(Datos!$A$2:$L$101,Formulas!Y64,Formulas!Z64+2),"")))</f>
        <v/>
      </c>
      <c r="Z66" s="13"/>
      <c r="AA66" s="6"/>
      <c r="AB66" s="24" t="str" cm="1">
        <f t="array" aca="1" ref="AB66" ca="1">IF(OR(Formulas!AD63=0,Formulas!AD63="",RIGHT(Formulas!AE63)="0"),"",
HYPERLINK("["&amp;Archivo_Nombre&amp;"]Datos!"&amp;LEFT(SUBSTITUTE(ADDRESS(1,IF(Formulas!AD63=1,1,RIGHT(Formulas!AE63)+2)),"$",""))&amp;Formulas!AC63+1,
IFERROR(INDEX(Datos!$A$1:$L$1,1,RIGHT(Formulas!AE63)+2)&amp;IF(Formulas!AD63=1," "&amp;Formulas!AC63,"")&amp;":","")))</f>
        <v/>
      </c>
      <c r="AC66" s="107" t="str" cm="1">
        <f t="array" aca="1" ref="AC66" ca="1">IF(OR(Formulas!AD63=0,Formulas!AD63="",RIGHT(Formulas!AE63)="0"),"",
HYPERLINK("["&amp;Archivo_Nombre&amp;"]Datos!"&amp;LEFT(SUBSTITUTE(ADDRESS(1,RIGHT(Formulas!AE63)+2),"$",""))&amp;Formulas!AC63+1,
IFERROR(INDEX(Datos!$A$2:$L$101,Formulas!AC63,RIGHT(Formulas!AE63)+2),"")))</f>
        <v/>
      </c>
      <c r="AD66" s="107" t="str" cm="1">
        <f t="array" aca="1" ref="AD66" ca="1">IF(OR(Formulas!AE64=0,Formulas!AE64=""),"",HYPERLINK("["&amp;Archivo_Nombre&amp;"]Datos!"&amp;LEFT(SUBSTITUTE(ADDRESS(1,Formulas!AE64+2),"$",""))&amp;Formulas!AD64+1,
IFERROR(INDEX(Datos!$A$2:$L$101,Formulas!AD64,Formulas!AE64+2),"")))</f>
        <v/>
      </c>
      <c r="AE66" s="13"/>
      <c r="AF66" s="6"/>
      <c r="AG66" s="24" t="str" cm="1">
        <f t="array" aca="1" ref="AG66" ca="1">IF(OR(Formulas!AI63=0,Formulas!AI63="",RIGHT(Formulas!AJ63)="0"),"",
HYPERLINK("["&amp;Archivo_Nombre&amp;"]Datos!"&amp;LEFT(SUBSTITUTE(ADDRESS(1,IF(Formulas!AI63=1,1,RIGHT(Formulas!AJ63)+2)),"$",""))&amp;Formulas!AH63+1,
IFERROR(INDEX(Datos!$A$1:$L$1,1,RIGHT(Formulas!AJ63)+2)&amp;IF(Formulas!AI63=1," "&amp;Formulas!AH63,"")&amp;":","")))</f>
        <v/>
      </c>
      <c r="AH66" s="107" t="str" cm="1">
        <f t="array" aca="1" ref="AH66" ca="1">IF(OR(Formulas!AI63=0,Formulas!AI63="",RIGHT(Formulas!AJ63)="0"),"",
HYPERLINK("["&amp;Archivo_Nombre&amp;"]Datos!"&amp;LEFT(SUBSTITUTE(ADDRESS(1,RIGHT(Formulas!AJ63)+2),"$",""))&amp;Formulas!AH63+1,
IFERROR(INDEX(Datos!$A$2:$L$101,Formulas!AH63,RIGHT(Formulas!AJ63)+2),"")))</f>
        <v/>
      </c>
      <c r="AI66" s="107" t="str" cm="1">
        <f t="array" aca="1" ref="AI66" ca="1">IF(OR(Formulas!AJ64=0,Formulas!AJ64=""),"",HYPERLINK("["&amp;Archivo_Nombre&amp;"]Datos!"&amp;LEFT(SUBSTITUTE(ADDRESS(1,Formulas!AJ64+2),"$",""))&amp;Formulas!AI64+1,
IFERROR(INDEX(Datos!$A$2:$L$101,Formulas!AI64,Formulas!AJ64+2),"")))</f>
        <v/>
      </c>
      <c r="AJ66" s="13"/>
      <c r="AK66" s="6"/>
      <c r="AL66" s="24" t="str" cm="1">
        <f t="array" aca="1" ref="AL66" ca="1">IF(OR(Formulas!AN63=0,Formulas!AN63="",RIGHT(Formulas!AO63)="0"),"",
HYPERLINK("["&amp;Archivo_Nombre&amp;"]Datos!"&amp;LEFT(SUBSTITUTE(ADDRESS(1,IF(Formulas!AN63=1,1,RIGHT(Formulas!AO63)+2)),"$",""))&amp;Formulas!AM63+1,
IFERROR(INDEX(Datos!$A$1:$L$1,1,RIGHT(Formulas!AO63)+2)&amp;IF(Formulas!AN63=1," "&amp;Formulas!AM63,"")&amp;":","")))</f>
        <v/>
      </c>
      <c r="AM66" s="107" t="str" cm="1">
        <f t="array" aca="1" ref="AM66" ca="1">IF(OR(Formulas!AN63=0,Formulas!AN63="",RIGHT(Formulas!AO63)="0"),"",
HYPERLINK("["&amp;Archivo_Nombre&amp;"]Datos!"&amp;LEFT(SUBSTITUTE(ADDRESS(1,RIGHT(Formulas!AO63)+2),"$",""))&amp;Formulas!AM63+1,
IFERROR(INDEX(Datos!$A$2:$L$101,Formulas!AM63,RIGHT(Formulas!AO63)+2),"")))</f>
        <v/>
      </c>
      <c r="AN66" s="107" t="str" cm="1">
        <f t="array" aca="1" ref="AN66" ca="1">IF(OR(Formulas!AO64=0,Formulas!AO64=""),"",HYPERLINK("["&amp;Archivo_Nombre&amp;"]Datos!"&amp;LEFT(SUBSTITUTE(ADDRESS(1,Formulas!AO64+2),"$",""))&amp;Formulas!AN64+1,
IFERROR(INDEX(Datos!$A$2:$L$101,Formulas!AN64,Formulas!AO64+2),"")))</f>
        <v/>
      </c>
      <c r="AO66" s="13"/>
      <c r="AP66" s="6"/>
      <c r="AQ66" s="24" t="str" cm="1">
        <f t="array" aca="1" ref="AQ66" ca="1">IF(OR(Formulas!AS63=0,Formulas!AS63="",RIGHT(Formulas!AT63)="0"),"",
HYPERLINK("["&amp;Archivo_Nombre&amp;"]Datos!"&amp;LEFT(SUBSTITUTE(ADDRESS(1,IF(Formulas!AS63=1,1,RIGHT(Formulas!AT63)+2)),"$",""))&amp;Formulas!AR63+1,
IFERROR(INDEX(Datos!$A$1:$L$1,1,RIGHT(Formulas!AT63)+2)&amp;IF(Formulas!AS63=1," "&amp;Formulas!AR63,"")&amp;":","")))</f>
        <v/>
      </c>
      <c r="AR66" s="107" t="str" cm="1">
        <f t="array" aca="1" ref="AR66" ca="1">IF(OR(Formulas!AS63=0,Formulas!AS63="",RIGHT(Formulas!AT63)="0"),"",
HYPERLINK("["&amp;Archivo_Nombre&amp;"]Datos!"&amp;LEFT(SUBSTITUTE(ADDRESS(1,RIGHT(Formulas!AT63)+2),"$",""))&amp;Formulas!AR63+1,
IFERROR(INDEX(Datos!$A$2:$L$101,Formulas!AR63,RIGHT(Formulas!AT63)+2),"")))</f>
        <v/>
      </c>
      <c r="AS66" s="107" t="str" cm="1">
        <f t="array" aca="1" ref="AS66" ca="1">IF(OR(Formulas!AT64=0,Formulas!AT64=""),"",HYPERLINK("["&amp;Archivo_Nombre&amp;"]Datos!"&amp;LEFT(SUBSTITUTE(ADDRESS(1,Formulas!AT64+2),"$",""))&amp;Formulas!AS64+1,
IFERROR(INDEX(Datos!$A$2:$L$101,Formulas!AS64,Formulas!AT64+2),"")))</f>
        <v/>
      </c>
      <c r="AT66" s="13"/>
      <c r="AU66" s="6"/>
      <c r="AV66" s="24" t="str" cm="1">
        <f t="array" aca="1" ref="AV66" ca="1">IF(OR(Formulas!AX63=0,Formulas!AX63="",RIGHT(Formulas!AY63)="0"),"",
HYPERLINK("["&amp;Archivo_Nombre&amp;"]Datos!"&amp;LEFT(SUBSTITUTE(ADDRESS(1,IF(Formulas!AX63=1,1,RIGHT(Formulas!AY63)+2)),"$",""))&amp;Formulas!AW63+1,
IFERROR(INDEX(Datos!$A$1:$L$1,1,RIGHT(Formulas!AY63)+2)&amp;IF(Formulas!AX63=1," "&amp;Formulas!AW63,"")&amp;":","")))</f>
        <v/>
      </c>
      <c r="AW66" s="107" t="str" cm="1">
        <f t="array" aca="1" ref="AW66" ca="1">IF(OR(Formulas!AX63=0,Formulas!AX63="",RIGHT(Formulas!AY63)="0"),"",
HYPERLINK("["&amp;Archivo_Nombre&amp;"]Datos!"&amp;LEFT(SUBSTITUTE(ADDRESS(1,RIGHT(Formulas!AY63)+2),"$",""))&amp;Formulas!AW63+1,
IFERROR(INDEX(Datos!$A$2:$L$101,Formulas!AW63,RIGHT(Formulas!AY63)+2),"")))</f>
        <v/>
      </c>
      <c r="AX66" s="107" t="str" cm="1">
        <f t="array" aca="1" ref="AX66" ca="1">IF(OR(Formulas!AY64=0,Formulas!AY64=""),"",HYPERLINK("["&amp;Archivo_Nombre&amp;"]Datos!"&amp;LEFT(SUBSTITUTE(ADDRESS(1,Formulas!AY64+2),"$",""))&amp;Formulas!AX64+1,
IFERROR(INDEX(Datos!$A$2:$L$101,Formulas!AX64,Formulas!AY64+2),"")))</f>
        <v/>
      </c>
      <c r="AY66" s="13"/>
    </row>
    <row r="67" spans="2:51" x14ac:dyDescent="0.25">
      <c r="B67" s="11"/>
      <c r="C67" s="24" t="str" cm="1">
        <f t="array" aca="1" ref="C67" ca="1">IF(OR(Formulas!E64=0,Formulas!E64="",RIGHT(Formulas!F64)="0"),"",
HYPERLINK("["&amp;Archivo_Nombre&amp;"]Datos!"&amp;LEFT(SUBSTITUTE(ADDRESS(1,IF(Formulas!E64=1,1,RIGHT(Formulas!F64)+2)),"$",""))&amp;Formulas!D64+1,
IFERROR(INDEX(Datos!$A$1:$L$1,1,RIGHT(Formulas!F64)+2)&amp;IF(Formulas!E64=1," "&amp;Formulas!D64,"")&amp;":","")))</f>
        <v/>
      </c>
      <c r="D67" s="107" t="str" cm="1">
        <f t="array" aca="1" ref="D67" ca="1">IF(OR(Formulas!E64=0,Formulas!E64="",RIGHT(Formulas!F64)="0"),"",
HYPERLINK("["&amp;Archivo_Nombre&amp;"]Datos!"&amp;LEFT(SUBSTITUTE(ADDRESS(1,RIGHT(Formulas!F64)+2),"$",""))&amp;Formulas!D64+1,
IFERROR(INDEX(Datos!$A$2:$L$101,Formulas!D64,RIGHT(Formulas!F64)+2),"")))</f>
        <v/>
      </c>
      <c r="E67" s="107" t="str" cm="1">
        <f t="array" aca="1" ref="E67" ca="1">IF(OR(Formulas!F65=0,Formulas!F65=""),"",HYPERLINK("["&amp;Archivo_Nombre&amp;"]Datos!"&amp;LEFT(SUBSTITUTE(ADDRESS(1,Formulas!F65+2),"$",""))&amp;Formulas!E65+1,
IFERROR(INDEX(Datos!$A$2:$L$101,Formulas!E65,Formulas!F65+2),"")))</f>
        <v/>
      </c>
      <c r="F67" s="5"/>
      <c r="G67" s="6"/>
      <c r="H67" s="24" t="str" cm="1">
        <f t="array" aca="1" ref="H67" ca="1">IF(OR(Formulas!J64=0,Formulas!J64="",RIGHT(Formulas!K64)="0"),"",
HYPERLINK("["&amp;Archivo_Nombre&amp;"]Datos!"&amp;LEFT(SUBSTITUTE(ADDRESS(1,IF(Formulas!J64=1,1,RIGHT(Formulas!K64)+2)),"$",""))&amp;Formulas!I64+1,
IFERROR(INDEX(Datos!$A$1:$L$1,1,RIGHT(Formulas!K64)+2)&amp;IF(Formulas!J64=1," "&amp;Formulas!I64,"")&amp;":","")))</f>
        <v/>
      </c>
      <c r="I67" s="107" t="str" cm="1">
        <f t="array" aca="1" ref="I67" ca="1">IF(OR(Formulas!J64=0,Formulas!J64="",RIGHT(Formulas!K64)="0"),"",
HYPERLINK("["&amp;Archivo_Nombre&amp;"]Datos!"&amp;LEFT(SUBSTITUTE(ADDRESS(1,RIGHT(Formulas!K64)+2),"$",""))&amp;Formulas!I64+1,
IFERROR(INDEX(Datos!$A$2:$L$101,Formulas!I64,RIGHT(Formulas!K64)+2),"")))</f>
        <v/>
      </c>
      <c r="J67" s="107" t="str" cm="1">
        <f t="array" aca="1" ref="J67" ca="1">IF(OR(Formulas!K65=0,Formulas!K65=""),"",HYPERLINK("["&amp;Archivo_Nombre&amp;"]Datos!"&amp;LEFT(SUBSTITUTE(ADDRESS(1,Formulas!K65+2),"$",""))&amp;Formulas!J65+1,
IFERROR(INDEX(Datos!$A$2:$L$101,Formulas!J65,Formulas!K65+2),"")))</f>
        <v/>
      </c>
      <c r="K67" s="5"/>
      <c r="L67" s="6"/>
      <c r="M67" s="24" t="str" cm="1">
        <f t="array" aca="1" ref="M67" ca="1">IF(OR(Formulas!O64=0,Formulas!O64="",RIGHT(Formulas!P64)="0"),"",
HYPERLINK("["&amp;Archivo_Nombre&amp;"]Datos!"&amp;LEFT(SUBSTITUTE(ADDRESS(1,IF(Formulas!O64=1,1,RIGHT(Formulas!P64)+2)),"$",""))&amp;Formulas!N64+1,
IFERROR(INDEX(Datos!$A$1:$L$1,1,RIGHT(Formulas!P64)+2)&amp;IF(Formulas!O64=1," "&amp;Formulas!N64,"")&amp;":","")))</f>
        <v/>
      </c>
      <c r="N67" s="107" t="str" cm="1">
        <f t="array" aca="1" ref="N67" ca="1">IF(OR(Formulas!O64=0,Formulas!O64="",RIGHT(Formulas!P64)="0"),"",
HYPERLINK("["&amp;Archivo_Nombre&amp;"]Datos!"&amp;LEFT(SUBSTITUTE(ADDRESS(1,RIGHT(Formulas!P64)+2),"$",""))&amp;Formulas!N64+1,
IFERROR(INDEX(Datos!$A$2:$L$101,Formulas!N64,RIGHT(Formulas!P64)+2),"")))</f>
        <v/>
      </c>
      <c r="O67" s="107" t="str" cm="1">
        <f t="array" aca="1" ref="O67" ca="1">IF(OR(Formulas!P65=0,Formulas!P65=""),"",HYPERLINK("["&amp;Archivo_Nombre&amp;"]Datos!"&amp;LEFT(SUBSTITUTE(ADDRESS(1,Formulas!P65+2),"$",""))&amp;Formulas!O65+1,
IFERROR(INDEX(Datos!$A$2:$L$101,Formulas!O65,Formulas!P65+2),"")))</f>
        <v/>
      </c>
      <c r="P67" s="5"/>
      <c r="Q67" s="6"/>
      <c r="R67" s="24" t="str" cm="1">
        <f t="array" aca="1" ref="R67" ca="1">IF(OR(Formulas!T64=0,Formulas!T64="",RIGHT(Formulas!U64)="0"),"",
HYPERLINK("["&amp;Archivo_Nombre&amp;"]Datos!"&amp;LEFT(SUBSTITUTE(ADDRESS(1,IF(Formulas!T64=1,1,RIGHT(Formulas!U64)+2)),"$",""))&amp;Formulas!S64+1,
IFERROR(INDEX(Datos!$A$1:$L$1,1,RIGHT(Formulas!U64)+2)&amp;IF(Formulas!T64=1," "&amp;Formulas!S64,"")&amp;":","")))</f>
        <v>Tarea:</v>
      </c>
      <c r="S67" s="107" t="str" cm="1">
        <f t="array" aca="1" ref="S67" ca="1">IF(OR(Formulas!T64=0,Formulas!T64="",RIGHT(Formulas!U64)="0"),"",
HYPERLINK("["&amp;Archivo_Nombre&amp;"]Datos!"&amp;LEFT(SUBSTITUTE(ADDRESS(1,RIGHT(Formulas!U64)+2),"$",""))&amp;Formulas!S64+1,
IFERROR(INDEX(Datos!$A$2:$L$101,Formulas!S64,RIGHT(Formulas!U64)+2),"")))</f>
        <v>Presentación RQ001,RQ002,RQ003 Funcional (video)</v>
      </c>
      <c r="T67" s="107" t="e" cm="1">
        <f t="array" aca="1" ref="T67" ca="1">IF(OR(Formulas!U65=0,Formulas!U65=""),"",HYPERLINK("["&amp;Archivo_Nombre&amp;"]Datos!"&amp;LEFT(SUBSTITUTE(ADDRESS(1,Formulas!U65+2),"$",""))&amp;Formulas!T65+1,
IFERROR(INDEX(Datos!$A$2:$L$101,Formulas!T65,Formulas!U65+2),"")))</f>
        <v>#VALUE!</v>
      </c>
      <c r="U67" s="5"/>
      <c r="V67" s="6"/>
      <c r="W67" s="24" t="str" cm="1">
        <f t="array" aca="1" ref="W67" ca="1">IF(OR(Formulas!Y64=0,Formulas!Y64="",RIGHT(Formulas!Z64)="0"),"",
HYPERLINK("["&amp;Archivo_Nombre&amp;"]Datos!"&amp;LEFT(SUBSTITUTE(ADDRESS(1,IF(Formulas!Y64=1,1,RIGHT(Formulas!Z64)+2)),"$",""))&amp;Formulas!X64+1,
IFERROR(INDEX(Datos!$A$1:$L$1,1,RIGHT(Formulas!Z64)+2)&amp;IF(Formulas!Y64=1," "&amp;Formulas!X64,"")&amp;":","")))</f>
        <v/>
      </c>
      <c r="X67" s="107" t="str" cm="1">
        <f t="array" aca="1" ref="X67" ca="1">IF(OR(Formulas!Y64=0,Formulas!Y64="",RIGHT(Formulas!Z64)="0"),"",
HYPERLINK("["&amp;Archivo_Nombre&amp;"]Datos!"&amp;LEFT(SUBSTITUTE(ADDRESS(1,RIGHT(Formulas!Z64)+2),"$",""))&amp;Formulas!X64+1,
IFERROR(INDEX(Datos!$A$2:$L$101,Formulas!X64,RIGHT(Formulas!Z64)+2),"")))</f>
        <v/>
      </c>
      <c r="Y67" s="107" t="str" cm="1">
        <f t="array" aca="1" ref="Y67" ca="1">IF(OR(Formulas!Z65=0,Formulas!Z65=""),"",HYPERLINK("["&amp;Archivo_Nombre&amp;"]Datos!"&amp;LEFT(SUBSTITUTE(ADDRESS(1,Formulas!Z65+2),"$",""))&amp;Formulas!Y65+1,
IFERROR(INDEX(Datos!$A$2:$L$101,Formulas!Y65,Formulas!Z65+2),"")))</f>
        <v/>
      </c>
      <c r="Z67" s="13"/>
      <c r="AA67" s="6"/>
      <c r="AB67" s="24" t="str" cm="1">
        <f t="array" aca="1" ref="AB67" ca="1">IF(OR(Formulas!AD64=0,Formulas!AD64="",RIGHT(Formulas!AE64)="0"),"",
HYPERLINK("["&amp;Archivo_Nombre&amp;"]Datos!"&amp;LEFT(SUBSTITUTE(ADDRESS(1,IF(Formulas!AD64=1,1,RIGHT(Formulas!AE64)+2)),"$",""))&amp;Formulas!AC64+1,
IFERROR(INDEX(Datos!$A$1:$L$1,1,RIGHT(Formulas!AE64)+2)&amp;IF(Formulas!AD64=1," "&amp;Formulas!AC64,"")&amp;":","")))</f>
        <v/>
      </c>
      <c r="AC67" s="107" t="str" cm="1">
        <f t="array" aca="1" ref="AC67" ca="1">IF(OR(Formulas!AD64=0,Formulas!AD64="",RIGHT(Formulas!AE64)="0"),"",
HYPERLINK("["&amp;Archivo_Nombre&amp;"]Datos!"&amp;LEFT(SUBSTITUTE(ADDRESS(1,RIGHT(Formulas!AE64)+2),"$",""))&amp;Formulas!AC64+1,
IFERROR(INDEX(Datos!$A$2:$L$101,Formulas!AC64,RIGHT(Formulas!AE64)+2),"")))</f>
        <v/>
      </c>
      <c r="AD67" s="107" t="str" cm="1">
        <f t="array" aca="1" ref="AD67" ca="1">IF(OR(Formulas!AE65=0,Formulas!AE65=""),"",HYPERLINK("["&amp;Archivo_Nombre&amp;"]Datos!"&amp;LEFT(SUBSTITUTE(ADDRESS(1,Formulas!AE65+2),"$",""))&amp;Formulas!AD65+1,
IFERROR(INDEX(Datos!$A$2:$L$101,Formulas!AD65,Formulas!AE65+2),"")))</f>
        <v/>
      </c>
      <c r="AE67" s="13"/>
      <c r="AF67" s="6"/>
      <c r="AG67" s="24" t="str" cm="1">
        <f t="array" aca="1" ref="AG67" ca="1">IF(OR(Formulas!AI64=0,Formulas!AI64="",RIGHT(Formulas!AJ64)="0"),"",
HYPERLINK("["&amp;Archivo_Nombre&amp;"]Datos!"&amp;LEFT(SUBSTITUTE(ADDRESS(1,IF(Formulas!AI64=1,1,RIGHT(Formulas!AJ64)+2)),"$",""))&amp;Formulas!AH64+1,
IFERROR(INDEX(Datos!$A$1:$L$1,1,RIGHT(Formulas!AJ64)+2)&amp;IF(Formulas!AI64=1," "&amp;Formulas!AH64,"")&amp;":","")))</f>
        <v/>
      </c>
      <c r="AH67" s="107" t="str" cm="1">
        <f t="array" aca="1" ref="AH67" ca="1">IF(OR(Formulas!AI64=0,Formulas!AI64="",RIGHT(Formulas!AJ64)="0"),"",
HYPERLINK("["&amp;Archivo_Nombre&amp;"]Datos!"&amp;LEFT(SUBSTITUTE(ADDRESS(1,RIGHT(Formulas!AJ64)+2),"$",""))&amp;Formulas!AH64+1,
IFERROR(INDEX(Datos!$A$2:$L$101,Formulas!AH64,RIGHT(Formulas!AJ64)+2),"")))</f>
        <v/>
      </c>
      <c r="AI67" s="107" t="str" cm="1">
        <f t="array" aca="1" ref="AI67" ca="1">IF(OR(Formulas!AJ65=0,Formulas!AJ65=""),"",HYPERLINK("["&amp;Archivo_Nombre&amp;"]Datos!"&amp;LEFT(SUBSTITUTE(ADDRESS(1,Formulas!AJ65+2),"$",""))&amp;Formulas!AI65+1,
IFERROR(INDEX(Datos!$A$2:$L$101,Formulas!AI65,Formulas!AJ65+2),"")))</f>
        <v/>
      </c>
      <c r="AJ67" s="13"/>
      <c r="AK67" s="6"/>
      <c r="AL67" s="24" t="str" cm="1">
        <f t="array" aca="1" ref="AL67" ca="1">IF(OR(Formulas!AN64=0,Formulas!AN64="",RIGHT(Formulas!AO64)="0"),"",
HYPERLINK("["&amp;Archivo_Nombre&amp;"]Datos!"&amp;LEFT(SUBSTITUTE(ADDRESS(1,IF(Formulas!AN64=1,1,RIGHT(Formulas!AO64)+2)),"$",""))&amp;Formulas!AM64+1,
IFERROR(INDEX(Datos!$A$1:$L$1,1,RIGHT(Formulas!AO64)+2)&amp;IF(Formulas!AN64=1," "&amp;Formulas!AM64,"")&amp;":","")))</f>
        <v/>
      </c>
      <c r="AM67" s="107" t="str" cm="1">
        <f t="array" aca="1" ref="AM67" ca="1">IF(OR(Formulas!AN64=0,Formulas!AN64="",RIGHT(Formulas!AO64)="0"),"",
HYPERLINK("["&amp;Archivo_Nombre&amp;"]Datos!"&amp;LEFT(SUBSTITUTE(ADDRESS(1,RIGHT(Formulas!AO64)+2),"$",""))&amp;Formulas!AM64+1,
IFERROR(INDEX(Datos!$A$2:$L$101,Formulas!AM64,RIGHT(Formulas!AO64)+2),"")))</f>
        <v/>
      </c>
      <c r="AN67" s="107" t="str" cm="1">
        <f t="array" aca="1" ref="AN67" ca="1">IF(OR(Formulas!AO65=0,Formulas!AO65=""),"",HYPERLINK("["&amp;Archivo_Nombre&amp;"]Datos!"&amp;LEFT(SUBSTITUTE(ADDRESS(1,Formulas!AO65+2),"$",""))&amp;Formulas!AN65+1,
IFERROR(INDEX(Datos!$A$2:$L$101,Formulas!AN65,Formulas!AO65+2),"")))</f>
        <v/>
      </c>
      <c r="AO67" s="13"/>
      <c r="AP67" s="6"/>
      <c r="AQ67" s="24" t="str" cm="1">
        <f t="array" aca="1" ref="AQ67" ca="1">IF(OR(Formulas!AS64=0,Formulas!AS64="",RIGHT(Formulas!AT64)="0"),"",
HYPERLINK("["&amp;Archivo_Nombre&amp;"]Datos!"&amp;LEFT(SUBSTITUTE(ADDRESS(1,IF(Formulas!AS64=1,1,RIGHT(Formulas!AT64)+2)),"$",""))&amp;Formulas!AR64+1,
IFERROR(INDEX(Datos!$A$1:$L$1,1,RIGHT(Formulas!AT64)+2)&amp;IF(Formulas!AS64=1," "&amp;Formulas!AR64,"")&amp;":","")))</f>
        <v/>
      </c>
      <c r="AR67" s="107" t="str" cm="1">
        <f t="array" aca="1" ref="AR67" ca="1">IF(OR(Formulas!AS64=0,Formulas!AS64="",RIGHT(Formulas!AT64)="0"),"",
HYPERLINK("["&amp;Archivo_Nombre&amp;"]Datos!"&amp;LEFT(SUBSTITUTE(ADDRESS(1,RIGHT(Formulas!AT64)+2),"$",""))&amp;Formulas!AR64+1,
IFERROR(INDEX(Datos!$A$2:$L$101,Formulas!AR64,RIGHT(Formulas!AT64)+2),"")))</f>
        <v/>
      </c>
      <c r="AS67" s="107" t="str" cm="1">
        <f t="array" aca="1" ref="AS67" ca="1">IF(OR(Formulas!AT65=0,Formulas!AT65=""),"",HYPERLINK("["&amp;Archivo_Nombre&amp;"]Datos!"&amp;LEFT(SUBSTITUTE(ADDRESS(1,Formulas!AT65+2),"$",""))&amp;Formulas!AS65+1,
IFERROR(INDEX(Datos!$A$2:$L$101,Formulas!AS65,Formulas!AT65+2),"")))</f>
        <v/>
      </c>
      <c r="AT67" s="13"/>
      <c r="AU67" s="6"/>
      <c r="AV67" s="24" t="str" cm="1">
        <f t="array" aca="1" ref="AV67" ca="1">IF(OR(Formulas!AX64=0,Formulas!AX64="",RIGHT(Formulas!AY64)="0"),"",
HYPERLINK("["&amp;Archivo_Nombre&amp;"]Datos!"&amp;LEFT(SUBSTITUTE(ADDRESS(1,IF(Formulas!AX64=1,1,RIGHT(Formulas!AY64)+2)),"$",""))&amp;Formulas!AW64+1,
IFERROR(INDEX(Datos!$A$1:$L$1,1,RIGHT(Formulas!AY64)+2)&amp;IF(Formulas!AX64=1," "&amp;Formulas!AW64,"")&amp;":","")))</f>
        <v/>
      </c>
      <c r="AW67" s="107" t="str" cm="1">
        <f t="array" aca="1" ref="AW67" ca="1">IF(OR(Formulas!AX64=0,Formulas!AX64="",RIGHT(Formulas!AY64)="0"),"",
HYPERLINK("["&amp;Archivo_Nombre&amp;"]Datos!"&amp;LEFT(SUBSTITUTE(ADDRESS(1,RIGHT(Formulas!AY64)+2),"$",""))&amp;Formulas!AW64+1,
IFERROR(INDEX(Datos!$A$2:$L$101,Formulas!AW64,RIGHT(Formulas!AY64)+2),"")))</f>
        <v/>
      </c>
      <c r="AX67" s="107" t="str" cm="1">
        <f t="array" aca="1" ref="AX67" ca="1">IF(OR(Formulas!AY65=0,Formulas!AY65=""),"",HYPERLINK("["&amp;Archivo_Nombre&amp;"]Datos!"&amp;LEFT(SUBSTITUTE(ADDRESS(1,Formulas!AY65+2),"$",""))&amp;Formulas!AX65+1,
IFERROR(INDEX(Datos!$A$2:$L$101,Formulas!AX65,Formulas!AY65+2),"")))</f>
        <v/>
      </c>
      <c r="AY67" s="13"/>
    </row>
    <row r="68" spans="2:51" x14ac:dyDescent="0.25">
      <c r="B68" s="11"/>
      <c r="C68" s="24" t="str" cm="1">
        <f t="array" aca="1" ref="C68" ca="1">IF(OR(Formulas!E65=0,Formulas!E65="",RIGHT(Formulas!F65)="0"),"",
HYPERLINK("["&amp;Archivo_Nombre&amp;"]Datos!"&amp;LEFT(SUBSTITUTE(ADDRESS(1,IF(Formulas!E65=1,1,RIGHT(Formulas!F65)+2)),"$",""))&amp;Formulas!D65+1,
IFERROR(INDEX(Datos!$A$1:$L$1,1,RIGHT(Formulas!F65)+2)&amp;IF(Formulas!E65=1," "&amp;Formulas!D65,"")&amp;":","")))</f>
        <v/>
      </c>
      <c r="D68" s="107" t="str" cm="1">
        <f t="array" aca="1" ref="D68" ca="1">IF(OR(Formulas!E65=0,Formulas!E65="",RIGHT(Formulas!F65)="0"),"",
HYPERLINK("["&amp;Archivo_Nombre&amp;"]Datos!"&amp;LEFT(SUBSTITUTE(ADDRESS(1,RIGHT(Formulas!F65)+2),"$",""))&amp;Formulas!D65+1,
IFERROR(INDEX(Datos!$A$2:$L$101,Formulas!D65,RIGHT(Formulas!F65)+2),"")))</f>
        <v/>
      </c>
      <c r="E68" s="107" t="str" cm="1">
        <f t="array" aca="1" ref="E68" ca="1">IF(OR(Formulas!F66=0,Formulas!F66=""),"",HYPERLINK("["&amp;Archivo_Nombre&amp;"]Datos!"&amp;LEFT(SUBSTITUTE(ADDRESS(1,Formulas!F66+2),"$",""))&amp;Formulas!E66+1,
IFERROR(INDEX(Datos!$A$2:$L$101,Formulas!E66,Formulas!F66+2),"")))</f>
        <v/>
      </c>
      <c r="F68" s="5"/>
      <c r="G68" s="6"/>
      <c r="H68" s="24" t="str" cm="1">
        <f t="array" aca="1" ref="H68" ca="1">IF(OR(Formulas!J65=0,Formulas!J65="",RIGHT(Formulas!K65)="0"),"",
HYPERLINK("["&amp;Archivo_Nombre&amp;"]Datos!"&amp;LEFT(SUBSTITUTE(ADDRESS(1,IF(Formulas!J65=1,1,RIGHT(Formulas!K65)+2)),"$",""))&amp;Formulas!I65+1,
IFERROR(INDEX(Datos!$A$1:$L$1,1,RIGHT(Formulas!K65)+2)&amp;IF(Formulas!J65=1," "&amp;Formulas!I65,"")&amp;":","")))</f>
        <v/>
      </c>
      <c r="I68" s="107" t="str" cm="1">
        <f t="array" aca="1" ref="I68" ca="1">IF(OR(Formulas!J65=0,Formulas!J65="",RIGHT(Formulas!K65)="0"),"",
HYPERLINK("["&amp;Archivo_Nombre&amp;"]Datos!"&amp;LEFT(SUBSTITUTE(ADDRESS(1,RIGHT(Formulas!K65)+2),"$",""))&amp;Formulas!I65+1,
IFERROR(INDEX(Datos!$A$2:$L$101,Formulas!I65,RIGHT(Formulas!K65)+2),"")))</f>
        <v/>
      </c>
      <c r="J68" s="107" t="str" cm="1">
        <f t="array" aca="1" ref="J68" ca="1">IF(OR(Formulas!K66=0,Formulas!K66=""),"",HYPERLINK("["&amp;Archivo_Nombre&amp;"]Datos!"&amp;LEFT(SUBSTITUTE(ADDRESS(1,Formulas!K66+2),"$",""))&amp;Formulas!J66+1,
IFERROR(INDEX(Datos!$A$2:$L$101,Formulas!J66,Formulas!K66+2),"")))</f>
        <v/>
      </c>
      <c r="K68" s="5"/>
      <c r="L68" s="6"/>
      <c r="M68" s="24" t="str" cm="1">
        <f t="array" aca="1" ref="M68" ca="1">IF(OR(Formulas!O65=0,Formulas!O65="",RIGHT(Formulas!P65)="0"),"",
HYPERLINK("["&amp;Archivo_Nombre&amp;"]Datos!"&amp;LEFT(SUBSTITUTE(ADDRESS(1,IF(Formulas!O65=1,1,RIGHT(Formulas!P65)+2)),"$",""))&amp;Formulas!N65+1,
IFERROR(INDEX(Datos!$A$1:$L$1,1,RIGHT(Formulas!P65)+2)&amp;IF(Formulas!O65=1," "&amp;Formulas!N65,"")&amp;":","")))</f>
        <v/>
      </c>
      <c r="N68" s="107" t="str" cm="1">
        <f t="array" aca="1" ref="N68" ca="1">IF(OR(Formulas!O65=0,Formulas!O65="",RIGHT(Formulas!P65)="0"),"",
HYPERLINK("["&amp;Archivo_Nombre&amp;"]Datos!"&amp;LEFT(SUBSTITUTE(ADDRESS(1,RIGHT(Formulas!P65)+2),"$",""))&amp;Formulas!N65+1,
IFERROR(INDEX(Datos!$A$2:$L$101,Formulas!N65,RIGHT(Formulas!P65)+2),"")))</f>
        <v/>
      </c>
      <c r="O68" s="107" t="str" cm="1">
        <f t="array" aca="1" ref="O68" ca="1">IF(OR(Formulas!P66=0,Formulas!P66=""),"",HYPERLINK("["&amp;Archivo_Nombre&amp;"]Datos!"&amp;LEFT(SUBSTITUTE(ADDRESS(1,Formulas!P66+2),"$",""))&amp;Formulas!O66+1,
IFERROR(INDEX(Datos!$A$2:$L$101,Formulas!O66,Formulas!P66+2),"")))</f>
        <v/>
      </c>
      <c r="P68" s="5"/>
      <c r="Q68" s="6"/>
      <c r="R68" s="24" t="str" cm="1">
        <f t="array" aca="1" ref="R68" ca="1">IF(OR(Formulas!T65=0,Formulas!T65="",RIGHT(Formulas!U65)="0"),"",
HYPERLINK("["&amp;Archivo_Nombre&amp;"]Datos!"&amp;LEFT(SUBSTITUTE(ADDRESS(1,IF(Formulas!T65=1,1,RIGHT(Formulas!U65)+2)),"$",""))&amp;Formulas!S65+1,
IFERROR(INDEX(Datos!$A$1:$L$1,1,RIGHT(Formulas!U65)+2)&amp;IF(Formulas!T65=1," "&amp;Formulas!S65,"")&amp;":","")))</f>
        <v>Descripción:</v>
      </c>
      <c r="S68" s="107" t="str" cm="1">
        <f t="array" aca="1" ref="S68" ca="1">IF(OR(Formulas!T65=0,Formulas!T65="",RIGHT(Formulas!U65)="0"),"",
HYPERLINK("["&amp;Archivo_Nombre&amp;"]Datos!"&amp;LEFT(SUBSTITUTE(ADDRESS(1,RIGHT(Formulas!U65)+2),"$",""))&amp;Formulas!S65+1,
IFERROR(INDEX(Datos!$A$2:$L$101,Formulas!S65,RIGHT(Formulas!U65)+2),"")))</f>
        <v>Presentación RQ001,RQ002,RQ003 Funcional (video)</v>
      </c>
      <c r="T68" s="107" t="e" cm="1">
        <f t="array" aca="1" ref="T68" ca="1">IF(OR(Formulas!U66=0,Formulas!U66=""),"",HYPERLINK("["&amp;Archivo_Nombre&amp;"]Datos!"&amp;LEFT(SUBSTITUTE(ADDRESS(1,Formulas!U66+2),"$",""))&amp;Formulas!T66+1,
IFERROR(INDEX(Datos!$A$2:$L$101,Formulas!T66,Formulas!U66+2),"")))</f>
        <v>#VALUE!</v>
      </c>
      <c r="U68" s="5"/>
      <c r="V68" s="6"/>
      <c r="W68" s="24" t="str" cm="1">
        <f t="array" aca="1" ref="W68" ca="1">IF(OR(Formulas!Y65=0,Formulas!Y65="",RIGHT(Formulas!Z65)="0"),"",
HYPERLINK("["&amp;Archivo_Nombre&amp;"]Datos!"&amp;LEFT(SUBSTITUTE(ADDRESS(1,IF(Formulas!Y65=1,1,RIGHT(Formulas!Z65)+2)),"$",""))&amp;Formulas!X65+1,
IFERROR(INDEX(Datos!$A$1:$L$1,1,RIGHT(Formulas!Z65)+2)&amp;IF(Formulas!Y65=1," "&amp;Formulas!X65,"")&amp;":","")))</f>
        <v/>
      </c>
      <c r="X68" s="107" t="str" cm="1">
        <f t="array" aca="1" ref="X68" ca="1">IF(OR(Formulas!Y65=0,Formulas!Y65="",RIGHT(Formulas!Z65)="0"),"",
HYPERLINK("["&amp;Archivo_Nombre&amp;"]Datos!"&amp;LEFT(SUBSTITUTE(ADDRESS(1,RIGHT(Formulas!Z65)+2),"$",""))&amp;Formulas!X65+1,
IFERROR(INDEX(Datos!$A$2:$L$101,Formulas!X65,RIGHT(Formulas!Z65)+2),"")))</f>
        <v/>
      </c>
      <c r="Y68" s="107" t="str" cm="1">
        <f t="array" aca="1" ref="Y68" ca="1">IF(OR(Formulas!Z66=0,Formulas!Z66=""),"",HYPERLINK("["&amp;Archivo_Nombre&amp;"]Datos!"&amp;LEFT(SUBSTITUTE(ADDRESS(1,Formulas!Z66+2),"$",""))&amp;Formulas!Y66+1,
IFERROR(INDEX(Datos!$A$2:$L$101,Formulas!Y66,Formulas!Z66+2),"")))</f>
        <v/>
      </c>
      <c r="Z68" s="13"/>
      <c r="AA68" s="6"/>
      <c r="AB68" s="24" t="str" cm="1">
        <f t="array" aca="1" ref="AB68" ca="1">IF(OR(Formulas!AD65=0,Formulas!AD65="",RIGHT(Formulas!AE65)="0"),"",
HYPERLINK("["&amp;Archivo_Nombre&amp;"]Datos!"&amp;LEFT(SUBSTITUTE(ADDRESS(1,IF(Formulas!AD65=1,1,RIGHT(Formulas!AE65)+2)),"$",""))&amp;Formulas!AC65+1,
IFERROR(INDEX(Datos!$A$1:$L$1,1,RIGHT(Formulas!AE65)+2)&amp;IF(Formulas!AD65=1," "&amp;Formulas!AC65,"")&amp;":","")))</f>
        <v/>
      </c>
      <c r="AC68" s="107" t="str" cm="1">
        <f t="array" aca="1" ref="AC68" ca="1">IF(OR(Formulas!AD65=0,Formulas!AD65="",RIGHT(Formulas!AE65)="0"),"",
HYPERLINK("["&amp;Archivo_Nombre&amp;"]Datos!"&amp;LEFT(SUBSTITUTE(ADDRESS(1,RIGHT(Formulas!AE65)+2),"$",""))&amp;Formulas!AC65+1,
IFERROR(INDEX(Datos!$A$2:$L$101,Formulas!AC65,RIGHT(Formulas!AE65)+2),"")))</f>
        <v/>
      </c>
      <c r="AD68" s="107" t="str" cm="1">
        <f t="array" aca="1" ref="AD68" ca="1">IF(OR(Formulas!AE66=0,Formulas!AE66=""),"",HYPERLINK("["&amp;Archivo_Nombre&amp;"]Datos!"&amp;LEFT(SUBSTITUTE(ADDRESS(1,Formulas!AE66+2),"$",""))&amp;Formulas!AD66+1,
IFERROR(INDEX(Datos!$A$2:$L$101,Formulas!AD66,Formulas!AE66+2),"")))</f>
        <v/>
      </c>
      <c r="AE68" s="13"/>
      <c r="AF68" s="6"/>
      <c r="AG68" s="24" t="str" cm="1">
        <f t="array" aca="1" ref="AG68" ca="1">IF(OR(Formulas!AI65=0,Formulas!AI65="",RIGHT(Formulas!AJ65)="0"),"",
HYPERLINK("["&amp;Archivo_Nombre&amp;"]Datos!"&amp;LEFT(SUBSTITUTE(ADDRESS(1,IF(Formulas!AI65=1,1,RIGHT(Formulas!AJ65)+2)),"$",""))&amp;Formulas!AH65+1,
IFERROR(INDEX(Datos!$A$1:$L$1,1,RIGHT(Formulas!AJ65)+2)&amp;IF(Formulas!AI65=1," "&amp;Formulas!AH65,"")&amp;":","")))</f>
        <v/>
      </c>
      <c r="AH68" s="107" t="str" cm="1">
        <f t="array" aca="1" ref="AH68" ca="1">IF(OR(Formulas!AI65=0,Formulas!AI65="",RIGHT(Formulas!AJ65)="0"),"",
HYPERLINK("["&amp;Archivo_Nombre&amp;"]Datos!"&amp;LEFT(SUBSTITUTE(ADDRESS(1,RIGHT(Formulas!AJ65)+2),"$",""))&amp;Formulas!AH65+1,
IFERROR(INDEX(Datos!$A$2:$L$101,Formulas!AH65,RIGHT(Formulas!AJ65)+2),"")))</f>
        <v/>
      </c>
      <c r="AI68" s="107" t="str" cm="1">
        <f t="array" aca="1" ref="AI68" ca="1">IF(OR(Formulas!AJ66=0,Formulas!AJ66=""),"",HYPERLINK("["&amp;Archivo_Nombre&amp;"]Datos!"&amp;LEFT(SUBSTITUTE(ADDRESS(1,Formulas!AJ66+2),"$",""))&amp;Formulas!AI66+1,
IFERROR(INDEX(Datos!$A$2:$L$101,Formulas!AI66,Formulas!AJ66+2),"")))</f>
        <v/>
      </c>
      <c r="AJ68" s="13"/>
      <c r="AK68" s="6"/>
      <c r="AL68" s="24" t="str" cm="1">
        <f t="array" aca="1" ref="AL68" ca="1">IF(OR(Formulas!AN65=0,Formulas!AN65="",RIGHT(Formulas!AO65)="0"),"",
HYPERLINK("["&amp;Archivo_Nombre&amp;"]Datos!"&amp;LEFT(SUBSTITUTE(ADDRESS(1,IF(Formulas!AN65=1,1,RIGHT(Formulas!AO65)+2)),"$",""))&amp;Formulas!AM65+1,
IFERROR(INDEX(Datos!$A$1:$L$1,1,RIGHT(Formulas!AO65)+2)&amp;IF(Formulas!AN65=1," "&amp;Formulas!AM65,"")&amp;":","")))</f>
        <v/>
      </c>
      <c r="AM68" s="107" t="str" cm="1">
        <f t="array" aca="1" ref="AM68" ca="1">IF(OR(Formulas!AN65=0,Formulas!AN65="",RIGHT(Formulas!AO65)="0"),"",
HYPERLINK("["&amp;Archivo_Nombre&amp;"]Datos!"&amp;LEFT(SUBSTITUTE(ADDRESS(1,RIGHT(Formulas!AO65)+2),"$",""))&amp;Formulas!AM65+1,
IFERROR(INDEX(Datos!$A$2:$L$101,Formulas!AM65,RIGHT(Formulas!AO65)+2),"")))</f>
        <v/>
      </c>
      <c r="AN68" s="107" t="str" cm="1">
        <f t="array" aca="1" ref="AN68" ca="1">IF(OR(Formulas!AO66=0,Formulas!AO66=""),"",HYPERLINK("["&amp;Archivo_Nombre&amp;"]Datos!"&amp;LEFT(SUBSTITUTE(ADDRESS(1,Formulas!AO66+2),"$",""))&amp;Formulas!AN66+1,
IFERROR(INDEX(Datos!$A$2:$L$101,Formulas!AN66,Formulas!AO66+2),"")))</f>
        <v/>
      </c>
      <c r="AO68" s="13"/>
      <c r="AP68" s="6"/>
      <c r="AQ68" s="24" t="str" cm="1">
        <f t="array" aca="1" ref="AQ68" ca="1">IF(OR(Formulas!AS65=0,Formulas!AS65="",RIGHT(Formulas!AT65)="0"),"",
HYPERLINK("["&amp;Archivo_Nombre&amp;"]Datos!"&amp;LEFT(SUBSTITUTE(ADDRESS(1,IF(Formulas!AS65=1,1,RIGHT(Formulas!AT65)+2)),"$",""))&amp;Formulas!AR65+1,
IFERROR(INDEX(Datos!$A$1:$L$1,1,RIGHT(Formulas!AT65)+2)&amp;IF(Formulas!AS65=1," "&amp;Formulas!AR65,"")&amp;":","")))</f>
        <v/>
      </c>
      <c r="AR68" s="107" t="str" cm="1">
        <f t="array" aca="1" ref="AR68" ca="1">IF(OR(Formulas!AS65=0,Formulas!AS65="",RIGHT(Formulas!AT65)="0"),"",
HYPERLINK("["&amp;Archivo_Nombre&amp;"]Datos!"&amp;LEFT(SUBSTITUTE(ADDRESS(1,RIGHT(Formulas!AT65)+2),"$",""))&amp;Formulas!AR65+1,
IFERROR(INDEX(Datos!$A$2:$L$101,Formulas!AR65,RIGHT(Formulas!AT65)+2),"")))</f>
        <v/>
      </c>
      <c r="AS68" s="107" t="str" cm="1">
        <f t="array" aca="1" ref="AS68" ca="1">IF(OR(Formulas!AT66=0,Formulas!AT66=""),"",HYPERLINK("["&amp;Archivo_Nombre&amp;"]Datos!"&amp;LEFT(SUBSTITUTE(ADDRESS(1,Formulas!AT66+2),"$",""))&amp;Formulas!AS66+1,
IFERROR(INDEX(Datos!$A$2:$L$101,Formulas!AS66,Formulas!AT66+2),"")))</f>
        <v/>
      </c>
      <c r="AT68" s="13"/>
      <c r="AU68" s="6"/>
      <c r="AV68" s="24" t="str" cm="1">
        <f t="array" aca="1" ref="AV68" ca="1">IF(OR(Formulas!AX65=0,Formulas!AX65="",RIGHT(Formulas!AY65)="0"),"",
HYPERLINK("["&amp;Archivo_Nombre&amp;"]Datos!"&amp;LEFT(SUBSTITUTE(ADDRESS(1,IF(Formulas!AX65=1,1,RIGHT(Formulas!AY65)+2)),"$",""))&amp;Formulas!AW65+1,
IFERROR(INDEX(Datos!$A$1:$L$1,1,RIGHT(Formulas!AY65)+2)&amp;IF(Formulas!AX65=1," "&amp;Formulas!AW65,"")&amp;":","")))</f>
        <v/>
      </c>
      <c r="AW68" s="107" t="str" cm="1">
        <f t="array" aca="1" ref="AW68" ca="1">IF(OR(Formulas!AX65=0,Formulas!AX65="",RIGHT(Formulas!AY65)="0"),"",
HYPERLINK("["&amp;Archivo_Nombre&amp;"]Datos!"&amp;LEFT(SUBSTITUTE(ADDRESS(1,RIGHT(Formulas!AY65)+2),"$",""))&amp;Formulas!AW65+1,
IFERROR(INDEX(Datos!$A$2:$L$101,Formulas!AW65,RIGHT(Formulas!AY65)+2),"")))</f>
        <v/>
      </c>
      <c r="AX68" s="107" t="str" cm="1">
        <f t="array" aca="1" ref="AX68" ca="1">IF(OR(Formulas!AY66=0,Formulas!AY66=""),"",HYPERLINK("["&amp;Archivo_Nombre&amp;"]Datos!"&amp;LEFT(SUBSTITUTE(ADDRESS(1,Formulas!AY66+2),"$",""))&amp;Formulas!AX66+1,
IFERROR(INDEX(Datos!$A$2:$L$101,Formulas!AX66,Formulas!AY66+2),"")))</f>
        <v/>
      </c>
      <c r="AY68" s="13"/>
    </row>
    <row r="69" spans="2:51" x14ac:dyDescent="0.25">
      <c r="B69" s="11"/>
      <c r="C69" s="24" t="str" cm="1">
        <f t="array" aca="1" ref="C69" ca="1">IF(OR(Formulas!E66=0,Formulas!E66="",RIGHT(Formulas!F66)="0"),"",
HYPERLINK("["&amp;Archivo_Nombre&amp;"]Datos!"&amp;LEFT(SUBSTITUTE(ADDRESS(1,IF(Formulas!E66=1,1,RIGHT(Formulas!F66)+2)),"$",""))&amp;Formulas!D66+1,
IFERROR(INDEX(Datos!$A$1:$L$1,1,RIGHT(Formulas!F66)+2)&amp;IF(Formulas!E66=1," "&amp;Formulas!D66,"")&amp;":","")))</f>
        <v/>
      </c>
      <c r="D69" s="107" t="str" cm="1">
        <f t="array" aca="1" ref="D69" ca="1">IF(OR(Formulas!E66=0,Formulas!E66="",RIGHT(Formulas!F66)="0"),"",
HYPERLINK("["&amp;Archivo_Nombre&amp;"]Datos!"&amp;LEFT(SUBSTITUTE(ADDRESS(1,RIGHT(Formulas!F66)+2),"$",""))&amp;Formulas!D66+1,
IFERROR(INDEX(Datos!$A$2:$L$101,Formulas!D66,RIGHT(Formulas!F66)+2),"")))</f>
        <v/>
      </c>
      <c r="E69" s="107" t="str" cm="1">
        <f t="array" aca="1" ref="E69" ca="1">IF(OR(Formulas!F67=0,Formulas!F67=""),"",HYPERLINK("["&amp;Archivo_Nombre&amp;"]Datos!"&amp;LEFT(SUBSTITUTE(ADDRESS(1,Formulas!F67+2),"$",""))&amp;Formulas!E67+1,
IFERROR(INDEX(Datos!$A$2:$L$101,Formulas!E67,Formulas!F67+2),"")))</f>
        <v/>
      </c>
      <c r="F69" s="5"/>
      <c r="G69" s="6"/>
      <c r="H69" s="24" t="str" cm="1">
        <f t="array" aca="1" ref="H69" ca="1">IF(OR(Formulas!J66=0,Formulas!J66="",RIGHT(Formulas!K66)="0"),"",
HYPERLINK("["&amp;Archivo_Nombre&amp;"]Datos!"&amp;LEFT(SUBSTITUTE(ADDRESS(1,IF(Formulas!J66=1,1,RIGHT(Formulas!K66)+2)),"$",""))&amp;Formulas!I66+1,
IFERROR(INDEX(Datos!$A$1:$L$1,1,RIGHT(Formulas!K66)+2)&amp;IF(Formulas!J66=1," "&amp;Formulas!I66,"")&amp;":","")))</f>
        <v/>
      </c>
      <c r="I69" s="107" t="str" cm="1">
        <f t="array" aca="1" ref="I69" ca="1">IF(OR(Formulas!J66=0,Formulas!J66="",RIGHT(Formulas!K66)="0"),"",
HYPERLINK("["&amp;Archivo_Nombre&amp;"]Datos!"&amp;LEFT(SUBSTITUTE(ADDRESS(1,RIGHT(Formulas!K66)+2),"$",""))&amp;Formulas!I66+1,
IFERROR(INDEX(Datos!$A$2:$L$101,Formulas!I66,RIGHT(Formulas!K66)+2),"")))</f>
        <v/>
      </c>
      <c r="J69" s="107" t="str" cm="1">
        <f t="array" aca="1" ref="J69" ca="1">IF(OR(Formulas!K67=0,Formulas!K67=""),"",HYPERLINK("["&amp;Archivo_Nombre&amp;"]Datos!"&amp;LEFT(SUBSTITUTE(ADDRESS(1,Formulas!K67+2),"$",""))&amp;Formulas!J67+1,
IFERROR(INDEX(Datos!$A$2:$L$101,Formulas!J67,Formulas!K67+2),"")))</f>
        <v/>
      </c>
      <c r="K69" s="5"/>
      <c r="L69" s="6"/>
      <c r="M69" s="24" t="str" cm="1">
        <f t="array" aca="1" ref="M69" ca="1">IF(OR(Formulas!O66=0,Formulas!O66="",RIGHT(Formulas!P66)="0"),"",
HYPERLINK("["&amp;Archivo_Nombre&amp;"]Datos!"&amp;LEFT(SUBSTITUTE(ADDRESS(1,IF(Formulas!O66=1,1,RIGHT(Formulas!P66)+2)),"$",""))&amp;Formulas!N66+1,
IFERROR(INDEX(Datos!$A$1:$L$1,1,RIGHT(Formulas!P66)+2)&amp;IF(Formulas!O66=1," "&amp;Formulas!N66,"")&amp;":","")))</f>
        <v/>
      </c>
      <c r="N69" s="107" t="str" cm="1">
        <f t="array" aca="1" ref="N69" ca="1">IF(OR(Formulas!O66=0,Formulas!O66="",RIGHT(Formulas!P66)="0"),"",
HYPERLINK("["&amp;Archivo_Nombre&amp;"]Datos!"&amp;LEFT(SUBSTITUTE(ADDRESS(1,RIGHT(Formulas!P66)+2),"$",""))&amp;Formulas!N66+1,
IFERROR(INDEX(Datos!$A$2:$L$101,Formulas!N66,RIGHT(Formulas!P66)+2),"")))</f>
        <v/>
      </c>
      <c r="O69" s="107" t="str" cm="1">
        <f t="array" aca="1" ref="O69" ca="1">IF(OR(Formulas!P67=0,Formulas!P67=""),"",HYPERLINK("["&amp;Archivo_Nombre&amp;"]Datos!"&amp;LEFT(SUBSTITUTE(ADDRESS(1,Formulas!P67+2),"$",""))&amp;Formulas!O67+1,
IFERROR(INDEX(Datos!$A$2:$L$101,Formulas!O67,Formulas!P67+2),"")))</f>
        <v/>
      </c>
      <c r="P69" s="5"/>
      <c r="Q69" s="6"/>
      <c r="R69" s="24" t="str" cm="1">
        <f t="array" aca="1" ref="R69" ca="1">IF(OR(Formulas!T66=0,Formulas!T66="",RIGHT(Formulas!U66)="0"),"",
HYPERLINK("["&amp;Archivo_Nombre&amp;"]Datos!"&amp;LEFT(SUBSTITUTE(ADDRESS(1,IF(Formulas!T66=1,1,RIGHT(Formulas!U66)+2)),"$",""))&amp;Formulas!S66+1,
IFERROR(INDEX(Datos!$A$1:$L$1,1,RIGHT(Formulas!U66)+2)&amp;IF(Formulas!T66=1," "&amp;Formulas!S66,"")&amp;":","")))</f>
        <v>Inicio:</v>
      </c>
      <c r="S69" s="107" cm="1">
        <f t="array" aca="1" ref="S69" ca="1">IF(OR(Formulas!T66=0,Formulas!T66="",RIGHT(Formulas!U66)="0"),"",
HYPERLINK("["&amp;Archivo_Nombre&amp;"]Datos!"&amp;LEFT(SUBSTITUTE(ADDRESS(1,RIGHT(Formulas!U66)+2),"$",""))&amp;Formulas!S66+1,
IFERROR(INDEX(Datos!$A$2:$L$101,Formulas!S66,RIGHT(Formulas!U66)+2),"")))</f>
        <v>45813</v>
      </c>
      <c r="T69" s="107" t="e" cm="1">
        <f t="array" aca="1" ref="T69" ca="1">IF(OR(Formulas!U67=0,Formulas!U67=""),"",HYPERLINK("["&amp;Archivo_Nombre&amp;"]Datos!"&amp;LEFT(SUBSTITUTE(ADDRESS(1,Formulas!U67+2),"$",""))&amp;Formulas!T67+1,
IFERROR(INDEX(Datos!$A$2:$L$101,Formulas!T67,Formulas!U67+2),"")))</f>
        <v>#VALUE!</v>
      </c>
      <c r="U69" s="5"/>
      <c r="V69" s="6"/>
      <c r="W69" s="24" t="str" cm="1">
        <f t="array" aca="1" ref="W69" ca="1">IF(OR(Formulas!Y66=0,Formulas!Y66="",RIGHT(Formulas!Z66)="0"),"",
HYPERLINK("["&amp;Archivo_Nombre&amp;"]Datos!"&amp;LEFT(SUBSTITUTE(ADDRESS(1,IF(Formulas!Y66=1,1,RIGHT(Formulas!Z66)+2)),"$",""))&amp;Formulas!X66+1,
IFERROR(INDEX(Datos!$A$1:$L$1,1,RIGHT(Formulas!Z66)+2)&amp;IF(Formulas!Y66=1," "&amp;Formulas!X66,"")&amp;":","")))</f>
        <v/>
      </c>
      <c r="X69" s="107" t="str" cm="1">
        <f t="array" aca="1" ref="X69" ca="1">IF(OR(Formulas!Y66=0,Formulas!Y66="",RIGHT(Formulas!Z66)="0"),"",
HYPERLINK("["&amp;Archivo_Nombre&amp;"]Datos!"&amp;LEFT(SUBSTITUTE(ADDRESS(1,RIGHT(Formulas!Z66)+2),"$",""))&amp;Formulas!X66+1,
IFERROR(INDEX(Datos!$A$2:$L$101,Formulas!X66,RIGHT(Formulas!Z66)+2),"")))</f>
        <v/>
      </c>
      <c r="Y69" s="107" t="str" cm="1">
        <f t="array" aca="1" ref="Y69" ca="1">IF(OR(Formulas!Z67=0,Formulas!Z67=""),"",HYPERLINK("["&amp;Archivo_Nombre&amp;"]Datos!"&amp;LEFT(SUBSTITUTE(ADDRESS(1,Formulas!Z67+2),"$",""))&amp;Formulas!Y67+1,
IFERROR(INDEX(Datos!$A$2:$L$101,Formulas!Y67,Formulas!Z67+2),"")))</f>
        <v/>
      </c>
      <c r="Z69" s="13"/>
      <c r="AA69" s="6"/>
      <c r="AB69" s="24" t="str" cm="1">
        <f t="array" aca="1" ref="AB69" ca="1">IF(OR(Formulas!AD66=0,Formulas!AD66="",RIGHT(Formulas!AE66)="0"),"",
HYPERLINK("["&amp;Archivo_Nombre&amp;"]Datos!"&amp;LEFT(SUBSTITUTE(ADDRESS(1,IF(Formulas!AD66=1,1,RIGHT(Formulas!AE66)+2)),"$",""))&amp;Formulas!AC66+1,
IFERROR(INDEX(Datos!$A$1:$L$1,1,RIGHT(Formulas!AE66)+2)&amp;IF(Formulas!AD66=1," "&amp;Formulas!AC66,"")&amp;":","")))</f>
        <v/>
      </c>
      <c r="AC69" s="107" t="str" cm="1">
        <f t="array" aca="1" ref="AC69" ca="1">IF(OR(Formulas!AD66=0,Formulas!AD66="",RIGHT(Formulas!AE66)="0"),"",
HYPERLINK("["&amp;Archivo_Nombre&amp;"]Datos!"&amp;LEFT(SUBSTITUTE(ADDRESS(1,RIGHT(Formulas!AE66)+2),"$",""))&amp;Formulas!AC66+1,
IFERROR(INDEX(Datos!$A$2:$L$101,Formulas!AC66,RIGHT(Formulas!AE66)+2),"")))</f>
        <v/>
      </c>
      <c r="AD69" s="107" t="str" cm="1">
        <f t="array" aca="1" ref="AD69" ca="1">IF(OR(Formulas!AE67=0,Formulas!AE67=""),"",HYPERLINK("["&amp;Archivo_Nombre&amp;"]Datos!"&amp;LEFT(SUBSTITUTE(ADDRESS(1,Formulas!AE67+2),"$",""))&amp;Formulas!AD67+1,
IFERROR(INDEX(Datos!$A$2:$L$101,Formulas!AD67,Formulas!AE67+2),"")))</f>
        <v/>
      </c>
      <c r="AE69" s="13"/>
      <c r="AF69" s="6"/>
      <c r="AG69" s="24" t="str" cm="1">
        <f t="array" aca="1" ref="AG69" ca="1">IF(OR(Formulas!AI66=0,Formulas!AI66="",RIGHT(Formulas!AJ66)="0"),"",
HYPERLINK("["&amp;Archivo_Nombre&amp;"]Datos!"&amp;LEFT(SUBSTITUTE(ADDRESS(1,IF(Formulas!AI66=1,1,RIGHT(Formulas!AJ66)+2)),"$",""))&amp;Formulas!AH66+1,
IFERROR(INDEX(Datos!$A$1:$L$1,1,RIGHT(Formulas!AJ66)+2)&amp;IF(Formulas!AI66=1," "&amp;Formulas!AH66,"")&amp;":","")))</f>
        <v/>
      </c>
      <c r="AH69" s="107" t="str" cm="1">
        <f t="array" aca="1" ref="AH69" ca="1">IF(OR(Formulas!AI66=0,Formulas!AI66="",RIGHT(Formulas!AJ66)="0"),"",
HYPERLINK("["&amp;Archivo_Nombre&amp;"]Datos!"&amp;LEFT(SUBSTITUTE(ADDRESS(1,RIGHT(Formulas!AJ66)+2),"$",""))&amp;Formulas!AH66+1,
IFERROR(INDEX(Datos!$A$2:$L$101,Formulas!AH66,RIGHT(Formulas!AJ66)+2),"")))</f>
        <v/>
      </c>
      <c r="AI69" s="107" t="str" cm="1">
        <f t="array" aca="1" ref="AI69" ca="1">IF(OR(Formulas!AJ67=0,Formulas!AJ67=""),"",HYPERLINK("["&amp;Archivo_Nombre&amp;"]Datos!"&amp;LEFT(SUBSTITUTE(ADDRESS(1,Formulas!AJ67+2),"$",""))&amp;Formulas!AI67+1,
IFERROR(INDEX(Datos!$A$2:$L$101,Formulas!AI67,Formulas!AJ67+2),"")))</f>
        <v/>
      </c>
      <c r="AJ69" s="13"/>
      <c r="AK69" s="6"/>
      <c r="AL69" s="24" t="str" cm="1">
        <f t="array" aca="1" ref="AL69" ca="1">IF(OR(Formulas!AN66=0,Formulas!AN66="",RIGHT(Formulas!AO66)="0"),"",
HYPERLINK("["&amp;Archivo_Nombre&amp;"]Datos!"&amp;LEFT(SUBSTITUTE(ADDRESS(1,IF(Formulas!AN66=1,1,RIGHT(Formulas!AO66)+2)),"$",""))&amp;Formulas!AM66+1,
IFERROR(INDEX(Datos!$A$1:$L$1,1,RIGHT(Formulas!AO66)+2)&amp;IF(Formulas!AN66=1," "&amp;Formulas!AM66,"")&amp;":","")))</f>
        <v/>
      </c>
      <c r="AM69" s="107" t="str" cm="1">
        <f t="array" aca="1" ref="AM69" ca="1">IF(OR(Formulas!AN66=0,Formulas!AN66="",RIGHT(Formulas!AO66)="0"),"",
HYPERLINK("["&amp;Archivo_Nombre&amp;"]Datos!"&amp;LEFT(SUBSTITUTE(ADDRESS(1,RIGHT(Formulas!AO66)+2),"$",""))&amp;Formulas!AM66+1,
IFERROR(INDEX(Datos!$A$2:$L$101,Formulas!AM66,RIGHT(Formulas!AO66)+2),"")))</f>
        <v/>
      </c>
      <c r="AN69" s="107" t="str" cm="1">
        <f t="array" aca="1" ref="AN69" ca="1">IF(OR(Formulas!AO67=0,Formulas!AO67=""),"",HYPERLINK("["&amp;Archivo_Nombre&amp;"]Datos!"&amp;LEFT(SUBSTITUTE(ADDRESS(1,Formulas!AO67+2),"$",""))&amp;Formulas!AN67+1,
IFERROR(INDEX(Datos!$A$2:$L$101,Formulas!AN67,Formulas!AO67+2),"")))</f>
        <v/>
      </c>
      <c r="AO69" s="13"/>
      <c r="AP69" s="6"/>
      <c r="AQ69" s="24" t="str" cm="1">
        <f t="array" aca="1" ref="AQ69" ca="1">IF(OR(Formulas!AS66=0,Formulas!AS66="",RIGHT(Formulas!AT66)="0"),"",
HYPERLINK("["&amp;Archivo_Nombre&amp;"]Datos!"&amp;LEFT(SUBSTITUTE(ADDRESS(1,IF(Formulas!AS66=1,1,RIGHT(Formulas!AT66)+2)),"$",""))&amp;Formulas!AR66+1,
IFERROR(INDEX(Datos!$A$1:$L$1,1,RIGHT(Formulas!AT66)+2)&amp;IF(Formulas!AS66=1," "&amp;Formulas!AR66,"")&amp;":","")))</f>
        <v/>
      </c>
      <c r="AR69" s="107" t="str" cm="1">
        <f t="array" aca="1" ref="AR69" ca="1">IF(OR(Formulas!AS66=0,Formulas!AS66="",RIGHT(Formulas!AT66)="0"),"",
HYPERLINK("["&amp;Archivo_Nombre&amp;"]Datos!"&amp;LEFT(SUBSTITUTE(ADDRESS(1,RIGHT(Formulas!AT66)+2),"$",""))&amp;Formulas!AR66+1,
IFERROR(INDEX(Datos!$A$2:$L$101,Formulas!AR66,RIGHT(Formulas!AT66)+2),"")))</f>
        <v/>
      </c>
      <c r="AS69" s="107" t="str" cm="1">
        <f t="array" aca="1" ref="AS69" ca="1">IF(OR(Formulas!AT67=0,Formulas!AT67=""),"",HYPERLINK("["&amp;Archivo_Nombre&amp;"]Datos!"&amp;LEFT(SUBSTITUTE(ADDRESS(1,Formulas!AT67+2),"$",""))&amp;Formulas!AS67+1,
IFERROR(INDEX(Datos!$A$2:$L$101,Formulas!AS67,Formulas!AT67+2),"")))</f>
        <v/>
      </c>
      <c r="AT69" s="13"/>
      <c r="AU69" s="6"/>
      <c r="AV69" s="24" t="str" cm="1">
        <f t="array" aca="1" ref="AV69" ca="1">IF(OR(Formulas!AX66=0,Formulas!AX66="",RIGHT(Formulas!AY66)="0"),"",
HYPERLINK("["&amp;Archivo_Nombre&amp;"]Datos!"&amp;LEFT(SUBSTITUTE(ADDRESS(1,IF(Formulas!AX66=1,1,RIGHT(Formulas!AY66)+2)),"$",""))&amp;Formulas!AW66+1,
IFERROR(INDEX(Datos!$A$1:$L$1,1,RIGHT(Formulas!AY66)+2)&amp;IF(Formulas!AX66=1," "&amp;Formulas!AW66,"")&amp;":","")))</f>
        <v/>
      </c>
      <c r="AW69" s="107" t="str" cm="1">
        <f t="array" aca="1" ref="AW69" ca="1">IF(OR(Formulas!AX66=0,Formulas!AX66="",RIGHT(Formulas!AY66)="0"),"",
HYPERLINK("["&amp;Archivo_Nombre&amp;"]Datos!"&amp;LEFT(SUBSTITUTE(ADDRESS(1,RIGHT(Formulas!AY66)+2),"$",""))&amp;Formulas!AW66+1,
IFERROR(INDEX(Datos!$A$2:$L$101,Formulas!AW66,RIGHT(Formulas!AY66)+2),"")))</f>
        <v/>
      </c>
      <c r="AX69" s="107" t="str" cm="1">
        <f t="array" aca="1" ref="AX69" ca="1">IF(OR(Formulas!AY67=0,Formulas!AY67=""),"",HYPERLINK("["&amp;Archivo_Nombre&amp;"]Datos!"&amp;LEFT(SUBSTITUTE(ADDRESS(1,Formulas!AY67+2),"$",""))&amp;Formulas!AX67+1,
IFERROR(INDEX(Datos!$A$2:$L$101,Formulas!AX67,Formulas!AY67+2),"")))</f>
        <v/>
      </c>
      <c r="AY69" s="13"/>
    </row>
    <row r="70" spans="2:51" x14ac:dyDescent="0.25">
      <c r="B70" s="11"/>
      <c r="C70" s="24" t="str" cm="1">
        <f t="array" aca="1" ref="C70" ca="1">IF(OR(Formulas!E67=0,Formulas!E67="",RIGHT(Formulas!F67)="0"),"",
HYPERLINK("["&amp;Archivo_Nombre&amp;"]Datos!"&amp;LEFT(SUBSTITUTE(ADDRESS(1,IF(Formulas!E67=1,1,RIGHT(Formulas!F67)+2)),"$",""))&amp;Formulas!D67+1,
IFERROR(INDEX(Datos!$A$1:$L$1,1,RIGHT(Formulas!F67)+2)&amp;IF(Formulas!E67=1," "&amp;Formulas!D67,"")&amp;":","")))</f>
        <v/>
      </c>
      <c r="D70" s="107" t="str" cm="1">
        <f t="array" aca="1" ref="D70" ca="1">IF(OR(Formulas!E67=0,Formulas!E67="",RIGHT(Formulas!F67)="0"),"",
HYPERLINK("["&amp;Archivo_Nombre&amp;"]Datos!"&amp;LEFT(SUBSTITUTE(ADDRESS(1,RIGHT(Formulas!F67)+2),"$",""))&amp;Formulas!D67+1,
IFERROR(INDEX(Datos!$A$2:$L$101,Formulas!D67,RIGHT(Formulas!F67)+2),"")))</f>
        <v/>
      </c>
      <c r="E70" s="107" t="str" cm="1">
        <f t="array" aca="1" ref="E70" ca="1">IF(OR(Formulas!F68=0,Formulas!F68=""),"",HYPERLINK("["&amp;Archivo_Nombre&amp;"]Datos!"&amp;LEFT(SUBSTITUTE(ADDRESS(1,Formulas!F68+2),"$",""))&amp;Formulas!E68+1,
IFERROR(INDEX(Datos!$A$2:$L$101,Formulas!E68,Formulas!F68+2),"")))</f>
        <v/>
      </c>
      <c r="F70" s="5"/>
      <c r="G70" s="6"/>
      <c r="H70" s="24" t="str" cm="1">
        <f t="array" aca="1" ref="H70" ca="1">IF(OR(Formulas!J67=0,Formulas!J67="",RIGHT(Formulas!K67)="0"),"",
HYPERLINK("["&amp;Archivo_Nombre&amp;"]Datos!"&amp;LEFT(SUBSTITUTE(ADDRESS(1,IF(Formulas!J67=1,1,RIGHT(Formulas!K67)+2)),"$",""))&amp;Formulas!I67+1,
IFERROR(INDEX(Datos!$A$1:$L$1,1,RIGHT(Formulas!K67)+2)&amp;IF(Formulas!J67=1," "&amp;Formulas!I67,"")&amp;":","")))</f>
        <v/>
      </c>
      <c r="I70" s="107" t="str" cm="1">
        <f t="array" aca="1" ref="I70" ca="1">IF(OR(Formulas!J67=0,Formulas!J67="",RIGHT(Formulas!K67)="0"),"",
HYPERLINK("["&amp;Archivo_Nombre&amp;"]Datos!"&amp;LEFT(SUBSTITUTE(ADDRESS(1,RIGHT(Formulas!K67)+2),"$",""))&amp;Formulas!I67+1,
IFERROR(INDEX(Datos!$A$2:$L$101,Formulas!I67,RIGHT(Formulas!K67)+2),"")))</f>
        <v/>
      </c>
      <c r="J70" s="107" t="str" cm="1">
        <f t="array" aca="1" ref="J70" ca="1">IF(OR(Formulas!K68=0,Formulas!K68=""),"",HYPERLINK("["&amp;Archivo_Nombre&amp;"]Datos!"&amp;LEFT(SUBSTITUTE(ADDRESS(1,Formulas!K68+2),"$",""))&amp;Formulas!J68+1,
IFERROR(INDEX(Datos!$A$2:$L$101,Formulas!J68,Formulas!K68+2),"")))</f>
        <v/>
      </c>
      <c r="K70" s="5"/>
      <c r="L70" s="6"/>
      <c r="M70" s="24" t="str" cm="1">
        <f t="array" aca="1" ref="M70" ca="1">IF(OR(Formulas!O67=0,Formulas!O67="",RIGHT(Formulas!P67)="0"),"",
HYPERLINK("["&amp;Archivo_Nombre&amp;"]Datos!"&amp;LEFT(SUBSTITUTE(ADDRESS(1,IF(Formulas!O67=1,1,RIGHT(Formulas!P67)+2)),"$",""))&amp;Formulas!N67+1,
IFERROR(INDEX(Datos!$A$1:$L$1,1,RIGHT(Formulas!P67)+2)&amp;IF(Formulas!O67=1," "&amp;Formulas!N67,"")&amp;":","")))</f>
        <v/>
      </c>
      <c r="N70" s="107" t="str" cm="1">
        <f t="array" aca="1" ref="N70" ca="1">IF(OR(Formulas!O67=0,Formulas!O67="",RIGHT(Formulas!P67)="0"),"",
HYPERLINK("["&amp;Archivo_Nombre&amp;"]Datos!"&amp;LEFT(SUBSTITUTE(ADDRESS(1,RIGHT(Formulas!P67)+2),"$",""))&amp;Formulas!N67+1,
IFERROR(INDEX(Datos!$A$2:$L$101,Formulas!N67,RIGHT(Formulas!P67)+2),"")))</f>
        <v/>
      </c>
      <c r="O70" s="107" t="str" cm="1">
        <f t="array" aca="1" ref="O70" ca="1">IF(OR(Formulas!P68=0,Formulas!P68=""),"",HYPERLINK("["&amp;Archivo_Nombre&amp;"]Datos!"&amp;LEFT(SUBSTITUTE(ADDRESS(1,Formulas!P68+2),"$",""))&amp;Formulas!O68+1,
IFERROR(INDEX(Datos!$A$2:$L$101,Formulas!O68,Formulas!P68+2),"")))</f>
        <v/>
      </c>
      <c r="P70" s="5"/>
      <c r="Q70" s="6"/>
      <c r="R70" s="24" t="str" cm="1">
        <f t="array" aca="1" ref="R70" ca="1">IF(OR(Formulas!T67=0,Formulas!T67="",RIGHT(Formulas!U67)="0"),"",
HYPERLINK("["&amp;Archivo_Nombre&amp;"]Datos!"&amp;LEFT(SUBSTITUTE(ADDRESS(1,IF(Formulas!T67=1,1,RIGHT(Formulas!U67)+2)),"$",""))&amp;Formulas!S67+1,
IFERROR(INDEX(Datos!$A$1:$L$1,1,RIGHT(Formulas!U67)+2)&amp;IF(Formulas!T67=1," "&amp;Formulas!S67,"")&amp;":","")))</f>
        <v>Previsto:</v>
      </c>
      <c r="S70" s="107" cm="1">
        <f t="array" aca="1" ref="S70" ca="1">IF(OR(Formulas!T67=0,Formulas!T67="",RIGHT(Formulas!U67)="0"),"",
HYPERLINK("["&amp;Archivo_Nombre&amp;"]Datos!"&amp;LEFT(SUBSTITUTE(ADDRESS(1,RIGHT(Formulas!U67)+2),"$",""))&amp;Formulas!S67+1,
IFERROR(INDEX(Datos!$A$2:$L$101,Formulas!S67,RIGHT(Formulas!U67)+2),"")))</f>
        <v>45814</v>
      </c>
      <c r="T70" s="107" t="e" cm="1">
        <f t="array" aca="1" ref="T70" ca="1">IF(OR(Formulas!U68=0,Formulas!U68=""),"",HYPERLINK("["&amp;Archivo_Nombre&amp;"]Datos!"&amp;LEFT(SUBSTITUTE(ADDRESS(1,Formulas!U68+2),"$",""))&amp;Formulas!T68+1,
IFERROR(INDEX(Datos!$A$2:$L$101,Formulas!T68,Formulas!U68+2),"")))</f>
        <v>#VALUE!</v>
      </c>
      <c r="U70" s="5"/>
      <c r="V70" s="6"/>
      <c r="W70" s="24" t="str" cm="1">
        <f t="array" aca="1" ref="W70" ca="1">IF(OR(Formulas!Y67=0,Formulas!Y67="",RIGHT(Formulas!Z67)="0"),"",
HYPERLINK("["&amp;Archivo_Nombre&amp;"]Datos!"&amp;LEFT(SUBSTITUTE(ADDRESS(1,IF(Formulas!Y67=1,1,RIGHT(Formulas!Z67)+2)),"$",""))&amp;Formulas!X67+1,
IFERROR(INDEX(Datos!$A$1:$L$1,1,RIGHT(Formulas!Z67)+2)&amp;IF(Formulas!Y67=1," "&amp;Formulas!X67,"")&amp;":","")))</f>
        <v/>
      </c>
      <c r="X70" s="107" t="str" cm="1">
        <f t="array" aca="1" ref="X70" ca="1">IF(OR(Formulas!Y67=0,Formulas!Y67="",RIGHT(Formulas!Z67)="0"),"",
HYPERLINK("["&amp;Archivo_Nombre&amp;"]Datos!"&amp;LEFT(SUBSTITUTE(ADDRESS(1,RIGHT(Formulas!Z67)+2),"$",""))&amp;Formulas!X67+1,
IFERROR(INDEX(Datos!$A$2:$L$101,Formulas!X67,RIGHT(Formulas!Z67)+2),"")))</f>
        <v/>
      </c>
      <c r="Y70" s="107" t="str" cm="1">
        <f t="array" aca="1" ref="Y70" ca="1">IF(OR(Formulas!Z68=0,Formulas!Z68=""),"",HYPERLINK("["&amp;Archivo_Nombre&amp;"]Datos!"&amp;LEFT(SUBSTITUTE(ADDRESS(1,Formulas!Z68+2),"$",""))&amp;Formulas!Y68+1,
IFERROR(INDEX(Datos!$A$2:$L$101,Formulas!Y68,Formulas!Z68+2),"")))</f>
        <v/>
      </c>
      <c r="Z70" s="13"/>
      <c r="AA70" s="6"/>
      <c r="AB70" s="24" t="str" cm="1">
        <f t="array" aca="1" ref="AB70" ca="1">IF(OR(Formulas!AD67=0,Formulas!AD67="",RIGHT(Formulas!AE67)="0"),"",
HYPERLINK("["&amp;Archivo_Nombre&amp;"]Datos!"&amp;LEFT(SUBSTITUTE(ADDRESS(1,IF(Formulas!AD67=1,1,RIGHT(Formulas!AE67)+2)),"$",""))&amp;Formulas!AC67+1,
IFERROR(INDEX(Datos!$A$1:$L$1,1,RIGHT(Formulas!AE67)+2)&amp;IF(Formulas!AD67=1," "&amp;Formulas!AC67,"")&amp;":","")))</f>
        <v/>
      </c>
      <c r="AC70" s="107" t="str" cm="1">
        <f t="array" aca="1" ref="AC70" ca="1">IF(OR(Formulas!AD67=0,Formulas!AD67="",RIGHT(Formulas!AE67)="0"),"",
HYPERLINK("["&amp;Archivo_Nombre&amp;"]Datos!"&amp;LEFT(SUBSTITUTE(ADDRESS(1,RIGHT(Formulas!AE67)+2),"$",""))&amp;Formulas!AC67+1,
IFERROR(INDEX(Datos!$A$2:$L$101,Formulas!AC67,RIGHT(Formulas!AE67)+2),"")))</f>
        <v/>
      </c>
      <c r="AD70" s="107" t="str" cm="1">
        <f t="array" aca="1" ref="AD70" ca="1">IF(OR(Formulas!AE68=0,Formulas!AE68=""),"",HYPERLINK("["&amp;Archivo_Nombre&amp;"]Datos!"&amp;LEFT(SUBSTITUTE(ADDRESS(1,Formulas!AE68+2),"$",""))&amp;Formulas!AD68+1,
IFERROR(INDEX(Datos!$A$2:$L$101,Formulas!AD68,Formulas!AE68+2),"")))</f>
        <v/>
      </c>
      <c r="AE70" s="13"/>
      <c r="AF70" s="6"/>
      <c r="AG70" s="24" t="str" cm="1">
        <f t="array" aca="1" ref="AG70" ca="1">IF(OR(Formulas!AI67=0,Formulas!AI67="",RIGHT(Formulas!AJ67)="0"),"",
HYPERLINK("["&amp;Archivo_Nombre&amp;"]Datos!"&amp;LEFT(SUBSTITUTE(ADDRESS(1,IF(Formulas!AI67=1,1,RIGHT(Formulas!AJ67)+2)),"$",""))&amp;Formulas!AH67+1,
IFERROR(INDEX(Datos!$A$1:$L$1,1,RIGHT(Formulas!AJ67)+2)&amp;IF(Formulas!AI67=1," "&amp;Formulas!AH67,"")&amp;":","")))</f>
        <v/>
      </c>
      <c r="AH70" s="107" t="str" cm="1">
        <f t="array" aca="1" ref="AH70" ca="1">IF(OR(Formulas!AI67=0,Formulas!AI67="",RIGHT(Formulas!AJ67)="0"),"",
HYPERLINK("["&amp;Archivo_Nombre&amp;"]Datos!"&amp;LEFT(SUBSTITUTE(ADDRESS(1,RIGHT(Formulas!AJ67)+2),"$",""))&amp;Formulas!AH67+1,
IFERROR(INDEX(Datos!$A$2:$L$101,Formulas!AH67,RIGHT(Formulas!AJ67)+2),"")))</f>
        <v/>
      </c>
      <c r="AI70" s="107" t="str" cm="1">
        <f t="array" aca="1" ref="AI70" ca="1">IF(OR(Formulas!AJ68=0,Formulas!AJ68=""),"",HYPERLINK("["&amp;Archivo_Nombre&amp;"]Datos!"&amp;LEFT(SUBSTITUTE(ADDRESS(1,Formulas!AJ68+2),"$",""))&amp;Formulas!AI68+1,
IFERROR(INDEX(Datos!$A$2:$L$101,Formulas!AI68,Formulas!AJ68+2),"")))</f>
        <v/>
      </c>
      <c r="AJ70" s="13"/>
      <c r="AK70" s="6"/>
      <c r="AL70" s="24" t="str" cm="1">
        <f t="array" aca="1" ref="AL70" ca="1">IF(OR(Formulas!AN67=0,Formulas!AN67="",RIGHT(Formulas!AO67)="0"),"",
HYPERLINK("["&amp;Archivo_Nombre&amp;"]Datos!"&amp;LEFT(SUBSTITUTE(ADDRESS(1,IF(Formulas!AN67=1,1,RIGHT(Formulas!AO67)+2)),"$",""))&amp;Formulas!AM67+1,
IFERROR(INDEX(Datos!$A$1:$L$1,1,RIGHT(Formulas!AO67)+2)&amp;IF(Formulas!AN67=1," "&amp;Formulas!AM67,"")&amp;":","")))</f>
        <v/>
      </c>
      <c r="AM70" s="107" t="str" cm="1">
        <f t="array" aca="1" ref="AM70" ca="1">IF(OR(Formulas!AN67=0,Formulas!AN67="",RIGHT(Formulas!AO67)="0"),"",
HYPERLINK("["&amp;Archivo_Nombre&amp;"]Datos!"&amp;LEFT(SUBSTITUTE(ADDRESS(1,RIGHT(Formulas!AO67)+2),"$",""))&amp;Formulas!AM67+1,
IFERROR(INDEX(Datos!$A$2:$L$101,Formulas!AM67,RIGHT(Formulas!AO67)+2),"")))</f>
        <v/>
      </c>
      <c r="AN70" s="107" t="str" cm="1">
        <f t="array" aca="1" ref="AN70" ca="1">IF(OR(Formulas!AO68=0,Formulas!AO68=""),"",HYPERLINK("["&amp;Archivo_Nombre&amp;"]Datos!"&amp;LEFT(SUBSTITUTE(ADDRESS(1,Formulas!AO68+2),"$",""))&amp;Formulas!AN68+1,
IFERROR(INDEX(Datos!$A$2:$L$101,Formulas!AN68,Formulas!AO68+2),"")))</f>
        <v/>
      </c>
      <c r="AO70" s="13"/>
      <c r="AP70" s="6"/>
      <c r="AQ70" s="24" t="str" cm="1">
        <f t="array" aca="1" ref="AQ70" ca="1">IF(OR(Formulas!AS67=0,Formulas!AS67="",RIGHT(Formulas!AT67)="0"),"",
HYPERLINK("["&amp;Archivo_Nombre&amp;"]Datos!"&amp;LEFT(SUBSTITUTE(ADDRESS(1,IF(Formulas!AS67=1,1,RIGHT(Formulas!AT67)+2)),"$",""))&amp;Formulas!AR67+1,
IFERROR(INDEX(Datos!$A$1:$L$1,1,RIGHT(Formulas!AT67)+2)&amp;IF(Formulas!AS67=1," "&amp;Formulas!AR67,"")&amp;":","")))</f>
        <v/>
      </c>
      <c r="AR70" s="107" t="str" cm="1">
        <f t="array" aca="1" ref="AR70" ca="1">IF(OR(Formulas!AS67=0,Formulas!AS67="",RIGHT(Formulas!AT67)="0"),"",
HYPERLINK("["&amp;Archivo_Nombre&amp;"]Datos!"&amp;LEFT(SUBSTITUTE(ADDRESS(1,RIGHT(Formulas!AT67)+2),"$",""))&amp;Formulas!AR67+1,
IFERROR(INDEX(Datos!$A$2:$L$101,Formulas!AR67,RIGHT(Formulas!AT67)+2),"")))</f>
        <v/>
      </c>
      <c r="AS70" s="107" t="str" cm="1">
        <f t="array" aca="1" ref="AS70" ca="1">IF(OR(Formulas!AT68=0,Formulas!AT68=""),"",HYPERLINK("["&amp;Archivo_Nombre&amp;"]Datos!"&amp;LEFT(SUBSTITUTE(ADDRESS(1,Formulas!AT68+2),"$",""))&amp;Formulas!AS68+1,
IFERROR(INDEX(Datos!$A$2:$L$101,Formulas!AS68,Formulas!AT68+2),"")))</f>
        <v/>
      </c>
      <c r="AT70" s="13"/>
      <c r="AU70" s="6"/>
      <c r="AV70" s="24" t="str" cm="1">
        <f t="array" aca="1" ref="AV70" ca="1">IF(OR(Formulas!AX67=0,Formulas!AX67="",RIGHT(Formulas!AY67)="0"),"",
HYPERLINK("["&amp;Archivo_Nombre&amp;"]Datos!"&amp;LEFT(SUBSTITUTE(ADDRESS(1,IF(Formulas!AX67=1,1,RIGHT(Formulas!AY67)+2)),"$",""))&amp;Formulas!AW67+1,
IFERROR(INDEX(Datos!$A$1:$L$1,1,RIGHT(Formulas!AY67)+2)&amp;IF(Formulas!AX67=1," "&amp;Formulas!AW67,"")&amp;":","")))</f>
        <v/>
      </c>
      <c r="AW70" s="107" t="str" cm="1">
        <f t="array" aca="1" ref="AW70" ca="1">IF(OR(Formulas!AX67=0,Formulas!AX67="",RIGHT(Formulas!AY67)="0"),"",
HYPERLINK("["&amp;Archivo_Nombre&amp;"]Datos!"&amp;LEFT(SUBSTITUTE(ADDRESS(1,RIGHT(Formulas!AY67)+2),"$",""))&amp;Formulas!AW67+1,
IFERROR(INDEX(Datos!$A$2:$L$101,Formulas!AW67,RIGHT(Formulas!AY67)+2),"")))</f>
        <v/>
      </c>
      <c r="AX70" s="107" t="str" cm="1">
        <f t="array" aca="1" ref="AX70" ca="1">IF(OR(Formulas!AY68=0,Formulas!AY68=""),"",HYPERLINK("["&amp;Archivo_Nombre&amp;"]Datos!"&amp;LEFT(SUBSTITUTE(ADDRESS(1,Formulas!AY68+2),"$",""))&amp;Formulas!AX68+1,
IFERROR(INDEX(Datos!$A$2:$L$101,Formulas!AX68,Formulas!AY68+2),"")))</f>
        <v/>
      </c>
      <c r="AY70" s="13"/>
    </row>
    <row r="71" spans="2:51" x14ac:dyDescent="0.25">
      <c r="B71" s="11"/>
      <c r="C71" s="24" t="str" cm="1">
        <f t="array" aca="1" ref="C71" ca="1">IF(OR(Formulas!E68=0,Formulas!E68="",RIGHT(Formulas!F68)="0"),"",
HYPERLINK("["&amp;Archivo_Nombre&amp;"]Datos!"&amp;LEFT(SUBSTITUTE(ADDRESS(1,IF(Formulas!E68=1,1,RIGHT(Formulas!F68)+2)),"$",""))&amp;Formulas!D68+1,
IFERROR(INDEX(Datos!$A$1:$L$1,1,RIGHT(Formulas!F68)+2)&amp;IF(Formulas!E68=1," "&amp;Formulas!D68,"")&amp;":","")))</f>
        <v/>
      </c>
      <c r="D71" s="107" t="str" cm="1">
        <f t="array" aca="1" ref="D71" ca="1">IF(OR(Formulas!E68=0,Formulas!E68="",RIGHT(Formulas!F68)="0"),"",
HYPERLINK("["&amp;Archivo_Nombre&amp;"]Datos!"&amp;LEFT(SUBSTITUTE(ADDRESS(1,RIGHT(Formulas!F68)+2),"$",""))&amp;Formulas!D68+1,
IFERROR(INDEX(Datos!$A$2:$L$101,Formulas!D68,RIGHT(Formulas!F68)+2),"")))</f>
        <v/>
      </c>
      <c r="E71" s="107" t="str" cm="1">
        <f t="array" aca="1" ref="E71" ca="1">IF(OR(Formulas!F69=0,Formulas!F69=""),"",HYPERLINK("["&amp;Archivo_Nombre&amp;"]Datos!"&amp;LEFT(SUBSTITUTE(ADDRESS(1,Formulas!F69+2),"$",""))&amp;Formulas!E69+1,
IFERROR(INDEX(Datos!$A$2:$L$101,Formulas!E69,Formulas!F69+2),"")))</f>
        <v/>
      </c>
      <c r="F71" s="5"/>
      <c r="G71" s="6"/>
      <c r="H71" s="24" t="str" cm="1">
        <f t="array" aca="1" ref="H71" ca="1">IF(OR(Formulas!J68=0,Formulas!J68="",RIGHT(Formulas!K68)="0"),"",
HYPERLINK("["&amp;Archivo_Nombre&amp;"]Datos!"&amp;LEFT(SUBSTITUTE(ADDRESS(1,IF(Formulas!J68=1,1,RIGHT(Formulas!K68)+2)),"$",""))&amp;Formulas!I68+1,
IFERROR(INDEX(Datos!$A$1:$L$1,1,RIGHT(Formulas!K68)+2)&amp;IF(Formulas!J68=1," "&amp;Formulas!I68,"")&amp;":","")))</f>
        <v/>
      </c>
      <c r="I71" s="107" t="str" cm="1">
        <f t="array" aca="1" ref="I71" ca="1">IF(OR(Formulas!J68=0,Formulas!J68="",RIGHT(Formulas!K68)="0"),"",
HYPERLINK("["&amp;Archivo_Nombre&amp;"]Datos!"&amp;LEFT(SUBSTITUTE(ADDRESS(1,RIGHT(Formulas!K68)+2),"$",""))&amp;Formulas!I68+1,
IFERROR(INDEX(Datos!$A$2:$L$101,Formulas!I68,RIGHT(Formulas!K68)+2),"")))</f>
        <v/>
      </c>
      <c r="J71" s="107" t="str" cm="1">
        <f t="array" aca="1" ref="J71" ca="1">IF(OR(Formulas!K69=0,Formulas!K69=""),"",HYPERLINK("["&amp;Archivo_Nombre&amp;"]Datos!"&amp;LEFT(SUBSTITUTE(ADDRESS(1,Formulas!K69+2),"$",""))&amp;Formulas!J69+1,
IFERROR(INDEX(Datos!$A$2:$L$101,Formulas!J69,Formulas!K69+2),"")))</f>
        <v/>
      </c>
      <c r="K71" s="5"/>
      <c r="L71" s="6"/>
      <c r="M71" s="24" t="str" cm="1">
        <f t="array" aca="1" ref="M71" ca="1">IF(OR(Formulas!O68=0,Formulas!O68="",RIGHT(Formulas!P68)="0"),"",
HYPERLINK("["&amp;Archivo_Nombre&amp;"]Datos!"&amp;LEFT(SUBSTITUTE(ADDRESS(1,IF(Formulas!O68=1,1,RIGHT(Formulas!P68)+2)),"$",""))&amp;Formulas!N68+1,
IFERROR(INDEX(Datos!$A$1:$L$1,1,RIGHT(Formulas!P68)+2)&amp;IF(Formulas!O68=1," "&amp;Formulas!N68,"")&amp;":","")))</f>
        <v/>
      </c>
      <c r="N71" s="107" t="str" cm="1">
        <f t="array" aca="1" ref="N71" ca="1">IF(OR(Formulas!O68=0,Formulas!O68="",RIGHT(Formulas!P68)="0"),"",
HYPERLINK("["&amp;Archivo_Nombre&amp;"]Datos!"&amp;LEFT(SUBSTITUTE(ADDRESS(1,RIGHT(Formulas!P68)+2),"$",""))&amp;Formulas!N68+1,
IFERROR(INDEX(Datos!$A$2:$L$101,Formulas!N68,RIGHT(Formulas!P68)+2),"")))</f>
        <v/>
      </c>
      <c r="O71" s="107" t="str" cm="1">
        <f t="array" aca="1" ref="O71" ca="1">IF(OR(Formulas!P69=0,Formulas!P69=""),"",HYPERLINK("["&amp;Archivo_Nombre&amp;"]Datos!"&amp;LEFT(SUBSTITUTE(ADDRESS(1,Formulas!P69+2),"$",""))&amp;Formulas!O69+1,
IFERROR(INDEX(Datos!$A$2:$L$101,Formulas!O69,Formulas!P69+2),"")))</f>
        <v/>
      </c>
      <c r="P71" s="5"/>
      <c r="Q71" s="6"/>
      <c r="R71" s="24" t="str" cm="1">
        <f t="array" aca="1" ref="R71" ca="1">IF(OR(Formulas!T68=0,Formulas!T68="",RIGHT(Formulas!U68)="0"),"",
HYPERLINK("["&amp;Archivo_Nombre&amp;"]Datos!"&amp;LEFT(SUBSTITUTE(ADDRESS(1,IF(Formulas!T68=1,1,RIGHT(Formulas!U68)+2)),"$",""))&amp;Formulas!S68+1,
IFERROR(INDEX(Datos!$A$1:$L$1,1,RIGHT(Formulas!U68)+2)&amp;IF(Formulas!T68=1," "&amp;Formulas!S68,"")&amp;":","")))</f>
        <v>Final:</v>
      </c>
      <c r="S71" s="107" cm="1">
        <f t="array" aca="1" ref="S71" ca="1">IF(OR(Formulas!T68=0,Formulas!T68="",RIGHT(Formulas!U68)="0"),"",
HYPERLINK("["&amp;Archivo_Nombre&amp;"]Datos!"&amp;LEFT(SUBSTITUTE(ADDRESS(1,RIGHT(Formulas!U68)+2),"$",""))&amp;Formulas!S68+1,
IFERROR(INDEX(Datos!$A$2:$L$101,Formulas!S68,RIGHT(Formulas!U68)+2),"")))</f>
        <v>45814</v>
      </c>
      <c r="T71" s="107" t="e" cm="1">
        <f t="array" aca="1" ref="T71" ca="1">IF(OR(Formulas!U69=0,Formulas!U69=""),"",HYPERLINK("["&amp;Archivo_Nombre&amp;"]Datos!"&amp;LEFT(SUBSTITUTE(ADDRESS(1,Formulas!U69+2),"$",""))&amp;Formulas!T69+1,
IFERROR(INDEX(Datos!$A$2:$L$101,Formulas!T69,Formulas!U69+2),"")))</f>
        <v>#VALUE!</v>
      </c>
      <c r="U71" s="5"/>
      <c r="V71" s="6"/>
      <c r="W71" s="24" t="str" cm="1">
        <f t="array" aca="1" ref="W71" ca="1">IF(OR(Formulas!Y68=0,Formulas!Y68="",RIGHT(Formulas!Z68)="0"),"",
HYPERLINK("["&amp;Archivo_Nombre&amp;"]Datos!"&amp;LEFT(SUBSTITUTE(ADDRESS(1,IF(Formulas!Y68=1,1,RIGHT(Formulas!Z68)+2)),"$",""))&amp;Formulas!X68+1,
IFERROR(INDEX(Datos!$A$1:$L$1,1,RIGHT(Formulas!Z68)+2)&amp;IF(Formulas!Y68=1," "&amp;Formulas!X68,"")&amp;":","")))</f>
        <v/>
      </c>
      <c r="X71" s="107" t="str" cm="1">
        <f t="array" aca="1" ref="X71" ca="1">IF(OR(Formulas!Y68=0,Formulas!Y68="",RIGHT(Formulas!Z68)="0"),"",
HYPERLINK("["&amp;Archivo_Nombre&amp;"]Datos!"&amp;LEFT(SUBSTITUTE(ADDRESS(1,RIGHT(Formulas!Z68)+2),"$",""))&amp;Formulas!X68+1,
IFERROR(INDEX(Datos!$A$2:$L$101,Formulas!X68,RIGHT(Formulas!Z68)+2),"")))</f>
        <v/>
      </c>
      <c r="Y71" s="107" t="str" cm="1">
        <f t="array" aca="1" ref="Y71" ca="1">IF(OR(Formulas!Z69=0,Formulas!Z69=""),"",HYPERLINK("["&amp;Archivo_Nombre&amp;"]Datos!"&amp;LEFT(SUBSTITUTE(ADDRESS(1,Formulas!Z69+2),"$",""))&amp;Formulas!Y69+1,
IFERROR(INDEX(Datos!$A$2:$L$101,Formulas!Y69,Formulas!Z69+2),"")))</f>
        <v/>
      </c>
      <c r="Z71" s="13"/>
      <c r="AA71" s="6"/>
      <c r="AB71" s="24" t="str" cm="1">
        <f t="array" aca="1" ref="AB71" ca="1">IF(OR(Formulas!AD68=0,Formulas!AD68="",RIGHT(Formulas!AE68)="0"),"",
HYPERLINK("["&amp;Archivo_Nombre&amp;"]Datos!"&amp;LEFT(SUBSTITUTE(ADDRESS(1,IF(Formulas!AD68=1,1,RIGHT(Formulas!AE68)+2)),"$",""))&amp;Formulas!AC68+1,
IFERROR(INDEX(Datos!$A$1:$L$1,1,RIGHT(Formulas!AE68)+2)&amp;IF(Formulas!AD68=1," "&amp;Formulas!AC68,"")&amp;":","")))</f>
        <v/>
      </c>
      <c r="AC71" s="107" t="str" cm="1">
        <f t="array" aca="1" ref="AC71" ca="1">IF(OR(Formulas!AD68=0,Formulas!AD68="",RIGHT(Formulas!AE68)="0"),"",
HYPERLINK("["&amp;Archivo_Nombre&amp;"]Datos!"&amp;LEFT(SUBSTITUTE(ADDRESS(1,RIGHT(Formulas!AE68)+2),"$",""))&amp;Formulas!AC68+1,
IFERROR(INDEX(Datos!$A$2:$L$101,Formulas!AC68,RIGHT(Formulas!AE68)+2),"")))</f>
        <v/>
      </c>
      <c r="AD71" s="107" t="str" cm="1">
        <f t="array" aca="1" ref="AD71" ca="1">IF(OR(Formulas!AE69=0,Formulas!AE69=""),"",HYPERLINK("["&amp;Archivo_Nombre&amp;"]Datos!"&amp;LEFT(SUBSTITUTE(ADDRESS(1,Formulas!AE69+2),"$",""))&amp;Formulas!AD69+1,
IFERROR(INDEX(Datos!$A$2:$L$101,Formulas!AD69,Formulas!AE69+2),"")))</f>
        <v/>
      </c>
      <c r="AE71" s="13"/>
      <c r="AF71" s="6"/>
      <c r="AG71" s="24" t="str" cm="1">
        <f t="array" aca="1" ref="AG71" ca="1">IF(OR(Formulas!AI68=0,Formulas!AI68="",RIGHT(Formulas!AJ68)="0"),"",
HYPERLINK("["&amp;Archivo_Nombre&amp;"]Datos!"&amp;LEFT(SUBSTITUTE(ADDRESS(1,IF(Formulas!AI68=1,1,RIGHT(Formulas!AJ68)+2)),"$",""))&amp;Formulas!AH68+1,
IFERROR(INDEX(Datos!$A$1:$L$1,1,RIGHT(Formulas!AJ68)+2)&amp;IF(Formulas!AI68=1," "&amp;Formulas!AH68,"")&amp;":","")))</f>
        <v/>
      </c>
      <c r="AH71" s="107" t="str" cm="1">
        <f t="array" aca="1" ref="AH71" ca="1">IF(OR(Formulas!AI68=0,Formulas!AI68="",RIGHT(Formulas!AJ68)="0"),"",
HYPERLINK("["&amp;Archivo_Nombre&amp;"]Datos!"&amp;LEFT(SUBSTITUTE(ADDRESS(1,RIGHT(Formulas!AJ68)+2),"$",""))&amp;Formulas!AH68+1,
IFERROR(INDEX(Datos!$A$2:$L$101,Formulas!AH68,RIGHT(Formulas!AJ68)+2),"")))</f>
        <v/>
      </c>
      <c r="AI71" s="107" t="str" cm="1">
        <f t="array" aca="1" ref="AI71" ca="1">IF(OR(Formulas!AJ69=0,Formulas!AJ69=""),"",HYPERLINK("["&amp;Archivo_Nombre&amp;"]Datos!"&amp;LEFT(SUBSTITUTE(ADDRESS(1,Formulas!AJ69+2),"$",""))&amp;Formulas!AI69+1,
IFERROR(INDEX(Datos!$A$2:$L$101,Formulas!AI69,Formulas!AJ69+2),"")))</f>
        <v/>
      </c>
      <c r="AJ71" s="13"/>
      <c r="AK71" s="6"/>
      <c r="AL71" s="24" t="str" cm="1">
        <f t="array" aca="1" ref="AL71" ca="1">IF(OR(Formulas!AN68=0,Formulas!AN68="",RIGHT(Formulas!AO68)="0"),"",
HYPERLINK("["&amp;Archivo_Nombre&amp;"]Datos!"&amp;LEFT(SUBSTITUTE(ADDRESS(1,IF(Formulas!AN68=1,1,RIGHT(Formulas!AO68)+2)),"$",""))&amp;Formulas!AM68+1,
IFERROR(INDEX(Datos!$A$1:$L$1,1,RIGHT(Formulas!AO68)+2)&amp;IF(Formulas!AN68=1," "&amp;Formulas!AM68,"")&amp;":","")))</f>
        <v/>
      </c>
      <c r="AM71" s="107" t="str" cm="1">
        <f t="array" aca="1" ref="AM71" ca="1">IF(OR(Formulas!AN68=0,Formulas!AN68="",RIGHT(Formulas!AO68)="0"),"",
HYPERLINK("["&amp;Archivo_Nombre&amp;"]Datos!"&amp;LEFT(SUBSTITUTE(ADDRESS(1,RIGHT(Formulas!AO68)+2),"$",""))&amp;Formulas!AM68+1,
IFERROR(INDEX(Datos!$A$2:$L$101,Formulas!AM68,RIGHT(Formulas!AO68)+2),"")))</f>
        <v/>
      </c>
      <c r="AN71" s="107" t="str" cm="1">
        <f t="array" aca="1" ref="AN71" ca="1">IF(OR(Formulas!AO69=0,Formulas!AO69=""),"",HYPERLINK("["&amp;Archivo_Nombre&amp;"]Datos!"&amp;LEFT(SUBSTITUTE(ADDRESS(1,Formulas!AO69+2),"$",""))&amp;Formulas!AN69+1,
IFERROR(INDEX(Datos!$A$2:$L$101,Formulas!AN69,Formulas!AO69+2),"")))</f>
        <v/>
      </c>
      <c r="AO71" s="13"/>
      <c r="AP71" s="6"/>
      <c r="AQ71" s="24" t="str" cm="1">
        <f t="array" aca="1" ref="AQ71" ca="1">IF(OR(Formulas!AS68=0,Formulas!AS68="",RIGHT(Formulas!AT68)="0"),"",
HYPERLINK("["&amp;Archivo_Nombre&amp;"]Datos!"&amp;LEFT(SUBSTITUTE(ADDRESS(1,IF(Formulas!AS68=1,1,RIGHT(Formulas!AT68)+2)),"$",""))&amp;Formulas!AR68+1,
IFERROR(INDEX(Datos!$A$1:$L$1,1,RIGHT(Formulas!AT68)+2)&amp;IF(Formulas!AS68=1," "&amp;Formulas!AR68,"")&amp;":","")))</f>
        <v/>
      </c>
      <c r="AR71" s="107" t="str" cm="1">
        <f t="array" aca="1" ref="AR71" ca="1">IF(OR(Formulas!AS68=0,Formulas!AS68="",RIGHT(Formulas!AT68)="0"),"",
HYPERLINK("["&amp;Archivo_Nombre&amp;"]Datos!"&amp;LEFT(SUBSTITUTE(ADDRESS(1,RIGHT(Formulas!AT68)+2),"$",""))&amp;Formulas!AR68+1,
IFERROR(INDEX(Datos!$A$2:$L$101,Formulas!AR68,RIGHT(Formulas!AT68)+2),"")))</f>
        <v/>
      </c>
      <c r="AS71" s="107" t="str" cm="1">
        <f t="array" aca="1" ref="AS71" ca="1">IF(OR(Formulas!AT69=0,Formulas!AT69=""),"",HYPERLINK("["&amp;Archivo_Nombre&amp;"]Datos!"&amp;LEFT(SUBSTITUTE(ADDRESS(1,Formulas!AT69+2),"$",""))&amp;Formulas!AS69+1,
IFERROR(INDEX(Datos!$A$2:$L$101,Formulas!AS69,Formulas!AT69+2),"")))</f>
        <v/>
      </c>
      <c r="AT71" s="13"/>
      <c r="AU71" s="6"/>
      <c r="AV71" s="24" t="str" cm="1">
        <f t="array" aca="1" ref="AV71" ca="1">IF(OR(Formulas!AX68=0,Formulas!AX68="",RIGHT(Formulas!AY68)="0"),"",
HYPERLINK("["&amp;Archivo_Nombre&amp;"]Datos!"&amp;LEFT(SUBSTITUTE(ADDRESS(1,IF(Formulas!AX68=1,1,RIGHT(Formulas!AY68)+2)),"$",""))&amp;Formulas!AW68+1,
IFERROR(INDEX(Datos!$A$1:$L$1,1,RIGHT(Formulas!AY68)+2)&amp;IF(Formulas!AX68=1," "&amp;Formulas!AW68,"")&amp;":","")))</f>
        <v/>
      </c>
      <c r="AW71" s="107" t="str" cm="1">
        <f t="array" aca="1" ref="AW71" ca="1">IF(OR(Formulas!AX68=0,Formulas!AX68="",RIGHT(Formulas!AY68)="0"),"",
HYPERLINK("["&amp;Archivo_Nombre&amp;"]Datos!"&amp;LEFT(SUBSTITUTE(ADDRESS(1,RIGHT(Formulas!AY68)+2),"$",""))&amp;Formulas!AW68+1,
IFERROR(INDEX(Datos!$A$2:$L$101,Formulas!AW68,RIGHT(Formulas!AY68)+2),"")))</f>
        <v/>
      </c>
      <c r="AX71" s="107" t="str" cm="1">
        <f t="array" aca="1" ref="AX71" ca="1">IF(OR(Formulas!AY69=0,Formulas!AY69=""),"",HYPERLINK("["&amp;Archivo_Nombre&amp;"]Datos!"&amp;LEFT(SUBSTITUTE(ADDRESS(1,Formulas!AY69+2),"$",""))&amp;Formulas!AX69+1,
IFERROR(INDEX(Datos!$A$2:$L$101,Formulas!AX69,Formulas!AY69+2),"")))</f>
        <v/>
      </c>
      <c r="AY71" s="13"/>
    </row>
    <row r="72" spans="2:51" x14ac:dyDescent="0.25">
      <c r="B72" s="11"/>
      <c r="C72" s="24" t="str" cm="1">
        <f t="array" aca="1" ref="C72" ca="1">IF(OR(Formulas!E69=0,Formulas!E69="",RIGHT(Formulas!F69)="0"),"",
HYPERLINK("["&amp;Archivo_Nombre&amp;"]Datos!"&amp;LEFT(SUBSTITUTE(ADDRESS(1,IF(Formulas!E69=1,1,RIGHT(Formulas!F69)+2)),"$",""))&amp;Formulas!D69+1,
IFERROR(INDEX(Datos!$A$1:$L$1,1,RIGHT(Formulas!F69)+2)&amp;IF(Formulas!E69=1," "&amp;Formulas!D69,"")&amp;":","")))</f>
        <v/>
      </c>
      <c r="D72" s="107" t="str" cm="1">
        <f t="array" aca="1" ref="D72" ca="1">IF(OR(Formulas!E69=0,Formulas!E69="",RIGHT(Formulas!F69)="0"),"",
HYPERLINK("["&amp;Archivo_Nombre&amp;"]Datos!"&amp;LEFT(SUBSTITUTE(ADDRESS(1,RIGHT(Formulas!F69)+2),"$",""))&amp;Formulas!D69+1,
IFERROR(INDEX(Datos!$A$2:$L$101,Formulas!D69,RIGHT(Formulas!F69)+2),"")))</f>
        <v/>
      </c>
      <c r="E72" s="107" t="str" cm="1">
        <f t="array" aca="1" ref="E72" ca="1">IF(OR(Formulas!F70=0,Formulas!F70=""),"",HYPERLINK("["&amp;Archivo_Nombre&amp;"]Datos!"&amp;LEFT(SUBSTITUTE(ADDRESS(1,Formulas!F70+2),"$",""))&amp;Formulas!E70+1,
IFERROR(INDEX(Datos!$A$2:$L$101,Formulas!E70,Formulas!F70+2),"")))</f>
        <v/>
      </c>
      <c r="F72" s="5"/>
      <c r="G72" s="6"/>
      <c r="H72" s="24" t="str" cm="1">
        <f t="array" aca="1" ref="H72" ca="1">IF(OR(Formulas!J69=0,Formulas!J69="",RIGHT(Formulas!K69)="0"),"",
HYPERLINK("["&amp;Archivo_Nombre&amp;"]Datos!"&amp;LEFT(SUBSTITUTE(ADDRESS(1,IF(Formulas!J69=1,1,RIGHT(Formulas!K69)+2)),"$",""))&amp;Formulas!I69+1,
IFERROR(INDEX(Datos!$A$1:$L$1,1,RIGHT(Formulas!K69)+2)&amp;IF(Formulas!J69=1," "&amp;Formulas!I69,"")&amp;":","")))</f>
        <v/>
      </c>
      <c r="I72" s="107" t="str" cm="1">
        <f t="array" aca="1" ref="I72" ca="1">IF(OR(Formulas!J69=0,Formulas!J69="",RIGHT(Formulas!K69)="0"),"",
HYPERLINK("["&amp;Archivo_Nombre&amp;"]Datos!"&amp;LEFT(SUBSTITUTE(ADDRESS(1,RIGHT(Formulas!K69)+2),"$",""))&amp;Formulas!I69+1,
IFERROR(INDEX(Datos!$A$2:$L$101,Formulas!I69,RIGHT(Formulas!K69)+2),"")))</f>
        <v/>
      </c>
      <c r="J72" s="107" t="str" cm="1">
        <f t="array" aca="1" ref="J72" ca="1">IF(OR(Formulas!K70=0,Formulas!K70=""),"",HYPERLINK("["&amp;Archivo_Nombre&amp;"]Datos!"&amp;LEFT(SUBSTITUTE(ADDRESS(1,Formulas!K70+2),"$",""))&amp;Formulas!J70+1,
IFERROR(INDEX(Datos!$A$2:$L$101,Formulas!J70,Formulas!K70+2),"")))</f>
        <v/>
      </c>
      <c r="K72" s="5"/>
      <c r="L72" s="6"/>
      <c r="M72" s="24" t="str" cm="1">
        <f t="array" aca="1" ref="M72" ca="1">IF(OR(Formulas!O69=0,Formulas!O69="",RIGHT(Formulas!P69)="0"),"",
HYPERLINK("["&amp;Archivo_Nombre&amp;"]Datos!"&amp;LEFT(SUBSTITUTE(ADDRESS(1,IF(Formulas!O69=1,1,RIGHT(Formulas!P69)+2)),"$",""))&amp;Formulas!N69+1,
IFERROR(INDEX(Datos!$A$1:$L$1,1,RIGHT(Formulas!P69)+2)&amp;IF(Formulas!O69=1," "&amp;Formulas!N69,"")&amp;":","")))</f>
        <v/>
      </c>
      <c r="N72" s="107" t="str" cm="1">
        <f t="array" aca="1" ref="N72" ca="1">IF(OR(Formulas!O69=0,Formulas!O69="",RIGHT(Formulas!P69)="0"),"",
HYPERLINK("["&amp;Archivo_Nombre&amp;"]Datos!"&amp;LEFT(SUBSTITUTE(ADDRESS(1,RIGHT(Formulas!P69)+2),"$",""))&amp;Formulas!N69+1,
IFERROR(INDEX(Datos!$A$2:$L$101,Formulas!N69,RIGHT(Formulas!P69)+2),"")))</f>
        <v/>
      </c>
      <c r="O72" s="107" t="str" cm="1">
        <f t="array" aca="1" ref="O72" ca="1">IF(OR(Formulas!P70=0,Formulas!P70=""),"",HYPERLINK("["&amp;Archivo_Nombre&amp;"]Datos!"&amp;LEFT(SUBSTITUTE(ADDRESS(1,Formulas!P70+2),"$",""))&amp;Formulas!O70+1,
IFERROR(INDEX(Datos!$A$2:$L$101,Formulas!O70,Formulas!P70+2),"")))</f>
        <v/>
      </c>
      <c r="P72" s="5"/>
      <c r="Q72" s="6"/>
      <c r="R72" s="24" t="str" cm="1">
        <f t="array" aca="1" ref="R72" ca="1">IF(OR(Formulas!T69=0,Formulas!T69="",RIGHT(Formulas!U69)="0"),"",
HYPERLINK("["&amp;Archivo_Nombre&amp;"]Datos!"&amp;LEFT(SUBSTITUTE(ADDRESS(1,IF(Formulas!T69=1,1,RIGHT(Formulas!U69)+2)),"$",""))&amp;Formulas!S69+1,
IFERROR(INDEX(Datos!$A$1:$L$1,1,RIGHT(Formulas!U69)+2)&amp;IF(Formulas!T69=1," "&amp;Formulas!S69,"")&amp;":","")))</f>
        <v>Duración:</v>
      </c>
      <c r="S72" s="107" t="str" cm="1">
        <f t="array" aca="1" ref="S72" ca="1">IF(OR(Formulas!T69=0,Formulas!T69="",RIGHT(Formulas!U69)="0"),"",
HYPERLINK("["&amp;Archivo_Nombre&amp;"]Datos!"&amp;LEFT(SUBSTITUTE(ADDRESS(1,RIGHT(Formulas!U69)+2),"$",""))&amp;Formulas!S69+1,
IFERROR(INDEX(Datos!$A$2:$L$101,Formulas!S69,RIGHT(Formulas!U69)+2),"")))</f>
        <v>2 días</v>
      </c>
      <c r="T72" s="107" t="e" cm="1">
        <f t="array" aca="1" ref="T72" ca="1">IF(OR(Formulas!U70=0,Formulas!U70=""),"",HYPERLINK("["&amp;Archivo_Nombre&amp;"]Datos!"&amp;LEFT(SUBSTITUTE(ADDRESS(1,Formulas!U70+2),"$",""))&amp;Formulas!T70+1,
IFERROR(INDEX(Datos!$A$2:$L$101,Formulas!T70,Formulas!U70+2),"")))</f>
        <v>#VALUE!</v>
      </c>
      <c r="U72" s="5"/>
      <c r="V72" s="6"/>
      <c r="W72" s="24" t="str" cm="1">
        <f t="array" aca="1" ref="W72" ca="1">IF(OR(Formulas!Y69=0,Formulas!Y69="",RIGHT(Formulas!Z69)="0"),"",
HYPERLINK("["&amp;Archivo_Nombre&amp;"]Datos!"&amp;LEFT(SUBSTITUTE(ADDRESS(1,IF(Formulas!Y69=1,1,RIGHT(Formulas!Z69)+2)),"$",""))&amp;Formulas!X69+1,
IFERROR(INDEX(Datos!$A$1:$L$1,1,RIGHT(Formulas!Z69)+2)&amp;IF(Formulas!Y69=1," "&amp;Formulas!X69,"")&amp;":","")))</f>
        <v/>
      </c>
      <c r="X72" s="107" t="str" cm="1">
        <f t="array" aca="1" ref="X72" ca="1">IF(OR(Formulas!Y69=0,Formulas!Y69="",RIGHT(Formulas!Z69)="0"),"",
HYPERLINK("["&amp;Archivo_Nombre&amp;"]Datos!"&amp;LEFT(SUBSTITUTE(ADDRESS(1,RIGHT(Formulas!Z69)+2),"$",""))&amp;Formulas!X69+1,
IFERROR(INDEX(Datos!$A$2:$L$101,Formulas!X69,RIGHT(Formulas!Z69)+2),"")))</f>
        <v/>
      </c>
      <c r="Y72" s="107" t="str" cm="1">
        <f t="array" aca="1" ref="Y72" ca="1">IF(OR(Formulas!Z70=0,Formulas!Z70=""),"",HYPERLINK("["&amp;Archivo_Nombre&amp;"]Datos!"&amp;LEFT(SUBSTITUTE(ADDRESS(1,Formulas!Z70+2),"$",""))&amp;Formulas!Y70+1,
IFERROR(INDEX(Datos!$A$2:$L$101,Formulas!Y70,Formulas!Z70+2),"")))</f>
        <v/>
      </c>
      <c r="Z72" s="13"/>
      <c r="AA72" s="6"/>
      <c r="AB72" s="24" t="str" cm="1">
        <f t="array" aca="1" ref="AB72" ca="1">IF(OR(Formulas!AD69=0,Formulas!AD69="",RIGHT(Formulas!AE69)="0"),"",
HYPERLINK("["&amp;Archivo_Nombre&amp;"]Datos!"&amp;LEFT(SUBSTITUTE(ADDRESS(1,IF(Formulas!AD69=1,1,RIGHT(Formulas!AE69)+2)),"$",""))&amp;Formulas!AC69+1,
IFERROR(INDEX(Datos!$A$1:$L$1,1,RIGHT(Formulas!AE69)+2)&amp;IF(Formulas!AD69=1," "&amp;Formulas!AC69,"")&amp;":","")))</f>
        <v/>
      </c>
      <c r="AC72" s="107" t="str" cm="1">
        <f t="array" aca="1" ref="AC72" ca="1">IF(OR(Formulas!AD69=0,Formulas!AD69="",RIGHT(Formulas!AE69)="0"),"",
HYPERLINK("["&amp;Archivo_Nombre&amp;"]Datos!"&amp;LEFT(SUBSTITUTE(ADDRESS(1,RIGHT(Formulas!AE69)+2),"$",""))&amp;Formulas!AC69+1,
IFERROR(INDEX(Datos!$A$2:$L$101,Formulas!AC69,RIGHT(Formulas!AE69)+2),"")))</f>
        <v/>
      </c>
      <c r="AD72" s="107" t="str" cm="1">
        <f t="array" aca="1" ref="AD72" ca="1">IF(OR(Formulas!AE70=0,Formulas!AE70=""),"",HYPERLINK("["&amp;Archivo_Nombre&amp;"]Datos!"&amp;LEFT(SUBSTITUTE(ADDRESS(1,Formulas!AE70+2),"$",""))&amp;Formulas!AD70+1,
IFERROR(INDEX(Datos!$A$2:$L$101,Formulas!AD70,Formulas!AE70+2),"")))</f>
        <v/>
      </c>
      <c r="AE72" s="13"/>
      <c r="AF72" s="6"/>
      <c r="AG72" s="24" t="str" cm="1">
        <f t="array" aca="1" ref="AG72" ca="1">IF(OR(Formulas!AI69=0,Formulas!AI69="",RIGHT(Formulas!AJ69)="0"),"",
HYPERLINK("["&amp;Archivo_Nombre&amp;"]Datos!"&amp;LEFT(SUBSTITUTE(ADDRESS(1,IF(Formulas!AI69=1,1,RIGHT(Formulas!AJ69)+2)),"$",""))&amp;Formulas!AH69+1,
IFERROR(INDEX(Datos!$A$1:$L$1,1,RIGHT(Formulas!AJ69)+2)&amp;IF(Formulas!AI69=1," "&amp;Formulas!AH69,"")&amp;":","")))</f>
        <v/>
      </c>
      <c r="AH72" s="107" t="str" cm="1">
        <f t="array" aca="1" ref="AH72" ca="1">IF(OR(Formulas!AI69=0,Formulas!AI69="",RIGHT(Formulas!AJ69)="0"),"",
HYPERLINK("["&amp;Archivo_Nombre&amp;"]Datos!"&amp;LEFT(SUBSTITUTE(ADDRESS(1,RIGHT(Formulas!AJ69)+2),"$",""))&amp;Formulas!AH69+1,
IFERROR(INDEX(Datos!$A$2:$L$101,Formulas!AH69,RIGHT(Formulas!AJ69)+2),"")))</f>
        <v/>
      </c>
      <c r="AI72" s="107" t="str" cm="1">
        <f t="array" aca="1" ref="AI72" ca="1">IF(OR(Formulas!AJ70=0,Formulas!AJ70=""),"",HYPERLINK("["&amp;Archivo_Nombre&amp;"]Datos!"&amp;LEFT(SUBSTITUTE(ADDRESS(1,Formulas!AJ70+2),"$",""))&amp;Formulas!AI70+1,
IFERROR(INDEX(Datos!$A$2:$L$101,Formulas!AI70,Formulas!AJ70+2),"")))</f>
        <v/>
      </c>
      <c r="AJ72" s="13"/>
      <c r="AK72" s="6"/>
      <c r="AL72" s="24" t="str" cm="1">
        <f t="array" aca="1" ref="AL72" ca="1">IF(OR(Formulas!AN69=0,Formulas!AN69="",RIGHT(Formulas!AO69)="0"),"",
HYPERLINK("["&amp;Archivo_Nombre&amp;"]Datos!"&amp;LEFT(SUBSTITUTE(ADDRESS(1,IF(Formulas!AN69=1,1,RIGHT(Formulas!AO69)+2)),"$",""))&amp;Formulas!AM69+1,
IFERROR(INDEX(Datos!$A$1:$L$1,1,RIGHT(Formulas!AO69)+2)&amp;IF(Formulas!AN69=1," "&amp;Formulas!AM69,"")&amp;":","")))</f>
        <v/>
      </c>
      <c r="AM72" s="107" t="str" cm="1">
        <f t="array" aca="1" ref="AM72" ca="1">IF(OR(Formulas!AN69=0,Formulas!AN69="",RIGHT(Formulas!AO69)="0"),"",
HYPERLINK("["&amp;Archivo_Nombre&amp;"]Datos!"&amp;LEFT(SUBSTITUTE(ADDRESS(1,RIGHT(Formulas!AO69)+2),"$",""))&amp;Formulas!AM69+1,
IFERROR(INDEX(Datos!$A$2:$L$101,Formulas!AM69,RIGHT(Formulas!AO69)+2),"")))</f>
        <v/>
      </c>
      <c r="AN72" s="107" t="str" cm="1">
        <f t="array" aca="1" ref="AN72" ca="1">IF(OR(Formulas!AO70=0,Formulas!AO70=""),"",HYPERLINK("["&amp;Archivo_Nombre&amp;"]Datos!"&amp;LEFT(SUBSTITUTE(ADDRESS(1,Formulas!AO70+2),"$",""))&amp;Formulas!AN70+1,
IFERROR(INDEX(Datos!$A$2:$L$101,Formulas!AN70,Formulas!AO70+2),"")))</f>
        <v/>
      </c>
      <c r="AO72" s="13"/>
      <c r="AP72" s="6"/>
      <c r="AQ72" s="24" t="str" cm="1">
        <f t="array" aca="1" ref="AQ72" ca="1">IF(OR(Formulas!AS69=0,Formulas!AS69="",RIGHT(Formulas!AT69)="0"),"",
HYPERLINK("["&amp;Archivo_Nombre&amp;"]Datos!"&amp;LEFT(SUBSTITUTE(ADDRESS(1,IF(Formulas!AS69=1,1,RIGHT(Formulas!AT69)+2)),"$",""))&amp;Formulas!AR69+1,
IFERROR(INDEX(Datos!$A$1:$L$1,1,RIGHT(Formulas!AT69)+2)&amp;IF(Formulas!AS69=1," "&amp;Formulas!AR69,"")&amp;":","")))</f>
        <v/>
      </c>
      <c r="AR72" s="107" t="str" cm="1">
        <f t="array" aca="1" ref="AR72" ca="1">IF(OR(Formulas!AS69=0,Formulas!AS69="",RIGHT(Formulas!AT69)="0"),"",
HYPERLINK("["&amp;Archivo_Nombre&amp;"]Datos!"&amp;LEFT(SUBSTITUTE(ADDRESS(1,RIGHT(Formulas!AT69)+2),"$",""))&amp;Formulas!AR69+1,
IFERROR(INDEX(Datos!$A$2:$L$101,Formulas!AR69,RIGHT(Formulas!AT69)+2),"")))</f>
        <v/>
      </c>
      <c r="AS72" s="107" t="str" cm="1">
        <f t="array" aca="1" ref="AS72" ca="1">IF(OR(Formulas!AT70=0,Formulas!AT70=""),"",HYPERLINK("["&amp;Archivo_Nombre&amp;"]Datos!"&amp;LEFT(SUBSTITUTE(ADDRESS(1,Formulas!AT70+2),"$",""))&amp;Formulas!AS70+1,
IFERROR(INDEX(Datos!$A$2:$L$101,Formulas!AS70,Formulas!AT70+2),"")))</f>
        <v/>
      </c>
      <c r="AT72" s="13"/>
      <c r="AU72" s="6"/>
      <c r="AV72" s="24" t="str" cm="1">
        <f t="array" aca="1" ref="AV72" ca="1">IF(OR(Formulas!AX69=0,Formulas!AX69="",RIGHT(Formulas!AY69)="0"),"",
HYPERLINK("["&amp;Archivo_Nombre&amp;"]Datos!"&amp;LEFT(SUBSTITUTE(ADDRESS(1,IF(Formulas!AX69=1,1,RIGHT(Formulas!AY69)+2)),"$",""))&amp;Formulas!AW69+1,
IFERROR(INDEX(Datos!$A$1:$L$1,1,RIGHT(Formulas!AY69)+2)&amp;IF(Formulas!AX69=1," "&amp;Formulas!AW69,"")&amp;":","")))</f>
        <v/>
      </c>
      <c r="AW72" s="107" t="str" cm="1">
        <f t="array" aca="1" ref="AW72" ca="1">IF(OR(Formulas!AX69=0,Formulas!AX69="",RIGHT(Formulas!AY69)="0"),"",
HYPERLINK("["&amp;Archivo_Nombre&amp;"]Datos!"&amp;LEFT(SUBSTITUTE(ADDRESS(1,RIGHT(Formulas!AY69)+2),"$",""))&amp;Formulas!AW69+1,
IFERROR(INDEX(Datos!$A$2:$L$101,Formulas!AW69,RIGHT(Formulas!AY69)+2),"")))</f>
        <v/>
      </c>
      <c r="AX72" s="107" t="str" cm="1">
        <f t="array" aca="1" ref="AX72" ca="1">IF(OR(Formulas!AY70=0,Formulas!AY70=""),"",HYPERLINK("["&amp;Archivo_Nombre&amp;"]Datos!"&amp;LEFT(SUBSTITUTE(ADDRESS(1,Formulas!AY70+2),"$",""))&amp;Formulas!AX70+1,
IFERROR(INDEX(Datos!$A$2:$L$101,Formulas!AX70,Formulas!AY70+2),"")))</f>
        <v/>
      </c>
      <c r="AY72" s="13"/>
    </row>
    <row r="73" spans="2:51" x14ac:dyDescent="0.25">
      <c r="B73" s="11"/>
      <c r="C73" s="24" t="str" cm="1">
        <f t="array" aca="1" ref="C73" ca="1">IF(OR(Formulas!E70=0,Formulas!E70="",RIGHT(Formulas!F70)="0"),"",
HYPERLINK("["&amp;Archivo_Nombre&amp;"]Datos!"&amp;LEFT(SUBSTITUTE(ADDRESS(1,IF(Formulas!E70=1,1,RIGHT(Formulas!F70)+2)),"$",""))&amp;Formulas!D70+1,
IFERROR(INDEX(Datos!$A$1:$L$1,1,RIGHT(Formulas!F70)+2)&amp;IF(Formulas!E70=1," "&amp;Formulas!D70,"")&amp;":","")))</f>
        <v/>
      </c>
      <c r="D73" s="107" t="str" cm="1">
        <f t="array" aca="1" ref="D73" ca="1">IF(OR(Formulas!E70=0,Formulas!E70="",RIGHT(Formulas!F70)="0"),"",
HYPERLINK("["&amp;Archivo_Nombre&amp;"]Datos!"&amp;LEFT(SUBSTITUTE(ADDRESS(1,RIGHT(Formulas!F70)+2),"$",""))&amp;Formulas!D70+1,
IFERROR(INDEX(Datos!$A$2:$L$101,Formulas!D70,RIGHT(Formulas!F70)+2),"")))</f>
        <v/>
      </c>
      <c r="E73" s="107" t="str" cm="1">
        <f t="array" aca="1" ref="E73" ca="1">IF(OR(Formulas!F71=0,Formulas!F71=""),"",HYPERLINK("["&amp;Archivo_Nombre&amp;"]Datos!"&amp;LEFT(SUBSTITUTE(ADDRESS(1,Formulas!F71+2),"$",""))&amp;Formulas!E71+1,
IFERROR(INDEX(Datos!$A$2:$L$101,Formulas!E71,Formulas!F71+2),"")))</f>
        <v/>
      </c>
      <c r="F73" s="5"/>
      <c r="G73" s="6"/>
      <c r="H73" s="24" t="str" cm="1">
        <f t="array" aca="1" ref="H73" ca="1">IF(OR(Formulas!J70=0,Formulas!J70="",RIGHT(Formulas!K70)="0"),"",
HYPERLINK("["&amp;Archivo_Nombre&amp;"]Datos!"&amp;LEFT(SUBSTITUTE(ADDRESS(1,IF(Formulas!J70=1,1,RIGHT(Formulas!K70)+2)),"$",""))&amp;Formulas!I70+1,
IFERROR(INDEX(Datos!$A$1:$L$1,1,RIGHT(Formulas!K70)+2)&amp;IF(Formulas!J70=1," "&amp;Formulas!I70,"")&amp;":","")))</f>
        <v/>
      </c>
      <c r="I73" s="107" t="str" cm="1">
        <f t="array" aca="1" ref="I73" ca="1">IF(OR(Formulas!J70=0,Formulas!J70="",RIGHT(Formulas!K70)="0"),"",
HYPERLINK("["&amp;Archivo_Nombre&amp;"]Datos!"&amp;LEFT(SUBSTITUTE(ADDRESS(1,RIGHT(Formulas!K70)+2),"$",""))&amp;Formulas!I70+1,
IFERROR(INDEX(Datos!$A$2:$L$101,Formulas!I70,RIGHT(Formulas!K70)+2),"")))</f>
        <v/>
      </c>
      <c r="J73" s="107" t="str" cm="1">
        <f t="array" aca="1" ref="J73" ca="1">IF(OR(Formulas!K71=0,Formulas!K71=""),"",HYPERLINK("["&amp;Archivo_Nombre&amp;"]Datos!"&amp;LEFT(SUBSTITUTE(ADDRESS(1,Formulas!K71+2),"$",""))&amp;Formulas!J71+1,
IFERROR(INDEX(Datos!$A$2:$L$101,Formulas!J71,Formulas!K71+2),"")))</f>
        <v/>
      </c>
      <c r="K73" s="5"/>
      <c r="L73" s="6"/>
      <c r="M73" s="24" t="str" cm="1">
        <f t="array" aca="1" ref="M73" ca="1">IF(OR(Formulas!O70=0,Formulas!O70="",RIGHT(Formulas!P70)="0"),"",
HYPERLINK("["&amp;Archivo_Nombre&amp;"]Datos!"&amp;LEFT(SUBSTITUTE(ADDRESS(1,IF(Formulas!O70=1,1,RIGHT(Formulas!P70)+2)),"$",""))&amp;Formulas!N70+1,
IFERROR(INDEX(Datos!$A$1:$L$1,1,RIGHT(Formulas!P70)+2)&amp;IF(Formulas!O70=1," "&amp;Formulas!N70,"")&amp;":","")))</f>
        <v/>
      </c>
      <c r="N73" s="107" t="str" cm="1">
        <f t="array" aca="1" ref="N73" ca="1">IF(OR(Formulas!O70=0,Formulas!O70="",RIGHT(Formulas!P70)="0"),"",
HYPERLINK("["&amp;Archivo_Nombre&amp;"]Datos!"&amp;LEFT(SUBSTITUTE(ADDRESS(1,RIGHT(Formulas!P70)+2),"$",""))&amp;Formulas!N70+1,
IFERROR(INDEX(Datos!$A$2:$L$101,Formulas!N70,RIGHT(Formulas!P70)+2),"")))</f>
        <v/>
      </c>
      <c r="O73" s="107" t="str" cm="1">
        <f t="array" aca="1" ref="O73" ca="1">IF(OR(Formulas!P71=0,Formulas!P71=""),"",HYPERLINK("["&amp;Archivo_Nombre&amp;"]Datos!"&amp;LEFT(SUBSTITUTE(ADDRESS(1,Formulas!P71+2),"$",""))&amp;Formulas!O71+1,
IFERROR(INDEX(Datos!$A$2:$L$101,Formulas!O71,Formulas!P71+2),"")))</f>
        <v/>
      </c>
      <c r="P73" s="5"/>
      <c r="Q73" s="6"/>
      <c r="R73" s="24" t="str" cm="1">
        <f t="array" aca="1" ref="R73" ca="1">IF(OR(Formulas!T70=0,Formulas!T70="",RIGHT(Formulas!U70)="0"),"",
HYPERLINK("["&amp;Archivo_Nombre&amp;"]Datos!"&amp;LEFT(SUBSTITUTE(ADDRESS(1,IF(Formulas!T70=1,1,RIGHT(Formulas!U70)+2)),"$",""))&amp;Formulas!S70+1,
IFERROR(INDEX(Datos!$A$1:$L$1,1,RIGHT(Formulas!U70)+2)&amp;IF(Formulas!T70=1," "&amp;Formulas!S70,"")&amp;":","")))</f>
        <v>Retraso:</v>
      </c>
      <c r="S73" s="107" t="str" cm="1">
        <f t="array" aca="1" ref="S73" ca="1">IF(OR(Formulas!T70=0,Formulas!T70="",RIGHT(Formulas!U70)="0"),"",
HYPERLINK("["&amp;Archivo_Nombre&amp;"]Datos!"&amp;LEFT(SUBSTITUTE(ADDRESS(1,RIGHT(Formulas!U70)+2),"$",""))&amp;Formulas!S70+1,
IFERROR(INDEX(Datos!$A$2:$L$101,Formulas!S70,RIGHT(Formulas!U70)+2),"")))</f>
        <v>0 días</v>
      </c>
      <c r="T73" s="107" t="e" cm="1">
        <f t="array" aca="1" ref="T73" ca="1">IF(OR(Formulas!U71=0,Formulas!U71=""),"",HYPERLINK("["&amp;Archivo_Nombre&amp;"]Datos!"&amp;LEFT(SUBSTITUTE(ADDRESS(1,Formulas!U71+2),"$",""))&amp;Formulas!T71+1,
IFERROR(INDEX(Datos!$A$2:$L$101,Formulas!T71,Formulas!U71+2),"")))</f>
        <v>#VALUE!</v>
      </c>
      <c r="U73" s="5"/>
      <c r="V73" s="6"/>
      <c r="W73" s="24" t="str" cm="1">
        <f t="array" aca="1" ref="W73" ca="1">IF(OR(Formulas!Y70=0,Formulas!Y70="",RIGHT(Formulas!Z70)="0"),"",
HYPERLINK("["&amp;Archivo_Nombre&amp;"]Datos!"&amp;LEFT(SUBSTITUTE(ADDRESS(1,IF(Formulas!Y70=1,1,RIGHT(Formulas!Z70)+2)),"$",""))&amp;Formulas!X70+1,
IFERROR(INDEX(Datos!$A$1:$L$1,1,RIGHT(Formulas!Z70)+2)&amp;IF(Formulas!Y70=1," "&amp;Formulas!X70,"")&amp;":","")))</f>
        <v/>
      </c>
      <c r="X73" s="107" t="str" cm="1">
        <f t="array" aca="1" ref="X73" ca="1">IF(OR(Formulas!Y70=0,Formulas!Y70="",RIGHT(Formulas!Z70)="0"),"",
HYPERLINK("["&amp;Archivo_Nombre&amp;"]Datos!"&amp;LEFT(SUBSTITUTE(ADDRESS(1,RIGHT(Formulas!Z70)+2),"$",""))&amp;Formulas!X70+1,
IFERROR(INDEX(Datos!$A$2:$L$101,Formulas!X70,RIGHT(Formulas!Z70)+2),"")))</f>
        <v/>
      </c>
      <c r="Y73" s="107" t="str" cm="1">
        <f t="array" aca="1" ref="Y73" ca="1">IF(OR(Formulas!Z71=0,Formulas!Z71=""),"",HYPERLINK("["&amp;Archivo_Nombre&amp;"]Datos!"&amp;LEFT(SUBSTITUTE(ADDRESS(1,Formulas!Z71+2),"$",""))&amp;Formulas!Y71+1,
IFERROR(INDEX(Datos!$A$2:$L$101,Formulas!Y71,Formulas!Z71+2),"")))</f>
        <v/>
      </c>
      <c r="Z73" s="13"/>
      <c r="AA73" s="6"/>
      <c r="AB73" s="24" t="str" cm="1">
        <f t="array" aca="1" ref="AB73" ca="1">IF(OR(Formulas!AD70=0,Formulas!AD70="",RIGHT(Formulas!AE70)="0"),"",
HYPERLINK("["&amp;Archivo_Nombre&amp;"]Datos!"&amp;LEFT(SUBSTITUTE(ADDRESS(1,IF(Formulas!AD70=1,1,RIGHT(Formulas!AE70)+2)),"$",""))&amp;Formulas!AC70+1,
IFERROR(INDEX(Datos!$A$1:$L$1,1,RIGHT(Formulas!AE70)+2)&amp;IF(Formulas!AD70=1," "&amp;Formulas!AC70,"")&amp;":","")))</f>
        <v/>
      </c>
      <c r="AC73" s="107" t="str" cm="1">
        <f t="array" aca="1" ref="AC73" ca="1">IF(OR(Formulas!AD70=0,Formulas!AD70="",RIGHT(Formulas!AE70)="0"),"",
HYPERLINK("["&amp;Archivo_Nombre&amp;"]Datos!"&amp;LEFT(SUBSTITUTE(ADDRESS(1,RIGHT(Formulas!AE70)+2),"$",""))&amp;Formulas!AC70+1,
IFERROR(INDEX(Datos!$A$2:$L$101,Formulas!AC70,RIGHT(Formulas!AE70)+2),"")))</f>
        <v/>
      </c>
      <c r="AD73" s="107" t="str" cm="1">
        <f t="array" aca="1" ref="AD73" ca="1">IF(OR(Formulas!AE71=0,Formulas!AE71=""),"",HYPERLINK("["&amp;Archivo_Nombre&amp;"]Datos!"&amp;LEFT(SUBSTITUTE(ADDRESS(1,Formulas!AE71+2),"$",""))&amp;Formulas!AD71+1,
IFERROR(INDEX(Datos!$A$2:$L$101,Formulas!AD71,Formulas!AE71+2),"")))</f>
        <v/>
      </c>
      <c r="AE73" s="13"/>
      <c r="AF73" s="6"/>
      <c r="AG73" s="24" t="str" cm="1">
        <f t="array" aca="1" ref="AG73" ca="1">IF(OR(Formulas!AI70=0,Formulas!AI70="",RIGHT(Formulas!AJ70)="0"),"",
HYPERLINK("["&amp;Archivo_Nombre&amp;"]Datos!"&amp;LEFT(SUBSTITUTE(ADDRESS(1,IF(Formulas!AI70=1,1,RIGHT(Formulas!AJ70)+2)),"$",""))&amp;Formulas!AH70+1,
IFERROR(INDEX(Datos!$A$1:$L$1,1,RIGHT(Formulas!AJ70)+2)&amp;IF(Formulas!AI70=1," "&amp;Formulas!AH70,"")&amp;":","")))</f>
        <v/>
      </c>
      <c r="AH73" s="107" t="str" cm="1">
        <f t="array" aca="1" ref="AH73" ca="1">IF(OR(Formulas!AI70=0,Formulas!AI70="",RIGHT(Formulas!AJ70)="0"),"",
HYPERLINK("["&amp;Archivo_Nombre&amp;"]Datos!"&amp;LEFT(SUBSTITUTE(ADDRESS(1,RIGHT(Formulas!AJ70)+2),"$",""))&amp;Formulas!AH70+1,
IFERROR(INDEX(Datos!$A$2:$L$101,Formulas!AH70,RIGHT(Formulas!AJ70)+2),"")))</f>
        <v/>
      </c>
      <c r="AI73" s="107" t="str" cm="1">
        <f t="array" aca="1" ref="AI73" ca="1">IF(OR(Formulas!AJ71=0,Formulas!AJ71=""),"",HYPERLINK("["&amp;Archivo_Nombre&amp;"]Datos!"&amp;LEFT(SUBSTITUTE(ADDRESS(1,Formulas!AJ71+2),"$",""))&amp;Formulas!AI71+1,
IFERROR(INDEX(Datos!$A$2:$L$101,Formulas!AI71,Formulas!AJ71+2),"")))</f>
        <v/>
      </c>
      <c r="AJ73" s="13"/>
      <c r="AK73" s="6"/>
      <c r="AL73" s="24" t="str" cm="1">
        <f t="array" aca="1" ref="AL73" ca="1">IF(OR(Formulas!AN70=0,Formulas!AN70="",RIGHT(Formulas!AO70)="0"),"",
HYPERLINK("["&amp;Archivo_Nombre&amp;"]Datos!"&amp;LEFT(SUBSTITUTE(ADDRESS(1,IF(Formulas!AN70=1,1,RIGHT(Formulas!AO70)+2)),"$",""))&amp;Formulas!AM70+1,
IFERROR(INDEX(Datos!$A$1:$L$1,1,RIGHT(Formulas!AO70)+2)&amp;IF(Formulas!AN70=1," "&amp;Formulas!AM70,"")&amp;":","")))</f>
        <v/>
      </c>
      <c r="AM73" s="107" t="str" cm="1">
        <f t="array" aca="1" ref="AM73" ca="1">IF(OR(Formulas!AN70=0,Formulas!AN70="",RIGHT(Formulas!AO70)="0"),"",
HYPERLINK("["&amp;Archivo_Nombre&amp;"]Datos!"&amp;LEFT(SUBSTITUTE(ADDRESS(1,RIGHT(Formulas!AO70)+2),"$",""))&amp;Formulas!AM70+1,
IFERROR(INDEX(Datos!$A$2:$L$101,Formulas!AM70,RIGHT(Formulas!AO70)+2),"")))</f>
        <v/>
      </c>
      <c r="AN73" s="107" t="str" cm="1">
        <f t="array" aca="1" ref="AN73" ca="1">IF(OR(Formulas!AO71=0,Formulas!AO71=""),"",HYPERLINK("["&amp;Archivo_Nombre&amp;"]Datos!"&amp;LEFT(SUBSTITUTE(ADDRESS(1,Formulas!AO71+2),"$",""))&amp;Formulas!AN71+1,
IFERROR(INDEX(Datos!$A$2:$L$101,Formulas!AN71,Formulas!AO71+2),"")))</f>
        <v/>
      </c>
      <c r="AO73" s="13"/>
      <c r="AP73" s="6"/>
      <c r="AQ73" s="24" t="str" cm="1">
        <f t="array" aca="1" ref="AQ73" ca="1">IF(OR(Formulas!AS70=0,Formulas!AS70="",RIGHT(Formulas!AT70)="0"),"",
HYPERLINK("["&amp;Archivo_Nombre&amp;"]Datos!"&amp;LEFT(SUBSTITUTE(ADDRESS(1,IF(Formulas!AS70=1,1,RIGHT(Formulas!AT70)+2)),"$",""))&amp;Formulas!AR70+1,
IFERROR(INDEX(Datos!$A$1:$L$1,1,RIGHT(Formulas!AT70)+2)&amp;IF(Formulas!AS70=1," "&amp;Formulas!AR70,"")&amp;":","")))</f>
        <v/>
      </c>
      <c r="AR73" s="107" t="str" cm="1">
        <f t="array" aca="1" ref="AR73" ca="1">IF(OR(Formulas!AS70=0,Formulas!AS70="",RIGHT(Formulas!AT70)="0"),"",
HYPERLINK("["&amp;Archivo_Nombre&amp;"]Datos!"&amp;LEFT(SUBSTITUTE(ADDRESS(1,RIGHT(Formulas!AT70)+2),"$",""))&amp;Formulas!AR70+1,
IFERROR(INDEX(Datos!$A$2:$L$101,Formulas!AR70,RIGHT(Formulas!AT70)+2),"")))</f>
        <v/>
      </c>
      <c r="AS73" s="107" t="str" cm="1">
        <f t="array" aca="1" ref="AS73" ca="1">IF(OR(Formulas!AT71=0,Formulas!AT71=""),"",HYPERLINK("["&amp;Archivo_Nombre&amp;"]Datos!"&amp;LEFT(SUBSTITUTE(ADDRESS(1,Formulas!AT71+2),"$",""))&amp;Formulas!AS71+1,
IFERROR(INDEX(Datos!$A$2:$L$101,Formulas!AS71,Formulas!AT71+2),"")))</f>
        <v/>
      </c>
      <c r="AT73" s="13"/>
      <c r="AU73" s="6"/>
      <c r="AV73" s="24" t="str" cm="1">
        <f t="array" aca="1" ref="AV73" ca="1">IF(OR(Formulas!AX70=0,Formulas!AX70="",RIGHT(Formulas!AY70)="0"),"",
HYPERLINK("["&amp;Archivo_Nombre&amp;"]Datos!"&amp;LEFT(SUBSTITUTE(ADDRESS(1,IF(Formulas!AX70=1,1,RIGHT(Formulas!AY70)+2)),"$",""))&amp;Formulas!AW70+1,
IFERROR(INDEX(Datos!$A$1:$L$1,1,RIGHT(Formulas!AY70)+2)&amp;IF(Formulas!AX70=1," "&amp;Formulas!AW70,"")&amp;":","")))</f>
        <v/>
      </c>
      <c r="AW73" s="107" t="str" cm="1">
        <f t="array" aca="1" ref="AW73" ca="1">IF(OR(Formulas!AX70=0,Formulas!AX70="",RIGHT(Formulas!AY70)="0"),"",
HYPERLINK("["&amp;Archivo_Nombre&amp;"]Datos!"&amp;LEFT(SUBSTITUTE(ADDRESS(1,RIGHT(Formulas!AY70)+2),"$",""))&amp;Formulas!AW70+1,
IFERROR(INDEX(Datos!$A$2:$L$101,Formulas!AW70,RIGHT(Formulas!AY70)+2),"")))</f>
        <v/>
      </c>
      <c r="AX73" s="107" t="str" cm="1">
        <f t="array" aca="1" ref="AX73" ca="1">IF(OR(Formulas!AY71=0,Formulas!AY71=""),"",HYPERLINK("["&amp;Archivo_Nombre&amp;"]Datos!"&amp;LEFT(SUBSTITUTE(ADDRESS(1,Formulas!AY71+2),"$",""))&amp;Formulas!AX71+1,
IFERROR(INDEX(Datos!$A$2:$L$101,Formulas!AX71,Formulas!AY71+2),"")))</f>
        <v/>
      </c>
      <c r="AY73" s="13"/>
    </row>
    <row r="74" spans="2:51" x14ac:dyDescent="0.25">
      <c r="B74" s="11"/>
      <c r="C74" s="24" t="str" cm="1">
        <f t="array" aca="1" ref="C74" ca="1">IF(OR(Formulas!E71=0,Formulas!E71="",RIGHT(Formulas!F71)="0"),"",
HYPERLINK("["&amp;Archivo_Nombre&amp;"]Datos!"&amp;LEFT(SUBSTITUTE(ADDRESS(1,IF(Formulas!E71=1,1,RIGHT(Formulas!F71)+2)),"$",""))&amp;Formulas!D71+1,
IFERROR(INDEX(Datos!$A$1:$L$1,1,RIGHT(Formulas!F71)+2)&amp;IF(Formulas!E71=1," "&amp;Formulas!D71,"")&amp;":","")))</f>
        <v/>
      </c>
      <c r="D74" s="107" t="str" cm="1">
        <f t="array" aca="1" ref="D74" ca="1">IF(OR(Formulas!E71=0,Formulas!E71="",RIGHT(Formulas!F71)="0"),"",
HYPERLINK("["&amp;Archivo_Nombre&amp;"]Datos!"&amp;LEFT(SUBSTITUTE(ADDRESS(1,RIGHT(Formulas!F71)+2),"$",""))&amp;Formulas!D71+1,
IFERROR(INDEX(Datos!$A$2:$L$101,Formulas!D71,RIGHT(Formulas!F71)+2),"")))</f>
        <v/>
      </c>
      <c r="E74" s="107" t="str" cm="1">
        <f t="array" aca="1" ref="E74" ca="1">IF(OR(Formulas!F72=0,Formulas!F72=""),"",HYPERLINK("["&amp;Archivo_Nombre&amp;"]Datos!"&amp;LEFT(SUBSTITUTE(ADDRESS(1,Formulas!F72+2),"$",""))&amp;Formulas!E72+1,
IFERROR(INDEX(Datos!$A$2:$L$101,Formulas!E72,Formulas!F72+2),"")))</f>
        <v/>
      </c>
      <c r="F74" s="5"/>
      <c r="G74" s="6"/>
      <c r="H74" s="24" t="str" cm="1">
        <f t="array" aca="1" ref="H74" ca="1">IF(OR(Formulas!J71=0,Formulas!J71="",RIGHT(Formulas!K71)="0"),"",
HYPERLINK("["&amp;Archivo_Nombre&amp;"]Datos!"&amp;LEFT(SUBSTITUTE(ADDRESS(1,IF(Formulas!J71=1,1,RIGHT(Formulas!K71)+2)),"$",""))&amp;Formulas!I71+1,
IFERROR(INDEX(Datos!$A$1:$L$1,1,RIGHT(Formulas!K71)+2)&amp;IF(Formulas!J71=1," "&amp;Formulas!I71,"")&amp;":","")))</f>
        <v/>
      </c>
      <c r="I74" s="107" t="str" cm="1">
        <f t="array" aca="1" ref="I74" ca="1">IF(OR(Formulas!J71=0,Formulas!J71="",RIGHT(Formulas!K71)="0"),"",
HYPERLINK("["&amp;Archivo_Nombre&amp;"]Datos!"&amp;LEFT(SUBSTITUTE(ADDRESS(1,RIGHT(Formulas!K71)+2),"$",""))&amp;Formulas!I71+1,
IFERROR(INDEX(Datos!$A$2:$L$101,Formulas!I71,RIGHT(Formulas!K71)+2),"")))</f>
        <v/>
      </c>
      <c r="J74" s="107" t="str" cm="1">
        <f t="array" aca="1" ref="J74" ca="1">IF(OR(Formulas!K72=0,Formulas!K72=""),"",HYPERLINK("["&amp;Archivo_Nombre&amp;"]Datos!"&amp;LEFT(SUBSTITUTE(ADDRESS(1,Formulas!K72+2),"$",""))&amp;Formulas!J72+1,
IFERROR(INDEX(Datos!$A$2:$L$101,Formulas!J72,Formulas!K72+2),"")))</f>
        <v/>
      </c>
      <c r="K74" s="5"/>
      <c r="L74" s="6"/>
      <c r="M74" s="24" t="str" cm="1">
        <f t="array" aca="1" ref="M74" ca="1">IF(OR(Formulas!O71=0,Formulas!O71="",RIGHT(Formulas!P71)="0"),"",
HYPERLINK("["&amp;Archivo_Nombre&amp;"]Datos!"&amp;LEFT(SUBSTITUTE(ADDRESS(1,IF(Formulas!O71=1,1,RIGHT(Formulas!P71)+2)),"$",""))&amp;Formulas!N71+1,
IFERROR(INDEX(Datos!$A$1:$L$1,1,RIGHT(Formulas!P71)+2)&amp;IF(Formulas!O71=1," "&amp;Formulas!N71,"")&amp;":","")))</f>
        <v/>
      </c>
      <c r="N74" s="107" t="str" cm="1">
        <f t="array" aca="1" ref="N74" ca="1">IF(OR(Formulas!O71=0,Formulas!O71="",RIGHT(Formulas!P71)="0"),"",
HYPERLINK("["&amp;Archivo_Nombre&amp;"]Datos!"&amp;LEFT(SUBSTITUTE(ADDRESS(1,RIGHT(Formulas!P71)+2),"$",""))&amp;Formulas!N71+1,
IFERROR(INDEX(Datos!$A$2:$L$101,Formulas!N71,RIGHT(Formulas!P71)+2),"")))</f>
        <v/>
      </c>
      <c r="O74" s="107" t="str" cm="1">
        <f t="array" aca="1" ref="O74" ca="1">IF(OR(Formulas!P72=0,Formulas!P72=""),"",HYPERLINK("["&amp;Archivo_Nombre&amp;"]Datos!"&amp;LEFT(SUBSTITUTE(ADDRESS(1,Formulas!P72+2),"$",""))&amp;Formulas!O72+1,
IFERROR(INDEX(Datos!$A$2:$L$101,Formulas!O72,Formulas!P72+2),"")))</f>
        <v/>
      </c>
      <c r="P74" s="5"/>
      <c r="Q74" s="6"/>
      <c r="R74" s="24" t="str" cm="1">
        <f t="array" aca="1" ref="R74" ca="1">IF(OR(Formulas!T71=0,Formulas!T71="",RIGHT(Formulas!U71)="0"),"",
HYPERLINK("["&amp;Archivo_Nombre&amp;"]Datos!"&amp;LEFT(SUBSTITUTE(ADDRESS(1,IF(Formulas!T71=1,1,RIGHT(Formulas!U71)+2)),"$",""))&amp;Formulas!S71+1,
IFERROR(INDEX(Datos!$A$1:$L$1,1,RIGHT(Formulas!U71)+2)&amp;IF(Formulas!T71=1," "&amp;Formulas!S71,"")&amp;":","")))</f>
        <v/>
      </c>
      <c r="S74" s="107" t="str" cm="1">
        <f t="array" aca="1" ref="S74" ca="1">IF(OR(Formulas!T71=0,Formulas!T71="",RIGHT(Formulas!U71)="0"),"",
HYPERLINK("["&amp;Archivo_Nombre&amp;"]Datos!"&amp;LEFT(SUBSTITUTE(ADDRESS(1,RIGHT(Formulas!U71)+2),"$",""))&amp;Formulas!S71+1,
IFERROR(INDEX(Datos!$A$2:$L$101,Formulas!S71,RIGHT(Formulas!U71)+2),"")))</f>
        <v/>
      </c>
      <c r="T74" s="107" t="str" cm="1">
        <f t="array" aca="1" ref="T74" ca="1">IF(OR(Formulas!U72=0,Formulas!U72=""),"",HYPERLINK("["&amp;Archivo_Nombre&amp;"]Datos!"&amp;LEFT(SUBSTITUTE(ADDRESS(1,Formulas!U72+2),"$",""))&amp;Formulas!T72+1,
IFERROR(INDEX(Datos!$A$2:$L$101,Formulas!T72,Formulas!U72+2),"")))</f>
        <v/>
      </c>
      <c r="U74" s="5"/>
      <c r="V74" s="6"/>
      <c r="W74" s="24" t="str" cm="1">
        <f t="array" aca="1" ref="W74" ca="1">IF(OR(Formulas!Y71=0,Formulas!Y71="",RIGHT(Formulas!Z71)="0"),"",
HYPERLINK("["&amp;Archivo_Nombre&amp;"]Datos!"&amp;LEFT(SUBSTITUTE(ADDRESS(1,IF(Formulas!Y71=1,1,RIGHT(Formulas!Z71)+2)),"$",""))&amp;Formulas!X71+1,
IFERROR(INDEX(Datos!$A$1:$L$1,1,RIGHT(Formulas!Z71)+2)&amp;IF(Formulas!Y71=1," "&amp;Formulas!X71,"")&amp;":","")))</f>
        <v/>
      </c>
      <c r="X74" s="107" t="str" cm="1">
        <f t="array" aca="1" ref="X74" ca="1">IF(OR(Formulas!Y71=0,Formulas!Y71="",RIGHT(Formulas!Z71)="0"),"",
HYPERLINK("["&amp;Archivo_Nombre&amp;"]Datos!"&amp;LEFT(SUBSTITUTE(ADDRESS(1,RIGHT(Formulas!Z71)+2),"$",""))&amp;Formulas!X71+1,
IFERROR(INDEX(Datos!$A$2:$L$101,Formulas!X71,RIGHT(Formulas!Z71)+2),"")))</f>
        <v/>
      </c>
      <c r="Y74" s="107" t="str" cm="1">
        <f t="array" aca="1" ref="Y74" ca="1">IF(OR(Formulas!Z72=0,Formulas!Z72=""),"",HYPERLINK("["&amp;Archivo_Nombre&amp;"]Datos!"&amp;LEFT(SUBSTITUTE(ADDRESS(1,Formulas!Z72+2),"$",""))&amp;Formulas!Y72+1,
IFERROR(INDEX(Datos!$A$2:$L$101,Formulas!Y72,Formulas!Z72+2),"")))</f>
        <v/>
      </c>
      <c r="Z74" s="13"/>
      <c r="AA74" s="6"/>
      <c r="AB74" s="24" t="str" cm="1">
        <f t="array" aca="1" ref="AB74" ca="1">IF(OR(Formulas!AD71=0,Formulas!AD71="",RIGHT(Formulas!AE71)="0"),"",
HYPERLINK("["&amp;Archivo_Nombre&amp;"]Datos!"&amp;LEFT(SUBSTITUTE(ADDRESS(1,IF(Formulas!AD71=1,1,RIGHT(Formulas!AE71)+2)),"$",""))&amp;Formulas!AC71+1,
IFERROR(INDEX(Datos!$A$1:$L$1,1,RIGHT(Formulas!AE71)+2)&amp;IF(Formulas!AD71=1," "&amp;Formulas!AC71,"")&amp;":","")))</f>
        <v/>
      </c>
      <c r="AC74" s="107" t="str" cm="1">
        <f t="array" aca="1" ref="AC74" ca="1">IF(OR(Formulas!AD71=0,Formulas!AD71="",RIGHT(Formulas!AE71)="0"),"",
HYPERLINK("["&amp;Archivo_Nombre&amp;"]Datos!"&amp;LEFT(SUBSTITUTE(ADDRESS(1,RIGHT(Formulas!AE71)+2),"$",""))&amp;Formulas!AC71+1,
IFERROR(INDEX(Datos!$A$2:$L$101,Formulas!AC71,RIGHT(Formulas!AE71)+2),"")))</f>
        <v/>
      </c>
      <c r="AD74" s="107" t="str" cm="1">
        <f t="array" aca="1" ref="AD74" ca="1">IF(OR(Formulas!AE72=0,Formulas!AE72=""),"",HYPERLINK("["&amp;Archivo_Nombre&amp;"]Datos!"&amp;LEFT(SUBSTITUTE(ADDRESS(1,Formulas!AE72+2),"$",""))&amp;Formulas!AD72+1,
IFERROR(INDEX(Datos!$A$2:$L$101,Formulas!AD72,Formulas!AE72+2),"")))</f>
        <v/>
      </c>
      <c r="AE74" s="13"/>
      <c r="AF74" s="6"/>
      <c r="AG74" s="24" t="str" cm="1">
        <f t="array" aca="1" ref="AG74" ca="1">IF(OR(Formulas!AI71=0,Formulas!AI71="",RIGHT(Formulas!AJ71)="0"),"",
HYPERLINK("["&amp;Archivo_Nombre&amp;"]Datos!"&amp;LEFT(SUBSTITUTE(ADDRESS(1,IF(Formulas!AI71=1,1,RIGHT(Formulas!AJ71)+2)),"$",""))&amp;Formulas!AH71+1,
IFERROR(INDEX(Datos!$A$1:$L$1,1,RIGHT(Formulas!AJ71)+2)&amp;IF(Formulas!AI71=1," "&amp;Formulas!AH71,"")&amp;":","")))</f>
        <v/>
      </c>
      <c r="AH74" s="107" t="str" cm="1">
        <f t="array" aca="1" ref="AH74" ca="1">IF(OR(Formulas!AI71=0,Formulas!AI71="",RIGHT(Formulas!AJ71)="0"),"",
HYPERLINK("["&amp;Archivo_Nombre&amp;"]Datos!"&amp;LEFT(SUBSTITUTE(ADDRESS(1,RIGHT(Formulas!AJ71)+2),"$",""))&amp;Formulas!AH71+1,
IFERROR(INDEX(Datos!$A$2:$L$101,Formulas!AH71,RIGHT(Formulas!AJ71)+2),"")))</f>
        <v/>
      </c>
      <c r="AI74" s="107" t="str" cm="1">
        <f t="array" aca="1" ref="AI74" ca="1">IF(OR(Formulas!AJ72=0,Formulas!AJ72=""),"",HYPERLINK("["&amp;Archivo_Nombre&amp;"]Datos!"&amp;LEFT(SUBSTITUTE(ADDRESS(1,Formulas!AJ72+2),"$",""))&amp;Formulas!AI72+1,
IFERROR(INDEX(Datos!$A$2:$L$101,Formulas!AI72,Formulas!AJ72+2),"")))</f>
        <v/>
      </c>
      <c r="AJ74" s="13"/>
      <c r="AK74" s="6"/>
      <c r="AL74" s="24" t="str" cm="1">
        <f t="array" aca="1" ref="AL74" ca="1">IF(OR(Formulas!AN71=0,Formulas!AN71="",RIGHT(Formulas!AO71)="0"),"",
HYPERLINK("["&amp;Archivo_Nombre&amp;"]Datos!"&amp;LEFT(SUBSTITUTE(ADDRESS(1,IF(Formulas!AN71=1,1,RIGHT(Formulas!AO71)+2)),"$",""))&amp;Formulas!AM71+1,
IFERROR(INDEX(Datos!$A$1:$L$1,1,RIGHT(Formulas!AO71)+2)&amp;IF(Formulas!AN71=1," "&amp;Formulas!AM71,"")&amp;":","")))</f>
        <v/>
      </c>
      <c r="AM74" s="107" t="str" cm="1">
        <f t="array" aca="1" ref="AM74" ca="1">IF(OR(Formulas!AN71=0,Formulas!AN71="",RIGHT(Formulas!AO71)="0"),"",
HYPERLINK("["&amp;Archivo_Nombre&amp;"]Datos!"&amp;LEFT(SUBSTITUTE(ADDRESS(1,RIGHT(Formulas!AO71)+2),"$",""))&amp;Formulas!AM71+1,
IFERROR(INDEX(Datos!$A$2:$L$101,Formulas!AM71,RIGHT(Formulas!AO71)+2),"")))</f>
        <v/>
      </c>
      <c r="AN74" s="107" t="str" cm="1">
        <f t="array" aca="1" ref="AN74" ca="1">IF(OR(Formulas!AO72=0,Formulas!AO72=""),"",HYPERLINK("["&amp;Archivo_Nombre&amp;"]Datos!"&amp;LEFT(SUBSTITUTE(ADDRESS(1,Formulas!AO72+2),"$",""))&amp;Formulas!AN72+1,
IFERROR(INDEX(Datos!$A$2:$L$101,Formulas!AN72,Formulas!AO72+2),"")))</f>
        <v/>
      </c>
      <c r="AO74" s="13"/>
      <c r="AP74" s="6"/>
      <c r="AQ74" s="24" t="str" cm="1">
        <f t="array" aca="1" ref="AQ74" ca="1">IF(OR(Formulas!AS71=0,Formulas!AS71="",RIGHT(Formulas!AT71)="0"),"",
HYPERLINK("["&amp;Archivo_Nombre&amp;"]Datos!"&amp;LEFT(SUBSTITUTE(ADDRESS(1,IF(Formulas!AS71=1,1,RIGHT(Formulas!AT71)+2)),"$",""))&amp;Formulas!AR71+1,
IFERROR(INDEX(Datos!$A$1:$L$1,1,RIGHT(Formulas!AT71)+2)&amp;IF(Formulas!AS71=1," "&amp;Formulas!AR71,"")&amp;":","")))</f>
        <v/>
      </c>
      <c r="AR74" s="107" t="str" cm="1">
        <f t="array" aca="1" ref="AR74" ca="1">IF(OR(Formulas!AS71=0,Formulas!AS71="",RIGHT(Formulas!AT71)="0"),"",
HYPERLINK("["&amp;Archivo_Nombre&amp;"]Datos!"&amp;LEFT(SUBSTITUTE(ADDRESS(1,RIGHT(Formulas!AT71)+2),"$",""))&amp;Formulas!AR71+1,
IFERROR(INDEX(Datos!$A$2:$L$101,Formulas!AR71,RIGHT(Formulas!AT71)+2),"")))</f>
        <v/>
      </c>
      <c r="AS74" s="107" t="str" cm="1">
        <f t="array" aca="1" ref="AS74" ca="1">IF(OR(Formulas!AT72=0,Formulas!AT72=""),"",HYPERLINK("["&amp;Archivo_Nombre&amp;"]Datos!"&amp;LEFT(SUBSTITUTE(ADDRESS(1,Formulas!AT72+2),"$",""))&amp;Formulas!AS72+1,
IFERROR(INDEX(Datos!$A$2:$L$101,Formulas!AS72,Formulas!AT72+2),"")))</f>
        <v/>
      </c>
      <c r="AT74" s="13"/>
      <c r="AU74" s="6"/>
      <c r="AV74" s="24" t="str" cm="1">
        <f t="array" aca="1" ref="AV74" ca="1">IF(OR(Formulas!AX71=0,Formulas!AX71="",RIGHT(Formulas!AY71)="0"),"",
HYPERLINK("["&amp;Archivo_Nombre&amp;"]Datos!"&amp;LEFT(SUBSTITUTE(ADDRESS(1,IF(Formulas!AX71=1,1,RIGHT(Formulas!AY71)+2)),"$",""))&amp;Formulas!AW71+1,
IFERROR(INDEX(Datos!$A$1:$L$1,1,RIGHT(Formulas!AY71)+2)&amp;IF(Formulas!AX71=1," "&amp;Formulas!AW71,"")&amp;":","")))</f>
        <v/>
      </c>
      <c r="AW74" s="107" t="str" cm="1">
        <f t="array" aca="1" ref="AW74" ca="1">IF(OR(Formulas!AX71=0,Formulas!AX71="",RIGHT(Formulas!AY71)="0"),"",
HYPERLINK("["&amp;Archivo_Nombre&amp;"]Datos!"&amp;LEFT(SUBSTITUTE(ADDRESS(1,RIGHT(Formulas!AY71)+2),"$",""))&amp;Formulas!AW71+1,
IFERROR(INDEX(Datos!$A$2:$L$101,Formulas!AW71,RIGHT(Formulas!AY71)+2),"")))</f>
        <v/>
      </c>
      <c r="AX74" s="107" t="str" cm="1">
        <f t="array" aca="1" ref="AX74" ca="1">IF(OR(Formulas!AY72=0,Formulas!AY72=""),"",HYPERLINK("["&amp;Archivo_Nombre&amp;"]Datos!"&amp;LEFT(SUBSTITUTE(ADDRESS(1,Formulas!AY72+2),"$",""))&amp;Formulas!AX72+1,
IFERROR(INDEX(Datos!$A$2:$L$101,Formulas!AX72,Formulas!AY72+2),"")))</f>
        <v/>
      </c>
      <c r="AY74" s="13"/>
    </row>
    <row r="75" spans="2:51" x14ac:dyDescent="0.25">
      <c r="B75" s="11"/>
      <c r="C75" s="24" t="str" cm="1">
        <f t="array" aca="1" ref="C75" ca="1">IF(OR(Formulas!E72=0,Formulas!E72="",RIGHT(Formulas!F72)="0"),"",
HYPERLINK("["&amp;Archivo_Nombre&amp;"]Datos!"&amp;LEFT(SUBSTITUTE(ADDRESS(1,IF(Formulas!E72=1,1,RIGHT(Formulas!F72)+2)),"$",""))&amp;Formulas!D72+1,
IFERROR(INDEX(Datos!$A$1:$L$1,1,RIGHT(Formulas!F72)+2)&amp;IF(Formulas!E72=1," "&amp;Formulas!D72,"")&amp;":","")))</f>
        <v/>
      </c>
      <c r="D75" s="107" t="str" cm="1">
        <f t="array" aca="1" ref="D75" ca="1">IF(OR(Formulas!E72=0,Formulas!E72="",RIGHT(Formulas!F72)="0"),"",
HYPERLINK("["&amp;Archivo_Nombre&amp;"]Datos!"&amp;LEFT(SUBSTITUTE(ADDRESS(1,RIGHT(Formulas!F72)+2),"$",""))&amp;Formulas!D72+1,
IFERROR(INDEX(Datos!$A$2:$L$101,Formulas!D72,RIGHT(Formulas!F72)+2),"")))</f>
        <v/>
      </c>
      <c r="E75" s="107" t="str" cm="1">
        <f t="array" aca="1" ref="E75" ca="1">IF(OR(Formulas!F73=0,Formulas!F73=""),"",HYPERLINK("["&amp;Archivo_Nombre&amp;"]Datos!"&amp;LEFT(SUBSTITUTE(ADDRESS(1,Formulas!F73+2),"$",""))&amp;Formulas!E73+1,
IFERROR(INDEX(Datos!$A$2:$L$101,Formulas!E73,Formulas!F73+2),"")))</f>
        <v/>
      </c>
      <c r="F75" s="5"/>
      <c r="G75" s="6"/>
      <c r="H75" s="24" t="str" cm="1">
        <f t="array" aca="1" ref="H75" ca="1">IF(OR(Formulas!J72=0,Formulas!J72="",RIGHT(Formulas!K72)="0"),"",
HYPERLINK("["&amp;Archivo_Nombre&amp;"]Datos!"&amp;LEFT(SUBSTITUTE(ADDRESS(1,IF(Formulas!J72=1,1,RIGHT(Formulas!K72)+2)),"$",""))&amp;Formulas!I72+1,
IFERROR(INDEX(Datos!$A$1:$L$1,1,RIGHT(Formulas!K72)+2)&amp;IF(Formulas!J72=1," "&amp;Formulas!I72,"")&amp;":","")))</f>
        <v/>
      </c>
      <c r="I75" s="107" t="str" cm="1">
        <f t="array" aca="1" ref="I75" ca="1">IF(OR(Formulas!J72=0,Formulas!J72="",RIGHT(Formulas!K72)="0"),"",
HYPERLINK("["&amp;Archivo_Nombre&amp;"]Datos!"&amp;LEFT(SUBSTITUTE(ADDRESS(1,RIGHT(Formulas!K72)+2),"$",""))&amp;Formulas!I72+1,
IFERROR(INDEX(Datos!$A$2:$L$101,Formulas!I72,RIGHT(Formulas!K72)+2),"")))</f>
        <v/>
      </c>
      <c r="J75" s="107" t="str" cm="1">
        <f t="array" aca="1" ref="J75" ca="1">IF(OR(Formulas!K73=0,Formulas!K73=""),"",HYPERLINK("["&amp;Archivo_Nombre&amp;"]Datos!"&amp;LEFT(SUBSTITUTE(ADDRESS(1,Formulas!K73+2),"$",""))&amp;Formulas!J73+1,
IFERROR(INDEX(Datos!$A$2:$L$101,Formulas!J73,Formulas!K73+2),"")))</f>
        <v/>
      </c>
      <c r="K75" s="5"/>
      <c r="L75" s="6"/>
      <c r="M75" s="24" t="str" cm="1">
        <f t="array" aca="1" ref="M75" ca="1">IF(OR(Formulas!O72=0,Formulas!O72="",RIGHT(Formulas!P72)="0"),"",
HYPERLINK("["&amp;Archivo_Nombre&amp;"]Datos!"&amp;LEFT(SUBSTITUTE(ADDRESS(1,IF(Formulas!O72=1,1,RIGHT(Formulas!P72)+2)),"$",""))&amp;Formulas!N72+1,
IFERROR(INDEX(Datos!$A$1:$L$1,1,RIGHT(Formulas!P72)+2)&amp;IF(Formulas!O72=1," "&amp;Formulas!N72,"")&amp;":","")))</f>
        <v/>
      </c>
      <c r="N75" s="107" t="str" cm="1">
        <f t="array" aca="1" ref="N75" ca="1">IF(OR(Formulas!O72=0,Formulas!O72="",RIGHT(Formulas!P72)="0"),"",
HYPERLINK("["&amp;Archivo_Nombre&amp;"]Datos!"&amp;LEFT(SUBSTITUTE(ADDRESS(1,RIGHT(Formulas!P72)+2),"$",""))&amp;Formulas!N72+1,
IFERROR(INDEX(Datos!$A$2:$L$101,Formulas!N72,RIGHT(Formulas!P72)+2),"")))</f>
        <v/>
      </c>
      <c r="O75" s="107" t="str" cm="1">
        <f t="array" aca="1" ref="O75" ca="1">IF(OR(Formulas!P73=0,Formulas!P73=""),"",HYPERLINK("["&amp;Archivo_Nombre&amp;"]Datos!"&amp;LEFT(SUBSTITUTE(ADDRESS(1,Formulas!P73+2),"$",""))&amp;Formulas!O73+1,
IFERROR(INDEX(Datos!$A$2:$L$101,Formulas!O73,Formulas!P73+2),"")))</f>
        <v/>
      </c>
      <c r="P75" s="5"/>
      <c r="Q75" s="6"/>
      <c r="R75" s="24" t="str" cm="1">
        <f t="array" aca="1" ref="R75" ca="1">IF(OR(Formulas!T72=0,Formulas!T72="",RIGHT(Formulas!U72)="0"),"",
HYPERLINK("["&amp;Archivo_Nombre&amp;"]Datos!"&amp;LEFT(SUBSTITUTE(ADDRESS(1,IF(Formulas!T72=1,1,RIGHT(Formulas!U72)+2)),"$",""))&amp;Formulas!S72+1,
IFERROR(INDEX(Datos!$A$1:$L$1,1,RIGHT(Formulas!U72)+2)&amp;IF(Formulas!T72=1," "&amp;Formulas!S72,"")&amp;":","")))</f>
        <v/>
      </c>
      <c r="S75" s="107" t="str" cm="1">
        <f t="array" aca="1" ref="S75" ca="1">IF(OR(Formulas!T72=0,Formulas!T72="",RIGHT(Formulas!U72)="0"),"",
HYPERLINK("["&amp;Archivo_Nombre&amp;"]Datos!"&amp;LEFT(SUBSTITUTE(ADDRESS(1,RIGHT(Formulas!U72)+2),"$",""))&amp;Formulas!S72+1,
IFERROR(INDEX(Datos!$A$2:$L$101,Formulas!S72,RIGHT(Formulas!U72)+2),"")))</f>
        <v/>
      </c>
      <c r="T75" s="107" t="e" cm="1">
        <f t="array" aca="1" ref="T75" ca="1">IF(OR(Formulas!U73=0,Formulas!U73=""),"",HYPERLINK("["&amp;Archivo_Nombre&amp;"]Datos!"&amp;LEFT(SUBSTITUTE(ADDRESS(1,Formulas!U73+2),"$",""))&amp;Formulas!T73+1,
IFERROR(INDEX(Datos!$A$2:$L$101,Formulas!T73,Formulas!U73+2),"")))</f>
        <v>#VALUE!</v>
      </c>
      <c r="U75" s="5"/>
      <c r="V75" s="6"/>
      <c r="W75" s="24" t="str" cm="1">
        <f t="array" aca="1" ref="W75" ca="1">IF(OR(Formulas!Y72=0,Formulas!Y72="",RIGHT(Formulas!Z72)="0"),"",
HYPERLINK("["&amp;Archivo_Nombre&amp;"]Datos!"&amp;LEFT(SUBSTITUTE(ADDRESS(1,IF(Formulas!Y72=1,1,RIGHT(Formulas!Z72)+2)),"$",""))&amp;Formulas!X72+1,
IFERROR(INDEX(Datos!$A$1:$L$1,1,RIGHT(Formulas!Z72)+2)&amp;IF(Formulas!Y72=1," "&amp;Formulas!X72,"")&amp;":","")))</f>
        <v/>
      </c>
      <c r="X75" s="107" t="str" cm="1">
        <f t="array" aca="1" ref="X75" ca="1">IF(OR(Formulas!Y72=0,Formulas!Y72="",RIGHT(Formulas!Z72)="0"),"",
HYPERLINK("["&amp;Archivo_Nombre&amp;"]Datos!"&amp;LEFT(SUBSTITUTE(ADDRESS(1,RIGHT(Formulas!Z72)+2),"$",""))&amp;Formulas!X72+1,
IFERROR(INDEX(Datos!$A$2:$L$101,Formulas!X72,RIGHT(Formulas!Z72)+2),"")))</f>
        <v/>
      </c>
      <c r="Y75" s="107" t="str" cm="1">
        <f t="array" aca="1" ref="Y75" ca="1">IF(OR(Formulas!Z73=0,Formulas!Z73=""),"",HYPERLINK("["&amp;Archivo_Nombre&amp;"]Datos!"&amp;LEFT(SUBSTITUTE(ADDRESS(1,Formulas!Z73+2),"$",""))&amp;Formulas!Y73+1,
IFERROR(INDEX(Datos!$A$2:$L$101,Formulas!Y73,Formulas!Z73+2),"")))</f>
        <v/>
      </c>
      <c r="Z75" s="13"/>
      <c r="AA75" s="6"/>
      <c r="AB75" s="24" t="str" cm="1">
        <f t="array" aca="1" ref="AB75" ca="1">IF(OR(Formulas!AD72=0,Formulas!AD72="",RIGHT(Formulas!AE72)="0"),"",
HYPERLINK("["&amp;Archivo_Nombre&amp;"]Datos!"&amp;LEFT(SUBSTITUTE(ADDRESS(1,IF(Formulas!AD72=1,1,RIGHT(Formulas!AE72)+2)),"$",""))&amp;Formulas!AC72+1,
IFERROR(INDEX(Datos!$A$1:$L$1,1,RIGHT(Formulas!AE72)+2)&amp;IF(Formulas!AD72=1," "&amp;Formulas!AC72,"")&amp;":","")))</f>
        <v/>
      </c>
      <c r="AC75" s="107" t="str" cm="1">
        <f t="array" aca="1" ref="AC75" ca="1">IF(OR(Formulas!AD72=0,Formulas!AD72="",RIGHT(Formulas!AE72)="0"),"",
HYPERLINK("["&amp;Archivo_Nombre&amp;"]Datos!"&amp;LEFT(SUBSTITUTE(ADDRESS(1,RIGHT(Formulas!AE72)+2),"$",""))&amp;Formulas!AC72+1,
IFERROR(INDEX(Datos!$A$2:$L$101,Formulas!AC72,RIGHT(Formulas!AE72)+2),"")))</f>
        <v/>
      </c>
      <c r="AD75" s="107" t="str" cm="1">
        <f t="array" aca="1" ref="AD75" ca="1">IF(OR(Formulas!AE73=0,Formulas!AE73=""),"",HYPERLINK("["&amp;Archivo_Nombre&amp;"]Datos!"&amp;LEFT(SUBSTITUTE(ADDRESS(1,Formulas!AE73+2),"$",""))&amp;Formulas!AD73+1,
IFERROR(INDEX(Datos!$A$2:$L$101,Formulas!AD73,Formulas!AE73+2),"")))</f>
        <v/>
      </c>
      <c r="AE75" s="13"/>
      <c r="AF75" s="6"/>
      <c r="AG75" s="24" t="str" cm="1">
        <f t="array" aca="1" ref="AG75" ca="1">IF(OR(Formulas!AI72=0,Formulas!AI72="",RIGHT(Formulas!AJ72)="0"),"",
HYPERLINK("["&amp;Archivo_Nombre&amp;"]Datos!"&amp;LEFT(SUBSTITUTE(ADDRESS(1,IF(Formulas!AI72=1,1,RIGHT(Formulas!AJ72)+2)),"$",""))&amp;Formulas!AH72+1,
IFERROR(INDEX(Datos!$A$1:$L$1,1,RIGHT(Formulas!AJ72)+2)&amp;IF(Formulas!AI72=1," "&amp;Formulas!AH72,"")&amp;":","")))</f>
        <v/>
      </c>
      <c r="AH75" s="107" t="str" cm="1">
        <f t="array" aca="1" ref="AH75" ca="1">IF(OR(Formulas!AI72=0,Formulas!AI72="",RIGHT(Formulas!AJ72)="0"),"",
HYPERLINK("["&amp;Archivo_Nombre&amp;"]Datos!"&amp;LEFT(SUBSTITUTE(ADDRESS(1,RIGHT(Formulas!AJ72)+2),"$",""))&amp;Formulas!AH72+1,
IFERROR(INDEX(Datos!$A$2:$L$101,Formulas!AH72,RIGHT(Formulas!AJ72)+2),"")))</f>
        <v/>
      </c>
      <c r="AI75" s="107" t="str" cm="1">
        <f t="array" aca="1" ref="AI75" ca="1">IF(OR(Formulas!AJ73=0,Formulas!AJ73=""),"",HYPERLINK("["&amp;Archivo_Nombre&amp;"]Datos!"&amp;LEFT(SUBSTITUTE(ADDRESS(1,Formulas!AJ73+2),"$",""))&amp;Formulas!AI73+1,
IFERROR(INDEX(Datos!$A$2:$L$101,Formulas!AI73,Formulas!AJ73+2),"")))</f>
        <v/>
      </c>
      <c r="AJ75" s="13"/>
      <c r="AK75" s="6"/>
      <c r="AL75" s="24" t="str" cm="1">
        <f t="array" aca="1" ref="AL75" ca="1">IF(OR(Formulas!AN72=0,Formulas!AN72="",RIGHT(Formulas!AO72)="0"),"",
HYPERLINK("["&amp;Archivo_Nombre&amp;"]Datos!"&amp;LEFT(SUBSTITUTE(ADDRESS(1,IF(Formulas!AN72=1,1,RIGHT(Formulas!AO72)+2)),"$",""))&amp;Formulas!AM72+1,
IFERROR(INDEX(Datos!$A$1:$L$1,1,RIGHT(Formulas!AO72)+2)&amp;IF(Formulas!AN72=1," "&amp;Formulas!AM72,"")&amp;":","")))</f>
        <v/>
      </c>
      <c r="AM75" s="107" t="str" cm="1">
        <f t="array" aca="1" ref="AM75" ca="1">IF(OR(Formulas!AN72=0,Formulas!AN72="",RIGHT(Formulas!AO72)="0"),"",
HYPERLINK("["&amp;Archivo_Nombre&amp;"]Datos!"&amp;LEFT(SUBSTITUTE(ADDRESS(1,RIGHT(Formulas!AO72)+2),"$",""))&amp;Formulas!AM72+1,
IFERROR(INDEX(Datos!$A$2:$L$101,Formulas!AM72,RIGHT(Formulas!AO72)+2),"")))</f>
        <v/>
      </c>
      <c r="AN75" s="107" t="str" cm="1">
        <f t="array" aca="1" ref="AN75" ca="1">IF(OR(Formulas!AO73=0,Formulas!AO73=""),"",HYPERLINK("["&amp;Archivo_Nombre&amp;"]Datos!"&amp;LEFT(SUBSTITUTE(ADDRESS(1,Formulas!AO73+2),"$",""))&amp;Formulas!AN73+1,
IFERROR(INDEX(Datos!$A$2:$L$101,Formulas!AN73,Formulas!AO73+2),"")))</f>
        <v/>
      </c>
      <c r="AO75" s="13"/>
      <c r="AP75" s="6"/>
      <c r="AQ75" s="24" t="str" cm="1">
        <f t="array" aca="1" ref="AQ75" ca="1">IF(OR(Formulas!AS72=0,Formulas!AS72="",RIGHT(Formulas!AT72)="0"),"",
HYPERLINK("["&amp;Archivo_Nombre&amp;"]Datos!"&amp;LEFT(SUBSTITUTE(ADDRESS(1,IF(Formulas!AS72=1,1,RIGHT(Formulas!AT72)+2)),"$",""))&amp;Formulas!AR72+1,
IFERROR(INDEX(Datos!$A$1:$L$1,1,RIGHT(Formulas!AT72)+2)&amp;IF(Formulas!AS72=1," "&amp;Formulas!AR72,"")&amp;":","")))</f>
        <v/>
      </c>
      <c r="AR75" s="107" t="str" cm="1">
        <f t="array" aca="1" ref="AR75" ca="1">IF(OR(Formulas!AS72=0,Formulas!AS72="",RIGHT(Formulas!AT72)="0"),"",
HYPERLINK("["&amp;Archivo_Nombre&amp;"]Datos!"&amp;LEFT(SUBSTITUTE(ADDRESS(1,RIGHT(Formulas!AT72)+2),"$",""))&amp;Formulas!AR72+1,
IFERROR(INDEX(Datos!$A$2:$L$101,Formulas!AR72,RIGHT(Formulas!AT72)+2),"")))</f>
        <v/>
      </c>
      <c r="AS75" s="107" t="str" cm="1">
        <f t="array" aca="1" ref="AS75" ca="1">IF(OR(Formulas!AT73=0,Formulas!AT73=""),"",HYPERLINK("["&amp;Archivo_Nombre&amp;"]Datos!"&amp;LEFT(SUBSTITUTE(ADDRESS(1,Formulas!AT73+2),"$",""))&amp;Formulas!AS73+1,
IFERROR(INDEX(Datos!$A$2:$L$101,Formulas!AS73,Formulas!AT73+2),"")))</f>
        <v/>
      </c>
      <c r="AT75" s="13"/>
      <c r="AU75" s="6"/>
      <c r="AV75" s="24" t="str" cm="1">
        <f t="array" aca="1" ref="AV75" ca="1">IF(OR(Formulas!AX72=0,Formulas!AX72="",RIGHT(Formulas!AY72)="0"),"",
HYPERLINK("["&amp;Archivo_Nombre&amp;"]Datos!"&amp;LEFT(SUBSTITUTE(ADDRESS(1,IF(Formulas!AX72=1,1,RIGHT(Formulas!AY72)+2)),"$",""))&amp;Formulas!AW72+1,
IFERROR(INDEX(Datos!$A$1:$L$1,1,RIGHT(Formulas!AY72)+2)&amp;IF(Formulas!AX72=1," "&amp;Formulas!AW72,"")&amp;":","")))</f>
        <v/>
      </c>
      <c r="AW75" s="107" t="str" cm="1">
        <f t="array" aca="1" ref="AW75" ca="1">IF(OR(Formulas!AX72=0,Formulas!AX72="",RIGHT(Formulas!AY72)="0"),"",
HYPERLINK("["&amp;Archivo_Nombre&amp;"]Datos!"&amp;LEFT(SUBSTITUTE(ADDRESS(1,RIGHT(Formulas!AY72)+2),"$",""))&amp;Formulas!AW72+1,
IFERROR(INDEX(Datos!$A$2:$L$101,Formulas!AW72,RIGHT(Formulas!AY72)+2),"")))</f>
        <v/>
      </c>
      <c r="AX75" s="107" t="str" cm="1">
        <f t="array" aca="1" ref="AX75" ca="1">IF(OR(Formulas!AY73=0,Formulas!AY73=""),"",HYPERLINK("["&amp;Archivo_Nombre&amp;"]Datos!"&amp;LEFT(SUBSTITUTE(ADDRESS(1,Formulas!AY73+2),"$",""))&amp;Formulas!AX73+1,
IFERROR(INDEX(Datos!$A$2:$L$101,Formulas!AX73,Formulas!AY73+2),"")))</f>
        <v/>
      </c>
      <c r="AY75" s="13"/>
    </row>
    <row r="76" spans="2:51" x14ac:dyDescent="0.25">
      <c r="B76" s="11"/>
      <c r="C76" s="24" t="str" cm="1">
        <f t="array" aca="1" ref="C76" ca="1">IF(OR(Formulas!E73=0,Formulas!E73="",RIGHT(Formulas!F73)="0"),"",
HYPERLINK("["&amp;Archivo_Nombre&amp;"]Datos!"&amp;LEFT(SUBSTITUTE(ADDRESS(1,IF(Formulas!E73=1,1,RIGHT(Formulas!F73)+2)),"$",""))&amp;Formulas!D73+1,
IFERROR(INDEX(Datos!$A$1:$L$1,1,RIGHT(Formulas!F73)+2)&amp;IF(Formulas!E73=1," "&amp;Formulas!D73,"")&amp;":","")))</f>
        <v/>
      </c>
      <c r="D76" s="107" t="str" cm="1">
        <f t="array" aca="1" ref="D76" ca="1">IF(OR(Formulas!E73=0,Formulas!E73="",RIGHT(Formulas!F73)="0"),"",
HYPERLINK("["&amp;Archivo_Nombre&amp;"]Datos!"&amp;LEFT(SUBSTITUTE(ADDRESS(1,RIGHT(Formulas!F73)+2),"$",""))&amp;Formulas!D73+1,
IFERROR(INDEX(Datos!$A$2:$L$101,Formulas!D73,RIGHT(Formulas!F73)+2),"")))</f>
        <v/>
      </c>
      <c r="E76" s="107" t="str" cm="1">
        <f t="array" aca="1" ref="E76" ca="1">IF(OR(Formulas!F74=0,Formulas!F74=""),"",HYPERLINK("["&amp;Archivo_Nombre&amp;"]Datos!"&amp;LEFT(SUBSTITUTE(ADDRESS(1,Formulas!F74+2),"$",""))&amp;Formulas!E74+1,
IFERROR(INDEX(Datos!$A$2:$L$101,Formulas!E74,Formulas!F74+2),"")))</f>
        <v/>
      </c>
      <c r="F76" s="5"/>
      <c r="G76" s="6"/>
      <c r="H76" s="24" t="str" cm="1">
        <f t="array" aca="1" ref="H76" ca="1">IF(OR(Formulas!J73=0,Formulas!J73="",RIGHT(Formulas!K73)="0"),"",
HYPERLINK("["&amp;Archivo_Nombre&amp;"]Datos!"&amp;LEFT(SUBSTITUTE(ADDRESS(1,IF(Formulas!J73=1,1,RIGHT(Formulas!K73)+2)),"$",""))&amp;Formulas!I73+1,
IFERROR(INDEX(Datos!$A$1:$L$1,1,RIGHT(Formulas!K73)+2)&amp;IF(Formulas!J73=1," "&amp;Formulas!I73,"")&amp;":","")))</f>
        <v/>
      </c>
      <c r="I76" s="107" t="str" cm="1">
        <f t="array" aca="1" ref="I76" ca="1">IF(OR(Formulas!J73=0,Formulas!J73="",RIGHT(Formulas!K73)="0"),"",
HYPERLINK("["&amp;Archivo_Nombre&amp;"]Datos!"&amp;LEFT(SUBSTITUTE(ADDRESS(1,RIGHT(Formulas!K73)+2),"$",""))&amp;Formulas!I73+1,
IFERROR(INDEX(Datos!$A$2:$L$101,Formulas!I73,RIGHT(Formulas!K73)+2),"")))</f>
        <v/>
      </c>
      <c r="J76" s="107" t="str" cm="1">
        <f t="array" aca="1" ref="J76" ca="1">IF(OR(Formulas!K74=0,Formulas!K74=""),"",HYPERLINK("["&amp;Archivo_Nombre&amp;"]Datos!"&amp;LEFT(SUBSTITUTE(ADDRESS(1,Formulas!K74+2),"$",""))&amp;Formulas!J74+1,
IFERROR(INDEX(Datos!$A$2:$L$101,Formulas!J74,Formulas!K74+2),"")))</f>
        <v/>
      </c>
      <c r="K76" s="5"/>
      <c r="L76" s="6"/>
      <c r="M76" s="24" t="str" cm="1">
        <f t="array" aca="1" ref="M76" ca="1">IF(OR(Formulas!O73=0,Formulas!O73="",RIGHT(Formulas!P73)="0"),"",
HYPERLINK("["&amp;Archivo_Nombre&amp;"]Datos!"&amp;LEFT(SUBSTITUTE(ADDRESS(1,IF(Formulas!O73=1,1,RIGHT(Formulas!P73)+2)),"$",""))&amp;Formulas!N73+1,
IFERROR(INDEX(Datos!$A$1:$L$1,1,RIGHT(Formulas!P73)+2)&amp;IF(Formulas!O73=1," "&amp;Formulas!N73,"")&amp;":","")))</f>
        <v/>
      </c>
      <c r="N76" s="107" t="str" cm="1">
        <f t="array" aca="1" ref="N76" ca="1">IF(OR(Formulas!O73=0,Formulas!O73="",RIGHT(Formulas!P73)="0"),"",
HYPERLINK("["&amp;Archivo_Nombre&amp;"]Datos!"&amp;LEFT(SUBSTITUTE(ADDRESS(1,RIGHT(Formulas!P73)+2),"$",""))&amp;Formulas!N73+1,
IFERROR(INDEX(Datos!$A$2:$L$101,Formulas!N73,RIGHT(Formulas!P73)+2),"")))</f>
        <v/>
      </c>
      <c r="O76" s="107" t="str" cm="1">
        <f t="array" aca="1" ref="O76" ca="1">IF(OR(Formulas!P74=0,Formulas!P74=""),"",HYPERLINK("["&amp;Archivo_Nombre&amp;"]Datos!"&amp;LEFT(SUBSTITUTE(ADDRESS(1,Formulas!P74+2),"$",""))&amp;Formulas!O74+1,
IFERROR(INDEX(Datos!$A$2:$L$101,Formulas!O74,Formulas!P74+2),"")))</f>
        <v/>
      </c>
      <c r="P76" s="5"/>
      <c r="Q76" s="6"/>
      <c r="R76" s="24" t="str" cm="1">
        <f t="array" aca="1" ref="R76" ca="1">IF(OR(Formulas!T73=0,Formulas!T73="",RIGHT(Formulas!U73)="0"),"",
HYPERLINK("["&amp;Archivo_Nombre&amp;"]Datos!"&amp;LEFT(SUBSTITUTE(ADDRESS(1,IF(Formulas!T73=1,1,RIGHT(Formulas!U73)+2)),"$",""))&amp;Formulas!S73+1,
IFERROR(INDEX(Datos!$A$1:$L$1,1,RIGHT(Formulas!U73)+2)&amp;IF(Formulas!T73=1," "&amp;Formulas!S73,"")&amp;":","")))</f>
        <v>ORDEN PCRONOLOGICO 22:</v>
      </c>
      <c r="S76" s="107" cm="1">
        <f t="array" aca="1" ref="S76" ca="1">IF(OR(Formulas!T73=0,Formulas!T73="",RIGHT(Formulas!U73)="0"),"",
HYPERLINK("["&amp;Archivo_Nombre&amp;"]Datos!"&amp;LEFT(SUBSTITUTE(ADDRESS(1,RIGHT(Formulas!U73)+2),"$",""))&amp;Formulas!S73+1,
IFERROR(INDEX(Datos!$A$2:$L$101,Formulas!S73,RIGHT(Formulas!U73)+2),"")))</f>
        <v>22</v>
      </c>
      <c r="T76" s="107" t="e" cm="1">
        <f t="array" aca="1" ref="T76" ca="1">IF(OR(Formulas!U74=0,Formulas!U74=""),"",HYPERLINK("["&amp;Archivo_Nombre&amp;"]Datos!"&amp;LEFT(SUBSTITUTE(ADDRESS(1,Formulas!U74+2),"$",""))&amp;Formulas!T74+1,
IFERROR(INDEX(Datos!$A$2:$L$101,Formulas!T74,Formulas!U74+2),"")))</f>
        <v>#VALUE!</v>
      </c>
      <c r="U76" s="5"/>
      <c r="V76" s="6"/>
      <c r="W76" s="24" t="str" cm="1">
        <f t="array" aca="1" ref="W76" ca="1">IF(OR(Formulas!Y73=0,Formulas!Y73="",RIGHT(Formulas!Z73)="0"),"",
HYPERLINK("["&amp;Archivo_Nombre&amp;"]Datos!"&amp;LEFT(SUBSTITUTE(ADDRESS(1,IF(Formulas!Y73=1,1,RIGHT(Formulas!Z73)+2)),"$",""))&amp;Formulas!X73+1,
IFERROR(INDEX(Datos!$A$1:$L$1,1,RIGHT(Formulas!Z73)+2)&amp;IF(Formulas!Y73=1," "&amp;Formulas!X73,"")&amp;":","")))</f>
        <v/>
      </c>
      <c r="X76" s="107" t="str" cm="1">
        <f t="array" aca="1" ref="X76" ca="1">IF(OR(Formulas!Y73=0,Formulas!Y73="",RIGHT(Formulas!Z73)="0"),"",
HYPERLINK("["&amp;Archivo_Nombre&amp;"]Datos!"&amp;LEFT(SUBSTITUTE(ADDRESS(1,RIGHT(Formulas!Z73)+2),"$",""))&amp;Formulas!X73+1,
IFERROR(INDEX(Datos!$A$2:$L$101,Formulas!X73,RIGHT(Formulas!Z73)+2),"")))</f>
        <v/>
      </c>
      <c r="Y76" s="107" t="str" cm="1">
        <f t="array" aca="1" ref="Y76" ca="1">IF(OR(Formulas!Z74=0,Formulas!Z74=""),"",HYPERLINK("["&amp;Archivo_Nombre&amp;"]Datos!"&amp;LEFT(SUBSTITUTE(ADDRESS(1,Formulas!Z74+2),"$",""))&amp;Formulas!Y74+1,
IFERROR(INDEX(Datos!$A$2:$L$101,Formulas!Y74,Formulas!Z74+2),"")))</f>
        <v/>
      </c>
      <c r="Z76" s="13"/>
      <c r="AA76" s="6"/>
      <c r="AB76" s="24" t="str" cm="1">
        <f t="array" aca="1" ref="AB76" ca="1">IF(OR(Formulas!AD73=0,Formulas!AD73="",RIGHT(Formulas!AE73)="0"),"",
HYPERLINK("["&amp;Archivo_Nombre&amp;"]Datos!"&amp;LEFT(SUBSTITUTE(ADDRESS(1,IF(Formulas!AD73=1,1,RIGHT(Formulas!AE73)+2)),"$",""))&amp;Formulas!AC73+1,
IFERROR(INDEX(Datos!$A$1:$L$1,1,RIGHT(Formulas!AE73)+2)&amp;IF(Formulas!AD73=1," "&amp;Formulas!AC73,"")&amp;":","")))</f>
        <v/>
      </c>
      <c r="AC76" s="107" t="str" cm="1">
        <f t="array" aca="1" ref="AC76" ca="1">IF(OR(Formulas!AD73=0,Formulas!AD73="",RIGHT(Formulas!AE73)="0"),"",
HYPERLINK("["&amp;Archivo_Nombre&amp;"]Datos!"&amp;LEFT(SUBSTITUTE(ADDRESS(1,RIGHT(Formulas!AE73)+2),"$",""))&amp;Formulas!AC73+1,
IFERROR(INDEX(Datos!$A$2:$L$101,Formulas!AC73,RIGHT(Formulas!AE73)+2),"")))</f>
        <v/>
      </c>
      <c r="AD76" s="107" t="str" cm="1">
        <f t="array" aca="1" ref="AD76" ca="1">IF(OR(Formulas!AE74=0,Formulas!AE74=""),"",HYPERLINK("["&amp;Archivo_Nombre&amp;"]Datos!"&amp;LEFT(SUBSTITUTE(ADDRESS(1,Formulas!AE74+2),"$",""))&amp;Formulas!AD74+1,
IFERROR(INDEX(Datos!$A$2:$L$101,Formulas!AD74,Formulas!AE74+2),"")))</f>
        <v/>
      </c>
      <c r="AE76" s="13"/>
      <c r="AF76" s="6"/>
      <c r="AG76" s="24" t="str" cm="1">
        <f t="array" aca="1" ref="AG76" ca="1">IF(OR(Formulas!AI73=0,Formulas!AI73="",RIGHT(Formulas!AJ73)="0"),"",
HYPERLINK("["&amp;Archivo_Nombre&amp;"]Datos!"&amp;LEFT(SUBSTITUTE(ADDRESS(1,IF(Formulas!AI73=1,1,RIGHT(Formulas!AJ73)+2)),"$",""))&amp;Formulas!AH73+1,
IFERROR(INDEX(Datos!$A$1:$L$1,1,RIGHT(Formulas!AJ73)+2)&amp;IF(Formulas!AI73=1," "&amp;Formulas!AH73,"")&amp;":","")))</f>
        <v/>
      </c>
      <c r="AH76" s="107" t="str" cm="1">
        <f t="array" aca="1" ref="AH76" ca="1">IF(OR(Formulas!AI73=0,Formulas!AI73="",RIGHT(Formulas!AJ73)="0"),"",
HYPERLINK("["&amp;Archivo_Nombre&amp;"]Datos!"&amp;LEFT(SUBSTITUTE(ADDRESS(1,RIGHT(Formulas!AJ73)+2),"$",""))&amp;Formulas!AH73+1,
IFERROR(INDEX(Datos!$A$2:$L$101,Formulas!AH73,RIGHT(Formulas!AJ73)+2),"")))</f>
        <v/>
      </c>
      <c r="AI76" s="107" t="str" cm="1">
        <f t="array" aca="1" ref="AI76" ca="1">IF(OR(Formulas!AJ74=0,Formulas!AJ74=""),"",HYPERLINK("["&amp;Archivo_Nombre&amp;"]Datos!"&amp;LEFT(SUBSTITUTE(ADDRESS(1,Formulas!AJ74+2),"$",""))&amp;Formulas!AI74+1,
IFERROR(INDEX(Datos!$A$2:$L$101,Formulas!AI74,Formulas!AJ74+2),"")))</f>
        <v/>
      </c>
      <c r="AJ76" s="13"/>
      <c r="AK76" s="6"/>
      <c r="AL76" s="24" t="str" cm="1">
        <f t="array" aca="1" ref="AL76" ca="1">IF(OR(Formulas!AN73=0,Formulas!AN73="",RIGHT(Formulas!AO73)="0"),"",
HYPERLINK("["&amp;Archivo_Nombre&amp;"]Datos!"&amp;LEFT(SUBSTITUTE(ADDRESS(1,IF(Formulas!AN73=1,1,RIGHT(Formulas!AO73)+2)),"$",""))&amp;Formulas!AM73+1,
IFERROR(INDEX(Datos!$A$1:$L$1,1,RIGHT(Formulas!AO73)+2)&amp;IF(Formulas!AN73=1," "&amp;Formulas!AM73,"")&amp;":","")))</f>
        <v/>
      </c>
      <c r="AM76" s="107" t="str" cm="1">
        <f t="array" aca="1" ref="AM76" ca="1">IF(OR(Formulas!AN73=0,Formulas!AN73="",RIGHT(Formulas!AO73)="0"),"",
HYPERLINK("["&amp;Archivo_Nombre&amp;"]Datos!"&amp;LEFT(SUBSTITUTE(ADDRESS(1,RIGHT(Formulas!AO73)+2),"$",""))&amp;Formulas!AM73+1,
IFERROR(INDEX(Datos!$A$2:$L$101,Formulas!AM73,RIGHT(Formulas!AO73)+2),"")))</f>
        <v/>
      </c>
      <c r="AN76" s="107" t="str" cm="1">
        <f t="array" aca="1" ref="AN76" ca="1">IF(OR(Formulas!AO74=0,Formulas!AO74=""),"",HYPERLINK("["&amp;Archivo_Nombre&amp;"]Datos!"&amp;LEFT(SUBSTITUTE(ADDRESS(1,Formulas!AO74+2),"$",""))&amp;Formulas!AN74+1,
IFERROR(INDEX(Datos!$A$2:$L$101,Formulas!AN74,Formulas!AO74+2),"")))</f>
        <v/>
      </c>
      <c r="AO76" s="13"/>
      <c r="AP76" s="6"/>
      <c r="AQ76" s="24" t="str" cm="1">
        <f t="array" aca="1" ref="AQ76" ca="1">IF(OR(Formulas!AS73=0,Formulas!AS73="",RIGHT(Formulas!AT73)="0"),"",
HYPERLINK("["&amp;Archivo_Nombre&amp;"]Datos!"&amp;LEFT(SUBSTITUTE(ADDRESS(1,IF(Formulas!AS73=1,1,RIGHT(Formulas!AT73)+2)),"$",""))&amp;Formulas!AR73+1,
IFERROR(INDEX(Datos!$A$1:$L$1,1,RIGHT(Formulas!AT73)+2)&amp;IF(Formulas!AS73=1," "&amp;Formulas!AR73,"")&amp;":","")))</f>
        <v/>
      </c>
      <c r="AR76" s="107" t="str" cm="1">
        <f t="array" aca="1" ref="AR76" ca="1">IF(OR(Formulas!AS73=0,Formulas!AS73="",RIGHT(Formulas!AT73)="0"),"",
HYPERLINK("["&amp;Archivo_Nombre&amp;"]Datos!"&amp;LEFT(SUBSTITUTE(ADDRESS(1,RIGHT(Formulas!AT73)+2),"$",""))&amp;Formulas!AR73+1,
IFERROR(INDEX(Datos!$A$2:$L$101,Formulas!AR73,RIGHT(Formulas!AT73)+2),"")))</f>
        <v/>
      </c>
      <c r="AS76" s="107" t="str" cm="1">
        <f t="array" aca="1" ref="AS76" ca="1">IF(OR(Formulas!AT74=0,Formulas!AT74=""),"",HYPERLINK("["&amp;Archivo_Nombre&amp;"]Datos!"&amp;LEFT(SUBSTITUTE(ADDRESS(1,Formulas!AT74+2),"$",""))&amp;Formulas!AS74+1,
IFERROR(INDEX(Datos!$A$2:$L$101,Formulas!AS74,Formulas!AT74+2),"")))</f>
        <v/>
      </c>
      <c r="AT76" s="13"/>
      <c r="AU76" s="6"/>
      <c r="AV76" s="24" t="str" cm="1">
        <f t="array" aca="1" ref="AV76" ca="1">IF(OR(Formulas!AX73=0,Formulas!AX73="",RIGHT(Formulas!AY73)="0"),"",
HYPERLINK("["&amp;Archivo_Nombre&amp;"]Datos!"&amp;LEFT(SUBSTITUTE(ADDRESS(1,IF(Formulas!AX73=1,1,RIGHT(Formulas!AY73)+2)),"$",""))&amp;Formulas!AW73+1,
IFERROR(INDEX(Datos!$A$1:$L$1,1,RIGHT(Formulas!AY73)+2)&amp;IF(Formulas!AX73=1," "&amp;Formulas!AW73,"")&amp;":","")))</f>
        <v/>
      </c>
      <c r="AW76" s="107" t="str" cm="1">
        <f t="array" aca="1" ref="AW76" ca="1">IF(OR(Formulas!AX73=0,Formulas!AX73="",RIGHT(Formulas!AY73)="0"),"",
HYPERLINK("["&amp;Archivo_Nombre&amp;"]Datos!"&amp;LEFT(SUBSTITUTE(ADDRESS(1,RIGHT(Formulas!AY73)+2),"$",""))&amp;Formulas!AW73+1,
IFERROR(INDEX(Datos!$A$2:$L$101,Formulas!AW73,RIGHT(Formulas!AY73)+2),"")))</f>
        <v/>
      </c>
      <c r="AX76" s="107" t="str" cm="1">
        <f t="array" aca="1" ref="AX76" ca="1">IF(OR(Formulas!AY74=0,Formulas!AY74=""),"",HYPERLINK("["&amp;Archivo_Nombre&amp;"]Datos!"&amp;LEFT(SUBSTITUTE(ADDRESS(1,Formulas!AY74+2),"$",""))&amp;Formulas!AX74+1,
IFERROR(INDEX(Datos!$A$2:$L$101,Formulas!AX74,Formulas!AY74+2),"")))</f>
        <v/>
      </c>
      <c r="AY76" s="13"/>
    </row>
    <row r="77" spans="2:51" x14ac:dyDescent="0.25">
      <c r="B77" s="11"/>
      <c r="C77" s="24" t="str" cm="1">
        <f t="array" aca="1" ref="C77" ca="1">IF(OR(Formulas!E74=0,Formulas!E74="",RIGHT(Formulas!F74)="0"),"",
HYPERLINK("["&amp;Archivo_Nombre&amp;"]Datos!"&amp;LEFT(SUBSTITUTE(ADDRESS(1,IF(Formulas!E74=1,1,RIGHT(Formulas!F74)+2)),"$",""))&amp;Formulas!D74+1,
IFERROR(INDEX(Datos!$A$1:$L$1,1,RIGHT(Formulas!F74)+2)&amp;IF(Formulas!E74=1," "&amp;Formulas!D74,"")&amp;":","")))</f>
        <v/>
      </c>
      <c r="D77" s="107" t="str" cm="1">
        <f t="array" aca="1" ref="D77" ca="1">IF(OR(Formulas!E74=0,Formulas!E74="",RIGHT(Formulas!F74)="0"),"",
HYPERLINK("["&amp;Archivo_Nombre&amp;"]Datos!"&amp;LEFT(SUBSTITUTE(ADDRESS(1,RIGHT(Formulas!F74)+2),"$",""))&amp;Formulas!D74+1,
IFERROR(INDEX(Datos!$A$2:$L$101,Formulas!D74,RIGHT(Formulas!F74)+2),"")))</f>
        <v/>
      </c>
      <c r="E77" s="107" t="str" cm="1">
        <f t="array" aca="1" ref="E77" ca="1">IF(OR(Formulas!F75=0,Formulas!F75=""),"",HYPERLINK("["&amp;Archivo_Nombre&amp;"]Datos!"&amp;LEFT(SUBSTITUTE(ADDRESS(1,Formulas!F75+2),"$",""))&amp;Formulas!E75+1,
IFERROR(INDEX(Datos!$A$2:$L$101,Formulas!E75,Formulas!F75+2),"")))</f>
        <v/>
      </c>
      <c r="F77" s="5"/>
      <c r="G77" s="6"/>
      <c r="H77" s="24" t="str" cm="1">
        <f t="array" aca="1" ref="H77" ca="1">IF(OR(Formulas!J74=0,Formulas!J74="",RIGHT(Formulas!K74)="0"),"",
HYPERLINK("["&amp;Archivo_Nombre&amp;"]Datos!"&amp;LEFT(SUBSTITUTE(ADDRESS(1,IF(Formulas!J74=1,1,RIGHT(Formulas!K74)+2)),"$",""))&amp;Formulas!I74+1,
IFERROR(INDEX(Datos!$A$1:$L$1,1,RIGHT(Formulas!K74)+2)&amp;IF(Formulas!J74=1," "&amp;Formulas!I74,"")&amp;":","")))</f>
        <v/>
      </c>
      <c r="I77" s="107" t="str" cm="1">
        <f t="array" aca="1" ref="I77" ca="1">IF(OR(Formulas!J74=0,Formulas!J74="",RIGHT(Formulas!K74)="0"),"",
HYPERLINK("["&amp;Archivo_Nombre&amp;"]Datos!"&amp;LEFT(SUBSTITUTE(ADDRESS(1,RIGHT(Formulas!K74)+2),"$",""))&amp;Formulas!I74+1,
IFERROR(INDEX(Datos!$A$2:$L$101,Formulas!I74,RIGHT(Formulas!K74)+2),"")))</f>
        <v/>
      </c>
      <c r="J77" s="107" t="str" cm="1">
        <f t="array" aca="1" ref="J77" ca="1">IF(OR(Formulas!K75=0,Formulas!K75=""),"",HYPERLINK("["&amp;Archivo_Nombre&amp;"]Datos!"&amp;LEFT(SUBSTITUTE(ADDRESS(1,Formulas!K75+2),"$",""))&amp;Formulas!J75+1,
IFERROR(INDEX(Datos!$A$2:$L$101,Formulas!J75,Formulas!K75+2),"")))</f>
        <v/>
      </c>
      <c r="K77" s="5"/>
      <c r="L77" s="6"/>
      <c r="M77" s="24" t="str" cm="1">
        <f t="array" aca="1" ref="M77" ca="1">IF(OR(Formulas!O74=0,Formulas!O74="",RIGHT(Formulas!P74)="0"),"",
HYPERLINK("["&amp;Archivo_Nombre&amp;"]Datos!"&amp;LEFT(SUBSTITUTE(ADDRESS(1,IF(Formulas!O74=1,1,RIGHT(Formulas!P74)+2)),"$",""))&amp;Formulas!N74+1,
IFERROR(INDEX(Datos!$A$1:$L$1,1,RIGHT(Formulas!P74)+2)&amp;IF(Formulas!O74=1," "&amp;Formulas!N74,"")&amp;":","")))</f>
        <v/>
      </c>
      <c r="N77" s="107" t="str" cm="1">
        <f t="array" aca="1" ref="N77" ca="1">IF(OR(Formulas!O74=0,Formulas!O74="",RIGHT(Formulas!P74)="0"),"",
HYPERLINK("["&amp;Archivo_Nombre&amp;"]Datos!"&amp;LEFT(SUBSTITUTE(ADDRESS(1,RIGHT(Formulas!P74)+2),"$",""))&amp;Formulas!N74+1,
IFERROR(INDEX(Datos!$A$2:$L$101,Formulas!N74,RIGHT(Formulas!P74)+2),"")))</f>
        <v/>
      </c>
      <c r="O77" s="107" t="str" cm="1">
        <f t="array" aca="1" ref="O77" ca="1">IF(OR(Formulas!P75=0,Formulas!P75=""),"",HYPERLINK("["&amp;Archivo_Nombre&amp;"]Datos!"&amp;LEFT(SUBSTITUTE(ADDRESS(1,Formulas!P75+2),"$",""))&amp;Formulas!O75+1,
IFERROR(INDEX(Datos!$A$2:$L$101,Formulas!O75,Formulas!P75+2),"")))</f>
        <v/>
      </c>
      <c r="P77" s="5"/>
      <c r="Q77" s="6"/>
      <c r="R77" s="24" t="str" cm="1">
        <f t="array" aca="1" ref="R77" ca="1">IF(OR(Formulas!T74=0,Formulas!T74="",RIGHT(Formulas!U74)="0"),"",
HYPERLINK("["&amp;Archivo_Nombre&amp;"]Datos!"&amp;LEFT(SUBSTITUTE(ADDRESS(1,IF(Formulas!T74=1,1,RIGHT(Formulas!U74)+2)),"$",""))&amp;Formulas!S74+1,
IFERROR(INDEX(Datos!$A$1:$L$1,1,RIGHT(Formulas!U74)+2)&amp;IF(Formulas!T74=1," "&amp;Formulas!S74,"")&amp;":","")))</f>
        <v>Tarea:</v>
      </c>
      <c r="S77" s="107" t="str" cm="1">
        <f t="array" aca="1" ref="S77" ca="1">IF(OR(Formulas!T74=0,Formulas!T74="",RIGHT(Formulas!U74)="0"),"",
HYPERLINK("["&amp;Archivo_Nombre&amp;"]Datos!"&amp;LEFT(SUBSTITUTE(ADDRESS(1,RIGHT(Formulas!U74)+2),"$",""))&amp;Formulas!S74+1,
IFERROR(INDEX(Datos!$A$2:$L$101,Formulas!S74,RIGHT(Formulas!U74)+2),"")))</f>
        <v>Pruebas tester</v>
      </c>
      <c r="T77" s="107" t="e" cm="1">
        <f t="array" aca="1" ref="T77" ca="1">IF(OR(Formulas!U75=0,Formulas!U75=""),"",HYPERLINK("["&amp;Archivo_Nombre&amp;"]Datos!"&amp;LEFT(SUBSTITUTE(ADDRESS(1,Formulas!U75+2),"$",""))&amp;Formulas!T75+1,
IFERROR(INDEX(Datos!$A$2:$L$101,Formulas!T75,Formulas!U75+2),"")))</f>
        <v>#VALUE!</v>
      </c>
      <c r="U77" s="5"/>
      <c r="V77" s="6"/>
      <c r="W77" s="24" t="str" cm="1">
        <f t="array" aca="1" ref="W77" ca="1">IF(OR(Formulas!Y74=0,Formulas!Y74="",RIGHT(Formulas!Z74)="0"),"",
HYPERLINK("["&amp;Archivo_Nombre&amp;"]Datos!"&amp;LEFT(SUBSTITUTE(ADDRESS(1,IF(Formulas!Y74=1,1,RIGHT(Formulas!Z74)+2)),"$",""))&amp;Formulas!X74+1,
IFERROR(INDEX(Datos!$A$1:$L$1,1,RIGHT(Formulas!Z74)+2)&amp;IF(Formulas!Y74=1," "&amp;Formulas!X74,"")&amp;":","")))</f>
        <v/>
      </c>
      <c r="X77" s="107" t="str" cm="1">
        <f t="array" aca="1" ref="X77" ca="1">IF(OR(Formulas!Y74=0,Formulas!Y74="",RIGHT(Formulas!Z74)="0"),"",
HYPERLINK("["&amp;Archivo_Nombre&amp;"]Datos!"&amp;LEFT(SUBSTITUTE(ADDRESS(1,RIGHT(Formulas!Z74)+2),"$",""))&amp;Formulas!X74+1,
IFERROR(INDEX(Datos!$A$2:$L$101,Formulas!X74,RIGHT(Formulas!Z74)+2),"")))</f>
        <v/>
      </c>
      <c r="Y77" s="107" t="str" cm="1">
        <f t="array" aca="1" ref="Y77" ca="1">IF(OR(Formulas!Z75=0,Formulas!Z75=""),"",HYPERLINK("["&amp;Archivo_Nombre&amp;"]Datos!"&amp;LEFT(SUBSTITUTE(ADDRESS(1,Formulas!Z75+2),"$",""))&amp;Formulas!Y75+1,
IFERROR(INDEX(Datos!$A$2:$L$101,Formulas!Y75,Formulas!Z75+2),"")))</f>
        <v/>
      </c>
      <c r="Z77" s="13"/>
      <c r="AA77" s="6"/>
      <c r="AB77" s="24" t="str" cm="1">
        <f t="array" aca="1" ref="AB77" ca="1">IF(OR(Formulas!AD74=0,Formulas!AD74="",RIGHT(Formulas!AE74)="0"),"",
HYPERLINK("["&amp;Archivo_Nombre&amp;"]Datos!"&amp;LEFT(SUBSTITUTE(ADDRESS(1,IF(Formulas!AD74=1,1,RIGHT(Formulas!AE74)+2)),"$",""))&amp;Formulas!AC74+1,
IFERROR(INDEX(Datos!$A$1:$L$1,1,RIGHT(Formulas!AE74)+2)&amp;IF(Formulas!AD74=1," "&amp;Formulas!AC74,"")&amp;":","")))</f>
        <v/>
      </c>
      <c r="AC77" s="107" t="str" cm="1">
        <f t="array" aca="1" ref="AC77" ca="1">IF(OR(Formulas!AD74=0,Formulas!AD74="",RIGHT(Formulas!AE74)="0"),"",
HYPERLINK("["&amp;Archivo_Nombre&amp;"]Datos!"&amp;LEFT(SUBSTITUTE(ADDRESS(1,RIGHT(Formulas!AE74)+2),"$",""))&amp;Formulas!AC74+1,
IFERROR(INDEX(Datos!$A$2:$L$101,Formulas!AC74,RIGHT(Formulas!AE74)+2),"")))</f>
        <v/>
      </c>
      <c r="AD77" s="107" t="str" cm="1">
        <f t="array" aca="1" ref="AD77" ca="1">IF(OR(Formulas!AE75=0,Formulas!AE75=""),"",HYPERLINK("["&amp;Archivo_Nombre&amp;"]Datos!"&amp;LEFT(SUBSTITUTE(ADDRESS(1,Formulas!AE75+2),"$",""))&amp;Formulas!AD75+1,
IFERROR(INDEX(Datos!$A$2:$L$101,Formulas!AD75,Formulas!AE75+2),"")))</f>
        <v/>
      </c>
      <c r="AE77" s="13"/>
      <c r="AF77" s="6"/>
      <c r="AG77" s="24" t="str" cm="1">
        <f t="array" aca="1" ref="AG77" ca="1">IF(OR(Formulas!AI74=0,Formulas!AI74="",RIGHT(Formulas!AJ74)="0"),"",
HYPERLINK("["&amp;Archivo_Nombre&amp;"]Datos!"&amp;LEFT(SUBSTITUTE(ADDRESS(1,IF(Formulas!AI74=1,1,RIGHT(Formulas!AJ74)+2)),"$",""))&amp;Formulas!AH74+1,
IFERROR(INDEX(Datos!$A$1:$L$1,1,RIGHT(Formulas!AJ74)+2)&amp;IF(Formulas!AI74=1," "&amp;Formulas!AH74,"")&amp;":","")))</f>
        <v/>
      </c>
      <c r="AH77" s="107" t="str" cm="1">
        <f t="array" aca="1" ref="AH77" ca="1">IF(OR(Formulas!AI74=0,Formulas!AI74="",RIGHT(Formulas!AJ74)="0"),"",
HYPERLINK("["&amp;Archivo_Nombre&amp;"]Datos!"&amp;LEFT(SUBSTITUTE(ADDRESS(1,RIGHT(Formulas!AJ74)+2),"$",""))&amp;Formulas!AH74+1,
IFERROR(INDEX(Datos!$A$2:$L$101,Formulas!AH74,RIGHT(Formulas!AJ74)+2),"")))</f>
        <v/>
      </c>
      <c r="AI77" s="107" t="str" cm="1">
        <f t="array" aca="1" ref="AI77" ca="1">IF(OR(Formulas!AJ75=0,Formulas!AJ75=""),"",HYPERLINK("["&amp;Archivo_Nombre&amp;"]Datos!"&amp;LEFT(SUBSTITUTE(ADDRESS(1,Formulas!AJ75+2),"$",""))&amp;Formulas!AI75+1,
IFERROR(INDEX(Datos!$A$2:$L$101,Formulas!AI75,Formulas!AJ75+2),"")))</f>
        <v/>
      </c>
      <c r="AJ77" s="13"/>
      <c r="AK77" s="6"/>
      <c r="AL77" s="24" t="str" cm="1">
        <f t="array" aca="1" ref="AL77" ca="1">IF(OR(Formulas!AN74=0,Formulas!AN74="",RIGHT(Formulas!AO74)="0"),"",
HYPERLINK("["&amp;Archivo_Nombre&amp;"]Datos!"&amp;LEFT(SUBSTITUTE(ADDRESS(1,IF(Formulas!AN74=1,1,RIGHT(Formulas!AO74)+2)),"$",""))&amp;Formulas!AM74+1,
IFERROR(INDEX(Datos!$A$1:$L$1,1,RIGHT(Formulas!AO74)+2)&amp;IF(Formulas!AN74=1," "&amp;Formulas!AM74,"")&amp;":","")))</f>
        <v/>
      </c>
      <c r="AM77" s="107" t="str" cm="1">
        <f t="array" aca="1" ref="AM77" ca="1">IF(OR(Formulas!AN74=0,Formulas!AN74="",RIGHT(Formulas!AO74)="0"),"",
HYPERLINK("["&amp;Archivo_Nombre&amp;"]Datos!"&amp;LEFT(SUBSTITUTE(ADDRESS(1,RIGHT(Formulas!AO74)+2),"$",""))&amp;Formulas!AM74+1,
IFERROR(INDEX(Datos!$A$2:$L$101,Formulas!AM74,RIGHT(Formulas!AO74)+2),"")))</f>
        <v/>
      </c>
      <c r="AN77" s="107" t="str" cm="1">
        <f t="array" aca="1" ref="AN77" ca="1">IF(OR(Formulas!AO75=0,Formulas!AO75=""),"",HYPERLINK("["&amp;Archivo_Nombre&amp;"]Datos!"&amp;LEFT(SUBSTITUTE(ADDRESS(1,Formulas!AO75+2),"$",""))&amp;Formulas!AN75+1,
IFERROR(INDEX(Datos!$A$2:$L$101,Formulas!AN75,Formulas!AO75+2),"")))</f>
        <v/>
      </c>
      <c r="AO77" s="13"/>
      <c r="AP77" s="6"/>
      <c r="AQ77" s="24" t="str" cm="1">
        <f t="array" aca="1" ref="AQ77" ca="1">IF(OR(Formulas!AS74=0,Formulas!AS74="",RIGHT(Formulas!AT74)="0"),"",
HYPERLINK("["&amp;Archivo_Nombre&amp;"]Datos!"&amp;LEFT(SUBSTITUTE(ADDRESS(1,IF(Formulas!AS74=1,1,RIGHT(Formulas!AT74)+2)),"$",""))&amp;Formulas!AR74+1,
IFERROR(INDEX(Datos!$A$1:$L$1,1,RIGHT(Formulas!AT74)+2)&amp;IF(Formulas!AS74=1," "&amp;Formulas!AR74,"")&amp;":","")))</f>
        <v/>
      </c>
      <c r="AR77" s="107" t="str" cm="1">
        <f t="array" aca="1" ref="AR77" ca="1">IF(OR(Formulas!AS74=0,Formulas!AS74="",RIGHT(Formulas!AT74)="0"),"",
HYPERLINK("["&amp;Archivo_Nombre&amp;"]Datos!"&amp;LEFT(SUBSTITUTE(ADDRESS(1,RIGHT(Formulas!AT74)+2),"$",""))&amp;Formulas!AR74+1,
IFERROR(INDEX(Datos!$A$2:$L$101,Formulas!AR74,RIGHT(Formulas!AT74)+2),"")))</f>
        <v/>
      </c>
      <c r="AS77" s="107" t="str" cm="1">
        <f t="array" aca="1" ref="AS77" ca="1">IF(OR(Formulas!AT75=0,Formulas!AT75=""),"",HYPERLINK("["&amp;Archivo_Nombre&amp;"]Datos!"&amp;LEFT(SUBSTITUTE(ADDRESS(1,Formulas!AT75+2),"$",""))&amp;Formulas!AS75+1,
IFERROR(INDEX(Datos!$A$2:$L$101,Formulas!AS75,Formulas!AT75+2),"")))</f>
        <v/>
      </c>
      <c r="AT77" s="13"/>
      <c r="AU77" s="6"/>
      <c r="AV77" s="24" t="str" cm="1">
        <f t="array" aca="1" ref="AV77" ca="1">IF(OR(Formulas!AX74=0,Formulas!AX74="",RIGHT(Formulas!AY74)="0"),"",
HYPERLINK("["&amp;Archivo_Nombre&amp;"]Datos!"&amp;LEFT(SUBSTITUTE(ADDRESS(1,IF(Formulas!AX74=1,1,RIGHT(Formulas!AY74)+2)),"$",""))&amp;Formulas!AW74+1,
IFERROR(INDEX(Datos!$A$1:$L$1,1,RIGHT(Formulas!AY74)+2)&amp;IF(Formulas!AX74=1," "&amp;Formulas!AW74,"")&amp;":","")))</f>
        <v/>
      </c>
      <c r="AW77" s="107" t="str" cm="1">
        <f t="array" aca="1" ref="AW77" ca="1">IF(OR(Formulas!AX74=0,Formulas!AX74="",RIGHT(Formulas!AY74)="0"),"",
HYPERLINK("["&amp;Archivo_Nombre&amp;"]Datos!"&amp;LEFT(SUBSTITUTE(ADDRESS(1,RIGHT(Formulas!AY74)+2),"$",""))&amp;Formulas!AW74+1,
IFERROR(INDEX(Datos!$A$2:$L$101,Formulas!AW74,RIGHT(Formulas!AY74)+2),"")))</f>
        <v/>
      </c>
      <c r="AX77" s="107" t="str" cm="1">
        <f t="array" aca="1" ref="AX77" ca="1">IF(OR(Formulas!AY75=0,Formulas!AY75=""),"",HYPERLINK("["&amp;Archivo_Nombre&amp;"]Datos!"&amp;LEFT(SUBSTITUTE(ADDRESS(1,Formulas!AY75+2),"$",""))&amp;Formulas!AX75+1,
IFERROR(INDEX(Datos!$A$2:$L$101,Formulas!AX75,Formulas!AY75+2),"")))</f>
        <v/>
      </c>
      <c r="AY77" s="13"/>
    </row>
    <row r="78" spans="2:51" x14ac:dyDescent="0.25">
      <c r="B78" s="11"/>
      <c r="C78" s="24" t="str" cm="1">
        <f t="array" aca="1" ref="C78" ca="1">IF(OR(Formulas!E75=0,Formulas!E75="",RIGHT(Formulas!F75)="0"),"",
HYPERLINK("["&amp;Archivo_Nombre&amp;"]Datos!"&amp;LEFT(SUBSTITUTE(ADDRESS(1,IF(Formulas!E75=1,1,RIGHT(Formulas!F75)+2)),"$",""))&amp;Formulas!D75+1,
IFERROR(INDEX(Datos!$A$1:$L$1,1,RIGHT(Formulas!F75)+2)&amp;IF(Formulas!E75=1," "&amp;Formulas!D75,"")&amp;":","")))</f>
        <v/>
      </c>
      <c r="D78" s="107" t="str" cm="1">
        <f t="array" aca="1" ref="D78" ca="1">IF(OR(Formulas!E75=0,Formulas!E75="",RIGHT(Formulas!F75)="0"),"",
HYPERLINK("["&amp;Archivo_Nombre&amp;"]Datos!"&amp;LEFT(SUBSTITUTE(ADDRESS(1,RIGHT(Formulas!F75)+2),"$",""))&amp;Formulas!D75+1,
IFERROR(INDEX(Datos!$A$2:$L$101,Formulas!D75,RIGHT(Formulas!F75)+2),"")))</f>
        <v/>
      </c>
      <c r="E78" s="107" t="str" cm="1">
        <f t="array" aca="1" ref="E78" ca="1">IF(OR(Formulas!F76=0,Formulas!F76=""),"",HYPERLINK("["&amp;Archivo_Nombre&amp;"]Datos!"&amp;LEFT(SUBSTITUTE(ADDRESS(1,Formulas!F76+2),"$",""))&amp;Formulas!E76+1,
IFERROR(INDEX(Datos!$A$2:$L$101,Formulas!E76,Formulas!F76+2),"")))</f>
        <v/>
      </c>
      <c r="F78" s="5"/>
      <c r="G78" s="6"/>
      <c r="H78" s="24" t="str" cm="1">
        <f t="array" aca="1" ref="H78" ca="1">IF(OR(Formulas!J75=0,Formulas!J75="",RIGHT(Formulas!K75)="0"),"",
HYPERLINK("["&amp;Archivo_Nombre&amp;"]Datos!"&amp;LEFT(SUBSTITUTE(ADDRESS(1,IF(Formulas!J75=1,1,RIGHT(Formulas!K75)+2)),"$",""))&amp;Formulas!I75+1,
IFERROR(INDEX(Datos!$A$1:$L$1,1,RIGHT(Formulas!K75)+2)&amp;IF(Formulas!J75=1," "&amp;Formulas!I75,"")&amp;":","")))</f>
        <v/>
      </c>
      <c r="I78" s="107" t="str" cm="1">
        <f t="array" aca="1" ref="I78" ca="1">IF(OR(Formulas!J75=0,Formulas!J75="",RIGHT(Formulas!K75)="0"),"",
HYPERLINK("["&amp;Archivo_Nombre&amp;"]Datos!"&amp;LEFT(SUBSTITUTE(ADDRESS(1,RIGHT(Formulas!K75)+2),"$",""))&amp;Formulas!I75+1,
IFERROR(INDEX(Datos!$A$2:$L$101,Formulas!I75,RIGHT(Formulas!K75)+2),"")))</f>
        <v/>
      </c>
      <c r="J78" s="107" t="str" cm="1">
        <f t="array" aca="1" ref="J78" ca="1">IF(OR(Formulas!K76=0,Formulas!K76=""),"",HYPERLINK("["&amp;Archivo_Nombre&amp;"]Datos!"&amp;LEFT(SUBSTITUTE(ADDRESS(1,Formulas!K76+2),"$",""))&amp;Formulas!J76+1,
IFERROR(INDEX(Datos!$A$2:$L$101,Formulas!J76,Formulas!K76+2),"")))</f>
        <v/>
      </c>
      <c r="K78" s="5"/>
      <c r="L78" s="6"/>
      <c r="M78" s="24" t="str" cm="1">
        <f t="array" aca="1" ref="M78" ca="1">IF(OR(Formulas!O75=0,Formulas!O75="",RIGHT(Formulas!P75)="0"),"",
HYPERLINK("["&amp;Archivo_Nombre&amp;"]Datos!"&amp;LEFT(SUBSTITUTE(ADDRESS(1,IF(Formulas!O75=1,1,RIGHT(Formulas!P75)+2)),"$",""))&amp;Formulas!N75+1,
IFERROR(INDEX(Datos!$A$1:$L$1,1,RIGHT(Formulas!P75)+2)&amp;IF(Formulas!O75=1," "&amp;Formulas!N75,"")&amp;":","")))</f>
        <v/>
      </c>
      <c r="N78" s="107" t="str" cm="1">
        <f t="array" aca="1" ref="N78" ca="1">IF(OR(Formulas!O75=0,Formulas!O75="",RIGHT(Formulas!P75)="0"),"",
HYPERLINK("["&amp;Archivo_Nombre&amp;"]Datos!"&amp;LEFT(SUBSTITUTE(ADDRESS(1,RIGHT(Formulas!P75)+2),"$",""))&amp;Formulas!N75+1,
IFERROR(INDEX(Datos!$A$2:$L$101,Formulas!N75,RIGHT(Formulas!P75)+2),"")))</f>
        <v/>
      </c>
      <c r="O78" s="107" t="str" cm="1">
        <f t="array" aca="1" ref="O78" ca="1">IF(OR(Formulas!P76=0,Formulas!P76=""),"",HYPERLINK("["&amp;Archivo_Nombre&amp;"]Datos!"&amp;LEFT(SUBSTITUTE(ADDRESS(1,Formulas!P76+2),"$",""))&amp;Formulas!O76+1,
IFERROR(INDEX(Datos!$A$2:$L$101,Formulas!O76,Formulas!P76+2),"")))</f>
        <v/>
      </c>
      <c r="P78" s="5"/>
      <c r="Q78" s="6"/>
      <c r="R78" s="24" t="str" cm="1">
        <f t="array" aca="1" ref="R78" ca="1">IF(OR(Formulas!T75=0,Formulas!T75="",RIGHT(Formulas!U75)="0"),"",
HYPERLINK("["&amp;Archivo_Nombre&amp;"]Datos!"&amp;LEFT(SUBSTITUTE(ADDRESS(1,IF(Formulas!T75=1,1,RIGHT(Formulas!U75)+2)),"$",""))&amp;Formulas!S75+1,
IFERROR(INDEX(Datos!$A$1:$L$1,1,RIGHT(Formulas!U75)+2)&amp;IF(Formulas!T75=1," "&amp;Formulas!S75,"")&amp;":","")))</f>
        <v>Descripción:</v>
      </c>
      <c r="S78" s="107" t="str" cm="1">
        <f t="array" aca="1" ref="S78" ca="1">IF(OR(Formulas!T75=0,Formulas!T75="",RIGHT(Formulas!U75)="0"),"",
HYPERLINK("["&amp;Archivo_Nombre&amp;"]Datos!"&amp;LEFT(SUBSTITUTE(ADDRESS(1,RIGHT(Formulas!U75)+2),"$",""))&amp;Formulas!S75+1,
IFERROR(INDEX(Datos!$A$2:$L$101,Formulas!S75,RIGHT(Formulas!U75)+2),"")))</f>
        <v>Pruebas tester</v>
      </c>
      <c r="T78" s="107" t="e" cm="1">
        <f t="array" aca="1" ref="T78" ca="1">IF(OR(Formulas!U76=0,Formulas!U76=""),"",HYPERLINK("["&amp;Archivo_Nombre&amp;"]Datos!"&amp;LEFT(SUBSTITUTE(ADDRESS(1,Formulas!U76+2),"$",""))&amp;Formulas!T76+1,
IFERROR(INDEX(Datos!$A$2:$L$101,Formulas!T76,Formulas!U76+2),"")))</f>
        <v>#VALUE!</v>
      </c>
      <c r="U78" s="5"/>
      <c r="V78" s="6"/>
      <c r="W78" s="24" t="str" cm="1">
        <f t="array" aca="1" ref="W78" ca="1">IF(OR(Formulas!Y75=0,Formulas!Y75="",RIGHT(Formulas!Z75)="0"),"",
HYPERLINK("["&amp;Archivo_Nombre&amp;"]Datos!"&amp;LEFT(SUBSTITUTE(ADDRESS(1,IF(Formulas!Y75=1,1,RIGHT(Formulas!Z75)+2)),"$",""))&amp;Formulas!X75+1,
IFERROR(INDEX(Datos!$A$1:$L$1,1,RIGHT(Formulas!Z75)+2)&amp;IF(Formulas!Y75=1," "&amp;Formulas!X75,"")&amp;":","")))</f>
        <v/>
      </c>
      <c r="X78" s="107" t="str" cm="1">
        <f t="array" aca="1" ref="X78" ca="1">IF(OR(Formulas!Y75=0,Formulas!Y75="",RIGHT(Formulas!Z75)="0"),"",
HYPERLINK("["&amp;Archivo_Nombre&amp;"]Datos!"&amp;LEFT(SUBSTITUTE(ADDRESS(1,RIGHT(Formulas!Z75)+2),"$",""))&amp;Formulas!X75+1,
IFERROR(INDEX(Datos!$A$2:$L$101,Formulas!X75,RIGHT(Formulas!Z75)+2),"")))</f>
        <v/>
      </c>
      <c r="Y78" s="107" t="str" cm="1">
        <f t="array" aca="1" ref="Y78" ca="1">IF(OR(Formulas!Z76=0,Formulas!Z76=""),"",HYPERLINK("["&amp;Archivo_Nombre&amp;"]Datos!"&amp;LEFT(SUBSTITUTE(ADDRESS(1,Formulas!Z76+2),"$",""))&amp;Formulas!Y76+1,
IFERROR(INDEX(Datos!$A$2:$L$101,Formulas!Y76,Formulas!Z76+2),"")))</f>
        <v/>
      </c>
      <c r="Z78" s="13"/>
      <c r="AA78" s="6"/>
      <c r="AB78" s="24" t="str" cm="1">
        <f t="array" aca="1" ref="AB78" ca="1">IF(OR(Formulas!AD75=0,Formulas!AD75="",RIGHT(Formulas!AE75)="0"),"",
HYPERLINK("["&amp;Archivo_Nombre&amp;"]Datos!"&amp;LEFT(SUBSTITUTE(ADDRESS(1,IF(Formulas!AD75=1,1,RIGHT(Formulas!AE75)+2)),"$",""))&amp;Formulas!AC75+1,
IFERROR(INDEX(Datos!$A$1:$L$1,1,RIGHT(Formulas!AE75)+2)&amp;IF(Formulas!AD75=1," "&amp;Formulas!AC75,"")&amp;":","")))</f>
        <v/>
      </c>
      <c r="AC78" s="107" t="str" cm="1">
        <f t="array" aca="1" ref="AC78" ca="1">IF(OR(Formulas!AD75=0,Formulas!AD75="",RIGHT(Formulas!AE75)="0"),"",
HYPERLINK("["&amp;Archivo_Nombre&amp;"]Datos!"&amp;LEFT(SUBSTITUTE(ADDRESS(1,RIGHT(Formulas!AE75)+2),"$",""))&amp;Formulas!AC75+1,
IFERROR(INDEX(Datos!$A$2:$L$101,Formulas!AC75,RIGHT(Formulas!AE75)+2),"")))</f>
        <v/>
      </c>
      <c r="AD78" s="107" t="str" cm="1">
        <f t="array" aca="1" ref="AD78" ca="1">IF(OR(Formulas!AE76=0,Formulas!AE76=""),"",HYPERLINK("["&amp;Archivo_Nombre&amp;"]Datos!"&amp;LEFT(SUBSTITUTE(ADDRESS(1,Formulas!AE76+2),"$",""))&amp;Formulas!AD76+1,
IFERROR(INDEX(Datos!$A$2:$L$101,Formulas!AD76,Formulas!AE76+2),"")))</f>
        <v/>
      </c>
      <c r="AE78" s="13"/>
      <c r="AF78" s="6"/>
      <c r="AG78" s="24" t="str" cm="1">
        <f t="array" aca="1" ref="AG78" ca="1">IF(OR(Formulas!AI75=0,Formulas!AI75="",RIGHT(Formulas!AJ75)="0"),"",
HYPERLINK("["&amp;Archivo_Nombre&amp;"]Datos!"&amp;LEFT(SUBSTITUTE(ADDRESS(1,IF(Formulas!AI75=1,1,RIGHT(Formulas!AJ75)+2)),"$",""))&amp;Formulas!AH75+1,
IFERROR(INDEX(Datos!$A$1:$L$1,1,RIGHT(Formulas!AJ75)+2)&amp;IF(Formulas!AI75=1," "&amp;Formulas!AH75,"")&amp;":","")))</f>
        <v/>
      </c>
      <c r="AH78" s="107" t="str" cm="1">
        <f t="array" aca="1" ref="AH78" ca="1">IF(OR(Formulas!AI75=0,Formulas!AI75="",RIGHT(Formulas!AJ75)="0"),"",
HYPERLINK("["&amp;Archivo_Nombre&amp;"]Datos!"&amp;LEFT(SUBSTITUTE(ADDRESS(1,RIGHT(Formulas!AJ75)+2),"$",""))&amp;Formulas!AH75+1,
IFERROR(INDEX(Datos!$A$2:$L$101,Formulas!AH75,RIGHT(Formulas!AJ75)+2),"")))</f>
        <v/>
      </c>
      <c r="AI78" s="107" t="str" cm="1">
        <f t="array" aca="1" ref="AI78" ca="1">IF(OR(Formulas!AJ76=0,Formulas!AJ76=""),"",HYPERLINK("["&amp;Archivo_Nombre&amp;"]Datos!"&amp;LEFT(SUBSTITUTE(ADDRESS(1,Formulas!AJ76+2),"$",""))&amp;Formulas!AI76+1,
IFERROR(INDEX(Datos!$A$2:$L$101,Formulas!AI76,Formulas!AJ76+2),"")))</f>
        <v/>
      </c>
      <c r="AJ78" s="13"/>
      <c r="AK78" s="6"/>
      <c r="AL78" s="24" t="str" cm="1">
        <f t="array" aca="1" ref="AL78" ca="1">IF(OR(Formulas!AN75=0,Formulas!AN75="",RIGHT(Formulas!AO75)="0"),"",
HYPERLINK("["&amp;Archivo_Nombre&amp;"]Datos!"&amp;LEFT(SUBSTITUTE(ADDRESS(1,IF(Formulas!AN75=1,1,RIGHT(Formulas!AO75)+2)),"$",""))&amp;Formulas!AM75+1,
IFERROR(INDEX(Datos!$A$1:$L$1,1,RIGHT(Formulas!AO75)+2)&amp;IF(Formulas!AN75=1," "&amp;Formulas!AM75,"")&amp;":","")))</f>
        <v/>
      </c>
      <c r="AM78" s="107" t="str" cm="1">
        <f t="array" aca="1" ref="AM78" ca="1">IF(OR(Formulas!AN75=0,Formulas!AN75="",RIGHT(Formulas!AO75)="0"),"",
HYPERLINK("["&amp;Archivo_Nombre&amp;"]Datos!"&amp;LEFT(SUBSTITUTE(ADDRESS(1,RIGHT(Formulas!AO75)+2),"$",""))&amp;Formulas!AM75+1,
IFERROR(INDEX(Datos!$A$2:$L$101,Formulas!AM75,RIGHT(Formulas!AO75)+2),"")))</f>
        <v/>
      </c>
      <c r="AN78" s="107" t="str" cm="1">
        <f t="array" aca="1" ref="AN78" ca="1">IF(OR(Formulas!AO76=0,Formulas!AO76=""),"",HYPERLINK("["&amp;Archivo_Nombre&amp;"]Datos!"&amp;LEFT(SUBSTITUTE(ADDRESS(1,Formulas!AO76+2),"$",""))&amp;Formulas!AN76+1,
IFERROR(INDEX(Datos!$A$2:$L$101,Formulas!AN76,Formulas!AO76+2),"")))</f>
        <v/>
      </c>
      <c r="AO78" s="13"/>
      <c r="AP78" s="6"/>
      <c r="AQ78" s="24" t="str" cm="1">
        <f t="array" aca="1" ref="AQ78" ca="1">IF(OR(Formulas!AS75=0,Formulas!AS75="",RIGHT(Formulas!AT75)="0"),"",
HYPERLINK("["&amp;Archivo_Nombre&amp;"]Datos!"&amp;LEFT(SUBSTITUTE(ADDRESS(1,IF(Formulas!AS75=1,1,RIGHT(Formulas!AT75)+2)),"$",""))&amp;Formulas!AR75+1,
IFERROR(INDEX(Datos!$A$1:$L$1,1,RIGHT(Formulas!AT75)+2)&amp;IF(Formulas!AS75=1," "&amp;Formulas!AR75,"")&amp;":","")))</f>
        <v/>
      </c>
      <c r="AR78" s="107" t="str" cm="1">
        <f t="array" aca="1" ref="AR78" ca="1">IF(OR(Formulas!AS75=0,Formulas!AS75="",RIGHT(Formulas!AT75)="0"),"",
HYPERLINK("["&amp;Archivo_Nombre&amp;"]Datos!"&amp;LEFT(SUBSTITUTE(ADDRESS(1,RIGHT(Formulas!AT75)+2),"$",""))&amp;Formulas!AR75+1,
IFERROR(INDEX(Datos!$A$2:$L$101,Formulas!AR75,RIGHT(Formulas!AT75)+2),"")))</f>
        <v/>
      </c>
      <c r="AS78" s="107" t="str" cm="1">
        <f t="array" aca="1" ref="AS78" ca="1">IF(OR(Formulas!AT76=0,Formulas!AT76=""),"",HYPERLINK("["&amp;Archivo_Nombre&amp;"]Datos!"&amp;LEFT(SUBSTITUTE(ADDRESS(1,Formulas!AT76+2),"$",""))&amp;Formulas!AS76+1,
IFERROR(INDEX(Datos!$A$2:$L$101,Formulas!AS76,Formulas!AT76+2),"")))</f>
        <v/>
      </c>
      <c r="AT78" s="13"/>
      <c r="AU78" s="6"/>
      <c r="AV78" s="24" t="str" cm="1">
        <f t="array" aca="1" ref="AV78" ca="1">IF(OR(Formulas!AX75=0,Formulas!AX75="",RIGHT(Formulas!AY75)="0"),"",
HYPERLINK("["&amp;Archivo_Nombre&amp;"]Datos!"&amp;LEFT(SUBSTITUTE(ADDRESS(1,IF(Formulas!AX75=1,1,RIGHT(Formulas!AY75)+2)),"$",""))&amp;Formulas!AW75+1,
IFERROR(INDEX(Datos!$A$1:$L$1,1,RIGHT(Formulas!AY75)+2)&amp;IF(Formulas!AX75=1," "&amp;Formulas!AW75,"")&amp;":","")))</f>
        <v/>
      </c>
      <c r="AW78" s="107" t="str" cm="1">
        <f t="array" aca="1" ref="AW78" ca="1">IF(OR(Formulas!AX75=0,Formulas!AX75="",RIGHT(Formulas!AY75)="0"),"",
HYPERLINK("["&amp;Archivo_Nombre&amp;"]Datos!"&amp;LEFT(SUBSTITUTE(ADDRESS(1,RIGHT(Formulas!AY75)+2),"$",""))&amp;Formulas!AW75+1,
IFERROR(INDEX(Datos!$A$2:$L$101,Formulas!AW75,RIGHT(Formulas!AY75)+2),"")))</f>
        <v/>
      </c>
      <c r="AX78" s="107" t="str" cm="1">
        <f t="array" aca="1" ref="AX78" ca="1">IF(OR(Formulas!AY76=0,Formulas!AY76=""),"",HYPERLINK("["&amp;Archivo_Nombre&amp;"]Datos!"&amp;LEFT(SUBSTITUTE(ADDRESS(1,Formulas!AY76+2),"$",""))&amp;Formulas!AX76+1,
IFERROR(INDEX(Datos!$A$2:$L$101,Formulas!AX76,Formulas!AY76+2),"")))</f>
        <v/>
      </c>
      <c r="AY78" s="13"/>
    </row>
    <row r="79" spans="2:51" x14ac:dyDescent="0.25">
      <c r="B79" s="11"/>
      <c r="C79" s="24" t="str" cm="1">
        <f t="array" aca="1" ref="C79" ca="1">IF(OR(Formulas!E76=0,Formulas!E76="",RIGHT(Formulas!F76)="0"),"",
HYPERLINK("["&amp;Archivo_Nombre&amp;"]Datos!"&amp;LEFT(SUBSTITUTE(ADDRESS(1,IF(Formulas!E76=1,1,RIGHT(Formulas!F76)+2)),"$",""))&amp;Formulas!D76+1,
IFERROR(INDEX(Datos!$A$1:$L$1,1,RIGHT(Formulas!F76)+2)&amp;IF(Formulas!E76=1," "&amp;Formulas!D76,"")&amp;":","")))</f>
        <v/>
      </c>
      <c r="D79" s="107" t="str" cm="1">
        <f t="array" aca="1" ref="D79" ca="1">IF(OR(Formulas!E76=0,Formulas!E76="",RIGHT(Formulas!F76)="0"),"",
HYPERLINK("["&amp;Archivo_Nombre&amp;"]Datos!"&amp;LEFT(SUBSTITUTE(ADDRESS(1,RIGHT(Formulas!F76)+2),"$",""))&amp;Formulas!D76+1,
IFERROR(INDEX(Datos!$A$2:$L$101,Formulas!D76,RIGHT(Formulas!F76)+2),"")))</f>
        <v/>
      </c>
      <c r="E79" s="107" t="str" cm="1">
        <f t="array" aca="1" ref="E79" ca="1">IF(OR(Formulas!F77=0,Formulas!F77=""),"",HYPERLINK("["&amp;Archivo_Nombre&amp;"]Datos!"&amp;LEFT(SUBSTITUTE(ADDRESS(1,Formulas!F77+2),"$",""))&amp;Formulas!E77+1,
IFERROR(INDEX(Datos!$A$2:$L$101,Formulas!E77,Formulas!F77+2),"")))</f>
        <v/>
      </c>
      <c r="F79" s="5"/>
      <c r="G79" s="6"/>
      <c r="H79" s="24" t="str" cm="1">
        <f t="array" aca="1" ref="H79" ca="1">IF(OR(Formulas!J76=0,Formulas!J76="",RIGHT(Formulas!K76)="0"),"",
HYPERLINK("["&amp;Archivo_Nombre&amp;"]Datos!"&amp;LEFT(SUBSTITUTE(ADDRESS(1,IF(Formulas!J76=1,1,RIGHT(Formulas!K76)+2)),"$",""))&amp;Formulas!I76+1,
IFERROR(INDEX(Datos!$A$1:$L$1,1,RIGHT(Formulas!K76)+2)&amp;IF(Formulas!J76=1," "&amp;Formulas!I76,"")&amp;":","")))</f>
        <v/>
      </c>
      <c r="I79" s="107" t="str" cm="1">
        <f t="array" aca="1" ref="I79" ca="1">IF(OR(Formulas!J76=0,Formulas!J76="",RIGHT(Formulas!K76)="0"),"",
HYPERLINK("["&amp;Archivo_Nombre&amp;"]Datos!"&amp;LEFT(SUBSTITUTE(ADDRESS(1,RIGHT(Formulas!K76)+2),"$",""))&amp;Formulas!I76+1,
IFERROR(INDEX(Datos!$A$2:$L$101,Formulas!I76,RIGHT(Formulas!K76)+2),"")))</f>
        <v/>
      </c>
      <c r="J79" s="107" t="str" cm="1">
        <f t="array" aca="1" ref="J79" ca="1">IF(OR(Formulas!K77=0,Formulas!K77=""),"",HYPERLINK("["&amp;Archivo_Nombre&amp;"]Datos!"&amp;LEFT(SUBSTITUTE(ADDRESS(1,Formulas!K77+2),"$",""))&amp;Formulas!J77+1,
IFERROR(INDEX(Datos!$A$2:$L$101,Formulas!J77,Formulas!K77+2),"")))</f>
        <v/>
      </c>
      <c r="K79" s="5"/>
      <c r="L79" s="6"/>
      <c r="M79" s="24" t="str" cm="1">
        <f t="array" aca="1" ref="M79" ca="1">IF(OR(Formulas!O76=0,Formulas!O76="",RIGHT(Formulas!P76)="0"),"",
HYPERLINK("["&amp;Archivo_Nombre&amp;"]Datos!"&amp;LEFT(SUBSTITUTE(ADDRESS(1,IF(Formulas!O76=1,1,RIGHT(Formulas!P76)+2)),"$",""))&amp;Formulas!N76+1,
IFERROR(INDEX(Datos!$A$1:$L$1,1,RIGHT(Formulas!P76)+2)&amp;IF(Formulas!O76=1," "&amp;Formulas!N76,"")&amp;":","")))</f>
        <v/>
      </c>
      <c r="N79" s="107" t="str" cm="1">
        <f t="array" aca="1" ref="N79" ca="1">IF(OR(Formulas!O76=0,Formulas!O76="",RIGHT(Formulas!P76)="0"),"",
HYPERLINK("["&amp;Archivo_Nombre&amp;"]Datos!"&amp;LEFT(SUBSTITUTE(ADDRESS(1,RIGHT(Formulas!P76)+2),"$",""))&amp;Formulas!N76+1,
IFERROR(INDEX(Datos!$A$2:$L$101,Formulas!N76,RIGHT(Formulas!P76)+2),"")))</f>
        <v/>
      </c>
      <c r="O79" s="107" t="str" cm="1">
        <f t="array" aca="1" ref="O79" ca="1">IF(OR(Formulas!P77=0,Formulas!P77=""),"",HYPERLINK("["&amp;Archivo_Nombre&amp;"]Datos!"&amp;LEFT(SUBSTITUTE(ADDRESS(1,Formulas!P77+2),"$",""))&amp;Formulas!O77+1,
IFERROR(INDEX(Datos!$A$2:$L$101,Formulas!O77,Formulas!P77+2),"")))</f>
        <v/>
      </c>
      <c r="P79" s="5"/>
      <c r="Q79" s="6"/>
      <c r="R79" s="24" t="str" cm="1">
        <f t="array" aca="1" ref="R79" ca="1">IF(OR(Formulas!T76=0,Formulas!T76="",RIGHT(Formulas!U76)="0"),"",
HYPERLINK("["&amp;Archivo_Nombre&amp;"]Datos!"&amp;LEFT(SUBSTITUTE(ADDRESS(1,IF(Formulas!T76=1,1,RIGHT(Formulas!U76)+2)),"$",""))&amp;Formulas!S76+1,
IFERROR(INDEX(Datos!$A$1:$L$1,1,RIGHT(Formulas!U76)+2)&amp;IF(Formulas!T76=1," "&amp;Formulas!S76,"")&amp;":","")))</f>
        <v>Inicio:</v>
      </c>
      <c r="S79" s="107" cm="1">
        <f t="array" aca="1" ref="S79" ca="1">IF(OR(Formulas!T76=0,Formulas!T76="",RIGHT(Formulas!U76)="0"),"",
HYPERLINK("["&amp;Archivo_Nombre&amp;"]Datos!"&amp;LEFT(SUBSTITUTE(ADDRESS(1,RIGHT(Formulas!U76)+2),"$",""))&amp;Formulas!S76+1,
IFERROR(INDEX(Datos!$A$2:$L$101,Formulas!S76,RIGHT(Formulas!U76)+2),"")))</f>
        <v>45812</v>
      </c>
      <c r="T79" s="107" t="e" cm="1">
        <f t="array" aca="1" ref="T79" ca="1">IF(OR(Formulas!U77=0,Formulas!U77=""),"",HYPERLINK("["&amp;Archivo_Nombre&amp;"]Datos!"&amp;LEFT(SUBSTITUTE(ADDRESS(1,Formulas!U77+2),"$",""))&amp;Formulas!T77+1,
IFERROR(INDEX(Datos!$A$2:$L$101,Formulas!T77,Formulas!U77+2),"")))</f>
        <v>#VALUE!</v>
      </c>
      <c r="U79" s="5"/>
      <c r="V79" s="6"/>
      <c r="W79" s="24" t="str" cm="1">
        <f t="array" aca="1" ref="W79" ca="1">IF(OR(Formulas!Y76=0,Formulas!Y76="",RIGHT(Formulas!Z76)="0"),"",
HYPERLINK("["&amp;Archivo_Nombre&amp;"]Datos!"&amp;LEFT(SUBSTITUTE(ADDRESS(1,IF(Formulas!Y76=1,1,RIGHT(Formulas!Z76)+2)),"$",""))&amp;Formulas!X76+1,
IFERROR(INDEX(Datos!$A$1:$L$1,1,RIGHT(Formulas!Z76)+2)&amp;IF(Formulas!Y76=1," "&amp;Formulas!X76,"")&amp;":","")))</f>
        <v/>
      </c>
      <c r="X79" s="107" t="str" cm="1">
        <f t="array" aca="1" ref="X79" ca="1">IF(OR(Formulas!Y76=0,Formulas!Y76="",RIGHT(Formulas!Z76)="0"),"",
HYPERLINK("["&amp;Archivo_Nombre&amp;"]Datos!"&amp;LEFT(SUBSTITUTE(ADDRESS(1,RIGHT(Formulas!Z76)+2),"$",""))&amp;Formulas!X76+1,
IFERROR(INDEX(Datos!$A$2:$L$101,Formulas!X76,RIGHT(Formulas!Z76)+2),"")))</f>
        <v/>
      </c>
      <c r="Y79" s="107" t="str" cm="1">
        <f t="array" aca="1" ref="Y79" ca="1">IF(OR(Formulas!Z77=0,Formulas!Z77=""),"",HYPERLINK("["&amp;Archivo_Nombre&amp;"]Datos!"&amp;LEFT(SUBSTITUTE(ADDRESS(1,Formulas!Z77+2),"$",""))&amp;Formulas!Y77+1,
IFERROR(INDEX(Datos!$A$2:$L$101,Formulas!Y77,Formulas!Z77+2),"")))</f>
        <v/>
      </c>
      <c r="Z79" s="13"/>
      <c r="AA79" s="6"/>
      <c r="AB79" s="24" t="str" cm="1">
        <f t="array" aca="1" ref="AB79" ca="1">IF(OR(Formulas!AD76=0,Formulas!AD76="",RIGHT(Formulas!AE76)="0"),"",
HYPERLINK("["&amp;Archivo_Nombre&amp;"]Datos!"&amp;LEFT(SUBSTITUTE(ADDRESS(1,IF(Formulas!AD76=1,1,RIGHT(Formulas!AE76)+2)),"$",""))&amp;Formulas!AC76+1,
IFERROR(INDEX(Datos!$A$1:$L$1,1,RIGHT(Formulas!AE76)+2)&amp;IF(Formulas!AD76=1," "&amp;Formulas!AC76,"")&amp;":","")))</f>
        <v/>
      </c>
      <c r="AC79" s="107" t="str" cm="1">
        <f t="array" aca="1" ref="AC79" ca="1">IF(OR(Formulas!AD76=0,Formulas!AD76="",RIGHT(Formulas!AE76)="0"),"",
HYPERLINK("["&amp;Archivo_Nombre&amp;"]Datos!"&amp;LEFT(SUBSTITUTE(ADDRESS(1,RIGHT(Formulas!AE76)+2),"$",""))&amp;Formulas!AC76+1,
IFERROR(INDEX(Datos!$A$2:$L$101,Formulas!AC76,RIGHT(Formulas!AE76)+2),"")))</f>
        <v/>
      </c>
      <c r="AD79" s="107" t="str" cm="1">
        <f t="array" aca="1" ref="AD79" ca="1">IF(OR(Formulas!AE77=0,Formulas!AE77=""),"",HYPERLINK("["&amp;Archivo_Nombre&amp;"]Datos!"&amp;LEFT(SUBSTITUTE(ADDRESS(1,Formulas!AE77+2),"$",""))&amp;Formulas!AD77+1,
IFERROR(INDEX(Datos!$A$2:$L$101,Formulas!AD77,Formulas!AE77+2),"")))</f>
        <v/>
      </c>
      <c r="AE79" s="13"/>
      <c r="AF79" s="6"/>
      <c r="AG79" s="24" t="str" cm="1">
        <f t="array" aca="1" ref="AG79" ca="1">IF(OR(Formulas!AI76=0,Formulas!AI76="",RIGHT(Formulas!AJ76)="0"),"",
HYPERLINK("["&amp;Archivo_Nombre&amp;"]Datos!"&amp;LEFT(SUBSTITUTE(ADDRESS(1,IF(Formulas!AI76=1,1,RIGHT(Formulas!AJ76)+2)),"$",""))&amp;Formulas!AH76+1,
IFERROR(INDEX(Datos!$A$1:$L$1,1,RIGHT(Formulas!AJ76)+2)&amp;IF(Formulas!AI76=1," "&amp;Formulas!AH76,"")&amp;":","")))</f>
        <v/>
      </c>
      <c r="AH79" s="107" t="str" cm="1">
        <f t="array" aca="1" ref="AH79" ca="1">IF(OR(Formulas!AI76=0,Formulas!AI76="",RIGHT(Formulas!AJ76)="0"),"",
HYPERLINK("["&amp;Archivo_Nombre&amp;"]Datos!"&amp;LEFT(SUBSTITUTE(ADDRESS(1,RIGHT(Formulas!AJ76)+2),"$",""))&amp;Formulas!AH76+1,
IFERROR(INDEX(Datos!$A$2:$L$101,Formulas!AH76,RIGHT(Formulas!AJ76)+2),"")))</f>
        <v/>
      </c>
      <c r="AI79" s="107" t="str" cm="1">
        <f t="array" aca="1" ref="AI79" ca="1">IF(OR(Formulas!AJ77=0,Formulas!AJ77=""),"",HYPERLINK("["&amp;Archivo_Nombre&amp;"]Datos!"&amp;LEFT(SUBSTITUTE(ADDRESS(1,Formulas!AJ77+2),"$",""))&amp;Formulas!AI77+1,
IFERROR(INDEX(Datos!$A$2:$L$101,Formulas!AI77,Formulas!AJ77+2),"")))</f>
        <v/>
      </c>
      <c r="AJ79" s="13"/>
      <c r="AK79" s="6"/>
      <c r="AL79" s="24" t="str" cm="1">
        <f t="array" aca="1" ref="AL79" ca="1">IF(OR(Formulas!AN76=0,Formulas!AN76="",RIGHT(Formulas!AO76)="0"),"",
HYPERLINK("["&amp;Archivo_Nombre&amp;"]Datos!"&amp;LEFT(SUBSTITUTE(ADDRESS(1,IF(Formulas!AN76=1,1,RIGHT(Formulas!AO76)+2)),"$",""))&amp;Formulas!AM76+1,
IFERROR(INDEX(Datos!$A$1:$L$1,1,RIGHT(Formulas!AO76)+2)&amp;IF(Formulas!AN76=1," "&amp;Formulas!AM76,"")&amp;":","")))</f>
        <v/>
      </c>
      <c r="AM79" s="107" t="str" cm="1">
        <f t="array" aca="1" ref="AM79" ca="1">IF(OR(Formulas!AN76=0,Formulas!AN76="",RIGHT(Formulas!AO76)="0"),"",
HYPERLINK("["&amp;Archivo_Nombre&amp;"]Datos!"&amp;LEFT(SUBSTITUTE(ADDRESS(1,RIGHT(Formulas!AO76)+2),"$",""))&amp;Formulas!AM76+1,
IFERROR(INDEX(Datos!$A$2:$L$101,Formulas!AM76,RIGHT(Formulas!AO76)+2),"")))</f>
        <v/>
      </c>
      <c r="AN79" s="107" t="str" cm="1">
        <f t="array" aca="1" ref="AN79" ca="1">IF(OR(Formulas!AO77=0,Formulas!AO77=""),"",HYPERLINK("["&amp;Archivo_Nombre&amp;"]Datos!"&amp;LEFT(SUBSTITUTE(ADDRESS(1,Formulas!AO77+2),"$",""))&amp;Formulas!AN77+1,
IFERROR(INDEX(Datos!$A$2:$L$101,Formulas!AN77,Formulas!AO77+2),"")))</f>
        <v/>
      </c>
      <c r="AO79" s="13"/>
      <c r="AP79" s="6"/>
      <c r="AQ79" s="24" t="str" cm="1">
        <f t="array" aca="1" ref="AQ79" ca="1">IF(OR(Formulas!AS76=0,Formulas!AS76="",RIGHT(Formulas!AT76)="0"),"",
HYPERLINK("["&amp;Archivo_Nombre&amp;"]Datos!"&amp;LEFT(SUBSTITUTE(ADDRESS(1,IF(Formulas!AS76=1,1,RIGHT(Formulas!AT76)+2)),"$",""))&amp;Formulas!AR76+1,
IFERROR(INDEX(Datos!$A$1:$L$1,1,RIGHT(Formulas!AT76)+2)&amp;IF(Formulas!AS76=1," "&amp;Formulas!AR76,"")&amp;":","")))</f>
        <v/>
      </c>
      <c r="AR79" s="107" t="str" cm="1">
        <f t="array" aca="1" ref="AR79" ca="1">IF(OR(Formulas!AS76=0,Formulas!AS76="",RIGHT(Formulas!AT76)="0"),"",
HYPERLINK("["&amp;Archivo_Nombre&amp;"]Datos!"&amp;LEFT(SUBSTITUTE(ADDRESS(1,RIGHT(Formulas!AT76)+2),"$",""))&amp;Formulas!AR76+1,
IFERROR(INDEX(Datos!$A$2:$L$101,Formulas!AR76,RIGHT(Formulas!AT76)+2),"")))</f>
        <v/>
      </c>
      <c r="AS79" s="107" t="str" cm="1">
        <f t="array" aca="1" ref="AS79" ca="1">IF(OR(Formulas!AT77=0,Formulas!AT77=""),"",HYPERLINK("["&amp;Archivo_Nombre&amp;"]Datos!"&amp;LEFT(SUBSTITUTE(ADDRESS(1,Formulas!AT77+2),"$",""))&amp;Formulas!AS77+1,
IFERROR(INDEX(Datos!$A$2:$L$101,Formulas!AS77,Formulas!AT77+2),"")))</f>
        <v/>
      </c>
      <c r="AT79" s="13"/>
      <c r="AU79" s="6"/>
      <c r="AV79" s="24" t="str" cm="1">
        <f t="array" aca="1" ref="AV79" ca="1">IF(OR(Formulas!AX76=0,Formulas!AX76="",RIGHT(Formulas!AY76)="0"),"",
HYPERLINK("["&amp;Archivo_Nombre&amp;"]Datos!"&amp;LEFT(SUBSTITUTE(ADDRESS(1,IF(Formulas!AX76=1,1,RIGHT(Formulas!AY76)+2)),"$",""))&amp;Formulas!AW76+1,
IFERROR(INDEX(Datos!$A$1:$L$1,1,RIGHT(Formulas!AY76)+2)&amp;IF(Formulas!AX76=1," "&amp;Formulas!AW76,"")&amp;":","")))</f>
        <v/>
      </c>
      <c r="AW79" s="107" t="str" cm="1">
        <f t="array" aca="1" ref="AW79" ca="1">IF(OR(Formulas!AX76=0,Formulas!AX76="",RIGHT(Formulas!AY76)="0"),"",
HYPERLINK("["&amp;Archivo_Nombre&amp;"]Datos!"&amp;LEFT(SUBSTITUTE(ADDRESS(1,RIGHT(Formulas!AY76)+2),"$",""))&amp;Formulas!AW76+1,
IFERROR(INDEX(Datos!$A$2:$L$101,Formulas!AW76,RIGHT(Formulas!AY76)+2),"")))</f>
        <v/>
      </c>
      <c r="AX79" s="107" t="str" cm="1">
        <f t="array" aca="1" ref="AX79" ca="1">IF(OR(Formulas!AY77=0,Formulas!AY77=""),"",HYPERLINK("["&amp;Archivo_Nombre&amp;"]Datos!"&amp;LEFT(SUBSTITUTE(ADDRESS(1,Formulas!AY77+2),"$",""))&amp;Formulas!AX77+1,
IFERROR(INDEX(Datos!$A$2:$L$101,Formulas!AX77,Formulas!AY77+2),"")))</f>
        <v/>
      </c>
      <c r="AY79" s="13"/>
    </row>
    <row r="80" spans="2:51" x14ac:dyDescent="0.25">
      <c r="B80" s="11"/>
      <c r="C80" s="24" t="str" cm="1">
        <f t="array" aca="1" ref="C80" ca="1">IF(OR(Formulas!E77=0,Formulas!E77="",RIGHT(Formulas!F77)="0"),"",
HYPERLINK("["&amp;Archivo_Nombre&amp;"]Datos!"&amp;LEFT(SUBSTITUTE(ADDRESS(1,IF(Formulas!E77=1,1,RIGHT(Formulas!F77)+2)),"$",""))&amp;Formulas!D77+1,
IFERROR(INDEX(Datos!$A$1:$L$1,1,RIGHT(Formulas!F77)+2)&amp;IF(Formulas!E77=1," "&amp;Formulas!D77,"")&amp;":","")))</f>
        <v/>
      </c>
      <c r="D80" s="107" t="str" cm="1">
        <f t="array" aca="1" ref="D80" ca="1">IF(OR(Formulas!E77=0,Formulas!E77="",RIGHT(Formulas!F77)="0"),"",
HYPERLINK("["&amp;Archivo_Nombre&amp;"]Datos!"&amp;LEFT(SUBSTITUTE(ADDRESS(1,RIGHT(Formulas!F77)+2),"$",""))&amp;Formulas!D77+1,
IFERROR(INDEX(Datos!$A$2:$L$101,Formulas!D77,RIGHT(Formulas!F77)+2),"")))</f>
        <v/>
      </c>
      <c r="E80" s="107" t="str" cm="1">
        <f t="array" aca="1" ref="E80" ca="1">IF(OR(Formulas!F78=0,Formulas!F78=""),"",HYPERLINK("["&amp;Archivo_Nombre&amp;"]Datos!"&amp;LEFT(SUBSTITUTE(ADDRESS(1,Formulas!F78+2),"$",""))&amp;Formulas!E78+1,
IFERROR(INDEX(Datos!$A$2:$L$101,Formulas!E78,Formulas!F78+2),"")))</f>
        <v/>
      </c>
      <c r="F80" s="5"/>
      <c r="G80" s="6"/>
      <c r="H80" s="24" t="str" cm="1">
        <f t="array" aca="1" ref="H80" ca="1">IF(OR(Formulas!J77=0,Formulas!J77="",RIGHT(Formulas!K77)="0"),"",
HYPERLINK("["&amp;Archivo_Nombre&amp;"]Datos!"&amp;LEFT(SUBSTITUTE(ADDRESS(1,IF(Formulas!J77=1,1,RIGHT(Formulas!K77)+2)),"$",""))&amp;Formulas!I77+1,
IFERROR(INDEX(Datos!$A$1:$L$1,1,RIGHT(Formulas!K77)+2)&amp;IF(Formulas!J77=1," "&amp;Formulas!I77,"")&amp;":","")))</f>
        <v/>
      </c>
      <c r="I80" s="107" t="str" cm="1">
        <f t="array" aca="1" ref="I80" ca="1">IF(OR(Formulas!J77=0,Formulas!J77="",RIGHT(Formulas!K77)="0"),"",
HYPERLINK("["&amp;Archivo_Nombre&amp;"]Datos!"&amp;LEFT(SUBSTITUTE(ADDRESS(1,RIGHT(Formulas!K77)+2),"$",""))&amp;Formulas!I77+1,
IFERROR(INDEX(Datos!$A$2:$L$101,Formulas!I77,RIGHT(Formulas!K77)+2),"")))</f>
        <v/>
      </c>
      <c r="J80" s="107" t="str" cm="1">
        <f t="array" aca="1" ref="J80" ca="1">IF(OR(Formulas!K78=0,Formulas!K78=""),"",HYPERLINK("["&amp;Archivo_Nombre&amp;"]Datos!"&amp;LEFT(SUBSTITUTE(ADDRESS(1,Formulas!K78+2),"$",""))&amp;Formulas!J78+1,
IFERROR(INDEX(Datos!$A$2:$L$101,Formulas!J78,Formulas!K78+2),"")))</f>
        <v/>
      </c>
      <c r="K80" s="5"/>
      <c r="L80" s="6"/>
      <c r="M80" s="24" t="str" cm="1">
        <f t="array" aca="1" ref="M80" ca="1">IF(OR(Formulas!O77=0,Formulas!O77="",RIGHT(Formulas!P77)="0"),"",
HYPERLINK("["&amp;Archivo_Nombre&amp;"]Datos!"&amp;LEFT(SUBSTITUTE(ADDRESS(1,IF(Formulas!O77=1,1,RIGHT(Formulas!P77)+2)),"$",""))&amp;Formulas!N77+1,
IFERROR(INDEX(Datos!$A$1:$L$1,1,RIGHT(Formulas!P77)+2)&amp;IF(Formulas!O77=1," "&amp;Formulas!N77,"")&amp;":","")))</f>
        <v/>
      </c>
      <c r="N80" s="107" t="str" cm="1">
        <f t="array" aca="1" ref="N80" ca="1">IF(OR(Formulas!O77=0,Formulas!O77="",RIGHT(Formulas!P77)="0"),"",
HYPERLINK("["&amp;Archivo_Nombre&amp;"]Datos!"&amp;LEFT(SUBSTITUTE(ADDRESS(1,RIGHT(Formulas!P77)+2),"$",""))&amp;Formulas!N77+1,
IFERROR(INDEX(Datos!$A$2:$L$101,Formulas!N77,RIGHT(Formulas!P77)+2),"")))</f>
        <v/>
      </c>
      <c r="O80" s="107" t="str" cm="1">
        <f t="array" aca="1" ref="O80" ca="1">IF(OR(Formulas!P78=0,Formulas!P78=""),"",HYPERLINK("["&amp;Archivo_Nombre&amp;"]Datos!"&amp;LEFT(SUBSTITUTE(ADDRESS(1,Formulas!P78+2),"$",""))&amp;Formulas!O78+1,
IFERROR(INDEX(Datos!$A$2:$L$101,Formulas!O78,Formulas!P78+2),"")))</f>
        <v/>
      </c>
      <c r="P80" s="5"/>
      <c r="Q80" s="6"/>
      <c r="R80" s="24" t="str" cm="1">
        <f t="array" aca="1" ref="R80" ca="1">IF(OR(Formulas!T77=0,Formulas!T77="",RIGHT(Formulas!U77)="0"),"",
HYPERLINK("["&amp;Archivo_Nombre&amp;"]Datos!"&amp;LEFT(SUBSTITUTE(ADDRESS(1,IF(Formulas!T77=1,1,RIGHT(Formulas!U77)+2)),"$",""))&amp;Formulas!S77+1,
IFERROR(INDEX(Datos!$A$1:$L$1,1,RIGHT(Formulas!U77)+2)&amp;IF(Formulas!T77=1," "&amp;Formulas!S77,"")&amp;":","")))</f>
        <v>Previsto:</v>
      </c>
      <c r="S80" s="107" cm="1">
        <f t="array" aca="1" ref="S80" ca="1">IF(OR(Formulas!T77=0,Formulas!T77="",RIGHT(Formulas!U77)="0"),"",
HYPERLINK("["&amp;Archivo_Nombre&amp;"]Datos!"&amp;LEFT(SUBSTITUTE(ADDRESS(1,RIGHT(Formulas!U77)+2),"$",""))&amp;Formulas!S77+1,
IFERROR(INDEX(Datos!$A$2:$L$101,Formulas!S77,RIGHT(Formulas!U77)+2),"")))</f>
        <v>45813</v>
      </c>
      <c r="T80" s="107" t="e" cm="1">
        <f t="array" aca="1" ref="T80" ca="1">IF(OR(Formulas!U78=0,Formulas!U78=""),"",HYPERLINK("["&amp;Archivo_Nombre&amp;"]Datos!"&amp;LEFT(SUBSTITUTE(ADDRESS(1,Formulas!U78+2),"$",""))&amp;Formulas!T78+1,
IFERROR(INDEX(Datos!$A$2:$L$101,Formulas!T78,Formulas!U78+2),"")))</f>
        <v>#VALUE!</v>
      </c>
      <c r="U80" s="5"/>
      <c r="V80" s="6"/>
      <c r="W80" s="24" t="str" cm="1">
        <f t="array" aca="1" ref="W80" ca="1">IF(OR(Formulas!Y77=0,Formulas!Y77="",RIGHT(Formulas!Z77)="0"),"",
HYPERLINK("["&amp;Archivo_Nombre&amp;"]Datos!"&amp;LEFT(SUBSTITUTE(ADDRESS(1,IF(Formulas!Y77=1,1,RIGHT(Formulas!Z77)+2)),"$",""))&amp;Formulas!X77+1,
IFERROR(INDEX(Datos!$A$1:$L$1,1,RIGHT(Formulas!Z77)+2)&amp;IF(Formulas!Y77=1," "&amp;Formulas!X77,"")&amp;":","")))</f>
        <v/>
      </c>
      <c r="X80" s="107" t="str" cm="1">
        <f t="array" aca="1" ref="X80" ca="1">IF(OR(Formulas!Y77=0,Formulas!Y77="",RIGHT(Formulas!Z77)="0"),"",
HYPERLINK("["&amp;Archivo_Nombre&amp;"]Datos!"&amp;LEFT(SUBSTITUTE(ADDRESS(1,RIGHT(Formulas!Z77)+2),"$",""))&amp;Formulas!X77+1,
IFERROR(INDEX(Datos!$A$2:$L$101,Formulas!X77,RIGHT(Formulas!Z77)+2),"")))</f>
        <v/>
      </c>
      <c r="Y80" s="107" t="str" cm="1">
        <f t="array" aca="1" ref="Y80" ca="1">IF(OR(Formulas!Z78=0,Formulas!Z78=""),"",HYPERLINK("["&amp;Archivo_Nombre&amp;"]Datos!"&amp;LEFT(SUBSTITUTE(ADDRESS(1,Formulas!Z78+2),"$",""))&amp;Formulas!Y78+1,
IFERROR(INDEX(Datos!$A$2:$L$101,Formulas!Y78,Formulas!Z78+2),"")))</f>
        <v/>
      </c>
      <c r="Z80" s="13"/>
      <c r="AA80" s="6"/>
      <c r="AB80" s="24" t="str" cm="1">
        <f t="array" aca="1" ref="AB80" ca="1">IF(OR(Formulas!AD77=0,Formulas!AD77="",RIGHT(Formulas!AE77)="0"),"",
HYPERLINK("["&amp;Archivo_Nombre&amp;"]Datos!"&amp;LEFT(SUBSTITUTE(ADDRESS(1,IF(Formulas!AD77=1,1,RIGHT(Formulas!AE77)+2)),"$",""))&amp;Formulas!AC77+1,
IFERROR(INDEX(Datos!$A$1:$L$1,1,RIGHT(Formulas!AE77)+2)&amp;IF(Formulas!AD77=1," "&amp;Formulas!AC77,"")&amp;":","")))</f>
        <v/>
      </c>
      <c r="AC80" s="107" t="str" cm="1">
        <f t="array" aca="1" ref="AC80" ca="1">IF(OR(Formulas!AD77=0,Formulas!AD77="",RIGHT(Formulas!AE77)="0"),"",
HYPERLINK("["&amp;Archivo_Nombre&amp;"]Datos!"&amp;LEFT(SUBSTITUTE(ADDRESS(1,RIGHT(Formulas!AE77)+2),"$",""))&amp;Formulas!AC77+1,
IFERROR(INDEX(Datos!$A$2:$L$101,Formulas!AC77,RIGHT(Formulas!AE77)+2),"")))</f>
        <v/>
      </c>
      <c r="AD80" s="107" t="str" cm="1">
        <f t="array" aca="1" ref="AD80" ca="1">IF(OR(Formulas!AE78=0,Formulas!AE78=""),"",HYPERLINK("["&amp;Archivo_Nombre&amp;"]Datos!"&amp;LEFT(SUBSTITUTE(ADDRESS(1,Formulas!AE78+2),"$",""))&amp;Formulas!AD78+1,
IFERROR(INDEX(Datos!$A$2:$L$101,Formulas!AD78,Formulas!AE78+2),"")))</f>
        <v/>
      </c>
      <c r="AE80" s="13"/>
      <c r="AF80" s="6"/>
      <c r="AG80" s="24" t="str" cm="1">
        <f t="array" aca="1" ref="AG80" ca="1">IF(OR(Formulas!AI77=0,Formulas!AI77="",RIGHT(Formulas!AJ77)="0"),"",
HYPERLINK("["&amp;Archivo_Nombre&amp;"]Datos!"&amp;LEFT(SUBSTITUTE(ADDRESS(1,IF(Formulas!AI77=1,1,RIGHT(Formulas!AJ77)+2)),"$",""))&amp;Formulas!AH77+1,
IFERROR(INDEX(Datos!$A$1:$L$1,1,RIGHT(Formulas!AJ77)+2)&amp;IF(Formulas!AI77=1," "&amp;Formulas!AH77,"")&amp;":","")))</f>
        <v/>
      </c>
      <c r="AH80" s="107" t="str" cm="1">
        <f t="array" aca="1" ref="AH80" ca="1">IF(OR(Formulas!AI77=0,Formulas!AI77="",RIGHT(Formulas!AJ77)="0"),"",
HYPERLINK("["&amp;Archivo_Nombre&amp;"]Datos!"&amp;LEFT(SUBSTITUTE(ADDRESS(1,RIGHT(Formulas!AJ77)+2),"$",""))&amp;Formulas!AH77+1,
IFERROR(INDEX(Datos!$A$2:$L$101,Formulas!AH77,RIGHT(Formulas!AJ77)+2),"")))</f>
        <v/>
      </c>
      <c r="AI80" s="107" t="str" cm="1">
        <f t="array" aca="1" ref="AI80" ca="1">IF(OR(Formulas!AJ78=0,Formulas!AJ78=""),"",HYPERLINK("["&amp;Archivo_Nombre&amp;"]Datos!"&amp;LEFT(SUBSTITUTE(ADDRESS(1,Formulas!AJ78+2),"$",""))&amp;Formulas!AI78+1,
IFERROR(INDEX(Datos!$A$2:$L$101,Formulas!AI78,Formulas!AJ78+2),"")))</f>
        <v/>
      </c>
      <c r="AJ80" s="13"/>
      <c r="AK80" s="6"/>
      <c r="AL80" s="24" t="str" cm="1">
        <f t="array" aca="1" ref="AL80" ca="1">IF(OR(Formulas!AN77=0,Formulas!AN77="",RIGHT(Formulas!AO77)="0"),"",
HYPERLINK("["&amp;Archivo_Nombre&amp;"]Datos!"&amp;LEFT(SUBSTITUTE(ADDRESS(1,IF(Formulas!AN77=1,1,RIGHT(Formulas!AO77)+2)),"$",""))&amp;Formulas!AM77+1,
IFERROR(INDEX(Datos!$A$1:$L$1,1,RIGHT(Formulas!AO77)+2)&amp;IF(Formulas!AN77=1," "&amp;Formulas!AM77,"")&amp;":","")))</f>
        <v/>
      </c>
      <c r="AM80" s="107" t="str" cm="1">
        <f t="array" aca="1" ref="AM80" ca="1">IF(OR(Formulas!AN77=0,Formulas!AN77="",RIGHT(Formulas!AO77)="0"),"",
HYPERLINK("["&amp;Archivo_Nombre&amp;"]Datos!"&amp;LEFT(SUBSTITUTE(ADDRESS(1,RIGHT(Formulas!AO77)+2),"$",""))&amp;Formulas!AM77+1,
IFERROR(INDEX(Datos!$A$2:$L$101,Formulas!AM77,RIGHT(Formulas!AO77)+2),"")))</f>
        <v/>
      </c>
      <c r="AN80" s="107" t="str" cm="1">
        <f t="array" aca="1" ref="AN80" ca="1">IF(OR(Formulas!AO78=0,Formulas!AO78=""),"",HYPERLINK("["&amp;Archivo_Nombre&amp;"]Datos!"&amp;LEFT(SUBSTITUTE(ADDRESS(1,Formulas!AO78+2),"$",""))&amp;Formulas!AN78+1,
IFERROR(INDEX(Datos!$A$2:$L$101,Formulas!AN78,Formulas!AO78+2),"")))</f>
        <v/>
      </c>
      <c r="AO80" s="13"/>
      <c r="AP80" s="6"/>
      <c r="AQ80" s="24" t="str" cm="1">
        <f t="array" aca="1" ref="AQ80" ca="1">IF(OR(Formulas!AS77=0,Formulas!AS77="",RIGHT(Formulas!AT77)="0"),"",
HYPERLINK("["&amp;Archivo_Nombre&amp;"]Datos!"&amp;LEFT(SUBSTITUTE(ADDRESS(1,IF(Formulas!AS77=1,1,RIGHT(Formulas!AT77)+2)),"$",""))&amp;Formulas!AR77+1,
IFERROR(INDEX(Datos!$A$1:$L$1,1,RIGHT(Formulas!AT77)+2)&amp;IF(Formulas!AS77=1," "&amp;Formulas!AR77,"")&amp;":","")))</f>
        <v/>
      </c>
      <c r="AR80" s="107" t="str" cm="1">
        <f t="array" aca="1" ref="AR80" ca="1">IF(OR(Formulas!AS77=0,Formulas!AS77="",RIGHT(Formulas!AT77)="0"),"",
HYPERLINK("["&amp;Archivo_Nombre&amp;"]Datos!"&amp;LEFT(SUBSTITUTE(ADDRESS(1,RIGHT(Formulas!AT77)+2),"$",""))&amp;Formulas!AR77+1,
IFERROR(INDEX(Datos!$A$2:$L$101,Formulas!AR77,RIGHT(Formulas!AT77)+2),"")))</f>
        <v/>
      </c>
      <c r="AS80" s="107" t="str" cm="1">
        <f t="array" aca="1" ref="AS80" ca="1">IF(OR(Formulas!AT78=0,Formulas!AT78=""),"",HYPERLINK("["&amp;Archivo_Nombre&amp;"]Datos!"&amp;LEFT(SUBSTITUTE(ADDRESS(1,Formulas!AT78+2),"$",""))&amp;Formulas!AS78+1,
IFERROR(INDEX(Datos!$A$2:$L$101,Formulas!AS78,Formulas!AT78+2),"")))</f>
        <v/>
      </c>
      <c r="AT80" s="13"/>
      <c r="AU80" s="6"/>
      <c r="AV80" s="24" t="str" cm="1">
        <f t="array" aca="1" ref="AV80" ca="1">IF(OR(Formulas!AX77=0,Formulas!AX77="",RIGHT(Formulas!AY77)="0"),"",
HYPERLINK("["&amp;Archivo_Nombre&amp;"]Datos!"&amp;LEFT(SUBSTITUTE(ADDRESS(1,IF(Formulas!AX77=1,1,RIGHT(Formulas!AY77)+2)),"$",""))&amp;Formulas!AW77+1,
IFERROR(INDEX(Datos!$A$1:$L$1,1,RIGHT(Formulas!AY77)+2)&amp;IF(Formulas!AX77=1," "&amp;Formulas!AW77,"")&amp;":","")))</f>
        <v/>
      </c>
      <c r="AW80" s="107" t="str" cm="1">
        <f t="array" aca="1" ref="AW80" ca="1">IF(OR(Formulas!AX77=0,Formulas!AX77="",RIGHT(Formulas!AY77)="0"),"",
HYPERLINK("["&amp;Archivo_Nombre&amp;"]Datos!"&amp;LEFT(SUBSTITUTE(ADDRESS(1,RIGHT(Formulas!AY77)+2),"$",""))&amp;Formulas!AW77+1,
IFERROR(INDEX(Datos!$A$2:$L$101,Formulas!AW77,RIGHT(Formulas!AY77)+2),"")))</f>
        <v/>
      </c>
      <c r="AX80" s="107" t="str" cm="1">
        <f t="array" aca="1" ref="AX80" ca="1">IF(OR(Formulas!AY78=0,Formulas!AY78=""),"",HYPERLINK("["&amp;Archivo_Nombre&amp;"]Datos!"&amp;LEFT(SUBSTITUTE(ADDRESS(1,Formulas!AY78+2),"$",""))&amp;Formulas!AX78+1,
IFERROR(INDEX(Datos!$A$2:$L$101,Formulas!AX78,Formulas!AY78+2),"")))</f>
        <v/>
      </c>
      <c r="AY80" s="13"/>
    </row>
    <row r="81" spans="2:51" x14ac:dyDescent="0.25">
      <c r="B81" s="11"/>
      <c r="C81" s="24" t="str" cm="1">
        <f t="array" aca="1" ref="C81" ca="1">IF(OR(Formulas!E78=0,Formulas!E78="",RIGHT(Formulas!F78)="0"),"",
HYPERLINK("["&amp;Archivo_Nombre&amp;"]Datos!"&amp;LEFT(SUBSTITUTE(ADDRESS(1,IF(Formulas!E78=1,1,RIGHT(Formulas!F78)+2)),"$",""))&amp;Formulas!D78+1,
IFERROR(INDEX(Datos!$A$1:$L$1,1,RIGHT(Formulas!F78)+2)&amp;IF(Formulas!E78=1," "&amp;Formulas!D78,"")&amp;":","")))</f>
        <v/>
      </c>
      <c r="D81" s="107" t="str" cm="1">
        <f t="array" aca="1" ref="D81" ca="1">IF(OR(Formulas!E78=0,Formulas!E78="",RIGHT(Formulas!F78)="0"),"",
HYPERLINK("["&amp;Archivo_Nombre&amp;"]Datos!"&amp;LEFT(SUBSTITUTE(ADDRESS(1,RIGHT(Formulas!F78)+2),"$",""))&amp;Formulas!D78+1,
IFERROR(INDEX(Datos!$A$2:$L$101,Formulas!D78,RIGHT(Formulas!F78)+2),"")))</f>
        <v/>
      </c>
      <c r="E81" s="107" t="str" cm="1">
        <f t="array" aca="1" ref="E81" ca="1">IF(OR(Formulas!F79=0,Formulas!F79=""),"",HYPERLINK("["&amp;Archivo_Nombre&amp;"]Datos!"&amp;LEFT(SUBSTITUTE(ADDRESS(1,Formulas!F79+2),"$",""))&amp;Formulas!E79+1,
IFERROR(INDEX(Datos!$A$2:$L$101,Formulas!E79,Formulas!F79+2),"")))</f>
        <v/>
      </c>
      <c r="F81" s="5"/>
      <c r="G81" s="6"/>
      <c r="H81" s="24" t="str" cm="1">
        <f t="array" aca="1" ref="H81" ca="1">IF(OR(Formulas!J78=0,Formulas!J78="",RIGHT(Formulas!K78)="0"),"",
HYPERLINK("["&amp;Archivo_Nombre&amp;"]Datos!"&amp;LEFT(SUBSTITUTE(ADDRESS(1,IF(Formulas!J78=1,1,RIGHT(Formulas!K78)+2)),"$",""))&amp;Formulas!I78+1,
IFERROR(INDEX(Datos!$A$1:$L$1,1,RIGHT(Formulas!K78)+2)&amp;IF(Formulas!J78=1," "&amp;Formulas!I78,"")&amp;":","")))</f>
        <v/>
      </c>
      <c r="I81" s="107" t="str" cm="1">
        <f t="array" aca="1" ref="I81" ca="1">IF(OR(Formulas!J78=0,Formulas!J78="",RIGHT(Formulas!K78)="0"),"",
HYPERLINK("["&amp;Archivo_Nombre&amp;"]Datos!"&amp;LEFT(SUBSTITUTE(ADDRESS(1,RIGHT(Formulas!K78)+2),"$",""))&amp;Formulas!I78+1,
IFERROR(INDEX(Datos!$A$2:$L$101,Formulas!I78,RIGHT(Formulas!K78)+2),"")))</f>
        <v/>
      </c>
      <c r="J81" s="107" t="str" cm="1">
        <f t="array" aca="1" ref="J81" ca="1">IF(OR(Formulas!K79=0,Formulas!K79=""),"",HYPERLINK("["&amp;Archivo_Nombre&amp;"]Datos!"&amp;LEFT(SUBSTITUTE(ADDRESS(1,Formulas!K79+2),"$",""))&amp;Formulas!J79+1,
IFERROR(INDEX(Datos!$A$2:$L$101,Formulas!J79,Formulas!K79+2),"")))</f>
        <v/>
      </c>
      <c r="K81" s="5"/>
      <c r="L81" s="6"/>
      <c r="M81" s="24" t="str" cm="1">
        <f t="array" aca="1" ref="M81" ca="1">IF(OR(Formulas!O78=0,Formulas!O78="",RIGHT(Formulas!P78)="0"),"",
HYPERLINK("["&amp;Archivo_Nombre&amp;"]Datos!"&amp;LEFT(SUBSTITUTE(ADDRESS(1,IF(Formulas!O78=1,1,RIGHT(Formulas!P78)+2)),"$",""))&amp;Formulas!N78+1,
IFERROR(INDEX(Datos!$A$1:$L$1,1,RIGHT(Formulas!P78)+2)&amp;IF(Formulas!O78=1," "&amp;Formulas!N78,"")&amp;":","")))</f>
        <v/>
      </c>
      <c r="N81" s="107" t="str" cm="1">
        <f t="array" aca="1" ref="N81" ca="1">IF(OR(Formulas!O78=0,Formulas!O78="",RIGHT(Formulas!P78)="0"),"",
HYPERLINK("["&amp;Archivo_Nombre&amp;"]Datos!"&amp;LEFT(SUBSTITUTE(ADDRESS(1,RIGHT(Formulas!P78)+2),"$",""))&amp;Formulas!N78+1,
IFERROR(INDEX(Datos!$A$2:$L$101,Formulas!N78,RIGHT(Formulas!P78)+2),"")))</f>
        <v/>
      </c>
      <c r="O81" s="107" t="str" cm="1">
        <f t="array" aca="1" ref="O81" ca="1">IF(OR(Formulas!P79=0,Formulas!P79=""),"",HYPERLINK("["&amp;Archivo_Nombre&amp;"]Datos!"&amp;LEFT(SUBSTITUTE(ADDRESS(1,Formulas!P79+2),"$",""))&amp;Formulas!O79+1,
IFERROR(INDEX(Datos!$A$2:$L$101,Formulas!O79,Formulas!P79+2),"")))</f>
        <v/>
      </c>
      <c r="P81" s="5"/>
      <c r="Q81" s="6"/>
      <c r="R81" s="24" t="str" cm="1">
        <f t="array" aca="1" ref="R81" ca="1">IF(OR(Formulas!T78=0,Formulas!T78="",RIGHT(Formulas!U78)="0"),"",
HYPERLINK("["&amp;Archivo_Nombre&amp;"]Datos!"&amp;LEFT(SUBSTITUTE(ADDRESS(1,IF(Formulas!T78=1,1,RIGHT(Formulas!U78)+2)),"$",""))&amp;Formulas!S78+1,
IFERROR(INDEX(Datos!$A$1:$L$1,1,RIGHT(Formulas!U78)+2)&amp;IF(Formulas!T78=1," "&amp;Formulas!S78,"")&amp;":","")))</f>
        <v>Final:</v>
      </c>
      <c r="S81" s="107" cm="1">
        <f t="array" aca="1" ref="S81" ca="1">IF(OR(Formulas!T78=0,Formulas!T78="",RIGHT(Formulas!U78)="0"),"",
HYPERLINK("["&amp;Archivo_Nombre&amp;"]Datos!"&amp;LEFT(SUBSTITUTE(ADDRESS(1,RIGHT(Formulas!U78)+2),"$",""))&amp;Formulas!S78+1,
IFERROR(INDEX(Datos!$A$2:$L$101,Formulas!S78,RIGHT(Formulas!U78)+2),"")))</f>
        <v>45813</v>
      </c>
      <c r="T81" s="107" t="e" cm="1">
        <f t="array" aca="1" ref="T81" ca="1">IF(OR(Formulas!U79=0,Formulas!U79=""),"",HYPERLINK("["&amp;Archivo_Nombre&amp;"]Datos!"&amp;LEFT(SUBSTITUTE(ADDRESS(1,Formulas!U79+2),"$",""))&amp;Formulas!T79+1,
IFERROR(INDEX(Datos!$A$2:$L$101,Formulas!T79,Formulas!U79+2),"")))</f>
        <v>#VALUE!</v>
      </c>
      <c r="U81" s="5"/>
      <c r="V81" s="6"/>
      <c r="W81" s="24" t="str" cm="1">
        <f t="array" aca="1" ref="W81" ca="1">IF(OR(Formulas!Y78=0,Formulas!Y78="",RIGHT(Formulas!Z78)="0"),"",
HYPERLINK("["&amp;Archivo_Nombre&amp;"]Datos!"&amp;LEFT(SUBSTITUTE(ADDRESS(1,IF(Formulas!Y78=1,1,RIGHT(Formulas!Z78)+2)),"$",""))&amp;Formulas!X78+1,
IFERROR(INDEX(Datos!$A$1:$L$1,1,RIGHT(Formulas!Z78)+2)&amp;IF(Formulas!Y78=1," "&amp;Formulas!X78,"")&amp;":","")))</f>
        <v/>
      </c>
      <c r="X81" s="107" t="str" cm="1">
        <f t="array" aca="1" ref="X81" ca="1">IF(OR(Formulas!Y78=0,Formulas!Y78="",RIGHT(Formulas!Z78)="0"),"",
HYPERLINK("["&amp;Archivo_Nombre&amp;"]Datos!"&amp;LEFT(SUBSTITUTE(ADDRESS(1,RIGHT(Formulas!Z78)+2),"$",""))&amp;Formulas!X78+1,
IFERROR(INDEX(Datos!$A$2:$L$101,Formulas!X78,RIGHT(Formulas!Z78)+2),"")))</f>
        <v/>
      </c>
      <c r="Y81" s="107" t="str" cm="1">
        <f t="array" aca="1" ref="Y81" ca="1">IF(OR(Formulas!Z79=0,Formulas!Z79=""),"",HYPERLINK("["&amp;Archivo_Nombre&amp;"]Datos!"&amp;LEFT(SUBSTITUTE(ADDRESS(1,Formulas!Z79+2),"$",""))&amp;Formulas!Y79+1,
IFERROR(INDEX(Datos!$A$2:$L$101,Formulas!Y79,Formulas!Z79+2),"")))</f>
        <v/>
      </c>
      <c r="Z81" s="13"/>
      <c r="AA81" s="6"/>
      <c r="AB81" s="24" t="str" cm="1">
        <f t="array" aca="1" ref="AB81" ca="1">IF(OR(Formulas!AD78=0,Formulas!AD78="",RIGHT(Formulas!AE78)="0"),"",
HYPERLINK("["&amp;Archivo_Nombre&amp;"]Datos!"&amp;LEFT(SUBSTITUTE(ADDRESS(1,IF(Formulas!AD78=1,1,RIGHT(Formulas!AE78)+2)),"$",""))&amp;Formulas!AC78+1,
IFERROR(INDEX(Datos!$A$1:$L$1,1,RIGHT(Formulas!AE78)+2)&amp;IF(Formulas!AD78=1," "&amp;Formulas!AC78,"")&amp;":","")))</f>
        <v/>
      </c>
      <c r="AC81" s="107" t="str" cm="1">
        <f t="array" aca="1" ref="AC81" ca="1">IF(OR(Formulas!AD78=0,Formulas!AD78="",RIGHT(Formulas!AE78)="0"),"",
HYPERLINK("["&amp;Archivo_Nombre&amp;"]Datos!"&amp;LEFT(SUBSTITUTE(ADDRESS(1,RIGHT(Formulas!AE78)+2),"$",""))&amp;Formulas!AC78+1,
IFERROR(INDEX(Datos!$A$2:$L$101,Formulas!AC78,RIGHT(Formulas!AE78)+2),"")))</f>
        <v/>
      </c>
      <c r="AD81" s="107" t="str" cm="1">
        <f t="array" aca="1" ref="AD81" ca="1">IF(OR(Formulas!AE79=0,Formulas!AE79=""),"",HYPERLINK("["&amp;Archivo_Nombre&amp;"]Datos!"&amp;LEFT(SUBSTITUTE(ADDRESS(1,Formulas!AE79+2),"$",""))&amp;Formulas!AD79+1,
IFERROR(INDEX(Datos!$A$2:$L$101,Formulas!AD79,Formulas!AE79+2),"")))</f>
        <v/>
      </c>
      <c r="AE81" s="13"/>
      <c r="AF81" s="6"/>
      <c r="AG81" s="24" t="str" cm="1">
        <f t="array" aca="1" ref="AG81" ca="1">IF(OR(Formulas!AI78=0,Formulas!AI78="",RIGHT(Formulas!AJ78)="0"),"",
HYPERLINK("["&amp;Archivo_Nombre&amp;"]Datos!"&amp;LEFT(SUBSTITUTE(ADDRESS(1,IF(Formulas!AI78=1,1,RIGHT(Formulas!AJ78)+2)),"$",""))&amp;Formulas!AH78+1,
IFERROR(INDEX(Datos!$A$1:$L$1,1,RIGHT(Formulas!AJ78)+2)&amp;IF(Formulas!AI78=1," "&amp;Formulas!AH78,"")&amp;":","")))</f>
        <v/>
      </c>
      <c r="AH81" s="107" t="str" cm="1">
        <f t="array" aca="1" ref="AH81" ca="1">IF(OR(Formulas!AI78=0,Formulas!AI78="",RIGHT(Formulas!AJ78)="0"),"",
HYPERLINK("["&amp;Archivo_Nombre&amp;"]Datos!"&amp;LEFT(SUBSTITUTE(ADDRESS(1,RIGHT(Formulas!AJ78)+2),"$",""))&amp;Formulas!AH78+1,
IFERROR(INDEX(Datos!$A$2:$L$101,Formulas!AH78,RIGHT(Formulas!AJ78)+2),"")))</f>
        <v/>
      </c>
      <c r="AI81" s="107" t="str" cm="1">
        <f t="array" aca="1" ref="AI81" ca="1">IF(OR(Formulas!AJ79=0,Formulas!AJ79=""),"",HYPERLINK("["&amp;Archivo_Nombre&amp;"]Datos!"&amp;LEFT(SUBSTITUTE(ADDRESS(1,Formulas!AJ79+2),"$",""))&amp;Formulas!AI79+1,
IFERROR(INDEX(Datos!$A$2:$L$101,Formulas!AI79,Formulas!AJ79+2),"")))</f>
        <v/>
      </c>
      <c r="AJ81" s="13"/>
      <c r="AK81" s="6"/>
      <c r="AL81" s="24" t="str" cm="1">
        <f t="array" aca="1" ref="AL81" ca="1">IF(OR(Formulas!AN78=0,Formulas!AN78="",RIGHT(Formulas!AO78)="0"),"",
HYPERLINK("["&amp;Archivo_Nombre&amp;"]Datos!"&amp;LEFT(SUBSTITUTE(ADDRESS(1,IF(Formulas!AN78=1,1,RIGHT(Formulas!AO78)+2)),"$",""))&amp;Formulas!AM78+1,
IFERROR(INDEX(Datos!$A$1:$L$1,1,RIGHT(Formulas!AO78)+2)&amp;IF(Formulas!AN78=1," "&amp;Formulas!AM78,"")&amp;":","")))</f>
        <v/>
      </c>
      <c r="AM81" s="107" t="str" cm="1">
        <f t="array" aca="1" ref="AM81" ca="1">IF(OR(Formulas!AN78=0,Formulas!AN78="",RIGHT(Formulas!AO78)="0"),"",
HYPERLINK("["&amp;Archivo_Nombre&amp;"]Datos!"&amp;LEFT(SUBSTITUTE(ADDRESS(1,RIGHT(Formulas!AO78)+2),"$",""))&amp;Formulas!AM78+1,
IFERROR(INDEX(Datos!$A$2:$L$101,Formulas!AM78,RIGHT(Formulas!AO78)+2),"")))</f>
        <v/>
      </c>
      <c r="AN81" s="107" t="str" cm="1">
        <f t="array" aca="1" ref="AN81" ca="1">IF(OR(Formulas!AO79=0,Formulas!AO79=""),"",HYPERLINK("["&amp;Archivo_Nombre&amp;"]Datos!"&amp;LEFT(SUBSTITUTE(ADDRESS(1,Formulas!AO79+2),"$",""))&amp;Formulas!AN79+1,
IFERROR(INDEX(Datos!$A$2:$L$101,Formulas!AN79,Formulas!AO79+2),"")))</f>
        <v/>
      </c>
      <c r="AO81" s="13"/>
      <c r="AP81" s="6"/>
      <c r="AQ81" s="24" t="str" cm="1">
        <f t="array" aca="1" ref="AQ81" ca="1">IF(OR(Formulas!AS78=0,Formulas!AS78="",RIGHT(Formulas!AT78)="0"),"",
HYPERLINK("["&amp;Archivo_Nombre&amp;"]Datos!"&amp;LEFT(SUBSTITUTE(ADDRESS(1,IF(Formulas!AS78=1,1,RIGHT(Formulas!AT78)+2)),"$",""))&amp;Formulas!AR78+1,
IFERROR(INDEX(Datos!$A$1:$L$1,1,RIGHT(Formulas!AT78)+2)&amp;IF(Formulas!AS78=1," "&amp;Formulas!AR78,"")&amp;":","")))</f>
        <v/>
      </c>
      <c r="AR81" s="107" t="str" cm="1">
        <f t="array" aca="1" ref="AR81" ca="1">IF(OR(Formulas!AS78=0,Formulas!AS78="",RIGHT(Formulas!AT78)="0"),"",
HYPERLINK("["&amp;Archivo_Nombre&amp;"]Datos!"&amp;LEFT(SUBSTITUTE(ADDRESS(1,RIGHT(Formulas!AT78)+2),"$",""))&amp;Formulas!AR78+1,
IFERROR(INDEX(Datos!$A$2:$L$101,Formulas!AR78,RIGHT(Formulas!AT78)+2),"")))</f>
        <v/>
      </c>
      <c r="AS81" s="107" t="str" cm="1">
        <f t="array" aca="1" ref="AS81" ca="1">IF(OR(Formulas!AT79=0,Formulas!AT79=""),"",HYPERLINK("["&amp;Archivo_Nombre&amp;"]Datos!"&amp;LEFT(SUBSTITUTE(ADDRESS(1,Formulas!AT79+2),"$",""))&amp;Formulas!AS79+1,
IFERROR(INDEX(Datos!$A$2:$L$101,Formulas!AS79,Formulas!AT79+2),"")))</f>
        <v/>
      </c>
      <c r="AT81" s="13"/>
      <c r="AU81" s="6"/>
      <c r="AV81" s="24" t="str" cm="1">
        <f t="array" aca="1" ref="AV81" ca="1">IF(OR(Formulas!AX78=0,Formulas!AX78="",RIGHT(Formulas!AY78)="0"),"",
HYPERLINK("["&amp;Archivo_Nombre&amp;"]Datos!"&amp;LEFT(SUBSTITUTE(ADDRESS(1,IF(Formulas!AX78=1,1,RIGHT(Formulas!AY78)+2)),"$",""))&amp;Formulas!AW78+1,
IFERROR(INDEX(Datos!$A$1:$L$1,1,RIGHT(Formulas!AY78)+2)&amp;IF(Formulas!AX78=1," "&amp;Formulas!AW78,"")&amp;":","")))</f>
        <v/>
      </c>
      <c r="AW81" s="107" t="str" cm="1">
        <f t="array" aca="1" ref="AW81" ca="1">IF(OR(Formulas!AX78=0,Formulas!AX78="",RIGHT(Formulas!AY78)="0"),"",
HYPERLINK("["&amp;Archivo_Nombre&amp;"]Datos!"&amp;LEFT(SUBSTITUTE(ADDRESS(1,RIGHT(Formulas!AY78)+2),"$",""))&amp;Formulas!AW78+1,
IFERROR(INDEX(Datos!$A$2:$L$101,Formulas!AW78,RIGHT(Formulas!AY78)+2),"")))</f>
        <v/>
      </c>
      <c r="AX81" s="107" t="str" cm="1">
        <f t="array" aca="1" ref="AX81" ca="1">IF(OR(Formulas!AY79=0,Formulas!AY79=""),"",HYPERLINK("["&amp;Archivo_Nombre&amp;"]Datos!"&amp;LEFT(SUBSTITUTE(ADDRESS(1,Formulas!AY79+2),"$",""))&amp;Formulas!AX79+1,
IFERROR(INDEX(Datos!$A$2:$L$101,Formulas!AX79,Formulas!AY79+2),"")))</f>
        <v/>
      </c>
      <c r="AY81" s="13"/>
    </row>
    <row r="82" spans="2:51" x14ac:dyDescent="0.25">
      <c r="B82" s="11"/>
      <c r="C82" s="24" t="str" cm="1">
        <f t="array" aca="1" ref="C82" ca="1">IF(OR(Formulas!E79=0,Formulas!E79="",RIGHT(Formulas!F79)="0"),"",
HYPERLINK("["&amp;Archivo_Nombre&amp;"]Datos!"&amp;LEFT(SUBSTITUTE(ADDRESS(1,IF(Formulas!E79=1,1,RIGHT(Formulas!F79)+2)),"$",""))&amp;Formulas!D79+1,
IFERROR(INDEX(Datos!$A$1:$L$1,1,RIGHT(Formulas!F79)+2)&amp;IF(Formulas!E79=1," "&amp;Formulas!D79,"")&amp;":","")))</f>
        <v/>
      </c>
      <c r="D82" s="107" t="str" cm="1">
        <f t="array" aca="1" ref="D82" ca="1">IF(OR(Formulas!E79=0,Formulas!E79="",RIGHT(Formulas!F79)="0"),"",
HYPERLINK("["&amp;Archivo_Nombre&amp;"]Datos!"&amp;LEFT(SUBSTITUTE(ADDRESS(1,RIGHT(Formulas!F79)+2),"$",""))&amp;Formulas!D79+1,
IFERROR(INDEX(Datos!$A$2:$L$101,Formulas!D79,RIGHT(Formulas!F79)+2),"")))</f>
        <v/>
      </c>
      <c r="E82" s="107" t="str" cm="1">
        <f t="array" aca="1" ref="E82" ca="1">IF(OR(Formulas!F80=0,Formulas!F80=""),"",HYPERLINK("["&amp;Archivo_Nombre&amp;"]Datos!"&amp;LEFT(SUBSTITUTE(ADDRESS(1,Formulas!F80+2),"$",""))&amp;Formulas!E80+1,
IFERROR(INDEX(Datos!$A$2:$L$101,Formulas!E80,Formulas!F80+2),"")))</f>
        <v/>
      </c>
      <c r="F82" s="5"/>
      <c r="G82" s="6"/>
      <c r="H82" s="24" t="str" cm="1">
        <f t="array" aca="1" ref="H82" ca="1">IF(OR(Formulas!J79=0,Formulas!J79="",RIGHT(Formulas!K79)="0"),"",
HYPERLINK("["&amp;Archivo_Nombre&amp;"]Datos!"&amp;LEFT(SUBSTITUTE(ADDRESS(1,IF(Formulas!J79=1,1,RIGHT(Formulas!K79)+2)),"$",""))&amp;Formulas!I79+1,
IFERROR(INDEX(Datos!$A$1:$L$1,1,RIGHT(Formulas!K79)+2)&amp;IF(Formulas!J79=1," "&amp;Formulas!I79,"")&amp;":","")))</f>
        <v/>
      </c>
      <c r="I82" s="107" t="str" cm="1">
        <f t="array" aca="1" ref="I82" ca="1">IF(OR(Formulas!J79=0,Formulas!J79="",RIGHT(Formulas!K79)="0"),"",
HYPERLINK("["&amp;Archivo_Nombre&amp;"]Datos!"&amp;LEFT(SUBSTITUTE(ADDRESS(1,RIGHT(Formulas!K79)+2),"$",""))&amp;Formulas!I79+1,
IFERROR(INDEX(Datos!$A$2:$L$101,Formulas!I79,RIGHT(Formulas!K79)+2),"")))</f>
        <v/>
      </c>
      <c r="J82" s="107" t="str" cm="1">
        <f t="array" aca="1" ref="J82" ca="1">IF(OR(Formulas!K80=0,Formulas!K80=""),"",HYPERLINK("["&amp;Archivo_Nombre&amp;"]Datos!"&amp;LEFT(SUBSTITUTE(ADDRESS(1,Formulas!K80+2),"$",""))&amp;Formulas!J80+1,
IFERROR(INDEX(Datos!$A$2:$L$101,Formulas!J80,Formulas!K80+2),"")))</f>
        <v/>
      </c>
      <c r="K82" s="5"/>
      <c r="L82" s="6"/>
      <c r="M82" s="24" t="str" cm="1">
        <f t="array" aca="1" ref="M82" ca="1">IF(OR(Formulas!O79=0,Formulas!O79="",RIGHT(Formulas!P79)="0"),"",
HYPERLINK("["&amp;Archivo_Nombre&amp;"]Datos!"&amp;LEFT(SUBSTITUTE(ADDRESS(1,IF(Formulas!O79=1,1,RIGHT(Formulas!P79)+2)),"$",""))&amp;Formulas!N79+1,
IFERROR(INDEX(Datos!$A$1:$L$1,1,RIGHT(Formulas!P79)+2)&amp;IF(Formulas!O79=1," "&amp;Formulas!N79,"")&amp;":","")))</f>
        <v/>
      </c>
      <c r="N82" s="107" t="str" cm="1">
        <f t="array" aca="1" ref="N82" ca="1">IF(OR(Formulas!O79=0,Formulas!O79="",RIGHT(Formulas!P79)="0"),"",
HYPERLINK("["&amp;Archivo_Nombre&amp;"]Datos!"&amp;LEFT(SUBSTITUTE(ADDRESS(1,RIGHT(Formulas!P79)+2),"$",""))&amp;Formulas!N79+1,
IFERROR(INDEX(Datos!$A$2:$L$101,Formulas!N79,RIGHT(Formulas!P79)+2),"")))</f>
        <v/>
      </c>
      <c r="O82" s="107" t="str" cm="1">
        <f t="array" aca="1" ref="O82" ca="1">IF(OR(Formulas!P80=0,Formulas!P80=""),"",HYPERLINK("["&amp;Archivo_Nombre&amp;"]Datos!"&amp;LEFT(SUBSTITUTE(ADDRESS(1,Formulas!P80+2),"$",""))&amp;Formulas!O80+1,
IFERROR(INDEX(Datos!$A$2:$L$101,Formulas!O80,Formulas!P80+2),"")))</f>
        <v/>
      </c>
      <c r="P82" s="5"/>
      <c r="Q82" s="6"/>
      <c r="R82" s="24" t="str" cm="1">
        <f t="array" aca="1" ref="R82" ca="1">IF(OR(Formulas!T79=0,Formulas!T79="",RIGHT(Formulas!U79)="0"),"",
HYPERLINK("["&amp;Archivo_Nombre&amp;"]Datos!"&amp;LEFT(SUBSTITUTE(ADDRESS(1,IF(Formulas!T79=1,1,RIGHT(Formulas!U79)+2)),"$",""))&amp;Formulas!S79+1,
IFERROR(INDEX(Datos!$A$1:$L$1,1,RIGHT(Formulas!U79)+2)&amp;IF(Formulas!T79=1," "&amp;Formulas!S79,"")&amp;":","")))</f>
        <v>Duración:</v>
      </c>
      <c r="S82" s="107" t="str" cm="1">
        <f t="array" aca="1" ref="S82" ca="1">IF(OR(Formulas!T79=0,Formulas!T79="",RIGHT(Formulas!U79)="0"),"",
HYPERLINK("["&amp;Archivo_Nombre&amp;"]Datos!"&amp;LEFT(SUBSTITUTE(ADDRESS(1,RIGHT(Formulas!U79)+2),"$",""))&amp;Formulas!S79+1,
IFERROR(INDEX(Datos!$A$2:$L$101,Formulas!S79,RIGHT(Formulas!U79)+2),"")))</f>
        <v>3 días</v>
      </c>
      <c r="T82" s="107" t="e" cm="1">
        <f t="array" aca="1" ref="T82" ca="1">IF(OR(Formulas!U80=0,Formulas!U80=""),"",HYPERLINK("["&amp;Archivo_Nombre&amp;"]Datos!"&amp;LEFT(SUBSTITUTE(ADDRESS(1,Formulas!U80+2),"$",""))&amp;Formulas!T80+1,
IFERROR(INDEX(Datos!$A$2:$L$101,Formulas!T80,Formulas!U80+2),"")))</f>
        <v>#VALUE!</v>
      </c>
      <c r="U82" s="5"/>
      <c r="V82" s="6"/>
      <c r="W82" s="24" t="str" cm="1">
        <f t="array" aca="1" ref="W82" ca="1">IF(OR(Formulas!Y79=0,Formulas!Y79="",RIGHT(Formulas!Z79)="0"),"",
HYPERLINK("["&amp;Archivo_Nombre&amp;"]Datos!"&amp;LEFT(SUBSTITUTE(ADDRESS(1,IF(Formulas!Y79=1,1,RIGHT(Formulas!Z79)+2)),"$",""))&amp;Formulas!X79+1,
IFERROR(INDEX(Datos!$A$1:$L$1,1,RIGHT(Formulas!Z79)+2)&amp;IF(Formulas!Y79=1," "&amp;Formulas!X79,"")&amp;":","")))</f>
        <v/>
      </c>
      <c r="X82" s="107" t="str" cm="1">
        <f t="array" aca="1" ref="X82" ca="1">IF(OR(Formulas!Y79=0,Formulas!Y79="",RIGHT(Formulas!Z79)="0"),"",
HYPERLINK("["&amp;Archivo_Nombre&amp;"]Datos!"&amp;LEFT(SUBSTITUTE(ADDRESS(1,RIGHT(Formulas!Z79)+2),"$",""))&amp;Formulas!X79+1,
IFERROR(INDEX(Datos!$A$2:$L$101,Formulas!X79,RIGHT(Formulas!Z79)+2),"")))</f>
        <v/>
      </c>
      <c r="Y82" s="107" t="str" cm="1">
        <f t="array" aca="1" ref="Y82" ca="1">IF(OR(Formulas!Z80=0,Formulas!Z80=""),"",HYPERLINK("["&amp;Archivo_Nombre&amp;"]Datos!"&amp;LEFT(SUBSTITUTE(ADDRESS(1,Formulas!Z80+2),"$",""))&amp;Formulas!Y80+1,
IFERROR(INDEX(Datos!$A$2:$L$101,Formulas!Y80,Formulas!Z80+2),"")))</f>
        <v/>
      </c>
      <c r="Z82" s="13"/>
      <c r="AA82" s="6"/>
      <c r="AB82" s="24" t="str" cm="1">
        <f t="array" aca="1" ref="AB82" ca="1">IF(OR(Formulas!AD79=0,Formulas!AD79="",RIGHT(Formulas!AE79)="0"),"",
HYPERLINK("["&amp;Archivo_Nombre&amp;"]Datos!"&amp;LEFT(SUBSTITUTE(ADDRESS(1,IF(Formulas!AD79=1,1,RIGHT(Formulas!AE79)+2)),"$",""))&amp;Formulas!AC79+1,
IFERROR(INDEX(Datos!$A$1:$L$1,1,RIGHT(Formulas!AE79)+2)&amp;IF(Formulas!AD79=1," "&amp;Formulas!AC79,"")&amp;":","")))</f>
        <v/>
      </c>
      <c r="AC82" s="107" t="str" cm="1">
        <f t="array" aca="1" ref="AC82" ca="1">IF(OR(Formulas!AD79=0,Formulas!AD79="",RIGHT(Formulas!AE79)="0"),"",
HYPERLINK("["&amp;Archivo_Nombre&amp;"]Datos!"&amp;LEFT(SUBSTITUTE(ADDRESS(1,RIGHT(Formulas!AE79)+2),"$",""))&amp;Formulas!AC79+1,
IFERROR(INDEX(Datos!$A$2:$L$101,Formulas!AC79,RIGHT(Formulas!AE79)+2),"")))</f>
        <v/>
      </c>
      <c r="AD82" s="107" t="str" cm="1">
        <f t="array" aca="1" ref="AD82" ca="1">IF(OR(Formulas!AE80=0,Formulas!AE80=""),"",HYPERLINK("["&amp;Archivo_Nombre&amp;"]Datos!"&amp;LEFT(SUBSTITUTE(ADDRESS(1,Formulas!AE80+2),"$",""))&amp;Formulas!AD80+1,
IFERROR(INDEX(Datos!$A$2:$L$101,Formulas!AD80,Formulas!AE80+2),"")))</f>
        <v/>
      </c>
      <c r="AE82" s="13"/>
      <c r="AF82" s="6"/>
      <c r="AG82" s="24" t="str" cm="1">
        <f t="array" aca="1" ref="AG82" ca="1">IF(OR(Formulas!AI79=0,Formulas!AI79="",RIGHT(Formulas!AJ79)="0"),"",
HYPERLINK("["&amp;Archivo_Nombre&amp;"]Datos!"&amp;LEFT(SUBSTITUTE(ADDRESS(1,IF(Formulas!AI79=1,1,RIGHT(Formulas!AJ79)+2)),"$",""))&amp;Formulas!AH79+1,
IFERROR(INDEX(Datos!$A$1:$L$1,1,RIGHT(Formulas!AJ79)+2)&amp;IF(Formulas!AI79=1," "&amp;Formulas!AH79,"")&amp;":","")))</f>
        <v/>
      </c>
      <c r="AH82" s="107" t="str" cm="1">
        <f t="array" aca="1" ref="AH82" ca="1">IF(OR(Formulas!AI79=0,Formulas!AI79="",RIGHT(Formulas!AJ79)="0"),"",
HYPERLINK("["&amp;Archivo_Nombre&amp;"]Datos!"&amp;LEFT(SUBSTITUTE(ADDRESS(1,RIGHT(Formulas!AJ79)+2),"$",""))&amp;Formulas!AH79+1,
IFERROR(INDEX(Datos!$A$2:$L$101,Formulas!AH79,RIGHT(Formulas!AJ79)+2),"")))</f>
        <v/>
      </c>
      <c r="AI82" s="107" t="str" cm="1">
        <f t="array" aca="1" ref="AI82" ca="1">IF(OR(Formulas!AJ80=0,Formulas!AJ80=""),"",HYPERLINK("["&amp;Archivo_Nombre&amp;"]Datos!"&amp;LEFT(SUBSTITUTE(ADDRESS(1,Formulas!AJ80+2),"$",""))&amp;Formulas!AI80+1,
IFERROR(INDEX(Datos!$A$2:$L$101,Formulas!AI80,Formulas!AJ80+2),"")))</f>
        <v/>
      </c>
      <c r="AJ82" s="13"/>
      <c r="AK82" s="6"/>
      <c r="AL82" s="24" t="str" cm="1">
        <f t="array" aca="1" ref="AL82" ca="1">IF(OR(Formulas!AN79=0,Formulas!AN79="",RIGHT(Formulas!AO79)="0"),"",
HYPERLINK("["&amp;Archivo_Nombre&amp;"]Datos!"&amp;LEFT(SUBSTITUTE(ADDRESS(1,IF(Formulas!AN79=1,1,RIGHT(Formulas!AO79)+2)),"$",""))&amp;Formulas!AM79+1,
IFERROR(INDEX(Datos!$A$1:$L$1,1,RIGHT(Formulas!AO79)+2)&amp;IF(Formulas!AN79=1," "&amp;Formulas!AM79,"")&amp;":","")))</f>
        <v/>
      </c>
      <c r="AM82" s="107" t="str" cm="1">
        <f t="array" aca="1" ref="AM82" ca="1">IF(OR(Formulas!AN79=0,Formulas!AN79="",RIGHT(Formulas!AO79)="0"),"",
HYPERLINK("["&amp;Archivo_Nombre&amp;"]Datos!"&amp;LEFT(SUBSTITUTE(ADDRESS(1,RIGHT(Formulas!AO79)+2),"$",""))&amp;Formulas!AM79+1,
IFERROR(INDEX(Datos!$A$2:$L$101,Formulas!AM79,RIGHT(Formulas!AO79)+2),"")))</f>
        <v/>
      </c>
      <c r="AN82" s="107" t="str" cm="1">
        <f t="array" aca="1" ref="AN82" ca="1">IF(OR(Formulas!AO80=0,Formulas!AO80=""),"",HYPERLINK("["&amp;Archivo_Nombre&amp;"]Datos!"&amp;LEFT(SUBSTITUTE(ADDRESS(1,Formulas!AO80+2),"$",""))&amp;Formulas!AN80+1,
IFERROR(INDEX(Datos!$A$2:$L$101,Formulas!AN80,Formulas!AO80+2),"")))</f>
        <v/>
      </c>
      <c r="AO82" s="13"/>
      <c r="AP82" s="6"/>
      <c r="AQ82" s="24" t="str" cm="1">
        <f t="array" aca="1" ref="AQ82" ca="1">IF(OR(Formulas!AS79=0,Formulas!AS79="",RIGHT(Formulas!AT79)="0"),"",
HYPERLINK("["&amp;Archivo_Nombre&amp;"]Datos!"&amp;LEFT(SUBSTITUTE(ADDRESS(1,IF(Formulas!AS79=1,1,RIGHT(Formulas!AT79)+2)),"$",""))&amp;Formulas!AR79+1,
IFERROR(INDEX(Datos!$A$1:$L$1,1,RIGHT(Formulas!AT79)+2)&amp;IF(Formulas!AS79=1," "&amp;Formulas!AR79,"")&amp;":","")))</f>
        <v/>
      </c>
      <c r="AR82" s="107" t="str" cm="1">
        <f t="array" aca="1" ref="AR82" ca="1">IF(OR(Formulas!AS79=0,Formulas!AS79="",RIGHT(Formulas!AT79)="0"),"",
HYPERLINK("["&amp;Archivo_Nombre&amp;"]Datos!"&amp;LEFT(SUBSTITUTE(ADDRESS(1,RIGHT(Formulas!AT79)+2),"$",""))&amp;Formulas!AR79+1,
IFERROR(INDEX(Datos!$A$2:$L$101,Formulas!AR79,RIGHT(Formulas!AT79)+2),"")))</f>
        <v/>
      </c>
      <c r="AS82" s="107" t="str" cm="1">
        <f t="array" aca="1" ref="AS82" ca="1">IF(OR(Formulas!AT80=0,Formulas!AT80=""),"",HYPERLINK("["&amp;Archivo_Nombre&amp;"]Datos!"&amp;LEFT(SUBSTITUTE(ADDRESS(1,Formulas!AT80+2),"$",""))&amp;Formulas!AS80+1,
IFERROR(INDEX(Datos!$A$2:$L$101,Formulas!AS80,Formulas!AT80+2),"")))</f>
        <v/>
      </c>
      <c r="AT82" s="13"/>
      <c r="AU82" s="6"/>
      <c r="AV82" s="24" t="str" cm="1">
        <f t="array" aca="1" ref="AV82" ca="1">IF(OR(Formulas!AX79=0,Formulas!AX79="",RIGHT(Formulas!AY79)="0"),"",
HYPERLINK("["&amp;Archivo_Nombre&amp;"]Datos!"&amp;LEFT(SUBSTITUTE(ADDRESS(1,IF(Formulas!AX79=1,1,RIGHT(Formulas!AY79)+2)),"$",""))&amp;Formulas!AW79+1,
IFERROR(INDEX(Datos!$A$1:$L$1,1,RIGHT(Formulas!AY79)+2)&amp;IF(Formulas!AX79=1," "&amp;Formulas!AW79,"")&amp;":","")))</f>
        <v/>
      </c>
      <c r="AW82" s="107" t="str" cm="1">
        <f t="array" aca="1" ref="AW82" ca="1">IF(OR(Formulas!AX79=0,Formulas!AX79="",RIGHT(Formulas!AY79)="0"),"",
HYPERLINK("["&amp;Archivo_Nombre&amp;"]Datos!"&amp;LEFT(SUBSTITUTE(ADDRESS(1,RIGHT(Formulas!AY79)+2),"$",""))&amp;Formulas!AW79+1,
IFERROR(INDEX(Datos!$A$2:$L$101,Formulas!AW79,RIGHT(Formulas!AY79)+2),"")))</f>
        <v/>
      </c>
      <c r="AX82" s="107" t="str" cm="1">
        <f t="array" aca="1" ref="AX82" ca="1">IF(OR(Formulas!AY80=0,Formulas!AY80=""),"",HYPERLINK("["&amp;Archivo_Nombre&amp;"]Datos!"&amp;LEFT(SUBSTITUTE(ADDRESS(1,Formulas!AY80+2),"$",""))&amp;Formulas!AX80+1,
IFERROR(INDEX(Datos!$A$2:$L$101,Formulas!AX80,Formulas!AY80+2),"")))</f>
        <v/>
      </c>
      <c r="AY82" s="13"/>
    </row>
    <row r="83" spans="2:51" x14ac:dyDescent="0.25">
      <c r="B83" s="11"/>
      <c r="C83" s="24" t="str" cm="1">
        <f t="array" aca="1" ref="C83" ca="1">IF(OR(Formulas!E80=0,Formulas!E80="",RIGHT(Formulas!F80)="0"),"",
HYPERLINK("["&amp;Archivo_Nombre&amp;"]Datos!"&amp;LEFT(SUBSTITUTE(ADDRESS(1,IF(Formulas!E80=1,1,RIGHT(Formulas!F80)+2)),"$",""))&amp;Formulas!D80+1,
IFERROR(INDEX(Datos!$A$1:$L$1,1,RIGHT(Formulas!F80)+2)&amp;IF(Formulas!E80=1," "&amp;Formulas!D80,"")&amp;":","")))</f>
        <v/>
      </c>
      <c r="D83" s="107" t="str" cm="1">
        <f t="array" aca="1" ref="D83" ca="1">IF(OR(Formulas!E80=0,Formulas!E80="",RIGHT(Formulas!F80)="0"),"",
HYPERLINK("["&amp;Archivo_Nombre&amp;"]Datos!"&amp;LEFT(SUBSTITUTE(ADDRESS(1,RIGHT(Formulas!F80)+2),"$",""))&amp;Formulas!D80+1,
IFERROR(INDEX(Datos!$A$2:$L$101,Formulas!D80,RIGHT(Formulas!F80)+2),"")))</f>
        <v/>
      </c>
      <c r="E83" s="107" t="str" cm="1">
        <f t="array" aca="1" ref="E83" ca="1">IF(OR(Formulas!F81=0,Formulas!F81=""),"",HYPERLINK("["&amp;Archivo_Nombre&amp;"]Datos!"&amp;LEFT(SUBSTITUTE(ADDRESS(1,Formulas!F81+2),"$",""))&amp;Formulas!E81+1,
IFERROR(INDEX(Datos!$A$2:$L$101,Formulas!E81,Formulas!F81+2),"")))</f>
        <v/>
      </c>
      <c r="F83" s="5"/>
      <c r="G83" s="6"/>
      <c r="H83" s="24" t="str" cm="1">
        <f t="array" aca="1" ref="H83" ca="1">IF(OR(Formulas!J80=0,Formulas!J80="",RIGHT(Formulas!K80)="0"),"",
HYPERLINK("["&amp;Archivo_Nombre&amp;"]Datos!"&amp;LEFT(SUBSTITUTE(ADDRESS(1,IF(Formulas!J80=1,1,RIGHT(Formulas!K80)+2)),"$",""))&amp;Formulas!I80+1,
IFERROR(INDEX(Datos!$A$1:$L$1,1,RIGHT(Formulas!K80)+2)&amp;IF(Formulas!J80=1," "&amp;Formulas!I80,"")&amp;":","")))</f>
        <v/>
      </c>
      <c r="I83" s="107" t="str" cm="1">
        <f t="array" aca="1" ref="I83" ca="1">IF(OR(Formulas!J80=0,Formulas!J80="",RIGHT(Formulas!K80)="0"),"",
HYPERLINK("["&amp;Archivo_Nombre&amp;"]Datos!"&amp;LEFT(SUBSTITUTE(ADDRESS(1,RIGHT(Formulas!K80)+2),"$",""))&amp;Formulas!I80+1,
IFERROR(INDEX(Datos!$A$2:$L$101,Formulas!I80,RIGHT(Formulas!K80)+2),"")))</f>
        <v/>
      </c>
      <c r="J83" s="107" t="str" cm="1">
        <f t="array" aca="1" ref="J83" ca="1">IF(OR(Formulas!K81=0,Formulas!K81=""),"",HYPERLINK("["&amp;Archivo_Nombre&amp;"]Datos!"&amp;LEFT(SUBSTITUTE(ADDRESS(1,Formulas!K81+2),"$",""))&amp;Formulas!J81+1,
IFERROR(INDEX(Datos!$A$2:$L$101,Formulas!J81,Formulas!K81+2),"")))</f>
        <v/>
      </c>
      <c r="K83" s="5"/>
      <c r="L83" s="6"/>
      <c r="M83" s="24" t="str" cm="1">
        <f t="array" aca="1" ref="M83" ca="1">IF(OR(Formulas!O80=0,Formulas!O80="",RIGHT(Formulas!P80)="0"),"",
HYPERLINK("["&amp;Archivo_Nombre&amp;"]Datos!"&amp;LEFT(SUBSTITUTE(ADDRESS(1,IF(Formulas!O80=1,1,RIGHT(Formulas!P80)+2)),"$",""))&amp;Formulas!N80+1,
IFERROR(INDEX(Datos!$A$1:$L$1,1,RIGHT(Formulas!P80)+2)&amp;IF(Formulas!O80=1," "&amp;Formulas!N80,"")&amp;":","")))</f>
        <v/>
      </c>
      <c r="N83" s="107" t="str" cm="1">
        <f t="array" aca="1" ref="N83" ca="1">IF(OR(Formulas!O80=0,Formulas!O80="",RIGHT(Formulas!P80)="0"),"",
HYPERLINK("["&amp;Archivo_Nombre&amp;"]Datos!"&amp;LEFT(SUBSTITUTE(ADDRESS(1,RIGHT(Formulas!P80)+2),"$",""))&amp;Formulas!N80+1,
IFERROR(INDEX(Datos!$A$2:$L$101,Formulas!N80,RIGHT(Formulas!P80)+2),"")))</f>
        <v/>
      </c>
      <c r="O83" s="107" t="str" cm="1">
        <f t="array" aca="1" ref="O83" ca="1">IF(OR(Formulas!P81=0,Formulas!P81=""),"",HYPERLINK("["&amp;Archivo_Nombre&amp;"]Datos!"&amp;LEFT(SUBSTITUTE(ADDRESS(1,Formulas!P81+2),"$",""))&amp;Formulas!O81+1,
IFERROR(INDEX(Datos!$A$2:$L$101,Formulas!O81,Formulas!P81+2),"")))</f>
        <v/>
      </c>
      <c r="P83" s="5"/>
      <c r="Q83" s="6"/>
      <c r="R83" s="24" t="str" cm="1">
        <f t="array" aca="1" ref="R83" ca="1">IF(OR(Formulas!T80=0,Formulas!T80="",RIGHT(Formulas!U80)="0"),"",
HYPERLINK("["&amp;Archivo_Nombre&amp;"]Datos!"&amp;LEFT(SUBSTITUTE(ADDRESS(1,IF(Formulas!T80=1,1,RIGHT(Formulas!U80)+2)),"$",""))&amp;Formulas!S80+1,
IFERROR(INDEX(Datos!$A$1:$L$1,1,RIGHT(Formulas!U80)+2)&amp;IF(Formulas!T80=1," "&amp;Formulas!S80,"")&amp;":","")))</f>
        <v>Retraso:</v>
      </c>
      <c r="S83" s="107" t="str" cm="1">
        <f t="array" aca="1" ref="S83" ca="1">IF(OR(Formulas!T80=0,Formulas!T80="",RIGHT(Formulas!U80)="0"),"",
HYPERLINK("["&amp;Archivo_Nombre&amp;"]Datos!"&amp;LEFT(SUBSTITUTE(ADDRESS(1,RIGHT(Formulas!U80)+2),"$",""))&amp;Formulas!S80+1,
IFERROR(INDEX(Datos!$A$2:$L$101,Formulas!S80,RIGHT(Formulas!U80)+2),"")))</f>
        <v>0 días</v>
      </c>
      <c r="T83" s="107" t="e" cm="1">
        <f t="array" aca="1" ref="T83" ca="1">IF(OR(Formulas!U81=0,Formulas!U81=""),"",HYPERLINK("["&amp;Archivo_Nombre&amp;"]Datos!"&amp;LEFT(SUBSTITUTE(ADDRESS(1,Formulas!U81+2),"$",""))&amp;Formulas!T81+1,
IFERROR(INDEX(Datos!$A$2:$L$101,Formulas!T81,Formulas!U81+2),"")))</f>
        <v>#VALUE!</v>
      </c>
      <c r="U83" s="5"/>
      <c r="V83" s="6"/>
      <c r="W83" s="24" t="str" cm="1">
        <f t="array" aca="1" ref="W83" ca="1">IF(OR(Formulas!Y80=0,Formulas!Y80="",RIGHT(Formulas!Z80)="0"),"",
HYPERLINK("["&amp;Archivo_Nombre&amp;"]Datos!"&amp;LEFT(SUBSTITUTE(ADDRESS(1,IF(Formulas!Y80=1,1,RIGHT(Formulas!Z80)+2)),"$",""))&amp;Formulas!X80+1,
IFERROR(INDEX(Datos!$A$1:$L$1,1,RIGHT(Formulas!Z80)+2)&amp;IF(Formulas!Y80=1," "&amp;Formulas!X80,"")&amp;":","")))</f>
        <v/>
      </c>
      <c r="X83" s="107" t="str" cm="1">
        <f t="array" aca="1" ref="X83" ca="1">IF(OR(Formulas!Y80=0,Formulas!Y80="",RIGHT(Formulas!Z80)="0"),"",
HYPERLINK("["&amp;Archivo_Nombre&amp;"]Datos!"&amp;LEFT(SUBSTITUTE(ADDRESS(1,RIGHT(Formulas!Z80)+2),"$",""))&amp;Formulas!X80+1,
IFERROR(INDEX(Datos!$A$2:$L$101,Formulas!X80,RIGHT(Formulas!Z80)+2),"")))</f>
        <v/>
      </c>
      <c r="Y83" s="107" t="str" cm="1">
        <f t="array" aca="1" ref="Y83" ca="1">IF(OR(Formulas!Z81=0,Formulas!Z81=""),"",HYPERLINK("["&amp;Archivo_Nombre&amp;"]Datos!"&amp;LEFT(SUBSTITUTE(ADDRESS(1,Formulas!Z81+2),"$",""))&amp;Formulas!Y81+1,
IFERROR(INDEX(Datos!$A$2:$L$101,Formulas!Y81,Formulas!Z81+2),"")))</f>
        <v/>
      </c>
      <c r="Z83" s="13"/>
      <c r="AA83" s="6"/>
      <c r="AB83" s="24" t="str" cm="1">
        <f t="array" aca="1" ref="AB83" ca="1">IF(OR(Formulas!AD80=0,Formulas!AD80="",RIGHT(Formulas!AE80)="0"),"",
HYPERLINK("["&amp;Archivo_Nombre&amp;"]Datos!"&amp;LEFT(SUBSTITUTE(ADDRESS(1,IF(Formulas!AD80=1,1,RIGHT(Formulas!AE80)+2)),"$",""))&amp;Formulas!AC80+1,
IFERROR(INDEX(Datos!$A$1:$L$1,1,RIGHT(Formulas!AE80)+2)&amp;IF(Formulas!AD80=1," "&amp;Formulas!AC80,"")&amp;":","")))</f>
        <v/>
      </c>
      <c r="AC83" s="107" t="str" cm="1">
        <f t="array" aca="1" ref="AC83" ca="1">IF(OR(Formulas!AD80=0,Formulas!AD80="",RIGHT(Formulas!AE80)="0"),"",
HYPERLINK("["&amp;Archivo_Nombre&amp;"]Datos!"&amp;LEFT(SUBSTITUTE(ADDRESS(1,RIGHT(Formulas!AE80)+2),"$",""))&amp;Formulas!AC80+1,
IFERROR(INDEX(Datos!$A$2:$L$101,Formulas!AC80,RIGHT(Formulas!AE80)+2),"")))</f>
        <v/>
      </c>
      <c r="AD83" s="107" t="str" cm="1">
        <f t="array" aca="1" ref="AD83" ca="1">IF(OR(Formulas!AE81=0,Formulas!AE81=""),"",HYPERLINK("["&amp;Archivo_Nombre&amp;"]Datos!"&amp;LEFT(SUBSTITUTE(ADDRESS(1,Formulas!AE81+2),"$",""))&amp;Formulas!AD81+1,
IFERROR(INDEX(Datos!$A$2:$L$101,Formulas!AD81,Formulas!AE81+2),"")))</f>
        <v/>
      </c>
      <c r="AE83" s="13"/>
      <c r="AF83" s="6"/>
      <c r="AG83" s="24" t="str" cm="1">
        <f t="array" aca="1" ref="AG83" ca="1">IF(OR(Formulas!AI80=0,Formulas!AI80="",RIGHT(Formulas!AJ80)="0"),"",
HYPERLINK("["&amp;Archivo_Nombre&amp;"]Datos!"&amp;LEFT(SUBSTITUTE(ADDRESS(1,IF(Formulas!AI80=1,1,RIGHT(Formulas!AJ80)+2)),"$",""))&amp;Formulas!AH80+1,
IFERROR(INDEX(Datos!$A$1:$L$1,1,RIGHT(Formulas!AJ80)+2)&amp;IF(Formulas!AI80=1," "&amp;Formulas!AH80,"")&amp;":","")))</f>
        <v/>
      </c>
      <c r="AH83" s="107" t="str" cm="1">
        <f t="array" aca="1" ref="AH83" ca="1">IF(OR(Formulas!AI80=0,Formulas!AI80="",RIGHT(Formulas!AJ80)="0"),"",
HYPERLINK("["&amp;Archivo_Nombre&amp;"]Datos!"&amp;LEFT(SUBSTITUTE(ADDRESS(1,RIGHT(Formulas!AJ80)+2),"$",""))&amp;Formulas!AH80+1,
IFERROR(INDEX(Datos!$A$2:$L$101,Formulas!AH80,RIGHT(Formulas!AJ80)+2),"")))</f>
        <v/>
      </c>
      <c r="AI83" s="107" t="str" cm="1">
        <f t="array" aca="1" ref="AI83" ca="1">IF(OR(Formulas!AJ81=0,Formulas!AJ81=""),"",HYPERLINK("["&amp;Archivo_Nombre&amp;"]Datos!"&amp;LEFT(SUBSTITUTE(ADDRESS(1,Formulas!AJ81+2),"$",""))&amp;Formulas!AI81+1,
IFERROR(INDEX(Datos!$A$2:$L$101,Formulas!AI81,Formulas!AJ81+2),"")))</f>
        <v/>
      </c>
      <c r="AJ83" s="13"/>
      <c r="AK83" s="6"/>
      <c r="AL83" s="24" t="str" cm="1">
        <f t="array" aca="1" ref="AL83" ca="1">IF(OR(Formulas!AN80=0,Formulas!AN80="",RIGHT(Formulas!AO80)="0"),"",
HYPERLINK("["&amp;Archivo_Nombre&amp;"]Datos!"&amp;LEFT(SUBSTITUTE(ADDRESS(1,IF(Formulas!AN80=1,1,RIGHT(Formulas!AO80)+2)),"$",""))&amp;Formulas!AM80+1,
IFERROR(INDEX(Datos!$A$1:$L$1,1,RIGHT(Formulas!AO80)+2)&amp;IF(Formulas!AN80=1," "&amp;Formulas!AM80,"")&amp;":","")))</f>
        <v/>
      </c>
      <c r="AM83" s="107" t="str" cm="1">
        <f t="array" aca="1" ref="AM83" ca="1">IF(OR(Formulas!AN80=0,Formulas!AN80="",RIGHT(Formulas!AO80)="0"),"",
HYPERLINK("["&amp;Archivo_Nombre&amp;"]Datos!"&amp;LEFT(SUBSTITUTE(ADDRESS(1,RIGHT(Formulas!AO80)+2),"$",""))&amp;Formulas!AM80+1,
IFERROR(INDEX(Datos!$A$2:$L$101,Formulas!AM80,RIGHT(Formulas!AO80)+2),"")))</f>
        <v/>
      </c>
      <c r="AN83" s="107" t="str" cm="1">
        <f t="array" aca="1" ref="AN83" ca="1">IF(OR(Formulas!AO81=0,Formulas!AO81=""),"",HYPERLINK("["&amp;Archivo_Nombre&amp;"]Datos!"&amp;LEFT(SUBSTITUTE(ADDRESS(1,Formulas!AO81+2),"$",""))&amp;Formulas!AN81+1,
IFERROR(INDEX(Datos!$A$2:$L$101,Formulas!AN81,Formulas!AO81+2),"")))</f>
        <v/>
      </c>
      <c r="AO83" s="13"/>
      <c r="AP83" s="6"/>
      <c r="AQ83" s="24" t="str" cm="1">
        <f t="array" aca="1" ref="AQ83" ca="1">IF(OR(Formulas!AS80=0,Formulas!AS80="",RIGHT(Formulas!AT80)="0"),"",
HYPERLINK("["&amp;Archivo_Nombre&amp;"]Datos!"&amp;LEFT(SUBSTITUTE(ADDRESS(1,IF(Formulas!AS80=1,1,RIGHT(Formulas!AT80)+2)),"$",""))&amp;Formulas!AR80+1,
IFERROR(INDEX(Datos!$A$1:$L$1,1,RIGHT(Formulas!AT80)+2)&amp;IF(Formulas!AS80=1," "&amp;Formulas!AR80,"")&amp;":","")))</f>
        <v/>
      </c>
      <c r="AR83" s="107" t="str" cm="1">
        <f t="array" aca="1" ref="AR83" ca="1">IF(OR(Formulas!AS80=0,Formulas!AS80="",RIGHT(Formulas!AT80)="0"),"",
HYPERLINK("["&amp;Archivo_Nombre&amp;"]Datos!"&amp;LEFT(SUBSTITUTE(ADDRESS(1,RIGHT(Formulas!AT80)+2),"$",""))&amp;Formulas!AR80+1,
IFERROR(INDEX(Datos!$A$2:$L$101,Formulas!AR80,RIGHT(Formulas!AT80)+2),"")))</f>
        <v/>
      </c>
      <c r="AS83" s="107" t="str" cm="1">
        <f t="array" aca="1" ref="AS83" ca="1">IF(OR(Formulas!AT81=0,Formulas!AT81=""),"",HYPERLINK("["&amp;Archivo_Nombre&amp;"]Datos!"&amp;LEFT(SUBSTITUTE(ADDRESS(1,Formulas!AT81+2),"$",""))&amp;Formulas!AS81+1,
IFERROR(INDEX(Datos!$A$2:$L$101,Formulas!AS81,Formulas!AT81+2),"")))</f>
        <v/>
      </c>
      <c r="AT83" s="13"/>
      <c r="AU83" s="6"/>
      <c r="AV83" s="24" t="str" cm="1">
        <f t="array" aca="1" ref="AV83" ca="1">IF(OR(Formulas!AX80=0,Formulas!AX80="",RIGHT(Formulas!AY80)="0"),"",
HYPERLINK("["&amp;Archivo_Nombre&amp;"]Datos!"&amp;LEFT(SUBSTITUTE(ADDRESS(1,IF(Formulas!AX80=1,1,RIGHT(Formulas!AY80)+2)),"$",""))&amp;Formulas!AW80+1,
IFERROR(INDEX(Datos!$A$1:$L$1,1,RIGHT(Formulas!AY80)+2)&amp;IF(Formulas!AX80=1," "&amp;Formulas!AW80,"")&amp;":","")))</f>
        <v/>
      </c>
      <c r="AW83" s="107" t="str" cm="1">
        <f t="array" aca="1" ref="AW83" ca="1">IF(OR(Formulas!AX80=0,Formulas!AX80="",RIGHT(Formulas!AY80)="0"),"",
HYPERLINK("["&amp;Archivo_Nombre&amp;"]Datos!"&amp;LEFT(SUBSTITUTE(ADDRESS(1,RIGHT(Formulas!AY80)+2),"$",""))&amp;Formulas!AW80+1,
IFERROR(INDEX(Datos!$A$2:$L$101,Formulas!AW80,RIGHT(Formulas!AY80)+2),"")))</f>
        <v/>
      </c>
      <c r="AX83" s="107" t="str" cm="1">
        <f t="array" aca="1" ref="AX83" ca="1">IF(OR(Formulas!AY81=0,Formulas!AY81=""),"",HYPERLINK("["&amp;Archivo_Nombre&amp;"]Datos!"&amp;LEFT(SUBSTITUTE(ADDRESS(1,Formulas!AY81+2),"$",""))&amp;Formulas!AX81+1,
IFERROR(INDEX(Datos!$A$2:$L$101,Formulas!AX81,Formulas!AY81+2),"")))</f>
        <v/>
      </c>
      <c r="AY83" s="13"/>
    </row>
    <row r="84" spans="2:51" x14ac:dyDescent="0.25">
      <c r="B84" s="11"/>
      <c r="C84" s="24" t="str" cm="1">
        <f t="array" aca="1" ref="C84" ca="1">IF(OR(Formulas!E81=0,Formulas!E81="",RIGHT(Formulas!F81)="0"),"",
HYPERLINK("["&amp;Archivo_Nombre&amp;"]Datos!"&amp;LEFT(SUBSTITUTE(ADDRESS(1,IF(Formulas!E81=1,1,RIGHT(Formulas!F81)+2)),"$",""))&amp;Formulas!D81+1,
IFERROR(INDEX(Datos!$A$1:$L$1,1,RIGHT(Formulas!F81)+2)&amp;IF(Formulas!E81=1," "&amp;Formulas!D81,"")&amp;":","")))</f>
        <v/>
      </c>
      <c r="D84" s="107" t="str" cm="1">
        <f t="array" aca="1" ref="D84" ca="1">IF(OR(Formulas!E81=0,Formulas!E81="",RIGHT(Formulas!F81)="0"),"",
HYPERLINK("["&amp;Archivo_Nombre&amp;"]Datos!"&amp;LEFT(SUBSTITUTE(ADDRESS(1,RIGHT(Formulas!F81)+2),"$",""))&amp;Formulas!D81+1,
IFERROR(INDEX(Datos!$A$2:$L$101,Formulas!D81,RIGHT(Formulas!F81)+2),"")))</f>
        <v/>
      </c>
      <c r="E84" s="107" t="str" cm="1">
        <f t="array" aca="1" ref="E84" ca="1">IF(OR(Formulas!F82=0,Formulas!F82=""),"",HYPERLINK("["&amp;Archivo_Nombre&amp;"]Datos!"&amp;LEFT(SUBSTITUTE(ADDRESS(1,Formulas!F82+2),"$",""))&amp;Formulas!E82+1,
IFERROR(INDEX(Datos!$A$2:$L$101,Formulas!E82,Formulas!F82+2),"")))</f>
        <v/>
      </c>
      <c r="F84" s="5"/>
      <c r="G84" s="6"/>
      <c r="H84" s="24" t="str" cm="1">
        <f t="array" aca="1" ref="H84" ca="1">IF(OR(Formulas!J81=0,Formulas!J81="",RIGHT(Formulas!K81)="0"),"",
HYPERLINK("["&amp;Archivo_Nombre&amp;"]Datos!"&amp;LEFT(SUBSTITUTE(ADDRESS(1,IF(Formulas!J81=1,1,RIGHT(Formulas!K81)+2)),"$",""))&amp;Formulas!I81+1,
IFERROR(INDEX(Datos!$A$1:$L$1,1,RIGHT(Formulas!K81)+2)&amp;IF(Formulas!J81=1," "&amp;Formulas!I81,"")&amp;":","")))</f>
        <v/>
      </c>
      <c r="I84" s="107" t="str" cm="1">
        <f t="array" aca="1" ref="I84" ca="1">IF(OR(Formulas!J81=0,Formulas!J81="",RIGHT(Formulas!K81)="0"),"",
HYPERLINK("["&amp;Archivo_Nombre&amp;"]Datos!"&amp;LEFT(SUBSTITUTE(ADDRESS(1,RIGHT(Formulas!K81)+2),"$",""))&amp;Formulas!I81+1,
IFERROR(INDEX(Datos!$A$2:$L$101,Formulas!I81,RIGHT(Formulas!K81)+2),"")))</f>
        <v/>
      </c>
      <c r="J84" s="107" t="str" cm="1">
        <f t="array" aca="1" ref="J84" ca="1">IF(OR(Formulas!K82=0,Formulas!K82=""),"",HYPERLINK("["&amp;Archivo_Nombre&amp;"]Datos!"&amp;LEFT(SUBSTITUTE(ADDRESS(1,Formulas!K82+2),"$",""))&amp;Formulas!J82+1,
IFERROR(INDEX(Datos!$A$2:$L$101,Formulas!J82,Formulas!K82+2),"")))</f>
        <v/>
      </c>
      <c r="K84" s="5"/>
      <c r="L84" s="6"/>
      <c r="M84" s="24" t="str" cm="1">
        <f t="array" aca="1" ref="M84" ca="1">IF(OR(Formulas!O81=0,Formulas!O81="",RIGHT(Formulas!P81)="0"),"",
HYPERLINK("["&amp;Archivo_Nombre&amp;"]Datos!"&amp;LEFT(SUBSTITUTE(ADDRESS(1,IF(Formulas!O81=1,1,RIGHT(Formulas!P81)+2)),"$",""))&amp;Formulas!N81+1,
IFERROR(INDEX(Datos!$A$1:$L$1,1,RIGHT(Formulas!P81)+2)&amp;IF(Formulas!O81=1," "&amp;Formulas!N81,"")&amp;":","")))</f>
        <v/>
      </c>
      <c r="N84" s="107" t="str" cm="1">
        <f t="array" aca="1" ref="N84" ca="1">IF(OR(Formulas!O81=0,Formulas!O81="",RIGHT(Formulas!P81)="0"),"",
HYPERLINK("["&amp;Archivo_Nombre&amp;"]Datos!"&amp;LEFT(SUBSTITUTE(ADDRESS(1,RIGHT(Formulas!P81)+2),"$",""))&amp;Formulas!N81+1,
IFERROR(INDEX(Datos!$A$2:$L$101,Formulas!N81,RIGHT(Formulas!P81)+2),"")))</f>
        <v/>
      </c>
      <c r="O84" s="107" t="str" cm="1">
        <f t="array" aca="1" ref="O84" ca="1">IF(OR(Formulas!P82=0,Formulas!P82=""),"",HYPERLINK("["&amp;Archivo_Nombre&amp;"]Datos!"&amp;LEFT(SUBSTITUTE(ADDRESS(1,Formulas!P82+2),"$",""))&amp;Formulas!O82+1,
IFERROR(INDEX(Datos!$A$2:$L$101,Formulas!O82,Formulas!P82+2),"")))</f>
        <v/>
      </c>
      <c r="P84" s="5"/>
      <c r="Q84" s="6"/>
      <c r="R84" s="24" t="str" cm="1">
        <f t="array" aca="1" ref="R84" ca="1">IF(OR(Formulas!T81=0,Formulas!T81="",RIGHT(Formulas!U81)="0"),"",
HYPERLINK("["&amp;Archivo_Nombre&amp;"]Datos!"&amp;LEFT(SUBSTITUTE(ADDRESS(1,IF(Formulas!T81=1,1,RIGHT(Formulas!U81)+2)),"$",""))&amp;Formulas!S81+1,
IFERROR(INDEX(Datos!$A$1:$L$1,1,RIGHT(Formulas!U81)+2)&amp;IF(Formulas!T81=1," "&amp;Formulas!S81,"")&amp;":","")))</f>
        <v/>
      </c>
      <c r="S84" s="107" t="str" cm="1">
        <f t="array" aca="1" ref="S84" ca="1">IF(OR(Formulas!T81=0,Formulas!T81="",RIGHT(Formulas!U81)="0"),"",
HYPERLINK("["&amp;Archivo_Nombre&amp;"]Datos!"&amp;LEFT(SUBSTITUTE(ADDRESS(1,RIGHT(Formulas!U81)+2),"$",""))&amp;Formulas!S81+1,
IFERROR(INDEX(Datos!$A$2:$L$101,Formulas!S81,RIGHT(Formulas!U81)+2),"")))</f>
        <v/>
      </c>
      <c r="T84" s="107" t="str" cm="1">
        <f t="array" aca="1" ref="T84" ca="1">IF(OR(Formulas!U82=0,Formulas!U82=""),"",HYPERLINK("["&amp;Archivo_Nombre&amp;"]Datos!"&amp;LEFT(SUBSTITUTE(ADDRESS(1,Formulas!U82+2),"$",""))&amp;Formulas!T82+1,
IFERROR(INDEX(Datos!$A$2:$L$101,Formulas!T82,Formulas!U82+2),"")))</f>
        <v/>
      </c>
      <c r="U84" s="5"/>
      <c r="V84" s="6"/>
      <c r="W84" s="24" t="str" cm="1">
        <f t="array" aca="1" ref="W84" ca="1">IF(OR(Formulas!Y81=0,Formulas!Y81="",RIGHT(Formulas!Z81)="0"),"",
HYPERLINK("["&amp;Archivo_Nombre&amp;"]Datos!"&amp;LEFT(SUBSTITUTE(ADDRESS(1,IF(Formulas!Y81=1,1,RIGHT(Formulas!Z81)+2)),"$",""))&amp;Formulas!X81+1,
IFERROR(INDEX(Datos!$A$1:$L$1,1,RIGHT(Formulas!Z81)+2)&amp;IF(Formulas!Y81=1," "&amp;Formulas!X81,"")&amp;":","")))</f>
        <v/>
      </c>
      <c r="X84" s="107" t="str" cm="1">
        <f t="array" aca="1" ref="X84" ca="1">IF(OR(Formulas!Y81=0,Formulas!Y81="",RIGHT(Formulas!Z81)="0"),"",
HYPERLINK("["&amp;Archivo_Nombre&amp;"]Datos!"&amp;LEFT(SUBSTITUTE(ADDRESS(1,RIGHT(Formulas!Z81)+2),"$",""))&amp;Formulas!X81+1,
IFERROR(INDEX(Datos!$A$2:$L$101,Formulas!X81,RIGHT(Formulas!Z81)+2),"")))</f>
        <v/>
      </c>
      <c r="Y84" s="107" t="str" cm="1">
        <f t="array" aca="1" ref="Y84" ca="1">IF(OR(Formulas!Z82=0,Formulas!Z82=""),"",HYPERLINK("["&amp;Archivo_Nombre&amp;"]Datos!"&amp;LEFT(SUBSTITUTE(ADDRESS(1,Formulas!Z82+2),"$",""))&amp;Formulas!Y82+1,
IFERROR(INDEX(Datos!$A$2:$L$101,Formulas!Y82,Formulas!Z82+2),"")))</f>
        <v/>
      </c>
      <c r="Z84" s="13"/>
      <c r="AA84" s="6"/>
      <c r="AB84" s="24" t="str" cm="1">
        <f t="array" aca="1" ref="AB84" ca="1">IF(OR(Formulas!AD81=0,Formulas!AD81="",RIGHT(Formulas!AE81)="0"),"",
HYPERLINK("["&amp;Archivo_Nombre&amp;"]Datos!"&amp;LEFT(SUBSTITUTE(ADDRESS(1,IF(Formulas!AD81=1,1,RIGHT(Formulas!AE81)+2)),"$",""))&amp;Formulas!AC81+1,
IFERROR(INDEX(Datos!$A$1:$L$1,1,RIGHT(Formulas!AE81)+2)&amp;IF(Formulas!AD81=1," "&amp;Formulas!AC81,"")&amp;":","")))</f>
        <v/>
      </c>
      <c r="AC84" s="107" t="str" cm="1">
        <f t="array" aca="1" ref="AC84" ca="1">IF(OR(Formulas!AD81=0,Formulas!AD81="",RIGHT(Formulas!AE81)="0"),"",
HYPERLINK("["&amp;Archivo_Nombre&amp;"]Datos!"&amp;LEFT(SUBSTITUTE(ADDRESS(1,RIGHT(Formulas!AE81)+2),"$",""))&amp;Formulas!AC81+1,
IFERROR(INDEX(Datos!$A$2:$L$101,Formulas!AC81,RIGHT(Formulas!AE81)+2),"")))</f>
        <v/>
      </c>
      <c r="AD84" s="107" t="str" cm="1">
        <f t="array" aca="1" ref="AD84" ca="1">IF(OR(Formulas!AE82=0,Formulas!AE82=""),"",HYPERLINK("["&amp;Archivo_Nombre&amp;"]Datos!"&amp;LEFT(SUBSTITUTE(ADDRESS(1,Formulas!AE82+2),"$",""))&amp;Formulas!AD82+1,
IFERROR(INDEX(Datos!$A$2:$L$101,Formulas!AD82,Formulas!AE82+2),"")))</f>
        <v/>
      </c>
      <c r="AE84" s="13"/>
      <c r="AF84" s="6"/>
      <c r="AG84" s="24" t="str" cm="1">
        <f t="array" aca="1" ref="AG84" ca="1">IF(OR(Formulas!AI81=0,Formulas!AI81="",RIGHT(Formulas!AJ81)="0"),"",
HYPERLINK("["&amp;Archivo_Nombre&amp;"]Datos!"&amp;LEFT(SUBSTITUTE(ADDRESS(1,IF(Formulas!AI81=1,1,RIGHT(Formulas!AJ81)+2)),"$",""))&amp;Formulas!AH81+1,
IFERROR(INDEX(Datos!$A$1:$L$1,1,RIGHT(Formulas!AJ81)+2)&amp;IF(Formulas!AI81=1," "&amp;Formulas!AH81,"")&amp;":","")))</f>
        <v/>
      </c>
      <c r="AH84" s="107" t="str" cm="1">
        <f t="array" aca="1" ref="AH84" ca="1">IF(OR(Formulas!AI81=0,Formulas!AI81="",RIGHT(Formulas!AJ81)="0"),"",
HYPERLINK("["&amp;Archivo_Nombre&amp;"]Datos!"&amp;LEFT(SUBSTITUTE(ADDRESS(1,RIGHT(Formulas!AJ81)+2),"$",""))&amp;Formulas!AH81+1,
IFERROR(INDEX(Datos!$A$2:$L$101,Formulas!AH81,RIGHT(Formulas!AJ81)+2),"")))</f>
        <v/>
      </c>
      <c r="AI84" s="107" t="str" cm="1">
        <f t="array" aca="1" ref="AI84" ca="1">IF(OR(Formulas!AJ82=0,Formulas!AJ82=""),"",HYPERLINK("["&amp;Archivo_Nombre&amp;"]Datos!"&amp;LEFT(SUBSTITUTE(ADDRESS(1,Formulas!AJ82+2),"$",""))&amp;Formulas!AI82+1,
IFERROR(INDEX(Datos!$A$2:$L$101,Formulas!AI82,Formulas!AJ82+2),"")))</f>
        <v/>
      </c>
      <c r="AJ84" s="13"/>
      <c r="AK84" s="6"/>
      <c r="AL84" s="24" t="str" cm="1">
        <f t="array" aca="1" ref="AL84" ca="1">IF(OR(Formulas!AN81=0,Formulas!AN81="",RIGHT(Formulas!AO81)="0"),"",
HYPERLINK("["&amp;Archivo_Nombre&amp;"]Datos!"&amp;LEFT(SUBSTITUTE(ADDRESS(1,IF(Formulas!AN81=1,1,RIGHT(Formulas!AO81)+2)),"$",""))&amp;Formulas!AM81+1,
IFERROR(INDEX(Datos!$A$1:$L$1,1,RIGHT(Formulas!AO81)+2)&amp;IF(Formulas!AN81=1," "&amp;Formulas!AM81,"")&amp;":","")))</f>
        <v/>
      </c>
      <c r="AM84" s="107" t="str" cm="1">
        <f t="array" aca="1" ref="AM84" ca="1">IF(OR(Formulas!AN81=0,Formulas!AN81="",RIGHT(Formulas!AO81)="0"),"",
HYPERLINK("["&amp;Archivo_Nombre&amp;"]Datos!"&amp;LEFT(SUBSTITUTE(ADDRESS(1,RIGHT(Formulas!AO81)+2),"$",""))&amp;Formulas!AM81+1,
IFERROR(INDEX(Datos!$A$2:$L$101,Formulas!AM81,RIGHT(Formulas!AO81)+2),"")))</f>
        <v/>
      </c>
      <c r="AN84" s="107" t="str" cm="1">
        <f t="array" aca="1" ref="AN84" ca="1">IF(OR(Formulas!AO82=0,Formulas!AO82=""),"",HYPERLINK("["&amp;Archivo_Nombre&amp;"]Datos!"&amp;LEFT(SUBSTITUTE(ADDRESS(1,Formulas!AO82+2),"$",""))&amp;Formulas!AN82+1,
IFERROR(INDEX(Datos!$A$2:$L$101,Formulas!AN82,Formulas!AO82+2),"")))</f>
        <v/>
      </c>
      <c r="AO84" s="13"/>
      <c r="AP84" s="6"/>
      <c r="AQ84" s="24" t="str" cm="1">
        <f t="array" aca="1" ref="AQ84" ca="1">IF(OR(Formulas!AS81=0,Formulas!AS81="",RIGHT(Formulas!AT81)="0"),"",
HYPERLINK("["&amp;Archivo_Nombre&amp;"]Datos!"&amp;LEFT(SUBSTITUTE(ADDRESS(1,IF(Formulas!AS81=1,1,RIGHT(Formulas!AT81)+2)),"$",""))&amp;Formulas!AR81+1,
IFERROR(INDEX(Datos!$A$1:$L$1,1,RIGHT(Formulas!AT81)+2)&amp;IF(Formulas!AS81=1," "&amp;Formulas!AR81,"")&amp;":","")))</f>
        <v/>
      </c>
      <c r="AR84" s="107" t="str" cm="1">
        <f t="array" aca="1" ref="AR84" ca="1">IF(OR(Formulas!AS81=0,Formulas!AS81="",RIGHT(Formulas!AT81)="0"),"",
HYPERLINK("["&amp;Archivo_Nombre&amp;"]Datos!"&amp;LEFT(SUBSTITUTE(ADDRESS(1,RIGHT(Formulas!AT81)+2),"$",""))&amp;Formulas!AR81+1,
IFERROR(INDEX(Datos!$A$2:$L$101,Formulas!AR81,RIGHT(Formulas!AT81)+2),"")))</f>
        <v/>
      </c>
      <c r="AS84" s="107" t="str" cm="1">
        <f t="array" aca="1" ref="AS84" ca="1">IF(OR(Formulas!AT82=0,Formulas!AT82=""),"",HYPERLINK("["&amp;Archivo_Nombre&amp;"]Datos!"&amp;LEFT(SUBSTITUTE(ADDRESS(1,Formulas!AT82+2),"$",""))&amp;Formulas!AS82+1,
IFERROR(INDEX(Datos!$A$2:$L$101,Formulas!AS82,Formulas!AT82+2),"")))</f>
        <v/>
      </c>
      <c r="AT84" s="13"/>
      <c r="AU84" s="6"/>
      <c r="AV84" s="24" t="str" cm="1">
        <f t="array" aca="1" ref="AV84" ca="1">IF(OR(Formulas!AX81=0,Formulas!AX81="",RIGHT(Formulas!AY81)="0"),"",
HYPERLINK("["&amp;Archivo_Nombre&amp;"]Datos!"&amp;LEFT(SUBSTITUTE(ADDRESS(1,IF(Formulas!AX81=1,1,RIGHT(Formulas!AY81)+2)),"$",""))&amp;Formulas!AW81+1,
IFERROR(INDEX(Datos!$A$1:$L$1,1,RIGHT(Formulas!AY81)+2)&amp;IF(Formulas!AX81=1," "&amp;Formulas!AW81,"")&amp;":","")))</f>
        <v/>
      </c>
      <c r="AW84" s="107" t="str" cm="1">
        <f t="array" aca="1" ref="AW84" ca="1">IF(OR(Formulas!AX81=0,Formulas!AX81="",RIGHT(Formulas!AY81)="0"),"",
HYPERLINK("["&amp;Archivo_Nombre&amp;"]Datos!"&amp;LEFT(SUBSTITUTE(ADDRESS(1,RIGHT(Formulas!AY81)+2),"$",""))&amp;Formulas!AW81+1,
IFERROR(INDEX(Datos!$A$2:$L$101,Formulas!AW81,RIGHT(Formulas!AY81)+2),"")))</f>
        <v/>
      </c>
      <c r="AX84" s="107" t="str" cm="1">
        <f t="array" aca="1" ref="AX84" ca="1">IF(OR(Formulas!AY82=0,Formulas!AY82=""),"",HYPERLINK("["&amp;Archivo_Nombre&amp;"]Datos!"&amp;LEFT(SUBSTITUTE(ADDRESS(1,Formulas!AY82+2),"$",""))&amp;Formulas!AX82+1,
IFERROR(INDEX(Datos!$A$2:$L$101,Formulas!AX82,Formulas!AY82+2),"")))</f>
        <v/>
      </c>
      <c r="AY84" s="13"/>
    </row>
    <row r="85" spans="2:51" x14ac:dyDescent="0.25">
      <c r="B85" s="11"/>
      <c r="C85" s="24" t="str" cm="1">
        <f t="array" aca="1" ref="C85" ca="1">IF(OR(Formulas!E82=0,Formulas!E82="",RIGHT(Formulas!F82)="0"),"",
HYPERLINK("["&amp;Archivo_Nombre&amp;"]Datos!"&amp;LEFT(SUBSTITUTE(ADDRESS(1,IF(Formulas!E82=1,1,RIGHT(Formulas!F82)+2)),"$",""))&amp;Formulas!D82+1,
IFERROR(INDEX(Datos!$A$1:$L$1,1,RIGHT(Formulas!F82)+2)&amp;IF(Formulas!E82=1," "&amp;Formulas!D82,"")&amp;":","")))</f>
        <v/>
      </c>
      <c r="D85" s="107" t="str" cm="1">
        <f t="array" aca="1" ref="D85" ca="1">IF(OR(Formulas!E82=0,Formulas!E82="",RIGHT(Formulas!F82)="0"),"",
HYPERLINK("["&amp;Archivo_Nombre&amp;"]Datos!"&amp;LEFT(SUBSTITUTE(ADDRESS(1,RIGHT(Formulas!F82)+2),"$",""))&amp;Formulas!D82+1,
IFERROR(INDEX(Datos!$A$2:$L$101,Formulas!D82,RIGHT(Formulas!F82)+2),"")))</f>
        <v/>
      </c>
      <c r="E85" s="107" t="str" cm="1">
        <f t="array" aca="1" ref="E85" ca="1">IF(OR(Formulas!F83=0,Formulas!F83=""),"",HYPERLINK("["&amp;Archivo_Nombre&amp;"]Datos!"&amp;LEFT(SUBSTITUTE(ADDRESS(1,Formulas!F83+2),"$",""))&amp;Formulas!E83+1,
IFERROR(INDEX(Datos!$A$2:$L$101,Formulas!E83,Formulas!F83+2),"")))</f>
        <v/>
      </c>
      <c r="F85" s="5"/>
      <c r="G85" s="6"/>
      <c r="H85" s="24" t="str" cm="1">
        <f t="array" aca="1" ref="H85" ca="1">IF(OR(Formulas!J82=0,Formulas!J82="",RIGHT(Formulas!K82)="0"),"",
HYPERLINK("["&amp;Archivo_Nombre&amp;"]Datos!"&amp;LEFT(SUBSTITUTE(ADDRESS(1,IF(Formulas!J82=1,1,RIGHT(Formulas!K82)+2)),"$",""))&amp;Formulas!I82+1,
IFERROR(INDEX(Datos!$A$1:$L$1,1,RIGHT(Formulas!K82)+2)&amp;IF(Formulas!J82=1," "&amp;Formulas!I82,"")&amp;":","")))</f>
        <v/>
      </c>
      <c r="I85" s="107" t="str" cm="1">
        <f t="array" aca="1" ref="I85" ca="1">IF(OR(Formulas!J82=0,Formulas!J82="",RIGHT(Formulas!K82)="0"),"",
HYPERLINK("["&amp;Archivo_Nombre&amp;"]Datos!"&amp;LEFT(SUBSTITUTE(ADDRESS(1,RIGHT(Formulas!K82)+2),"$",""))&amp;Formulas!I82+1,
IFERROR(INDEX(Datos!$A$2:$L$101,Formulas!I82,RIGHT(Formulas!K82)+2),"")))</f>
        <v/>
      </c>
      <c r="J85" s="107" t="str" cm="1">
        <f t="array" aca="1" ref="J85" ca="1">IF(OR(Formulas!K83=0,Formulas!K83=""),"",HYPERLINK("["&amp;Archivo_Nombre&amp;"]Datos!"&amp;LEFT(SUBSTITUTE(ADDRESS(1,Formulas!K83+2),"$",""))&amp;Formulas!J83+1,
IFERROR(INDEX(Datos!$A$2:$L$101,Formulas!J83,Formulas!K83+2),"")))</f>
        <v/>
      </c>
      <c r="K85" s="5"/>
      <c r="L85" s="6"/>
      <c r="M85" s="24" t="str" cm="1">
        <f t="array" aca="1" ref="M85" ca="1">IF(OR(Formulas!O82=0,Formulas!O82="",RIGHT(Formulas!P82)="0"),"",
HYPERLINK("["&amp;Archivo_Nombre&amp;"]Datos!"&amp;LEFT(SUBSTITUTE(ADDRESS(1,IF(Formulas!O82=1,1,RIGHT(Formulas!P82)+2)),"$",""))&amp;Formulas!N82+1,
IFERROR(INDEX(Datos!$A$1:$L$1,1,RIGHT(Formulas!P82)+2)&amp;IF(Formulas!O82=1," "&amp;Formulas!N82,"")&amp;":","")))</f>
        <v/>
      </c>
      <c r="N85" s="107" t="str" cm="1">
        <f t="array" aca="1" ref="N85" ca="1">IF(OR(Formulas!O82=0,Formulas!O82="",RIGHT(Formulas!P82)="0"),"",
HYPERLINK("["&amp;Archivo_Nombre&amp;"]Datos!"&amp;LEFT(SUBSTITUTE(ADDRESS(1,RIGHT(Formulas!P82)+2),"$",""))&amp;Formulas!N82+1,
IFERROR(INDEX(Datos!$A$2:$L$101,Formulas!N82,RIGHT(Formulas!P82)+2),"")))</f>
        <v/>
      </c>
      <c r="O85" s="107" t="str" cm="1">
        <f t="array" aca="1" ref="O85" ca="1">IF(OR(Formulas!P83=0,Formulas!P83=""),"",HYPERLINK("["&amp;Archivo_Nombre&amp;"]Datos!"&amp;LEFT(SUBSTITUTE(ADDRESS(1,Formulas!P83+2),"$",""))&amp;Formulas!O83+1,
IFERROR(INDEX(Datos!$A$2:$L$101,Formulas!O83,Formulas!P83+2),"")))</f>
        <v/>
      </c>
      <c r="P85" s="5"/>
      <c r="Q85" s="6"/>
      <c r="R85" s="24" t="str" cm="1">
        <f t="array" aca="1" ref="R85" ca="1">IF(OR(Formulas!T82=0,Formulas!T82="",RIGHT(Formulas!U82)="0"),"",
HYPERLINK("["&amp;Archivo_Nombre&amp;"]Datos!"&amp;LEFT(SUBSTITUTE(ADDRESS(1,IF(Formulas!T82=1,1,RIGHT(Formulas!U82)+2)),"$",""))&amp;Formulas!S82+1,
IFERROR(INDEX(Datos!$A$1:$L$1,1,RIGHT(Formulas!U82)+2)&amp;IF(Formulas!T82=1," "&amp;Formulas!S82,"")&amp;":","")))</f>
        <v/>
      </c>
      <c r="S85" s="107" t="str" cm="1">
        <f t="array" aca="1" ref="S85" ca="1">IF(OR(Formulas!T82=0,Formulas!T82="",RIGHT(Formulas!U82)="0"),"",
HYPERLINK("["&amp;Archivo_Nombre&amp;"]Datos!"&amp;LEFT(SUBSTITUTE(ADDRESS(1,RIGHT(Formulas!U82)+2),"$",""))&amp;Formulas!S82+1,
IFERROR(INDEX(Datos!$A$2:$L$101,Formulas!S82,RIGHT(Formulas!U82)+2),"")))</f>
        <v/>
      </c>
      <c r="T85" s="107" t="e" cm="1">
        <f t="array" aca="1" ref="T85" ca="1">IF(OR(Formulas!U83=0,Formulas!U83=""),"",HYPERLINK("["&amp;Archivo_Nombre&amp;"]Datos!"&amp;LEFT(SUBSTITUTE(ADDRESS(1,Formulas!U83+2),"$",""))&amp;Formulas!T83+1,
IFERROR(INDEX(Datos!$A$2:$L$101,Formulas!T83,Formulas!U83+2),"")))</f>
        <v>#VALUE!</v>
      </c>
      <c r="U85" s="5"/>
      <c r="V85" s="6"/>
      <c r="W85" s="24" t="str" cm="1">
        <f t="array" aca="1" ref="W85" ca="1">IF(OR(Formulas!Y82=0,Formulas!Y82="",RIGHT(Formulas!Z82)="0"),"",
HYPERLINK("["&amp;Archivo_Nombre&amp;"]Datos!"&amp;LEFT(SUBSTITUTE(ADDRESS(1,IF(Formulas!Y82=1,1,RIGHT(Formulas!Z82)+2)),"$",""))&amp;Formulas!X82+1,
IFERROR(INDEX(Datos!$A$1:$L$1,1,RIGHT(Formulas!Z82)+2)&amp;IF(Formulas!Y82=1," "&amp;Formulas!X82,"")&amp;":","")))</f>
        <v/>
      </c>
      <c r="X85" s="107" t="str" cm="1">
        <f t="array" aca="1" ref="X85" ca="1">IF(OR(Formulas!Y82=0,Formulas!Y82="",RIGHT(Formulas!Z82)="0"),"",
HYPERLINK("["&amp;Archivo_Nombre&amp;"]Datos!"&amp;LEFT(SUBSTITUTE(ADDRESS(1,RIGHT(Formulas!Z82)+2),"$",""))&amp;Formulas!X82+1,
IFERROR(INDEX(Datos!$A$2:$L$101,Formulas!X82,RIGHT(Formulas!Z82)+2),"")))</f>
        <v/>
      </c>
      <c r="Y85" s="107" t="str" cm="1">
        <f t="array" aca="1" ref="Y85" ca="1">IF(OR(Formulas!Z83=0,Formulas!Z83=""),"",HYPERLINK("["&amp;Archivo_Nombre&amp;"]Datos!"&amp;LEFT(SUBSTITUTE(ADDRESS(1,Formulas!Z83+2),"$",""))&amp;Formulas!Y83+1,
IFERROR(INDEX(Datos!$A$2:$L$101,Formulas!Y83,Formulas!Z83+2),"")))</f>
        <v/>
      </c>
      <c r="Z85" s="13"/>
      <c r="AA85" s="6"/>
      <c r="AB85" s="24" t="str" cm="1">
        <f t="array" aca="1" ref="AB85" ca="1">IF(OR(Formulas!AD82=0,Formulas!AD82="",RIGHT(Formulas!AE82)="0"),"",
HYPERLINK("["&amp;Archivo_Nombre&amp;"]Datos!"&amp;LEFT(SUBSTITUTE(ADDRESS(1,IF(Formulas!AD82=1,1,RIGHT(Formulas!AE82)+2)),"$",""))&amp;Formulas!AC82+1,
IFERROR(INDEX(Datos!$A$1:$L$1,1,RIGHT(Formulas!AE82)+2)&amp;IF(Formulas!AD82=1," "&amp;Formulas!AC82,"")&amp;":","")))</f>
        <v/>
      </c>
      <c r="AC85" s="107" t="str" cm="1">
        <f t="array" aca="1" ref="AC85" ca="1">IF(OR(Formulas!AD82=0,Formulas!AD82="",RIGHT(Formulas!AE82)="0"),"",
HYPERLINK("["&amp;Archivo_Nombre&amp;"]Datos!"&amp;LEFT(SUBSTITUTE(ADDRESS(1,RIGHT(Formulas!AE82)+2),"$",""))&amp;Formulas!AC82+1,
IFERROR(INDEX(Datos!$A$2:$L$101,Formulas!AC82,RIGHT(Formulas!AE82)+2),"")))</f>
        <v/>
      </c>
      <c r="AD85" s="107" t="str" cm="1">
        <f t="array" aca="1" ref="AD85" ca="1">IF(OR(Formulas!AE83=0,Formulas!AE83=""),"",HYPERLINK("["&amp;Archivo_Nombre&amp;"]Datos!"&amp;LEFT(SUBSTITUTE(ADDRESS(1,Formulas!AE83+2),"$",""))&amp;Formulas!AD83+1,
IFERROR(INDEX(Datos!$A$2:$L$101,Formulas!AD83,Formulas!AE83+2),"")))</f>
        <v/>
      </c>
      <c r="AE85" s="13"/>
      <c r="AF85" s="6"/>
      <c r="AG85" s="24" t="str" cm="1">
        <f t="array" aca="1" ref="AG85" ca="1">IF(OR(Formulas!AI82=0,Formulas!AI82="",RIGHT(Formulas!AJ82)="0"),"",
HYPERLINK("["&amp;Archivo_Nombre&amp;"]Datos!"&amp;LEFT(SUBSTITUTE(ADDRESS(1,IF(Formulas!AI82=1,1,RIGHT(Formulas!AJ82)+2)),"$",""))&amp;Formulas!AH82+1,
IFERROR(INDEX(Datos!$A$1:$L$1,1,RIGHT(Formulas!AJ82)+2)&amp;IF(Formulas!AI82=1," "&amp;Formulas!AH82,"")&amp;":","")))</f>
        <v/>
      </c>
      <c r="AH85" s="107" t="str" cm="1">
        <f t="array" aca="1" ref="AH85" ca="1">IF(OR(Formulas!AI82=0,Formulas!AI82="",RIGHT(Formulas!AJ82)="0"),"",
HYPERLINK("["&amp;Archivo_Nombre&amp;"]Datos!"&amp;LEFT(SUBSTITUTE(ADDRESS(1,RIGHT(Formulas!AJ82)+2),"$",""))&amp;Formulas!AH82+1,
IFERROR(INDEX(Datos!$A$2:$L$101,Formulas!AH82,RIGHT(Formulas!AJ82)+2),"")))</f>
        <v/>
      </c>
      <c r="AI85" s="107" t="str" cm="1">
        <f t="array" aca="1" ref="AI85" ca="1">IF(OR(Formulas!AJ83=0,Formulas!AJ83=""),"",HYPERLINK("["&amp;Archivo_Nombre&amp;"]Datos!"&amp;LEFT(SUBSTITUTE(ADDRESS(1,Formulas!AJ83+2),"$",""))&amp;Formulas!AI83+1,
IFERROR(INDEX(Datos!$A$2:$L$101,Formulas!AI83,Formulas!AJ83+2),"")))</f>
        <v/>
      </c>
      <c r="AJ85" s="13"/>
      <c r="AK85" s="6"/>
      <c r="AL85" s="24" t="str" cm="1">
        <f t="array" aca="1" ref="AL85" ca="1">IF(OR(Formulas!AN82=0,Formulas!AN82="",RIGHT(Formulas!AO82)="0"),"",
HYPERLINK("["&amp;Archivo_Nombre&amp;"]Datos!"&amp;LEFT(SUBSTITUTE(ADDRESS(1,IF(Formulas!AN82=1,1,RIGHT(Formulas!AO82)+2)),"$",""))&amp;Formulas!AM82+1,
IFERROR(INDEX(Datos!$A$1:$L$1,1,RIGHT(Formulas!AO82)+2)&amp;IF(Formulas!AN82=1," "&amp;Formulas!AM82,"")&amp;":","")))</f>
        <v/>
      </c>
      <c r="AM85" s="107" t="str" cm="1">
        <f t="array" aca="1" ref="AM85" ca="1">IF(OR(Formulas!AN82=0,Formulas!AN82="",RIGHT(Formulas!AO82)="0"),"",
HYPERLINK("["&amp;Archivo_Nombre&amp;"]Datos!"&amp;LEFT(SUBSTITUTE(ADDRESS(1,RIGHT(Formulas!AO82)+2),"$",""))&amp;Formulas!AM82+1,
IFERROR(INDEX(Datos!$A$2:$L$101,Formulas!AM82,RIGHT(Formulas!AO82)+2),"")))</f>
        <v/>
      </c>
      <c r="AN85" s="107" t="str" cm="1">
        <f t="array" aca="1" ref="AN85" ca="1">IF(OR(Formulas!AO83=0,Formulas!AO83=""),"",HYPERLINK("["&amp;Archivo_Nombre&amp;"]Datos!"&amp;LEFT(SUBSTITUTE(ADDRESS(1,Formulas!AO83+2),"$",""))&amp;Formulas!AN83+1,
IFERROR(INDEX(Datos!$A$2:$L$101,Formulas!AN83,Formulas!AO83+2),"")))</f>
        <v/>
      </c>
      <c r="AO85" s="13"/>
      <c r="AP85" s="6"/>
      <c r="AQ85" s="24" t="str" cm="1">
        <f t="array" aca="1" ref="AQ85" ca="1">IF(OR(Formulas!AS82=0,Formulas!AS82="",RIGHT(Formulas!AT82)="0"),"",
HYPERLINK("["&amp;Archivo_Nombre&amp;"]Datos!"&amp;LEFT(SUBSTITUTE(ADDRESS(1,IF(Formulas!AS82=1,1,RIGHT(Formulas!AT82)+2)),"$",""))&amp;Formulas!AR82+1,
IFERROR(INDEX(Datos!$A$1:$L$1,1,RIGHT(Formulas!AT82)+2)&amp;IF(Formulas!AS82=1," "&amp;Formulas!AR82,"")&amp;":","")))</f>
        <v/>
      </c>
      <c r="AR85" s="107" t="str" cm="1">
        <f t="array" aca="1" ref="AR85" ca="1">IF(OR(Formulas!AS82=0,Formulas!AS82="",RIGHT(Formulas!AT82)="0"),"",
HYPERLINK("["&amp;Archivo_Nombre&amp;"]Datos!"&amp;LEFT(SUBSTITUTE(ADDRESS(1,RIGHT(Formulas!AT82)+2),"$",""))&amp;Formulas!AR82+1,
IFERROR(INDEX(Datos!$A$2:$L$101,Formulas!AR82,RIGHT(Formulas!AT82)+2),"")))</f>
        <v/>
      </c>
      <c r="AS85" s="107" t="str" cm="1">
        <f t="array" aca="1" ref="AS85" ca="1">IF(OR(Formulas!AT83=0,Formulas!AT83=""),"",HYPERLINK("["&amp;Archivo_Nombre&amp;"]Datos!"&amp;LEFT(SUBSTITUTE(ADDRESS(1,Formulas!AT83+2),"$",""))&amp;Formulas!AS83+1,
IFERROR(INDEX(Datos!$A$2:$L$101,Formulas!AS83,Formulas!AT83+2),"")))</f>
        <v/>
      </c>
      <c r="AT85" s="13"/>
      <c r="AU85" s="6"/>
      <c r="AV85" s="24" t="str" cm="1">
        <f t="array" aca="1" ref="AV85" ca="1">IF(OR(Formulas!AX82=0,Formulas!AX82="",RIGHT(Formulas!AY82)="0"),"",
HYPERLINK("["&amp;Archivo_Nombre&amp;"]Datos!"&amp;LEFT(SUBSTITUTE(ADDRESS(1,IF(Formulas!AX82=1,1,RIGHT(Formulas!AY82)+2)),"$",""))&amp;Formulas!AW82+1,
IFERROR(INDEX(Datos!$A$1:$L$1,1,RIGHT(Formulas!AY82)+2)&amp;IF(Formulas!AX82=1," "&amp;Formulas!AW82,"")&amp;":","")))</f>
        <v/>
      </c>
      <c r="AW85" s="107" t="str" cm="1">
        <f t="array" aca="1" ref="AW85" ca="1">IF(OR(Formulas!AX82=0,Formulas!AX82="",RIGHT(Formulas!AY82)="0"),"",
HYPERLINK("["&amp;Archivo_Nombre&amp;"]Datos!"&amp;LEFT(SUBSTITUTE(ADDRESS(1,RIGHT(Formulas!AY82)+2),"$",""))&amp;Formulas!AW82+1,
IFERROR(INDEX(Datos!$A$2:$L$101,Formulas!AW82,RIGHT(Formulas!AY82)+2),"")))</f>
        <v/>
      </c>
      <c r="AX85" s="107" t="str" cm="1">
        <f t="array" aca="1" ref="AX85" ca="1">IF(OR(Formulas!AY83=0,Formulas!AY83=""),"",HYPERLINK("["&amp;Archivo_Nombre&amp;"]Datos!"&amp;LEFT(SUBSTITUTE(ADDRESS(1,Formulas!AY83+2),"$",""))&amp;Formulas!AX83+1,
IFERROR(INDEX(Datos!$A$2:$L$101,Formulas!AX83,Formulas!AY83+2),"")))</f>
        <v/>
      </c>
      <c r="AY85" s="13"/>
    </row>
    <row r="86" spans="2:51" x14ac:dyDescent="0.25">
      <c r="B86" s="11"/>
      <c r="C86" s="24" t="str" cm="1">
        <f t="array" aca="1" ref="C86" ca="1">IF(OR(Formulas!E83=0,Formulas!E83="",RIGHT(Formulas!F83)="0"),"",
HYPERLINK("["&amp;Archivo_Nombre&amp;"]Datos!"&amp;LEFT(SUBSTITUTE(ADDRESS(1,IF(Formulas!E83=1,1,RIGHT(Formulas!F83)+2)),"$",""))&amp;Formulas!D83+1,
IFERROR(INDEX(Datos!$A$1:$L$1,1,RIGHT(Formulas!F83)+2)&amp;IF(Formulas!E83=1," "&amp;Formulas!D83,"")&amp;":","")))</f>
        <v/>
      </c>
      <c r="D86" s="107" t="str" cm="1">
        <f t="array" aca="1" ref="D86" ca="1">IF(OR(Formulas!E83=0,Formulas!E83="",RIGHT(Formulas!F83)="0"),"",
HYPERLINK("["&amp;Archivo_Nombre&amp;"]Datos!"&amp;LEFT(SUBSTITUTE(ADDRESS(1,RIGHT(Formulas!F83)+2),"$",""))&amp;Formulas!D83+1,
IFERROR(INDEX(Datos!$A$2:$L$101,Formulas!D83,RIGHT(Formulas!F83)+2),"")))</f>
        <v/>
      </c>
      <c r="E86" s="107" t="str" cm="1">
        <f t="array" aca="1" ref="E86" ca="1">IF(OR(Formulas!F84=0,Formulas!F84=""),"",HYPERLINK("["&amp;Archivo_Nombre&amp;"]Datos!"&amp;LEFT(SUBSTITUTE(ADDRESS(1,Formulas!F84+2),"$",""))&amp;Formulas!E84+1,
IFERROR(INDEX(Datos!$A$2:$L$101,Formulas!E84,Formulas!F84+2),"")))</f>
        <v/>
      </c>
      <c r="F86" s="5"/>
      <c r="G86" s="6"/>
      <c r="H86" s="24" t="str" cm="1">
        <f t="array" aca="1" ref="H86" ca="1">IF(OR(Formulas!J83=0,Formulas!J83="",RIGHT(Formulas!K83)="0"),"",
HYPERLINK("["&amp;Archivo_Nombre&amp;"]Datos!"&amp;LEFT(SUBSTITUTE(ADDRESS(1,IF(Formulas!J83=1,1,RIGHT(Formulas!K83)+2)),"$",""))&amp;Formulas!I83+1,
IFERROR(INDEX(Datos!$A$1:$L$1,1,RIGHT(Formulas!K83)+2)&amp;IF(Formulas!J83=1," "&amp;Formulas!I83,"")&amp;":","")))</f>
        <v/>
      </c>
      <c r="I86" s="107" t="str" cm="1">
        <f t="array" aca="1" ref="I86" ca="1">IF(OR(Formulas!J83=0,Formulas!J83="",RIGHT(Formulas!K83)="0"),"",
HYPERLINK("["&amp;Archivo_Nombre&amp;"]Datos!"&amp;LEFT(SUBSTITUTE(ADDRESS(1,RIGHT(Formulas!K83)+2),"$",""))&amp;Formulas!I83+1,
IFERROR(INDEX(Datos!$A$2:$L$101,Formulas!I83,RIGHT(Formulas!K83)+2),"")))</f>
        <v/>
      </c>
      <c r="J86" s="107" t="str" cm="1">
        <f t="array" aca="1" ref="J86" ca="1">IF(OR(Formulas!K84=0,Formulas!K84=""),"",HYPERLINK("["&amp;Archivo_Nombre&amp;"]Datos!"&amp;LEFT(SUBSTITUTE(ADDRESS(1,Formulas!K84+2),"$",""))&amp;Formulas!J84+1,
IFERROR(INDEX(Datos!$A$2:$L$101,Formulas!J84,Formulas!K84+2),"")))</f>
        <v/>
      </c>
      <c r="K86" s="5"/>
      <c r="L86" s="6"/>
      <c r="M86" s="24" t="str" cm="1">
        <f t="array" aca="1" ref="M86" ca="1">IF(OR(Formulas!O83=0,Formulas!O83="",RIGHT(Formulas!P83)="0"),"",
HYPERLINK("["&amp;Archivo_Nombre&amp;"]Datos!"&amp;LEFT(SUBSTITUTE(ADDRESS(1,IF(Formulas!O83=1,1,RIGHT(Formulas!P83)+2)),"$",""))&amp;Formulas!N83+1,
IFERROR(INDEX(Datos!$A$1:$L$1,1,RIGHT(Formulas!P83)+2)&amp;IF(Formulas!O83=1," "&amp;Formulas!N83,"")&amp;":","")))</f>
        <v/>
      </c>
      <c r="N86" s="107" t="str" cm="1">
        <f t="array" aca="1" ref="N86" ca="1">IF(OR(Formulas!O83=0,Formulas!O83="",RIGHT(Formulas!P83)="0"),"",
HYPERLINK("["&amp;Archivo_Nombre&amp;"]Datos!"&amp;LEFT(SUBSTITUTE(ADDRESS(1,RIGHT(Formulas!P83)+2),"$",""))&amp;Formulas!N83+1,
IFERROR(INDEX(Datos!$A$2:$L$101,Formulas!N83,RIGHT(Formulas!P83)+2),"")))</f>
        <v/>
      </c>
      <c r="O86" s="107" t="str" cm="1">
        <f t="array" aca="1" ref="O86" ca="1">IF(OR(Formulas!P84=0,Formulas!P84=""),"",HYPERLINK("["&amp;Archivo_Nombre&amp;"]Datos!"&amp;LEFT(SUBSTITUTE(ADDRESS(1,Formulas!P84+2),"$",""))&amp;Formulas!O84+1,
IFERROR(INDEX(Datos!$A$2:$L$101,Formulas!O84,Formulas!P84+2),"")))</f>
        <v/>
      </c>
      <c r="P86" s="5"/>
      <c r="Q86" s="6"/>
      <c r="R86" s="24" t="str" cm="1">
        <f t="array" aca="1" ref="R86" ca="1">IF(OR(Formulas!T83=0,Formulas!T83="",RIGHT(Formulas!U83)="0"),"",
HYPERLINK("["&amp;Archivo_Nombre&amp;"]Datos!"&amp;LEFT(SUBSTITUTE(ADDRESS(1,IF(Formulas!T83=1,1,RIGHT(Formulas!U83)+2)),"$",""))&amp;Formulas!S83+1,
IFERROR(INDEX(Datos!$A$1:$L$1,1,RIGHT(Formulas!U83)+2)&amp;IF(Formulas!T83=1," "&amp;Formulas!S83,"")&amp;":","")))</f>
        <v>ORDEN PCRONOLOGICO 21:</v>
      </c>
      <c r="S86" s="107" cm="1">
        <f t="array" aca="1" ref="S86" ca="1">IF(OR(Formulas!T83=0,Formulas!T83="",RIGHT(Formulas!U83)="0"),"",
HYPERLINK("["&amp;Archivo_Nombre&amp;"]Datos!"&amp;LEFT(SUBSTITUTE(ADDRESS(1,RIGHT(Formulas!U83)+2),"$",""))&amp;Formulas!S83+1,
IFERROR(INDEX(Datos!$A$2:$L$101,Formulas!S83,RIGHT(Formulas!U83)+2),"")))</f>
        <v>21</v>
      </c>
      <c r="T86" s="107" t="e" cm="1">
        <f t="array" aca="1" ref="T86" ca="1">IF(OR(Formulas!U84=0,Formulas!U84=""),"",HYPERLINK("["&amp;Archivo_Nombre&amp;"]Datos!"&amp;LEFT(SUBSTITUTE(ADDRESS(1,Formulas!U84+2),"$",""))&amp;Formulas!T84+1,
IFERROR(INDEX(Datos!$A$2:$L$101,Formulas!T84,Formulas!U84+2),"")))</f>
        <v>#VALUE!</v>
      </c>
      <c r="U86" s="5"/>
      <c r="V86" s="6"/>
      <c r="W86" s="24" t="str" cm="1">
        <f t="array" aca="1" ref="W86" ca="1">IF(OR(Formulas!Y83=0,Formulas!Y83="",RIGHT(Formulas!Z83)="0"),"",
HYPERLINK("["&amp;Archivo_Nombre&amp;"]Datos!"&amp;LEFT(SUBSTITUTE(ADDRESS(1,IF(Formulas!Y83=1,1,RIGHT(Formulas!Z83)+2)),"$",""))&amp;Formulas!X83+1,
IFERROR(INDEX(Datos!$A$1:$L$1,1,RIGHT(Formulas!Z83)+2)&amp;IF(Formulas!Y83=1," "&amp;Formulas!X83,"")&amp;":","")))</f>
        <v/>
      </c>
      <c r="X86" s="107" t="str" cm="1">
        <f t="array" aca="1" ref="X86" ca="1">IF(OR(Formulas!Y83=0,Formulas!Y83="",RIGHT(Formulas!Z83)="0"),"",
HYPERLINK("["&amp;Archivo_Nombre&amp;"]Datos!"&amp;LEFT(SUBSTITUTE(ADDRESS(1,RIGHT(Formulas!Z83)+2),"$",""))&amp;Formulas!X83+1,
IFERROR(INDEX(Datos!$A$2:$L$101,Formulas!X83,RIGHT(Formulas!Z83)+2),"")))</f>
        <v/>
      </c>
      <c r="Y86" s="107" t="str" cm="1">
        <f t="array" aca="1" ref="Y86" ca="1">IF(OR(Formulas!Z84=0,Formulas!Z84=""),"",HYPERLINK("["&amp;Archivo_Nombre&amp;"]Datos!"&amp;LEFT(SUBSTITUTE(ADDRESS(1,Formulas!Z84+2),"$",""))&amp;Formulas!Y84+1,
IFERROR(INDEX(Datos!$A$2:$L$101,Formulas!Y84,Formulas!Z84+2),"")))</f>
        <v/>
      </c>
      <c r="Z86" s="13"/>
      <c r="AA86" s="6"/>
      <c r="AB86" s="24" t="str" cm="1">
        <f t="array" aca="1" ref="AB86" ca="1">IF(OR(Formulas!AD83=0,Formulas!AD83="",RIGHT(Formulas!AE83)="0"),"",
HYPERLINK("["&amp;Archivo_Nombre&amp;"]Datos!"&amp;LEFT(SUBSTITUTE(ADDRESS(1,IF(Formulas!AD83=1,1,RIGHT(Formulas!AE83)+2)),"$",""))&amp;Formulas!AC83+1,
IFERROR(INDEX(Datos!$A$1:$L$1,1,RIGHT(Formulas!AE83)+2)&amp;IF(Formulas!AD83=1," "&amp;Formulas!AC83,"")&amp;":","")))</f>
        <v/>
      </c>
      <c r="AC86" s="107" t="str" cm="1">
        <f t="array" aca="1" ref="AC86" ca="1">IF(OR(Formulas!AD83=0,Formulas!AD83="",RIGHT(Formulas!AE83)="0"),"",
HYPERLINK("["&amp;Archivo_Nombre&amp;"]Datos!"&amp;LEFT(SUBSTITUTE(ADDRESS(1,RIGHT(Formulas!AE83)+2),"$",""))&amp;Formulas!AC83+1,
IFERROR(INDEX(Datos!$A$2:$L$101,Formulas!AC83,RIGHT(Formulas!AE83)+2),"")))</f>
        <v/>
      </c>
      <c r="AD86" s="107" t="str" cm="1">
        <f t="array" aca="1" ref="AD86" ca="1">IF(OR(Formulas!AE84=0,Formulas!AE84=""),"",HYPERLINK("["&amp;Archivo_Nombre&amp;"]Datos!"&amp;LEFT(SUBSTITUTE(ADDRESS(1,Formulas!AE84+2),"$",""))&amp;Formulas!AD84+1,
IFERROR(INDEX(Datos!$A$2:$L$101,Formulas!AD84,Formulas!AE84+2),"")))</f>
        <v/>
      </c>
      <c r="AE86" s="13"/>
      <c r="AF86" s="6"/>
      <c r="AG86" s="24" t="str" cm="1">
        <f t="array" aca="1" ref="AG86" ca="1">IF(OR(Formulas!AI83=0,Formulas!AI83="",RIGHT(Formulas!AJ83)="0"),"",
HYPERLINK("["&amp;Archivo_Nombre&amp;"]Datos!"&amp;LEFT(SUBSTITUTE(ADDRESS(1,IF(Formulas!AI83=1,1,RIGHT(Formulas!AJ83)+2)),"$",""))&amp;Formulas!AH83+1,
IFERROR(INDEX(Datos!$A$1:$L$1,1,RIGHT(Formulas!AJ83)+2)&amp;IF(Formulas!AI83=1," "&amp;Formulas!AH83,"")&amp;":","")))</f>
        <v/>
      </c>
      <c r="AH86" s="107" t="str" cm="1">
        <f t="array" aca="1" ref="AH86" ca="1">IF(OR(Formulas!AI83=0,Formulas!AI83="",RIGHT(Formulas!AJ83)="0"),"",
HYPERLINK("["&amp;Archivo_Nombre&amp;"]Datos!"&amp;LEFT(SUBSTITUTE(ADDRESS(1,RIGHT(Formulas!AJ83)+2),"$",""))&amp;Formulas!AH83+1,
IFERROR(INDEX(Datos!$A$2:$L$101,Formulas!AH83,RIGHT(Formulas!AJ83)+2),"")))</f>
        <v/>
      </c>
      <c r="AI86" s="107" t="str" cm="1">
        <f t="array" aca="1" ref="AI86" ca="1">IF(OR(Formulas!AJ84=0,Formulas!AJ84=""),"",HYPERLINK("["&amp;Archivo_Nombre&amp;"]Datos!"&amp;LEFT(SUBSTITUTE(ADDRESS(1,Formulas!AJ84+2),"$",""))&amp;Formulas!AI84+1,
IFERROR(INDEX(Datos!$A$2:$L$101,Formulas!AI84,Formulas!AJ84+2),"")))</f>
        <v/>
      </c>
      <c r="AJ86" s="13"/>
      <c r="AK86" s="6"/>
      <c r="AL86" s="24" t="str" cm="1">
        <f t="array" aca="1" ref="AL86" ca="1">IF(OR(Formulas!AN83=0,Formulas!AN83="",RIGHT(Formulas!AO83)="0"),"",
HYPERLINK("["&amp;Archivo_Nombre&amp;"]Datos!"&amp;LEFT(SUBSTITUTE(ADDRESS(1,IF(Formulas!AN83=1,1,RIGHT(Formulas!AO83)+2)),"$",""))&amp;Formulas!AM83+1,
IFERROR(INDEX(Datos!$A$1:$L$1,1,RIGHT(Formulas!AO83)+2)&amp;IF(Formulas!AN83=1," "&amp;Formulas!AM83,"")&amp;":","")))</f>
        <v/>
      </c>
      <c r="AM86" s="107" t="str" cm="1">
        <f t="array" aca="1" ref="AM86" ca="1">IF(OR(Formulas!AN83=0,Formulas!AN83="",RIGHT(Formulas!AO83)="0"),"",
HYPERLINK("["&amp;Archivo_Nombre&amp;"]Datos!"&amp;LEFT(SUBSTITUTE(ADDRESS(1,RIGHT(Formulas!AO83)+2),"$",""))&amp;Formulas!AM83+1,
IFERROR(INDEX(Datos!$A$2:$L$101,Formulas!AM83,RIGHT(Formulas!AO83)+2),"")))</f>
        <v/>
      </c>
      <c r="AN86" s="107" t="str" cm="1">
        <f t="array" aca="1" ref="AN86" ca="1">IF(OR(Formulas!AO84=0,Formulas!AO84=""),"",HYPERLINK("["&amp;Archivo_Nombre&amp;"]Datos!"&amp;LEFT(SUBSTITUTE(ADDRESS(1,Formulas!AO84+2),"$",""))&amp;Formulas!AN84+1,
IFERROR(INDEX(Datos!$A$2:$L$101,Formulas!AN84,Formulas!AO84+2),"")))</f>
        <v/>
      </c>
      <c r="AO86" s="13"/>
      <c r="AP86" s="6"/>
      <c r="AQ86" s="24" t="str" cm="1">
        <f t="array" aca="1" ref="AQ86" ca="1">IF(OR(Formulas!AS83=0,Formulas!AS83="",RIGHT(Formulas!AT83)="0"),"",
HYPERLINK("["&amp;Archivo_Nombre&amp;"]Datos!"&amp;LEFT(SUBSTITUTE(ADDRESS(1,IF(Formulas!AS83=1,1,RIGHT(Formulas!AT83)+2)),"$",""))&amp;Formulas!AR83+1,
IFERROR(INDEX(Datos!$A$1:$L$1,1,RIGHT(Formulas!AT83)+2)&amp;IF(Formulas!AS83=1," "&amp;Formulas!AR83,"")&amp;":","")))</f>
        <v/>
      </c>
      <c r="AR86" s="107" t="str" cm="1">
        <f t="array" aca="1" ref="AR86" ca="1">IF(OR(Formulas!AS83=0,Formulas!AS83="",RIGHT(Formulas!AT83)="0"),"",
HYPERLINK("["&amp;Archivo_Nombre&amp;"]Datos!"&amp;LEFT(SUBSTITUTE(ADDRESS(1,RIGHT(Formulas!AT83)+2),"$",""))&amp;Formulas!AR83+1,
IFERROR(INDEX(Datos!$A$2:$L$101,Formulas!AR83,RIGHT(Formulas!AT83)+2),"")))</f>
        <v/>
      </c>
      <c r="AS86" s="107" t="str" cm="1">
        <f t="array" aca="1" ref="AS86" ca="1">IF(OR(Formulas!AT84=0,Formulas!AT84=""),"",HYPERLINK("["&amp;Archivo_Nombre&amp;"]Datos!"&amp;LEFT(SUBSTITUTE(ADDRESS(1,Formulas!AT84+2),"$",""))&amp;Formulas!AS84+1,
IFERROR(INDEX(Datos!$A$2:$L$101,Formulas!AS84,Formulas!AT84+2),"")))</f>
        <v/>
      </c>
      <c r="AT86" s="13"/>
      <c r="AU86" s="6"/>
      <c r="AV86" s="24" t="str" cm="1">
        <f t="array" aca="1" ref="AV86" ca="1">IF(OR(Formulas!AX83=0,Formulas!AX83="",RIGHT(Formulas!AY83)="0"),"",
HYPERLINK("["&amp;Archivo_Nombre&amp;"]Datos!"&amp;LEFT(SUBSTITUTE(ADDRESS(1,IF(Formulas!AX83=1,1,RIGHT(Formulas!AY83)+2)),"$",""))&amp;Formulas!AW83+1,
IFERROR(INDEX(Datos!$A$1:$L$1,1,RIGHT(Formulas!AY83)+2)&amp;IF(Formulas!AX83=1," "&amp;Formulas!AW83,"")&amp;":","")))</f>
        <v/>
      </c>
      <c r="AW86" s="107" t="str" cm="1">
        <f t="array" aca="1" ref="AW86" ca="1">IF(OR(Formulas!AX83=0,Formulas!AX83="",RIGHT(Formulas!AY83)="0"),"",
HYPERLINK("["&amp;Archivo_Nombre&amp;"]Datos!"&amp;LEFT(SUBSTITUTE(ADDRESS(1,RIGHT(Formulas!AY83)+2),"$",""))&amp;Formulas!AW83+1,
IFERROR(INDEX(Datos!$A$2:$L$101,Formulas!AW83,RIGHT(Formulas!AY83)+2),"")))</f>
        <v/>
      </c>
      <c r="AX86" s="107" t="str" cm="1">
        <f t="array" aca="1" ref="AX86" ca="1">IF(OR(Formulas!AY84=0,Formulas!AY84=""),"",HYPERLINK("["&amp;Archivo_Nombre&amp;"]Datos!"&amp;LEFT(SUBSTITUTE(ADDRESS(1,Formulas!AY84+2),"$",""))&amp;Formulas!AX84+1,
IFERROR(INDEX(Datos!$A$2:$L$101,Formulas!AX84,Formulas!AY84+2),"")))</f>
        <v/>
      </c>
      <c r="AY86" s="13"/>
    </row>
    <row r="87" spans="2:51" x14ac:dyDescent="0.25">
      <c r="B87" s="11"/>
      <c r="C87" s="24" t="str" cm="1">
        <f t="array" aca="1" ref="C87" ca="1">IF(OR(Formulas!E84=0,Formulas!E84="",RIGHT(Formulas!F84)="0"),"",
HYPERLINK("["&amp;Archivo_Nombre&amp;"]Datos!"&amp;LEFT(SUBSTITUTE(ADDRESS(1,IF(Formulas!E84=1,1,RIGHT(Formulas!F84)+2)),"$",""))&amp;Formulas!D84+1,
IFERROR(INDEX(Datos!$A$1:$L$1,1,RIGHT(Formulas!F84)+2)&amp;IF(Formulas!E84=1," "&amp;Formulas!D84,"")&amp;":","")))</f>
        <v/>
      </c>
      <c r="D87" s="107" t="str" cm="1">
        <f t="array" aca="1" ref="D87" ca="1">IF(OR(Formulas!E84=0,Formulas!E84="",RIGHT(Formulas!F84)="0"),"",
HYPERLINK("["&amp;Archivo_Nombre&amp;"]Datos!"&amp;LEFT(SUBSTITUTE(ADDRESS(1,RIGHT(Formulas!F84)+2),"$",""))&amp;Formulas!D84+1,
IFERROR(INDEX(Datos!$A$2:$L$101,Formulas!D84,RIGHT(Formulas!F84)+2),"")))</f>
        <v/>
      </c>
      <c r="E87" s="107" t="str" cm="1">
        <f t="array" aca="1" ref="E87" ca="1">IF(OR(Formulas!F85=0,Formulas!F85=""),"",HYPERLINK("["&amp;Archivo_Nombre&amp;"]Datos!"&amp;LEFT(SUBSTITUTE(ADDRESS(1,Formulas!F85+2),"$",""))&amp;Formulas!E85+1,
IFERROR(INDEX(Datos!$A$2:$L$101,Formulas!E85,Formulas!F85+2),"")))</f>
        <v/>
      </c>
      <c r="F87" s="5"/>
      <c r="G87" s="6"/>
      <c r="H87" s="24" t="str" cm="1">
        <f t="array" aca="1" ref="H87" ca="1">IF(OR(Formulas!J84=0,Formulas!J84="",RIGHT(Formulas!K84)="0"),"",
HYPERLINK("["&amp;Archivo_Nombre&amp;"]Datos!"&amp;LEFT(SUBSTITUTE(ADDRESS(1,IF(Formulas!J84=1,1,RIGHT(Formulas!K84)+2)),"$",""))&amp;Formulas!I84+1,
IFERROR(INDEX(Datos!$A$1:$L$1,1,RIGHT(Formulas!K84)+2)&amp;IF(Formulas!J84=1," "&amp;Formulas!I84,"")&amp;":","")))</f>
        <v/>
      </c>
      <c r="I87" s="107" t="str" cm="1">
        <f t="array" aca="1" ref="I87" ca="1">IF(OR(Formulas!J84=0,Formulas!J84="",RIGHT(Formulas!K84)="0"),"",
HYPERLINK("["&amp;Archivo_Nombre&amp;"]Datos!"&amp;LEFT(SUBSTITUTE(ADDRESS(1,RIGHT(Formulas!K84)+2),"$",""))&amp;Formulas!I84+1,
IFERROR(INDEX(Datos!$A$2:$L$101,Formulas!I84,RIGHT(Formulas!K84)+2),"")))</f>
        <v/>
      </c>
      <c r="J87" s="107" t="str" cm="1">
        <f t="array" aca="1" ref="J87" ca="1">IF(OR(Formulas!K85=0,Formulas!K85=""),"",HYPERLINK("["&amp;Archivo_Nombre&amp;"]Datos!"&amp;LEFT(SUBSTITUTE(ADDRESS(1,Formulas!K85+2),"$",""))&amp;Formulas!J85+1,
IFERROR(INDEX(Datos!$A$2:$L$101,Formulas!J85,Formulas!K85+2),"")))</f>
        <v/>
      </c>
      <c r="K87" s="5"/>
      <c r="L87" s="6"/>
      <c r="M87" s="24" t="str" cm="1">
        <f t="array" aca="1" ref="M87" ca="1">IF(OR(Formulas!O84=0,Formulas!O84="",RIGHT(Formulas!P84)="0"),"",
HYPERLINK("["&amp;Archivo_Nombre&amp;"]Datos!"&amp;LEFT(SUBSTITUTE(ADDRESS(1,IF(Formulas!O84=1,1,RIGHT(Formulas!P84)+2)),"$",""))&amp;Formulas!N84+1,
IFERROR(INDEX(Datos!$A$1:$L$1,1,RIGHT(Formulas!P84)+2)&amp;IF(Formulas!O84=1," "&amp;Formulas!N84,"")&amp;":","")))</f>
        <v/>
      </c>
      <c r="N87" s="107" t="str" cm="1">
        <f t="array" aca="1" ref="N87" ca="1">IF(OR(Formulas!O84=0,Formulas!O84="",RIGHT(Formulas!P84)="0"),"",
HYPERLINK("["&amp;Archivo_Nombre&amp;"]Datos!"&amp;LEFT(SUBSTITUTE(ADDRESS(1,RIGHT(Formulas!P84)+2),"$",""))&amp;Formulas!N84+1,
IFERROR(INDEX(Datos!$A$2:$L$101,Formulas!N84,RIGHT(Formulas!P84)+2),"")))</f>
        <v/>
      </c>
      <c r="O87" s="107" t="str" cm="1">
        <f t="array" aca="1" ref="O87" ca="1">IF(OR(Formulas!P85=0,Formulas!P85=""),"",HYPERLINK("["&amp;Archivo_Nombre&amp;"]Datos!"&amp;LEFT(SUBSTITUTE(ADDRESS(1,Formulas!P85+2),"$",""))&amp;Formulas!O85+1,
IFERROR(INDEX(Datos!$A$2:$L$101,Formulas!O85,Formulas!P85+2),"")))</f>
        <v/>
      </c>
      <c r="P87" s="5"/>
      <c r="Q87" s="6"/>
      <c r="R87" s="24" t="str" cm="1">
        <f t="array" aca="1" ref="R87" ca="1">IF(OR(Formulas!T84=0,Formulas!T84="",RIGHT(Formulas!U84)="0"),"",
HYPERLINK("["&amp;Archivo_Nombre&amp;"]Datos!"&amp;LEFT(SUBSTITUTE(ADDRESS(1,IF(Formulas!T84=1,1,RIGHT(Formulas!U84)+2)),"$",""))&amp;Formulas!S84+1,
IFERROR(INDEX(Datos!$A$1:$L$1,1,RIGHT(Formulas!U84)+2)&amp;IF(Formulas!T84=1," "&amp;Formulas!S84,"")&amp;":","")))</f>
        <v>Tarea:</v>
      </c>
      <c r="S87" s="107" t="str" cm="1">
        <f t="array" aca="1" ref="S87" ca="1">IF(OR(Formulas!T84=0,Formulas!T84="",RIGHT(Formulas!U84)="0"),"",
HYPERLINK("["&amp;Archivo_Nombre&amp;"]Datos!"&amp;LEFT(SUBSTITUTE(ADDRESS(1,RIGHT(Formulas!U84)+2),"$",""))&amp;Formulas!S84+1,
IFERROR(INDEX(Datos!$A$2:$L$101,Formulas!S84,RIGHT(Formulas!U84)+2),"")))</f>
        <v>Pruebas caja blanca y caja negra
y de la organización</v>
      </c>
      <c r="T87" s="107" t="e" cm="1">
        <f t="array" aca="1" ref="T87" ca="1">IF(OR(Formulas!U85=0,Formulas!U85=""),"",HYPERLINK("["&amp;Archivo_Nombre&amp;"]Datos!"&amp;LEFT(SUBSTITUTE(ADDRESS(1,Formulas!U85+2),"$",""))&amp;Formulas!T85+1,
IFERROR(INDEX(Datos!$A$2:$L$101,Formulas!T85,Formulas!U85+2),"")))</f>
        <v>#VALUE!</v>
      </c>
      <c r="U87" s="5"/>
      <c r="V87" s="6"/>
      <c r="W87" s="24" t="str" cm="1">
        <f t="array" aca="1" ref="W87" ca="1">IF(OR(Formulas!Y84=0,Formulas!Y84="",RIGHT(Formulas!Z84)="0"),"",
HYPERLINK("["&amp;Archivo_Nombre&amp;"]Datos!"&amp;LEFT(SUBSTITUTE(ADDRESS(1,IF(Formulas!Y84=1,1,RIGHT(Formulas!Z84)+2)),"$",""))&amp;Formulas!X84+1,
IFERROR(INDEX(Datos!$A$1:$L$1,1,RIGHT(Formulas!Z84)+2)&amp;IF(Formulas!Y84=1," "&amp;Formulas!X84,"")&amp;":","")))</f>
        <v/>
      </c>
      <c r="X87" s="107" t="str" cm="1">
        <f t="array" aca="1" ref="X87" ca="1">IF(OR(Formulas!Y84=0,Formulas!Y84="",RIGHT(Formulas!Z84)="0"),"",
HYPERLINK("["&amp;Archivo_Nombre&amp;"]Datos!"&amp;LEFT(SUBSTITUTE(ADDRESS(1,RIGHT(Formulas!Z84)+2),"$",""))&amp;Formulas!X84+1,
IFERROR(INDEX(Datos!$A$2:$L$101,Formulas!X84,RIGHT(Formulas!Z84)+2),"")))</f>
        <v/>
      </c>
      <c r="Y87" s="107" t="str" cm="1">
        <f t="array" aca="1" ref="Y87" ca="1">IF(OR(Formulas!Z85=0,Formulas!Z85=""),"",HYPERLINK("["&amp;Archivo_Nombre&amp;"]Datos!"&amp;LEFT(SUBSTITUTE(ADDRESS(1,Formulas!Z85+2),"$",""))&amp;Formulas!Y85+1,
IFERROR(INDEX(Datos!$A$2:$L$101,Formulas!Y85,Formulas!Z85+2),"")))</f>
        <v/>
      </c>
      <c r="Z87" s="13"/>
      <c r="AA87" s="6"/>
      <c r="AB87" s="24" t="str" cm="1">
        <f t="array" aca="1" ref="AB87" ca="1">IF(OR(Formulas!AD84=0,Formulas!AD84="",RIGHT(Formulas!AE84)="0"),"",
HYPERLINK("["&amp;Archivo_Nombre&amp;"]Datos!"&amp;LEFT(SUBSTITUTE(ADDRESS(1,IF(Formulas!AD84=1,1,RIGHT(Formulas!AE84)+2)),"$",""))&amp;Formulas!AC84+1,
IFERROR(INDEX(Datos!$A$1:$L$1,1,RIGHT(Formulas!AE84)+2)&amp;IF(Formulas!AD84=1," "&amp;Formulas!AC84,"")&amp;":","")))</f>
        <v/>
      </c>
      <c r="AC87" s="107" t="str" cm="1">
        <f t="array" aca="1" ref="AC87" ca="1">IF(OR(Formulas!AD84=0,Formulas!AD84="",RIGHT(Formulas!AE84)="0"),"",
HYPERLINK("["&amp;Archivo_Nombre&amp;"]Datos!"&amp;LEFT(SUBSTITUTE(ADDRESS(1,RIGHT(Formulas!AE84)+2),"$",""))&amp;Formulas!AC84+1,
IFERROR(INDEX(Datos!$A$2:$L$101,Formulas!AC84,RIGHT(Formulas!AE84)+2),"")))</f>
        <v/>
      </c>
      <c r="AD87" s="107" t="str" cm="1">
        <f t="array" aca="1" ref="AD87" ca="1">IF(OR(Formulas!AE85=0,Formulas!AE85=""),"",HYPERLINK("["&amp;Archivo_Nombre&amp;"]Datos!"&amp;LEFT(SUBSTITUTE(ADDRESS(1,Formulas!AE85+2),"$",""))&amp;Formulas!AD85+1,
IFERROR(INDEX(Datos!$A$2:$L$101,Formulas!AD85,Formulas!AE85+2),"")))</f>
        <v/>
      </c>
      <c r="AE87" s="13"/>
      <c r="AF87" s="6"/>
      <c r="AG87" s="24" t="str" cm="1">
        <f t="array" aca="1" ref="AG87" ca="1">IF(OR(Formulas!AI84=0,Formulas!AI84="",RIGHT(Formulas!AJ84)="0"),"",
HYPERLINK("["&amp;Archivo_Nombre&amp;"]Datos!"&amp;LEFT(SUBSTITUTE(ADDRESS(1,IF(Formulas!AI84=1,1,RIGHT(Formulas!AJ84)+2)),"$",""))&amp;Formulas!AH84+1,
IFERROR(INDEX(Datos!$A$1:$L$1,1,RIGHT(Formulas!AJ84)+2)&amp;IF(Formulas!AI84=1," "&amp;Formulas!AH84,"")&amp;":","")))</f>
        <v/>
      </c>
      <c r="AH87" s="107" t="str" cm="1">
        <f t="array" aca="1" ref="AH87" ca="1">IF(OR(Formulas!AI84=0,Formulas!AI84="",RIGHT(Formulas!AJ84)="0"),"",
HYPERLINK("["&amp;Archivo_Nombre&amp;"]Datos!"&amp;LEFT(SUBSTITUTE(ADDRESS(1,RIGHT(Formulas!AJ84)+2),"$",""))&amp;Formulas!AH84+1,
IFERROR(INDEX(Datos!$A$2:$L$101,Formulas!AH84,RIGHT(Formulas!AJ84)+2),"")))</f>
        <v/>
      </c>
      <c r="AI87" s="107" t="str" cm="1">
        <f t="array" aca="1" ref="AI87" ca="1">IF(OR(Formulas!AJ85=0,Formulas!AJ85=""),"",HYPERLINK("["&amp;Archivo_Nombre&amp;"]Datos!"&amp;LEFT(SUBSTITUTE(ADDRESS(1,Formulas!AJ85+2),"$",""))&amp;Formulas!AI85+1,
IFERROR(INDEX(Datos!$A$2:$L$101,Formulas!AI85,Formulas!AJ85+2),"")))</f>
        <v/>
      </c>
      <c r="AJ87" s="13"/>
      <c r="AK87" s="6"/>
      <c r="AL87" s="24" t="str" cm="1">
        <f t="array" aca="1" ref="AL87" ca="1">IF(OR(Formulas!AN84=0,Formulas!AN84="",RIGHT(Formulas!AO84)="0"),"",
HYPERLINK("["&amp;Archivo_Nombre&amp;"]Datos!"&amp;LEFT(SUBSTITUTE(ADDRESS(1,IF(Formulas!AN84=1,1,RIGHT(Formulas!AO84)+2)),"$",""))&amp;Formulas!AM84+1,
IFERROR(INDEX(Datos!$A$1:$L$1,1,RIGHT(Formulas!AO84)+2)&amp;IF(Formulas!AN84=1," "&amp;Formulas!AM84,"")&amp;":","")))</f>
        <v/>
      </c>
      <c r="AM87" s="107" t="str" cm="1">
        <f t="array" aca="1" ref="AM87" ca="1">IF(OR(Formulas!AN84=0,Formulas!AN84="",RIGHT(Formulas!AO84)="0"),"",
HYPERLINK("["&amp;Archivo_Nombre&amp;"]Datos!"&amp;LEFT(SUBSTITUTE(ADDRESS(1,RIGHT(Formulas!AO84)+2),"$",""))&amp;Formulas!AM84+1,
IFERROR(INDEX(Datos!$A$2:$L$101,Formulas!AM84,RIGHT(Formulas!AO84)+2),"")))</f>
        <v/>
      </c>
      <c r="AN87" s="107" t="str" cm="1">
        <f t="array" aca="1" ref="AN87" ca="1">IF(OR(Formulas!AO85=0,Formulas!AO85=""),"",HYPERLINK("["&amp;Archivo_Nombre&amp;"]Datos!"&amp;LEFT(SUBSTITUTE(ADDRESS(1,Formulas!AO85+2),"$",""))&amp;Formulas!AN85+1,
IFERROR(INDEX(Datos!$A$2:$L$101,Formulas!AN85,Formulas!AO85+2),"")))</f>
        <v/>
      </c>
      <c r="AO87" s="13"/>
      <c r="AP87" s="6"/>
      <c r="AQ87" s="24" t="str" cm="1">
        <f t="array" aca="1" ref="AQ87" ca="1">IF(OR(Formulas!AS84=0,Formulas!AS84="",RIGHT(Formulas!AT84)="0"),"",
HYPERLINK("["&amp;Archivo_Nombre&amp;"]Datos!"&amp;LEFT(SUBSTITUTE(ADDRESS(1,IF(Formulas!AS84=1,1,RIGHT(Formulas!AT84)+2)),"$",""))&amp;Formulas!AR84+1,
IFERROR(INDEX(Datos!$A$1:$L$1,1,RIGHT(Formulas!AT84)+2)&amp;IF(Formulas!AS84=1," "&amp;Formulas!AR84,"")&amp;":","")))</f>
        <v/>
      </c>
      <c r="AR87" s="107" t="str" cm="1">
        <f t="array" aca="1" ref="AR87" ca="1">IF(OR(Formulas!AS84=0,Formulas!AS84="",RIGHT(Formulas!AT84)="0"),"",
HYPERLINK("["&amp;Archivo_Nombre&amp;"]Datos!"&amp;LEFT(SUBSTITUTE(ADDRESS(1,RIGHT(Formulas!AT84)+2),"$",""))&amp;Formulas!AR84+1,
IFERROR(INDEX(Datos!$A$2:$L$101,Formulas!AR84,RIGHT(Formulas!AT84)+2),"")))</f>
        <v/>
      </c>
      <c r="AS87" s="107" t="str" cm="1">
        <f t="array" aca="1" ref="AS87" ca="1">IF(OR(Formulas!AT85=0,Formulas!AT85=""),"",HYPERLINK("["&amp;Archivo_Nombre&amp;"]Datos!"&amp;LEFT(SUBSTITUTE(ADDRESS(1,Formulas!AT85+2),"$",""))&amp;Formulas!AS85+1,
IFERROR(INDEX(Datos!$A$2:$L$101,Formulas!AS85,Formulas!AT85+2),"")))</f>
        <v/>
      </c>
      <c r="AT87" s="13"/>
      <c r="AU87" s="6"/>
      <c r="AV87" s="24" t="str" cm="1">
        <f t="array" aca="1" ref="AV87" ca="1">IF(OR(Formulas!AX84=0,Formulas!AX84="",RIGHT(Formulas!AY84)="0"),"",
HYPERLINK("["&amp;Archivo_Nombre&amp;"]Datos!"&amp;LEFT(SUBSTITUTE(ADDRESS(1,IF(Formulas!AX84=1,1,RIGHT(Formulas!AY84)+2)),"$",""))&amp;Formulas!AW84+1,
IFERROR(INDEX(Datos!$A$1:$L$1,1,RIGHT(Formulas!AY84)+2)&amp;IF(Formulas!AX84=1," "&amp;Formulas!AW84,"")&amp;":","")))</f>
        <v/>
      </c>
      <c r="AW87" s="107" t="str" cm="1">
        <f t="array" aca="1" ref="AW87" ca="1">IF(OR(Formulas!AX84=0,Formulas!AX84="",RIGHT(Formulas!AY84)="0"),"",
HYPERLINK("["&amp;Archivo_Nombre&amp;"]Datos!"&amp;LEFT(SUBSTITUTE(ADDRESS(1,RIGHT(Formulas!AY84)+2),"$",""))&amp;Formulas!AW84+1,
IFERROR(INDEX(Datos!$A$2:$L$101,Formulas!AW84,RIGHT(Formulas!AY84)+2),"")))</f>
        <v/>
      </c>
      <c r="AX87" s="107" t="str" cm="1">
        <f t="array" aca="1" ref="AX87" ca="1">IF(OR(Formulas!AY85=0,Formulas!AY85=""),"",HYPERLINK("["&amp;Archivo_Nombre&amp;"]Datos!"&amp;LEFT(SUBSTITUTE(ADDRESS(1,Formulas!AY85+2),"$",""))&amp;Formulas!AX85+1,
IFERROR(INDEX(Datos!$A$2:$L$101,Formulas!AX85,Formulas!AY85+2),"")))</f>
        <v/>
      </c>
      <c r="AY87" s="13"/>
    </row>
    <row r="88" spans="2:51" x14ac:dyDescent="0.25">
      <c r="B88" s="11"/>
      <c r="C88" s="24" t="str" cm="1">
        <f t="array" aca="1" ref="C88" ca="1">IF(OR(Formulas!E85=0,Formulas!E85="",RIGHT(Formulas!F85)="0"),"",
HYPERLINK("["&amp;Archivo_Nombre&amp;"]Datos!"&amp;LEFT(SUBSTITUTE(ADDRESS(1,IF(Formulas!E85=1,1,RIGHT(Formulas!F85)+2)),"$",""))&amp;Formulas!D85+1,
IFERROR(INDEX(Datos!$A$1:$L$1,1,RIGHT(Formulas!F85)+2)&amp;IF(Formulas!E85=1," "&amp;Formulas!D85,"")&amp;":","")))</f>
        <v/>
      </c>
      <c r="D88" s="107" t="str" cm="1">
        <f t="array" aca="1" ref="D88" ca="1">IF(OR(Formulas!E85=0,Formulas!E85="",RIGHT(Formulas!F85)="0"),"",
HYPERLINK("["&amp;Archivo_Nombre&amp;"]Datos!"&amp;LEFT(SUBSTITUTE(ADDRESS(1,RIGHT(Formulas!F85)+2),"$",""))&amp;Formulas!D85+1,
IFERROR(INDEX(Datos!$A$2:$L$101,Formulas!D85,RIGHT(Formulas!F85)+2),"")))</f>
        <v/>
      </c>
      <c r="E88" s="107" t="str" cm="1">
        <f t="array" aca="1" ref="E88" ca="1">IF(OR(Formulas!F86=0,Formulas!F86=""),"",HYPERLINK("["&amp;Archivo_Nombre&amp;"]Datos!"&amp;LEFT(SUBSTITUTE(ADDRESS(1,Formulas!F86+2),"$",""))&amp;Formulas!E86+1,
IFERROR(INDEX(Datos!$A$2:$L$101,Formulas!E86,Formulas!F86+2),"")))</f>
        <v/>
      </c>
      <c r="F88" s="5"/>
      <c r="G88" s="6"/>
      <c r="H88" s="24" t="str" cm="1">
        <f t="array" aca="1" ref="H88" ca="1">IF(OR(Formulas!J85=0,Formulas!J85="",RIGHT(Formulas!K85)="0"),"",
HYPERLINK("["&amp;Archivo_Nombre&amp;"]Datos!"&amp;LEFT(SUBSTITUTE(ADDRESS(1,IF(Formulas!J85=1,1,RIGHT(Formulas!K85)+2)),"$",""))&amp;Formulas!I85+1,
IFERROR(INDEX(Datos!$A$1:$L$1,1,RIGHT(Formulas!K85)+2)&amp;IF(Formulas!J85=1," "&amp;Formulas!I85,"")&amp;":","")))</f>
        <v/>
      </c>
      <c r="I88" s="107" t="str" cm="1">
        <f t="array" aca="1" ref="I88" ca="1">IF(OR(Formulas!J85=0,Formulas!J85="",RIGHT(Formulas!K85)="0"),"",
HYPERLINK("["&amp;Archivo_Nombre&amp;"]Datos!"&amp;LEFT(SUBSTITUTE(ADDRESS(1,RIGHT(Formulas!K85)+2),"$",""))&amp;Formulas!I85+1,
IFERROR(INDEX(Datos!$A$2:$L$101,Formulas!I85,RIGHT(Formulas!K85)+2),"")))</f>
        <v/>
      </c>
      <c r="J88" s="107" t="str" cm="1">
        <f t="array" aca="1" ref="J88" ca="1">IF(OR(Formulas!K86=0,Formulas!K86=""),"",HYPERLINK("["&amp;Archivo_Nombre&amp;"]Datos!"&amp;LEFT(SUBSTITUTE(ADDRESS(1,Formulas!K86+2),"$",""))&amp;Formulas!J86+1,
IFERROR(INDEX(Datos!$A$2:$L$101,Formulas!J86,Formulas!K86+2),"")))</f>
        <v/>
      </c>
      <c r="K88" s="5"/>
      <c r="L88" s="6"/>
      <c r="M88" s="24" t="str" cm="1">
        <f t="array" aca="1" ref="M88" ca="1">IF(OR(Formulas!O85=0,Formulas!O85="",RIGHT(Formulas!P85)="0"),"",
HYPERLINK("["&amp;Archivo_Nombre&amp;"]Datos!"&amp;LEFT(SUBSTITUTE(ADDRESS(1,IF(Formulas!O85=1,1,RIGHT(Formulas!P85)+2)),"$",""))&amp;Formulas!N85+1,
IFERROR(INDEX(Datos!$A$1:$L$1,1,RIGHT(Formulas!P85)+2)&amp;IF(Formulas!O85=1," "&amp;Formulas!N85,"")&amp;":","")))</f>
        <v/>
      </c>
      <c r="N88" s="107" t="str" cm="1">
        <f t="array" aca="1" ref="N88" ca="1">IF(OR(Formulas!O85=0,Formulas!O85="",RIGHT(Formulas!P85)="0"),"",
HYPERLINK("["&amp;Archivo_Nombre&amp;"]Datos!"&amp;LEFT(SUBSTITUTE(ADDRESS(1,RIGHT(Formulas!P85)+2),"$",""))&amp;Formulas!N85+1,
IFERROR(INDEX(Datos!$A$2:$L$101,Formulas!N85,RIGHT(Formulas!P85)+2),"")))</f>
        <v/>
      </c>
      <c r="O88" s="107" t="str" cm="1">
        <f t="array" aca="1" ref="O88" ca="1">IF(OR(Formulas!P86=0,Formulas!P86=""),"",HYPERLINK("["&amp;Archivo_Nombre&amp;"]Datos!"&amp;LEFT(SUBSTITUTE(ADDRESS(1,Formulas!P86+2),"$",""))&amp;Formulas!O86+1,
IFERROR(INDEX(Datos!$A$2:$L$101,Formulas!O86,Formulas!P86+2),"")))</f>
        <v/>
      </c>
      <c r="P88" s="5"/>
      <c r="Q88" s="6"/>
      <c r="R88" s="24" t="str" cm="1">
        <f t="array" aca="1" ref="R88" ca="1">IF(OR(Formulas!T85=0,Formulas!T85="",RIGHT(Formulas!U85)="0"),"",
HYPERLINK("["&amp;Archivo_Nombre&amp;"]Datos!"&amp;LEFT(SUBSTITUTE(ADDRESS(1,IF(Formulas!T85=1,1,RIGHT(Formulas!U85)+2)),"$",""))&amp;Formulas!S85+1,
IFERROR(INDEX(Datos!$A$1:$L$1,1,RIGHT(Formulas!U85)+2)&amp;IF(Formulas!T85=1," "&amp;Formulas!S85,"")&amp;":","")))</f>
        <v>Descripción:</v>
      </c>
      <c r="S88" s="107" t="str" cm="1">
        <f t="array" aca="1" ref="S88" ca="1">IF(OR(Formulas!T85=0,Formulas!T85="",RIGHT(Formulas!U85)="0"),"",
HYPERLINK("["&amp;Archivo_Nombre&amp;"]Datos!"&amp;LEFT(SUBSTITUTE(ADDRESS(1,RIGHT(Formulas!U85)+2),"$",""))&amp;Formulas!S85+1,
IFERROR(INDEX(Datos!$A$2:$L$101,Formulas!S85,RIGHT(Formulas!U85)+2),"")))</f>
        <v>Pruebas caja blanca y caja negra</v>
      </c>
      <c r="T88" s="107" t="e" cm="1">
        <f t="array" aca="1" ref="T88" ca="1">IF(OR(Formulas!U86=0,Formulas!U86=""),"",HYPERLINK("["&amp;Archivo_Nombre&amp;"]Datos!"&amp;LEFT(SUBSTITUTE(ADDRESS(1,Formulas!U86+2),"$",""))&amp;Formulas!T86+1,
IFERROR(INDEX(Datos!$A$2:$L$101,Formulas!T86,Formulas!U86+2),"")))</f>
        <v>#VALUE!</v>
      </c>
      <c r="U88" s="5"/>
      <c r="V88" s="6"/>
      <c r="W88" s="24" t="str" cm="1">
        <f t="array" aca="1" ref="W88" ca="1">IF(OR(Formulas!Y85=0,Formulas!Y85="",RIGHT(Formulas!Z85)="0"),"",
HYPERLINK("["&amp;Archivo_Nombre&amp;"]Datos!"&amp;LEFT(SUBSTITUTE(ADDRESS(1,IF(Formulas!Y85=1,1,RIGHT(Formulas!Z85)+2)),"$",""))&amp;Formulas!X85+1,
IFERROR(INDEX(Datos!$A$1:$L$1,1,RIGHT(Formulas!Z85)+2)&amp;IF(Formulas!Y85=1," "&amp;Formulas!X85,"")&amp;":","")))</f>
        <v/>
      </c>
      <c r="X88" s="107" t="str" cm="1">
        <f t="array" aca="1" ref="X88" ca="1">IF(OR(Formulas!Y85=0,Formulas!Y85="",RIGHT(Formulas!Z85)="0"),"",
HYPERLINK("["&amp;Archivo_Nombre&amp;"]Datos!"&amp;LEFT(SUBSTITUTE(ADDRESS(1,RIGHT(Formulas!Z85)+2),"$",""))&amp;Formulas!X85+1,
IFERROR(INDEX(Datos!$A$2:$L$101,Formulas!X85,RIGHT(Formulas!Z85)+2),"")))</f>
        <v/>
      </c>
      <c r="Y88" s="107" t="str" cm="1">
        <f t="array" aca="1" ref="Y88" ca="1">IF(OR(Formulas!Z86=0,Formulas!Z86=""),"",HYPERLINK("["&amp;Archivo_Nombre&amp;"]Datos!"&amp;LEFT(SUBSTITUTE(ADDRESS(1,Formulas!Z86+2),"$",""))&amp;Formulas!Y86+1,
IFERROR(INDEX(Datos!$A$2:$L$101,Formulas!Y86,Formulas!Z86+2),"")))</f>
        <v/>
      </c>
      <c r="Z88" s="13"/>
      <c r="AA88" s="6"/>
      <c r="AB88" s="24" t="str" cm="1">
        <f t="array" aca="1" ref="AB88" ca="1">IF(OR(Formulas!AD85=0,Formulas!AD85="",RIGHT(Formulas!AE85)="0"),"",
HYPERLINK("["&amp;Archivo_Nombre&amp;"]Datos!"&amp;LEFT(SUBSTITUTE(ADDRESS(1,IF(Formulas!AD85=1,1,RIGHT(Formulas!AE85)+2)),"$",""))&amp;Formulas!AC85+1,
IFERROR(INDEX(Datos!$A$1:$L$1,1,RIGHT(Formulas!AE85)+2)&amp;IF(Formulas!AD85=1," "&amp;Formulas!AC85,"")&amp;":","")))</f>
        <v/>
      </c>
      <c r="AC88" s="107" t="str" cm="1">
        <f t="array" aca="1" ref="AC88" ca="1">IF(OR(Formulas!AD85=0,Formulas!AD85="",RIGHT(Formulas!AE85)="0"),"",
HYPERLINK("["&amp;Archivo_Nombre&amp;"]Datos!"&amp;LEFT(SUBSTITUTE(ADDRESS(1,RIGHT(Formulas!AE85)+2),"$",""))&amp;Formulas!AC85+1,
IFERROR(INDEX(Datos!$A$2:$L$101,Formulas!AC85,RIGHT(Formulas!AE85)+2),"")))</f>
        <v/>
      </c>
      <c r="AD88" s="107" t="str" cm="1">
        <f t="array" aca="1" ref="AD88" ca="1">IF(OR(Formulas!AE86=0,Formulas!AE86=""),"",HYPERLINK("["&amp;Archivo_Nombre&amp;"]Datos!"&amp;LEFT(SUBSTITUTE(ADDRESS(1,Formulas!AE86+2),"$",""))&amp;Formulas!AD86+1,
IFERROR(INDEX(Datos!$A$2:$L$101,Formulas!AD86,Formulas!AE86+2),"")))</f>
        <v/>
      </c>
      <c r="AE88" s="13"/>
      <c r="AF88" s="6"/>
      <c r="AG88" s="24" t="str" cm="1">
        <f t="array" aca="1" ref="AG88" ca="1">IF(OR(Formulas!AI85=0,Formulas!AI85="",RIGHT(Formulas!AJ85)="0"),"",
HYPERLINK("["&amp;Archivo_Nombre&amp;"]Datos!"&amp;LEFT(SUBSTITUTE(ADDRESS(1,IF(Formulas!AI85=1,1,RIGHT(Formulas!AJ85)+2)),"$",""))&amp;Formulas!AH85+1,
IFERROR(INDEX(Datos!$A$1:$L$1,1,RIGHT(Formulas!AJ85)+2)&amp;IF(Formulas!AI85=1," "&amp;Formulas!AH85,"")&amp;":","")))</f>
        <v/>
      </c>
      <c r="AH88" s="107" t="str" cm="1">
        <f t="array" aca="1" ref="AH88" ca="1">IF(OR(Formulas!AI85=0,Formulas!AI85="",RIGHT(Formulas!AJ85)="0"),"",
HYPERLINK("["&amp;Archivo_Nombre&amp;"]Datos!"&amp;LEFT(SUBSTITUTE(ADDRESS(1,RIGHT(Formulas!AJ85)+2),"$",""))&amp;Formulas!AH85+1,
IFERROR(INDEX(Datos!$A$2:$L$101,Formulas!AH85,RIGHT(Formulas!AJ85)+2),"")))</f>
        <v/>
      </c>
      <c r="AI88" s="107" t="str" cm="1">
        <f t="array" aca="1" ref="AI88" ca="1">IF(OR(Formulas!AJ86=0,Formulas!AJ86=""),"",HYPERLINK("["&amp;Archivo_Nombre&amp;"]Datos!"&amp;LEFT(SUBSTITUTE(ADDRESS(1,Formulas!AJ86+2),"$",""))&amp;Formulas!AI86+1,
IFERROR(INDEX(Datos!$A$2:$L$101,Formulas!AI86,Formulas!AJ86+2),"")))</f>
        <v/>
      </c>
      <c r="AJ88" s="13"/>
      <c r="AK88" s="6"/>
      <c r="AL88" s="24" t="str" cm="1">
        <f t="array" aca="1" ref="AL88" ca="1">IF(OR(Formulas!AN85=0,Formulas!AN85="",RIGHT(Formulas!AO85)="0"),"",
HYPERLINK("["&amp;Archivo_Nombre&amp;"]Datos!"&amp;LEFT(SUBSTITUTE(ADDRESS(1,IF(Formulas!AN85=1,1,RIGHT(Formulas!AO85)+2)),"$",""))&amp;Formulas!AM85+1,
IFERROR(INDEX(Datos!$A$1:$L$1,1,RIGHT(Formulas!AO85)+2)&amp;IF(Formulas!AN85=1," "&amp;Formulas!AM85,"")&amp;":","")))</f>
        <v/>
      </c>
      <c r="AM88" s="107" t="str" cm="1">
        <f t="array" aca="1" ref="AM88" ca="1">IF(OR(Formulas!AN85=0,Formulas!AN85="",RIGHT(Formulas!AO85)="0"),"",
HYPERLINK("["&amp;Archivo_Nombre&amp;"]Datos!"&amp;LEFT(SUBSTITUTE(ADDRESS(1,RIGHT(Formulas!AO85)+2),"$",""))&amp;Formulas!AM85+1,
IFERROR(INDEX(Datos!$A$2:$L$101,Formulas!AM85,RIGHT(Formulas!AO85)+2),"")))</f>
        <v/>
      </c>
      <c r="AN88" s="107" t="str" cm="1">
        <f t="array" aca="1" ref="AN88" ca="1">IF(OR(Formulas!AO86=0,Formulas!AO86=""),"",HYPERLINK("["&amp;Archivo_Nombre&amp;"]Datos!"&amp;LEFT(SUBSTITUTE(ADDRESS(1,Formulas!AO86+2),"$",""))&amp;Formulas!AN86+1,
IFERROR(INDEX(Datos!$A$2:$L$101,Formulas!AN86,Formulas!AO86+2),"")))</f>
        <v/>
      </c>
      <c r="AO88" s="13"/>
      <c r="AP88" s="6"/>
      <c r="AQ88" s="24" t="str" cm="1">
        <f t="array" aca="1" ref="AQ88" ca="1">IF(OR(Formulas!AS85=0,Formulas!AS85="",RIGHT(Formulas!AT85)="0"),"",
HYPERLINK("["&amp;Archivo_Nombre&amp;"]Datos!"&amp;LEFT(SUBSTITUTE(ADDRESS(1,IF(Formulas!AS85=1,1,RIGHT(Formulas!AT85)+2)),"$",""))&amp;Formulas!AR85+1,
IFERROR(INDEX(Datos!$A$1:$L$1,1,RIGHT(Formulas!AT85)+2)&amp;IF(Formulas!AS85=1," "&amp;Formulas!AR85,"")&amp;":","")))</f>
        <v/>
      </c>
      <c r="AR88" s="107" t="str" cm="1">
        <f t="array" aca="1" ref="AR88" ca="1">IF(OR(Formulas!AS85=0,Formulas!AS85="",RIGHT(Formulas!AT85)="0"),"",
HYPERLINK("["&amp;Archivo_Nombre&amp;"]Datos!"&amp;LEFT(SUBSTITUTE(ADDRESS(1,RIGHT(Formulas!AT85)+2),"$",""))&amp;Formulas!AR85+1,
IFERROR(INDEX(Datos!$A$2:$L$101,Formulas!AR85,RIGHT(Formulas!AT85)+2),"")))</f>
        <v/>
      </c>
      <c r="AS88" s="107" t="str" cm="1">
        <f t="array" aca="1" ref="AS88" ca="1">IF(OR(Formulas!AT86=0,Formulas!AT86=""),"",HYPERLINK("["&amp;Archivo_Nombre&amp;"]Datos!"&amp;LEFT(SUBSTITUTE(ADDRESS(1,Formulas!AT86+2),"$",""))&amp;Formulas!AS86+1,
IFERROR(INDEX(Datos!$A$2:$L$101,Formulas!AS86,Formulas!AT86+2),"")))</f>
        <v/>
      </c>
      <c r="AT88" s="13"/>
      <c r="AU88" s="6"/>
      <c r="AV88" s="24" t="str" cm="1">
        <f t="array" aca="1" ref="AV88" ca="1">IF(OR(Formulas!AX85=0,Formulas!AX85="",RIGHT(Formulas!AY85)="0"),"",
HYPERLINK("["&amp;Archivo_Nombre&amp;"]Datos!"&amp;LEFT(SUBSTITUTE(ADDRESS(1,IF(Formulas!AX85=1,1,RIGHT(Formulas!AY85)+2)),"$",""))&amp;Formulas!AW85+1,
IFERROR(INDEX(Datos!$A$1:$L$1,1,RIGHT(Formulas!AY85)+2)&amp;IF(Formulas!AX85=1," "&amp;Formulas!AW85,"")&amp;":","")))</f>
        <v/>
      </c>
      <c r="AW88" s="107" t="str" cm="1">
        <f t="array" aca="1" ref="AW88" ca="1">IF(OR(Formulas!AX85=0,Formulas!AX85="",RIGHT(Formulas!AY85)="0"),"",
HYPERLINK("["&amp;Archivo_Nombre&amp;"]Datos!"&amp;LEFT(SUBSTITUTE(ADDRESS(1,RIGHT(Formulas!AY85)+2),"$",""))&amp;Formulas!AW85+1,
IFERROR(INDEX(Datos!$A$2:$L$101,Formulas!AW85,RIGHT(Formulas!AY85)+2),"")))</f>
        <v/>
      </c>
      <c r="AX88" s="107" t="str" cm="1">
        <f t="array" aca="1" ref="AX88" ca="1">IF(OR(Formulas!AY86=0,Formulas!AY86=""),"",HYPERLINK("["&amp;Archivo_Nombre&amp;"]Datos!"&amp;LEFT(SUBSTITUTE(ADDRESS(1,Formulas!AY86+2),"$",""))&amp;Formulas!AX86+1,
IFERROR(INDEX(Datos!$A$2:$L$101,Formulas!AX86,Formulas!AY86+2),"")))</f>
        <v/>
      </c>
      <c r="AY88" s="13"/>
    </row>
    <row r="89" spans="2:51" x14ac:dyDescent="0.25">
      <c r="B89" s="11"/>
      <c r="C89" s="24" t="str" cm="1">
        <f t="array" aca="1" ref="C89" ca="1">IF(OR(Formulas!E86=0,Formulas!E86="",RIGHT(Formulas!F86)="0"),"",
HYPERLINK("["&amp;Archivo_Nombre&amp;"]Datos!"&amp;LEFT(SUBSTITUTE(ADDRESS(1,IF(Formulas!E86=1,1,RIGHT(Formulas!F86)+2)),"$",""))&amp;Formulas!D86+1,
IFERROR(INDEX(Datos!$A$1:$L$1,1,RIGHT(Formulas!F86)+2)&amp;IF(Formulas!E86=1," "&amp;Formulas!D86,"")&amp;":","")))</f>
        <v/>
      </c>
      <c r="D89" s="107" t="str" cm="1">
        <f t="array" aca="1" ref="D89" ca="1">IF(OR(Formulas!E86=0,Formulas!E86="",RIGHT(Formulas!F86)="0"),"",
HYPERLINK("["&amp;Archivo_Nombre&amp;"]Datos!"&amp;LEFT(SUBSTITUTE(ADDRESS(1,RIGHT(Formulas!F86)+2),"$",""))&amp;Formulas!D86+1,
IFERROR(INDEX(Datos!$A$2:$L$101,Formulas!D86,RIGHT(Formulas!F86)+2),"")))</f>
        <v/>
      </c>
      <c r="E89" s="107" t="str" cm="1">
        <f t="array" aca="1" ref="E89" ca="1">IF(OR(Formulas!F87=0,Formulas!F87=""),"",HYPERLINK("["&amp;Archivo_Nombre&amp;"]Datos!"&amp;LEFT(SUBSTITUTE(ADDRESS(1,Formulas!F87+2),"$",""))&amp;Formulas!E87+1,
IFERROR(INDEX(Datos!$A$2:$L$101,Formulas!E87,Formulas!F87+2),"")))</f>
        <v/>
      </c>
      <c r="F89" s="5"/>
      <c r="G89" s="6"/>
      <c r="H89" s="24" t="str" cm="1">
        <f t="array" aca="1" ref="H89" ca="1">IF(OR(Formulas!J86=0,Formulas!J86="",RIGHT(Formulas!K86)="0"),"",
HYPERLINK("["&amp;Archivo_Nombre&amp;"]Datos!"&amp;LEFT(SUBSTITUTE(ADDRESS(1,IF(Formulas!J86=1,1,RIGHT(Formulas!K86)+2)),"$",""))&amp;Formulas!I86+1,
IFERROR(INDEX(Datos!$A$1:$L$1,1,RIGHT(Formulas!K86)+2)&amp;IF(Formulas!J86=1," "&amp;Formulas!I86,"")&amp;":","")))</f>
        <v/>
      </c>
      <c r="I89" s="107" t="str" cm="1">
        <f t="array" aca="1" ref="I89" ca="1">IF(OR(Formulas!J86=0,Formulas!J86="",RIGHT(Formulas!K86)="0"),"",
HYPERLINK("["&amp;Archivo_Nombre&amp;"]Datos!"&amp;LEFT(SUBSTITUTE(ADDRESS(1,RIGHT(Formulas!K86)+2),"$",""))&amp;Formulas!I86+1,
IFERROR(INDEX(Datos!$A$2:$L$101,Formulas!I86,RIGHT(Formulas!K86)+2),"")))</f>
        <v/>
      </c>
      <c r="J89" s="107" t="str" cm="1">
        <f t="array" aca="1" ref="J89" ca="1">IF(OR(Formulas!K87=0,Formulas!K87=""),"",HYPERLINK("["&amp;Archivo_Nombre&amp;"]Datos!"&amp;LEFT(SUBSTITUTE(ADDRESS(1,Formulas!K87+2),"$",""))&amp;Formulas!J87+1,
IFERROR(INDEX(Datos!$A$2:$L$101,Formulas!J87,Formulas!K87+2),"")))</f>
        <v/>
      </c>
      <c r="K89" s="5"/>
      <c r="L89" s="6"/>
      <c r="M89" s="24" t="str" cm="1">
        <f t="array" aca="1" ref="M89" ca="1">IF(OR(Formulas!O86=0,Formulas!O86="",RIGHT(Formulas!P86)="0"),"",
HYPERLINK("["&amp;Archivo_Nombre&amp;"]Datos!"&amp;LEFT(SUBSTITUTE(ADDRESS(1,IF(Formulas!O86=1,1,RIGHT(Formulas!P86)+2)),"$",""))&amp;Formulas!N86+1,
IFERROR(INDEX(Datos!$A$1:$L$1,1,RIGHT(Formulas!P86)+2)&amp;IF(Formulas!O86=1," "&amp;Formulas!N86,"")&amp;":","")))</f>
        <v/>
      </c>
      <c r="N89" s="107" t="str" cm="1">
        <f t="array" aca="1" ref="N89" ca="1">IF(OR(Formulas!O86=0,Formulas!O86="",RIGHT(Formulas!P86)="0"),"",
HYPERLINK("["&amp;Archivo_Nombre&amp;"]Datos!"&amp;LEFT(SUBSTITUTE(ADDRESS(1,RIGHT(Formulas!P86)+2),"$",""))&amp;Formulas!N86+1,
IFERROR(INDEX(Datos!$A$2:$L$101,Formulas!N86,RIGHT(Formulas!P86)+2),"")))</f>
        <v/>
      </c>
      <c r="O89" s="107" t="str" cm="1">
        <f t="array" aca="1" ref="O89" ca="1">IF(OR(Formulas!P87=0,Formulas!P87=""),"",HYPERLINK("["&amp;Archivo_Nombre&amp;"]Datos!"&amp;LEFT(SUBSTITUTE(ADDRESS(1,Formulas!P87+2),"$",""))&amp;Formulas!O87+1,
IFERROR(INDEX(Datos!$A$2:$L$101,Formulas!O87,Formulas!P87+2),"")))</f>
        <v/>
      </c>
      <c r="P89" s="5"/>
      <c r="Q89" s="6"/>
      <c r="R89" s="24" t="str" cm="1">
        <f t="array" aca="1" ref="R89" ca="1">IF(OR(Formulas!T86=0,Formulas!T86="",RIGHT(Formulas!U86)="0"),"",
HYPERLINK("["&amp;Archivo_Nombre&amp;"]Datos!"&amp;LEFT(SUBSTITUTE(ADDRESS(1,IF(Formulas!T86=1,1,RIGHT(Formulas!U86)+2)),"$",""))&amp;Formulas!S86+1,
IFERROR(INDEX(Datos!$A$1:$L$1,1,RIGHT(Formulas!U86)+2)&amp;IF(Formulas!T86=1," "&amp;Formulas!S86,"")&amp;":","")))</f>
        <v>Inicio:</v>
      </c>
      <c r="S89" s="107" cm="1">
        <f t="array" aca="1" ref="S89" ca="1">IF(OR(Formulas!T86=0,Formulas!T86="",RIGHT(Formulas!U86)="0"),"",
HYPERLINK("["&amp;Archivo_Nombre&amp;"]Datos!"&amp;LEFT(SUBSTITUTE(ADDRESS(1,RIGHT(Formulas!U86)+2),"$",""))&amp;Formulas!S86+1,
IFERROR(INDEX(Datos!$A$2:$L$101,Formulas!S86,RIGHT(Formulas!U86)+2),"")))</f>
        <v>45809</v>
      </c>
      <c r="T89" s="107" t="e" cm="1">
        <f t="array" aca="1" ref="T89" ca="1">IF(OR(Formulas!U87=0,Formulas!U87=""),"",HYPERLINK("["&amp;Archivo_Nombre&amp;"]Datos!"&amp;LEFT(SUBSTITUTE(ADDRESS(1,Formulas!U87+2),"$",""))&amp;Formulas!T87+1,
IFERROR(INDEX(Datos!$A$2:$L$101,Formulas!T87,Formulas!U87+2),"")))</f>
        <v>#VALUE!</v>
      </c>
      <c r="U89" s="5"/>
      <c r="V89" s="6"/>
      <c r="W89" s="24" t="str" cm="1">
        <f t="array" aca="1" ref="W89" ca="1">IF(OR(Formulas!Y86=0,Formulas!Y86="",RIGHT(Formulas!Z86)="0"),"",
HYPERLINK("["&amp;Archivo_Nombre&amp;"]Datos!"&amp;LEFT(SUBSTITUTE(ADDRESS(1,IF(Formulas!Y86=1,1,RIGHT(Formulas!Z86)+2)),"$",""))&amp;Formulas!X86+1,
IFERROR(INDEX(Datos!$A$1:$L$1,1,RIGHT(Formulas!Z86)+2)&amp;IF(Formulas!Y86=1," "&amp;Formulas!X86,"")&amp;":","")))</f>
        <v/>
      </c>
      <c r="X89" s="107" t="str" cm="1">
        <f t="array" aca="1" ref="X89" ca="1">IF(OR(Formulas!Y86=0,Formulas!Y86="",RIGHT(Formulas!Z86)="0"),"",
HYPERLINK("["&amp;Archivo_Nombre&amp;"]Datos!"&amp;LEFT(SUBSTITUTE(ADDRESS(1,RIGHT(Formulas!Z86)+2),"$",""))&amp;Formulas!X86+1,
IFERROR(INDEX(Datos!$A$2:$L$101,Formulas!X86,RIGHT(Formulas!Z86)+2),"")))</f>
        <v/>
      </c>
      <c r="Y89" s="107" t="str" cm="1">
        <f t="array" aca="1" ref="Y89" ca="1">IF(OR(Formulas!Z87=0,Formulas!Z87=""),"",HYPERLINK("["&amp;Archivo_Nombre&amp;"]Datos!"&amp;LEFT(SUBSTITUTE(ADDRESS(1,Formulas!Z87+2),"$",""))&amp;Formulas!Y87+1,
IFERROR(INDEX(Datos!$A$2:$L$101,Formulas!Y87,Formulas!Z87+2),"")))</f>
        <v/>
      </c>
      <c r="Z89" s="13"/>
      <c r="AA89" s="6"/>
      <c r="AB89" s="24" t="str" cm="1">
        <f t="array" aca="1" ref="AB89" ca="1">IF(OR(Formulas!AD86=0,Formulas!AD86="",RIGHT(Formulas!AE86)="0"),"",
HYPERLINK("["&amp;Archivo_Nombre&amp;"]Datos!"&amp;LEFT(SUBSTITUTE(ADDRESS(1,IF(Formulas!AD86=1,1,RIGHT(Formulas!AE86)+2)),"$",""))&amp;Formulas!AC86+1,
IFERROR(INDEX(Datos!$A$1:$L$1,1,RIGHT(Formulas!AE86)+2)&amp;IF(Formulas!AD86=1," "&amp;Formulas!AC86,"")&amp;":","")))</f>
        <v/>
      </c>
      <c r="AC89" s="107" t="str" cm="1">
        <f t="array" aca="1" ref="AC89" ca="1">IF(OR(Formulas!AD86=0,Formulas!AD86="",RIGHT(Formulas!AE86)="0"),"",
HYPERLINK("["&amp;Archivo_Nombre&amp;"]Datos!"&amp;LEFT(SUBSTITUTE(ADDRESS(1,RIGHT(Formulas!AE86)+2),"$",""))&amp;Formulas!AC86+1,
IFERROR(INDEX(Datos!$A$2:$L$101,Formulas!AC86,RIGHT(Formulas!AE86)+2),"")))</f>
        <v/>
      </c>
      <c r="AD89" s="107" t="str" cm="1">
        <f t="array" aca="1" ref="AD89" ca="1">IF(OR(Formulas!AE87=0,Formulas!AE87=""),"",HYPERLINK("["&amp;Archivo_Nombre&amp;"]Datos!"&amp;LEFT(SUBSTITUTE(ADDRESS(1,Formulas!AE87+2),"$",""))&amp;Formulas!AD87+1,
IFERROR(INDEX(Datos!$A$2:$L$101,Formulas!AD87,Formulas!AE87+2),"")))</f>
        <v/>
      </c>
      <c r="AE89" s="13"/>
      <c r="AF89" s="6"/>
      <c r="AG89" s="24" t="str" cm="1">
        <f t="array" aca="1" ref="AG89" ca="1">IF(OR(Formulas!AI86=0,Formulas!AI86="",RIGHT(Formulas!AJ86)="0"),"",
HYPERLINK("["&amp;Archivo_Nombre&amp;"]Datos!"&amp;LEFT(SUBSTITUTE(ADDRESS(1,IF(Formulas!AI86=1,1,RIGHT(Formulas!AJ86)+2)),"$",""))&amp;Formulas!AH86+1,
IFERROR(INDEX(Datos!$A$1:$L$1,1,RIGHT(Formulas!AJ86)+2)&amp;IF(Formulas!AI86=1," "&amp;Formulas!AH86,"")&amp;":","")))</f>
        <v/>
      </c>
      <c r="AH89" s="107" t="str" cm="1">
        <f t="array" aca="1" ref="AH89" ca="1">IF(OR(Formulas!AI86=0,Formulas!AI86="",RIGHT(Formulas!AJ86)="0"),"",
HYPERLINK("["&amp;Archivo_Nombre&amp;"]Datos!"&amp;LEFT(SUBSTITUTE(ADDRESS(1,RIGHT(Formulas!AJ86)+2),"$",""))&amp;Formulas!AH86+1,
IFERROR(INDEX(Datos!$A$2:$L$101,Formulas!AH86,RIGHT(Formulas!AJ86)+2),"")))</f>
        <v/>
      </c>
      <c r="AI89" s="107" t="str" cm="1">
        <f t="array" aca="1" ref="AI89" ca="1">IF(OR(Formulas!AJ87=0,Formulas!AJ87=""),"",HYPERLINK("["&amp;Archivo_Nombre&amp;"]Datos!"&amp;LEFT(SUBSTITUTE(ADDRESS(1,Formulas!AJ87+2),"$",""))&amp;Formulas!AI87+1,
IFERROR(INDEX(Datos!$A$2:$L$101,Formulas!AI87,Formulas!AJ87+2),"")))</f>
        <v/>
      </c>
      <c r="AJ89" s="13"/>
      <c r="AK89" s="6"/>
      <c r="AL89" s="24" t="str" cm="1">
        <f t="array" aca="1" ref="AL89" ca="1">IF(OR(Formulas!AN86=0,Formulas!AN86="",RIGHT(Formulas!AO86)="0"),"",
HYPERLINK("["&amp;Archivo_Nombre&amp;"]Datos!"&amp;LEFT(SUBSTITUTE(ADDRESS(1,IF(Formulas!AN86=1,1,RIGHT(Formulas!AO86)+2)),"$",""))&amp;Formulas!AM86+1,
IFERROR(INDEX(Datos!$A$1:$L$1,1,RIGHT(Formulas!AO86)+2)&amp;IF(Formulas!AN86=1," "&amp;Formulas!AM86,"")&amp;":","")))</f>
        <v/>
      </c>
      <c r="AM89" s="107" t="str" cm="1">
        <f t="array" aca="1" ref="AM89" ca="1">IF(OR(Formulas!AN86=0,Formulas!AN86="",RIGHT(Formulas!AO86)="0"),"",
HYPERLINK("["&amp;Archivo_Nombre&amp;"]Datos!"&amp;LEFT(SUBSTITUTE(ADDRESS(1,RIGHT(Formulas!AO86)+2),"$",""))&amp;Formulas!AM86+1,
IFERROR(INDEX(Datos!$A$2:$L$101,Formulas!AM86,RIGHT(Formulas!AO86)+2),"")))</f>
        <v/>
      </c>
      <c r="AN89" s="107" t="str" cm="1">
        <f t="array" aca="1" ref="AN89" ca="1">IF(OR(Formulas!AO87=0,Formulas!AO87=""),"",HYPERLINK("["&amp;Archivo_Nombre&amp;"]Datos!"&amp;LEFT(SUBSTITUTE(ADDRESS(1,Formulas!AO87+2),"$",""))&amp;Formulas!AN87+1,
IFERROR(INDEX(Datos!$A$2:$L$101,Formulas!AN87,Formulas!AO87+2),"")))</f>
        <v/>
      </c>
      <c r="AO89" s="13"/>
      <c r="AP89" s="6"/>
      <c r="AQ89" s="24" t="str" cm="1">
        <f t="array" aca="1" ref="AQ89" ca="1">IF(OR(Formulas!AS86=0,Formulas!AS86="",RIGHT(Formulas!AT86)="0"),"",
HYPERLINK("["&amp;Archivo_Nombre&amp;"]Datos!"&amp;LEFT(SUBSTITUTE(ADDRESS(1,IF(Formulas!AS86=1,1,RIGHT(Formulas!AT86)+2)),"$",""))&amp;Formulas!AR86+1,
IFERROR(INDEX(Datos!$A$1:$L$1,1,RIGHT(Formulas!AT86)+2)&amp;IF(Formulas!AS86=1," "&amp;Formulas!AR86,"")&amp;":","")))</f>
        <v/>
      </c>
      <c r="AR89" s="107" t="str" cm="1">
        <f t="array" aca="1" ref="AR89" ca="1">IF(OR(Formulas!AS86=0,Formulas!AS86="",RIGHT(Formulas!AT86)="0"),"",
HYPERLINK("["&amp;Archivo_Nombre&amp;"]Datos!"&amp;LEFT(SUBSTITUTE(ADDRESS(1,RIGHT(Formulas!AT86)+2),"$",""))&amp;Formulas!AR86+1,
IFERROR(INDEX(Datos!$A$2:$L$101,Formulas!AR86,RIGHT(Formulas!AT86)+2),"")))</f>
        <v/>
      </c>
      <c r="AS89" s="107" t="str" cm="1">
        <f t="array" aca="1" ref="AS89" ca="1">IF(OR(Formulas!AT87=0,Formulas!AT87=""),"",HYPERLINK("["&amp;Archivo_Nombre&amp;"]Datos!"&amp;LEFT(SUBSTITUTE(ADDRESS(1,Formulas!AT87+2),"$",""))&amp;Formulas!AS87+1,
IFERROR(INDEX(Datos!$A$2:$L$101,Formulas!AS87,Formulas!AT87+2),"")))</f>
        <v/>
      </c>
      <c r="AT89" s="13"/>
      <c r="AU89" s="6"/>
      <c r="AV89" s="24" t="str" cm="1">
        <f t="array" aca="1" ref="AV89" ca="1">IF(OR(Formulas!AX86=0,Formulas!AX86="",RIGHT(Formulas!AY86)="0"),"",
HYPERLINK("["&amp;Archivo_Nombre&amp;"]Datos!"&amp;LEFT(SUBSTITUTE(ADDRESS(1,IF(Formulas!AX86=1,1,RIGHT(Formulas!AY86)+2)),"$",""))&amp;Formulas!AW86+1,
IFERROR(INDEX(Datos!$A$1:$L$1,1,RIGHT(Formulas!AY86)+2)&amp;IF(Formulas!AX86=1," "&amp;Formulas!AW86,"")&amp;":","")))</f>
        <v/>
      </c>
      <c r="AW89" s="107" t="str" cm="1">
        <f t="array" aca="1" ref="AW89" ca="1">IF(OR(Formulas!AX86=0,Formulas!AX86="",RIGHT(Formulas!AY86)="0"),"",
HYPERLINK("["&amp;Archivo_Nombre&amp;"]Datos!"&amp;LEFT(SUBSTITUTE(ADDRESS(1,RIGHT(Formulas!AY86)+2),"$",""))&amp;Formulas!AW86+1,
IFERROR(INDEX(Datos!$A$2:$L$101,Formulas!AW86,RIGHT(Formulas!AY86)+2),"")))</f>
        <v/>
      </c>
      <c r="AX89" s="107" t="str" cm="1">
        <f t="array" aca="1" ref="AX89" ca="1">IF(OR(Formulas!AY87=0,Formulas!AY87=""),"",HYPERLINK("["&amp;Archivo_Nombre&amp;"]Datos!"&amp;LEFT(SUBSTITUTE(ADDRESS(1,Formulas!AY87+2),"$",""))&amp;Formulas!AX87+1,
IFERROR(INDEX(Datos!$A$2:$L$101,Formulas!AX87,Formulas!AY87+2),"")))</f>
        <v/>
      </c>
      <c r="AY89" s="13"/>
    </row>
    <row r="90" spans="2:51" x14ac:dyDescent="0.25">
      <c r="B90" s="11"/>
      <c r="C90" s="24" t="str" cm="1">
        <f t="array" aca="1" ref="C90" ca="1">IF(OR(Formulas!E87=0,Formulas!E87="",RIGHT(Formulas!F87)="0"),"",
HYPERLINK("["&amp;Archivo_Nombre&amp;"]Datos!"&amp;LEFT(SUBSTITUTE(ADDRESS(1,IF(Formulas!E87=1,1,RIGHT(Formulas!F87)+2)),"$",""))&amp;Formulas!D87+1,
IFERROR(INDEX(Datos!$A$1:$L$1,1,RIGHT(Formulas!F87)+2)&amp;IF(Formulas!E87=1," "&amp;Formulas!D87,"")&amp;":","")))</f>
        <v/>
      </c>
      <c r="D90" s="107" t="str" cm="1">
        <f t="array" aca="1" ref="D90" ca="1">IF(OR(Formulas!E87=0,Formulas!E87="",RIGHT(Formulas!F87)="0"),"",
HYPERLINK("["&amp;Archivo_Nombre&amp;"]Datos!"&amp;LEFT(SUBSTITUTE(ADDRESS(1,RIGHT(Formulas!F87)+2),"$",""))&amp;Formulas!D87+1,
IFERROR(INDEX(Datos!$A$2:$L$101,Formulas!D87,RIGHT(Formulas!F87)+2),"")))</f>
        <v/>
      </c>
      <c r="E90" s="107" t="str" cm="1">
        <f t="array" aca="1" ref="E90" ca="1">IF(OR(Formulas!F88=0,Formulas!F88=""),"",HYPERLINK("["&amp;Archivo_Nombre&amp;"]Datos!"&amp;LEFT(SUBSTITUTE(ADDRESS(1,Formulas!F88+2),"$",""))&amp;Formulas!E88+1,
IFERROR(INDEX(Datos!$A$2:$L$101,Formulas!E88,Formulas!F88+2),"")))</f>
        <v/>
      </c>
      <c r="F90" s="5"/>
      <c r="G90" s="6"/>
      <c r="H90" s="24" t="str" cm="1">
        <f t="array" aca="1" ref="H90" ca="1">IF(OR(Formulas!J87=0,Formulas!J87="",RIGHT(Formulas!K87)="0"),"",
HYPERLINK("["&amp;Archivo_Nombre&amp;"]Datos!"&amp;LEFT(SUBSTITUTE(ADDRESS(1,IF(Formulas!J87=1,1,RIGHT(Formulas!K87)+2)),"$",""))&amp;Formulas!I87+1,
IFERROR(INDEX(Datos!$A$1:$L$1,1,RIGHT(Formulas!K87)+2)&amp;IF(Formulas!J87=1," "&amp;Formulas!I87,"")&amp;":","")))</f>
        <v/>
      </c>
      <c r="I90" s="107" t="str" cm="1">
        <f t="array" aca="1" ref="I90" ca="1">IF(OR(Formulas!J87=0,Formulas!J87="",RIGHT(Formulas!K87)="0"),"",
HYPERLINK("["&amp;Archivo_Nombre&amp;"]Datos!"&amp;LEFT(SUBSTITUTE(ADDRESS(1,RIGHT(Formulas!K87)+2),"$",""))&amp;Formulas!I87+1,
IFERROR(INDEX(Datos!$A$2:$L$101,Formulas!I87,RIGHT(Formulas!K87)+2),"")))</f>
        <v/>
      </c>
      <c r="J90" s="107" t="str" cm="1">
        <f t="array" aca="1" ref="J90" ca="1">IF(OR(Formulas!K88=0,Formulas!K88=""),"",HYPERLINK("["&amp;Archivo_Nombre&amp;"]Datos!"&amp;LEFT(SUBSTITUTE(ADDRESS(1,Formulas!K88+2),"$",""))&amp;Formulas!J88+1,
IFERROR(INDEX(Datos!$A$2:$L$101,Formulas!J88,Formulas!K88+2),"")))</f>
        <v/>
      </c>
      <c r="K90" s="5"/>
      <c r="L90" s="6"/>
      <c r="M90" s="24" t="str" cm="1">
        <f t="array" aca="1" ref="M90" ca="1">IF(OR(Formulas!O87=0,Formulas!O87="",RIGHT(Formulas!P87)="0"),"",
HYPERLINK("["&amp;Archivo_Nombre&amp;"]Datos!"&amp;LEFT(SUBSTITUTE(ADDRESS(1,IF(Formulas!O87=1,1,RIGHT(Formulas!P87)+2)),"$",""))&amp;Formulas!N87+1,
IFERROR(INDEX(Datos!$A$1:$L$1,1,RIGHT(Formulas!P87)+2)&amp;IF(Formulas!O87=1," "&amp;Formulas!N87,"")&amp;":","")))</f>
        <v/>
      </c>
      <c r="N90" s="107" t="str" cm="1">
        <f t="array" aca="1" ref="N90" ca="1">IF(OR(Formulas!O87=0,Formulas!O87="",RIGHT(Formulas!P87)="0"),"",
HYPERLINK("["&amp;Archivo_Nombre&amp;"]Datos!"&amp;LEFT(SUBSTITUTE(ADDRESS(1,RIGHT(Formulas!P87)+2),"$",""))&amp;Formulas!N87+1,
IFERROR(INDEX(Datos!$A$2:$L$101,Formulas!N87,RIGHT(Formulas!P87)+2),"")))</f>
        <v/>
      </c>
      <c r="O90" s="107" t="str" cm="1">
        <f t="array" aca="1" ref="O90" ca="1">IF(OR(Formulas!P88=0,Formulas!P88=""),"",HYPERLINK("["&amp;Archivo_Nombre&amp;"]Datos!"&amp;LEFT(SUBSTITUTE(ADDRESS(1,Formulas!P88+2),"$",""))&amp;Formulas!O88+1,
IFERROR(INDEX(Datos!$A$2:$L$101,Formulas!O88,Formulas!P88+2),"")))</f>
        <v/>
      </c>
      <c r="P90" s="5"/>
      <c r="Q90" s="6"/>
      <c r="R90" s="24" t="str" cm="1">
        <f t="array" aca="1" ref="R90" ca="1">IF(OR(Formulas!T87=0,Formulas!T87="",RIGHT(Formulas!U87)="0"),"",
HYPERLINK("["&amp;Archivo_Nombre&amp;"]Datos!"&amp;LEFT(SUBSTITUTE(ADDRESS(1,IF(Formulas!T87=1,1,RIGHT(Formulas!U87)+2)),"$",""))&amp;Formulas!S87+1,
IFERROR(INDEX(Datos!$A$1:$L$1,1,RIGHT(Formulas!U87)+2)&amp;IF(Formulas!T87=1," "&amp;Formulas!S87,"")&amp;":","")))</f>
        <v>Previsto:</v>
      </c>
      <c r="S90" s="107" cm="1">
        <f t="array" aca="1" ref="S90" ca="1">IF(OR(Formulas!T87=0,Formulas!T87="",RIGHT(Formulas!U87)="0"),"",
HYPERLINK("["&amp;Archivo_Nombre&amp;"]Datos!"&amp;LEFT(SUBSTITUTE(ADDRESS(1,RIGHT(Formulas!U87)+2),"$",""))&amp;Formulas!S87+1,
IFERROR(INDEX(Datos!$A$2:$L$101,Formulas!S87,RIGHT(Formulas!U87)+2),"")))</f>
        <v>45811</v>
      </c>
      <c r="T90" s="107" t="e" cm="1">
        <f t="array" aca="1" ref="T90" ca="1">IF(OR(Formulas!U88=0,Formulas!U88=""),"",HYPERLINK("["&amp;Archivo_Nombre&amp;"]Datos!"&amp;LEFT(SUBSTITUTE(ADDRESS(1,Formulas!U88+2),"$",""))&amp;Formulas!T88+1,
IFERROR(INDEX(Datos!$A$2:$L$101,Formulas!T88,Formulas!U88+2),"")))</f>
        <v>#VALUE!</v>
      </c>
      <c r="U90" s="5"/>
      <c r="V90" s="6"/>
      <c r="W90" s="24" t="str" cm="1">
        <f t="array" aca="1" ref="W90" ca="1">IF(OR(Formulas!Y87=0,Formulas!Y87="",RIGHT(Formulas!Z87)="0"),"",
HYPERLINK("["&amp;Archivo_Nombre&amp;"]Datos!"&amp;LEFT(SUBSTITUTE(ADDRESS(1,IF(Formulas!Y87=1,1,RIGHT(Formulas!Z87)+2)),"$",""))&amp;Formulas!X87+1,
IFERROR(INDEX(Datos!$A$1:$L$1,1,RIGHT(Formulas!Z87)+2)&amp;IF(Formulas!Y87=1," "&amp;Formulas!X87,"")&amp;":","")))</f>
        <v/>
      </c>
      <c r="X90" s="107" t="str" cm="1">
        <f t="array" aca="1" ref="X90" ca="1">IF(OR(Formulas!Y87=0,Formulas!Y87="",RIGHT(Formulas!Z87)="0"),"",
HYPERLINK("["&amp;Archivo_Nombre&amp;"]Datos!"&amp;LEFT(SUBSTITUTE(ADDRESS(1,RIGHT(Formulas!Z87)+2),"$",""))&amp;Formulas!X87+1,
IFERROR(INDEX(Datos!$A$2:$L$101,Formulas!X87,RIGHT(Formulas!Z87)+2),"")))</f>
        <v/>
      </c>
      <c r="Y90" s="107" t="str" cm="1">
        <f t="array" aca="1" ref="Y90" ca="1">IF(OR(Formulas!Z88=0,Formulas!Z88=""),"",HYPERLINK("["&amp;Archivo_Nombre&amp;"]Datos!"&amp;LEFT(SUBSTITUTE(ADDRESS(1,Formulas!Z88+2),"$",""))&amp;Formulas!Y88+1,
IFERROR(INDEX(Datos!$A$2:$L$101,Formulas!Y88,Formulas!Z88+2),"")))</f>
        <v/>
      </c>
      <c r="Z90" s="13"/>
      <c r="AA90" s="6"/>
      <c r="AB90" s="24" t="str" cm="1">
        <f t="array" aca="1" ref="AB90" ca="1">IF(OR(Formulas!AD87=0,Formulas!AD87="",RIGHT(Formulas!AE87)="0"),"",
HYPERLINK("["&amp;Archivo_Nombre&amp;"]Datos!"&amp;LEFT(SUBSTITUTE(ADDRESS(1,IF(Formulas!AD87=1,1,RIGHT(Formulas!AE87)+2)),"$",""))&amp;Formulas!AC87+1,
IFERROR(INDEX(Datos!$A$1:$L$1,1,RIGHT(Formulas!AE87)+2)&amp;IF(Formulas!AD87=1," "&amp;Formulas!AC87,"")&amp;":","")))</f>
        <v/>
      </c>
      <c r="AC90" s="107" t="str" cm="1">
        <f t="array" aca="1" ref="AC90" ca="1">IF(OR(Formulas!AD87=0,Formulas!AD87="",RIGHT(Formulas!AE87)="0"),"",
HYPERLINK("["&amp;Archivo_Nombre&amp;"]Datos!"&amp;LEFT(SUBSTITUTE(ADDRESS(1,RIGHT(Formulas!AE87)+2),"$",""))&amp;Formulas!AC87+1,
IFERROR(INDEX(Datos!$A$2:$L$101,Formulas!AC87,RIGHT(Formulas!AE87)+2),"")))</f>
        <v/>
      </c>
      <c r="AD90" s="107" t="str" cm="1">
        <f t="array" aca="1" ref="AD90" ca="1">IF(OR(Formulas!AE88=0,Formulas!AE88=""),"",HYPERLINK("["&amp;Archivo_Nombre&amp;"]Datos!"&amp;LEFT(SUBSTITUTE(ADDRESS(1,Formulas!AE88+2),"$",""))&amp;Formulas!AD88+1,
IFERROR(INDEX(Datos!$A$2:$L$101,Formulas!AD88,Formulas!AE88+2),"")))</f>
        <v/>
      </c>
      <c r="AE90" s="13"/>
      <c r="AF90" s="6"/>
      <c r="AG90" s="24" t="str" cm="1">
        <f t="array" aca="1" ref="AG90" ca="1">IF(OR(Formulas!AI87=0,Formulas!AI87="",RIGHT(Formulas!AJ87)="0"),"",
HYPERLINK("["&amp;Archivo_Nombre&amp;"]Datos!"&amp;LEFT(SUBSTITUTE(ADDRESS(1,IF(Formulas!AI87=1,1,RIGHT(Formulas!AJ87)+2)),"$",""))&amp;Formulas!AH87+1,
IFERROR(INDEX(Datos!$A$1:$L$1,1,RIGHT(Formulas!AJ87)+2)&amp;IF(Formulas!AI87=1," "&amp;Formulas!AH87,"")&amp;":","")))</f>
        <v/>
      </c>
      <c r="AH90" s="107" t="str" cm="1">
        <f t="array" aca="1" ref="AH90" ca="1">IF(OR(Formulas!AI87=0,Formulas!AI87="",RIGHT(Formulas!AJ87)="0"),"",
HYPERLINK("["&amp;Archivo_Nombre&amp;"]Datos!"&amp;LEFT(SUBSTITUTE(ADDRESS(1,RIGHT(Formulas!AJ87)+2),"$",""))&amp;Formulas!AH87+1,
IFERROR(INDEX(Datos!$A$2:$L$101,Formulas!AH87,RIGHT(Formulas!AJ87)+2),"")))</f>
        <v/>
      </c>
      <c r="AI90" s="107" t="str" cm="1">
        <f t="array" aca="1" ref="AI90" ca="1">IF(OR(Formulas!AJ88=0,Formulas!AJ88=""),"",HYPERLINK("["&amp;Archivo_Nombre&amp;"]Datos!"&amp;LEFT(SUBSTITUTE(ADDRESS(1,Formulas!AJ88+2),"$",""))&amp;Formulas!AI88+1,
IFERROR(INDEX(Datos!$A$2:$L$101,Formulas!AI88,Formulas!AJ88+2),"")))</f>
        <v/>
      </c>
      <c r="AJ90" s="13"/>
      <c r="AK90" s="6"/>
      <c r="AL90" s="24" t="str" cm="1">
        <f t="array" aca="1" ref="AL90" ca="1">IF(OR(Formulas!AN87=0,Formulas!AN87="",RIGHT(Formulas!AO87)="0"),"",
HYPERLINK("["&amp;Archivo_Nombre&amp;"]Datos!"&amp;LEFT(SUBSTITUTE(ADDRESS(1,IF(Formulas!AN87=1,1,RIGHT(Formulas!AO87)+2)),"$",""))&amp;Formulas!AM87+1,
IFERROR(INDEX(Datos!$A$1:$L$1,1,RIGHT(Formulas!AO87)+2)&amp;IF(Formulas!AN87=1," "&amp;Formulas!AM87,"")&amp;":","")))</f>
        <v/>
      </c>
      <c r="AM90" s="107" t="str" cm="1">
        <f t="array" aca="1" ref="AM90" ca="1">IF(OR(Formulas!AN87=0,Formulas!AN87="",RIGHT(Formulas!AO87)="0"),"",
HYPERLINK("["&amp;Archivo_Nombre&amp;"]Datos!"&amp;LEFT(SUBSTITUTE(ADDRESS(1,RIGHT(Formulas!AO87)+2),"$",""))&amp;Formulas!AM87+1,
IFERROR(INDEX(Datos!$A$2:$L$101,Formulas!AM87,RIGHT(Formulas!AO87)+2),"")))</f>
        <v/>
      </c>
      <c r="AN90" s="107" t="str" cm="1">
        <f t="array" aca="1" ref="AN90" ca="1">IF(OR(Formulas!AO88=0,Formulas!AO88=""),"",HYPERLINK("["&amp;Archivo_Nombre&amp;"]Datos!"&amp;LEFT(SUBSTITUTE(ADDRESS(1,Formulas!AO88+2),"$",""))&amp;Formulas!AN88+1,
IFERROR(INDEX(Datos!$A$2:$L$101,Formulas!AN88,Formulas!AO88+2),"")))</f>
        <v/>
      </c>
      <c r="AO90" s="13"/>
      <c r="AP90" s="6"/>
      <c r="AQ90" s="24" t="str" cm="1">
        <f t="array" aca="1" ref="AQ90" ca="1">IF(OR(Formulas!AS87=0,Formulas!AS87="",RIGHT(Formulas!AT87)="0"),"",
HYPERLINK("["&amp;Archivo_Nombre&amp;"]Datos!"&amp;LEFT(SUBSTITUTE(ADDRESS(1,IF(Formulas!AS87=1,1,RIGHT(Formulas!AT87)+2)),"$",""))&amp;Formulas!AR87+1,
IFERROR(INDEX(Datos!$A$1:$L$1,1,RIGHT(Formulas!AT87)+2)&amp;IF(Formulas!AS87=1," "&amp;Formulas!AR87,"")&amp;":","")))</f>
        <v/>
      </c>
      <c r="AR90" s="107" t="str" cm="1">
        <f t="array" aca="1" ref="AR90" ca="1">IF(OR(Formulas!AS87=0,Formulas!AS87="",RIGHT(Formulas!AT87)="0"),"",
HYPERLINK("["&amp;Archivo_Nombre&amp;"]Datos!"&amp;LEFT(SUBSTITUTE(ADDRESS(1,RIGHT(Formulas!AT87)+2),"$",""))&amp;Formulas!AR87+1,
IFERROR(INDEX(Datos!$A$2:$L$101,Formulas!AR87,RIGHT(Formulas!AT87)+2),"")))</f>
        <v/>
      </c>
      <c r="AS90" s="107" t="str" cm="1">
        <f t="array" aca="1" ref="AS90" ca="1">IF(OR(Formulas!AT88=0,Formulas!AT88=""),"",HYPERLINK("["&amp;Archivo_Nombre&amp;"]Datos!"&amp;LEFT(SUBSTITUTE(ADDRESS(1,Formulas!AT88+2),"$",""))&amp;Formulas!AS88+1,
IFERROR(INDEX(Datos!$A$2:$L$101,Formulas!AS88,Formulas!AT88+2),"")))</f>
        <v/>
      </c>
      <c r="AT90" s="13"/>
      <c r="AU90" s="6"/>
      <c r="AV90" s="24" t="str" cm="1">
        <f t="array" aca="1" ref="AV90" ca="1">IF(OR(Formulas!AX87=0,Formulas!AX87="",RIGHT(Formulas!AY87)="0"),"",
HYPERLINK("["&amp;Archivo_Nombre&amp;"]Datos!"&amp;LEFT(SUBSTITUTE(ADDRESS(1,IF(Formulas!AX87=1,1,RIGHT(Formulas!AY87)+2)),"$",""))&amp;Formulas!AW87+1,
IFERROR(INDEX(Datos!$A$1:$L$1,1,RIGHT(Formulas!AY87)+2)&amp;IF(Formulas!AX87=1," "&amp;Formulas!AW87,"")&amp;":","")))</f>
        <v/>
      </c>
      <c r="AW90" s="107" t="str" cm="1">
        <f t="array" aca="1" ref="AW90" ca="1">IF(OR(Formulas!AX87=0,Formulas!AX87="",RIGHT(Formulas!AY87)="0"),"",
HYPERLINK("["&amp;Archivo_Nombre&amp;"]Datos!"&amp;LEFT(SUBSTITUTE(ADDRESS(1,RIGHT(Formulas!AY87)+2),"$",""))&amp;Formulas!AW87+1,
IFERROR(INDEX(Datos!$A$2:$L$101,Formulas!AW87,RIGHT(Formulas!AY87)+2),"")))</f>
        <v/>
      </c>
      <c r="AX90" s="107" t="str" cm="1">
        <f t="array" aca="1" ref="AX90" ca="1">IF(OR(Formulas!AY88=0,Formulas!AY88=""),"",HYPERLINK("["&amp;Archivo_Nombre&amp;"]Datos!"&amp;LEFT(SUBSTITUTE(ADDRESS(1,Formulas!AY88+2),"$",""))&amp;Formulas!AX88+1,
IFERROR(INDEX(Datos!$A$2:$L$101,Formulas!AX88,Formulas!AY88+2),"")))</f>
        <v/>
      </c>
      <c r="AY90" s="13"/>
    </row>
    <row r="91" spans="2:51" x14ac:dyDescent="0.25">
      <c r="B91" s="11"/>
      <c r="C91" s="24" t="str" cm="1">
        <f t="array" aca="1" ref="C91" ca="1">IF(OR(Formulas!E88=0,Formulas!E88="",RIGHT(Formulas!F88)="0"),"",
HYPERLINK("["&amp;Archivo_Nombre&amp;"]Datos!"&amp;LEFT(SUBSTITUTE(ADDRESS(1,IF(Formulas!E88=1,1,RIGHT(Formulas!F88)+2)),"$",""))&amp;Formulas!D88+1,
IFERROR(INDEX(Datos!$A$1:$L$1,1,RIGHT(Formulas!F88)+2)&amp;IF(Formulas!E88=1," "&amp;Formulas!D88,"")&amp;":","")))</f>
        <v/>
      </c>
      <c r="D91" s="107" t="str" cm="1">
        <f t="array" aca="1" ref="D91" ca="1">IF(OR(Formulas!E88=0,Formulas!E88="",RIGHT(Formulas!F88)="0"),"",
HYPERLINK("["&amp;Archivo_Nombre&amp;"]Datos!"&amp;LEFT(SUBSTITUTE(ADDRESS(1,RIGHT(Formulas!F88)+2),"$",""))&amp;Formulas!D88+1,
IFERROR(INDEX(Datos!$A$2:$L$101,Formulas!D88,RIGHT(Formulas!F88)+2),"")))</f>
        <v/>
      </c>
      <c r="E91" s="107" t="str" cm="1">
        <f t="array" aca="1" ref="E91" ca="1">IF(OR(Formulas!F89=0,Formulas!F89=""),"",HYPERLINK("["&amp;Archivo_Nombre&amp;"]Datos!"&amp;LEFT(SUBSTITUTE(ADDRESS(1,Formulas!F89+2),"$",""))&amp;Formulas!E89+1,
IFERROR(INDEX(Datos!$A$2:$L$101,Formulas!E89,Formulas!F89+2),"")))</f>
        <v/>
      </c>
      <c r="F91" s="5"/>
      <c r="G91" s="6"/>
      <c r="H91" s="24" t="str" cm="1">
        <f t="array" aca="1" ref="H91" ca="1">IF(OR(Formulas!J88=0,Formulas!J88="",RIGHT(Formulas!K88)="0"),"",
HYPERLINK("["&amp;Archivo_Nombre&amp;"]Datos!"&amp;LEFT(SUBSTITUTE(ADDRESS(1,IF(Formulas!J88=1,1,RIGHT(Formulas!K88)+2)),"$",""))&amp;Formulas!I88+1,
IFERROR(INDEX(Datos!$A$1:$L$1,1,RIGHT(Formulas!K88)+2)&amp;IF(Formulas!J88=1," "&amp;Formulas!I88,"")&amp;":","")))</f>
        <v/>
      </c>
      <c r="I91" s="107" t="str" cm="1">
        <f t="array" aca="1" ref="I91" ca="1">IF(OR(Formulas!J88=0,Formulas!J88="",RIGHT(Formulas!K88)="0"),"",
HYPERLINK("["&amp;Archivo_Nombre&amp;"]Datos!"&amp;LEFT(SUBSTITUTE(ADDRESS(1,RIGHT(Formulas!K88)+2),"$",""))&amp;Formulas!I88+1,
IFERROR(INDEX(Datos!$A$2:$L$101,Formulas!I88,RIGHT(Formulas!K88)+2),"")))</f>
        <v/>
      </c>
      <c r="J91" s="107" t="str" cm="1">
        <f t="array" aca="1" ref="J91" ca="1">IF(OR(Formulas!K89=0,Formulas!K89=""),"",HYPERLINK("["&amp;Archivo_Nombre&amp;"]Datos!"&amp;LEFT(SUBSTITUTE(ADDRESS(1,Formulas!K89+2),"$",""))&amp;Formulas!J89+1,
IFERROR(INDEX(Datos!$A$2:$L$101,Formulas!J89,Formulas!K89+2),"")))</f>
        <v/>
      </c>
      <c r="K91" s="5"/>
      <c r="L91" s="6"/>
      <c r="M91" s="24" t="str" cm="1">
        <f t="array" aca="1" ref="M91" ca="1">IF(OR(Formulas!O88=0,Formulas!O88="",RIGHT(Formulas!P88)="0"),"",
HYPERLINK("["&amp;Archivo_Nombre&amp;"]Datos!"&amp;LEFT(SUBSTITUTE(ADDRESS(1,IF(Formulas!O88=1,1,RIGHT(Formulas!P88)+2)),"$",""))&amp;Formulas!N88+1,
IFERROR(INDEX(Datos!$A$1:$L$1,1,RIGHT(Formulas!P88)+2)&amp;IF(Formulas!O88=1," "&amp;Formulas!N88,"")&amp;":","")))</f>
        <v/>
      </c>
      <c r="N91" s="107" t="str" cm="1">
        <f t="array" aca="1" ref="N91" ca="1">IF(OR(Formulas!O88=0,Formulas!O88="",RIGHT(Formulas!P88)="0"),"",
HYPERLINK("["&amp;Archivo_Nombre&amp;"]Datos!"&amp;LEFT(SUBSTITUTE(ADDRESS(1,RIGHT(Formulas!P88)+2),"$",""))&amp;Formulas!N88+1,
IFERROR(INDEX(Datos!$A$2:$L$101,Formulas!N88,RIGHT(Formulas!P88)+2),"")))</f>
        <v/>
      </c>
      <c r="O91" s="107" t="str" cm="1">
        <f t="array" aca="1" ref="O91" ca="1">IF(OR(Formulas!P89=0,Formulas!P89=""),"",HYPERLINK("["&amp;Archivo_Nombre&amp;"]Datos!"&amp;LEFT(SUBSTITUTE(ADDRESS(1,Formulas!P89+2),"$",""))&amp;Formulas!O89+1,
IFERROR(INDEX(Datos!$A$2:$L$101,Formulas!O89,Formulas!P89+2),"")))</f>
        <v/>
      </c>
      <c r="P91" s="5"/>
      <c r="Q91" s="6"/>
      <c r="R91" s="24" t="str" cm="1">
        <f t="array" aca="1" ref="R91" ca="1">IF(OR(Formulas!T88=0,Formulas!T88="",RIGHT(Formulas!U88)="0"),"",
HYPERLINK("["&amp;Archivo_Nombre&amp;"]Datos!"&amp;LEFT(SUBSTITUTE(ADDRESS(1,IF(Formulas!T88=1,1,RIGHT(Formulas!U88)+2)),"$",""))&amp;Formulas!S88+1,
IFERROR(INDEX(Datos!$A$1:$L$1,1,RIGHT(Formulas!U88)+2)&amp;IF(Formulas!T88=1," "&amp;Formulas!S88,"")&amp;":","")))</f>
        <v>Final:</v>
      </c>
      <c r="S91" s="107" cm="1">
        <f t="array" aca="1" ref="S91" ca="1">IF(OR(Formulas!T88=0,Formulas!T88="",RIGHT(Formulas!U88)="0"),"",
HYPERLINK("["&amp;Archivo_Nombre&amp;"]Datos!"&amp;LEFT(SUBSTITUTE(ADDRESS(1,RIGHT(Formulas!U88)+2),"$",""))&amp;Formulas!S88+1,
IFERROR(INDEX(Datos!$A$2:$L$101,Formulas!S88,RIGHT(Formulas!U88)+2),"")))</f>
        <v>45811</v>
      </c>
      <c r="T91" s="107" t="e" cm="1">
        <f t="array" aca="1" ref="T91" ca="1">IF(OR(Formulas!U89=0,Formulas!U89=""),"",HYPERLINK("["&amp;Archivo_Nombre&amp;"]Datos!"&amp;LEFT(SUBSTITUTE(ADDRESS(1,Formulas!U89+2),"$",""))&amp;Formulas!T89+1,
IFERROR(INDEX(Datos!$A$2:$L$101,Formulas!T89,Formulas!U89+2),"")))</f>
        <v>#VALUE!</v>
      </c>
      <c r="U91" s="5"/>
      <c r="V91" s="6"/>
      <c r="W91" s="24" t="str" cm="1">
        <f t="array" aca="1" ref="W91" ca="1">IF(OR(Formulas!Y88=0,Formulas!Y88="",RIGHT(Formulas!Z88)="0"),"",
HYPERLINK("["&amp;Archivo_Nombre&amp;"]Datos!"&amp;LEFT(SUBSTITUTE(ADDRESS(1,IF(Formulas!Y88=1,1,RIGHT(Formulas!Z88)+2)),"$",""))&amp;Formulas!X88+1,
IFERROR(INDEX(Datos!$A$1:$L$1,1,RIGHT(Formulas!Z88)+2)&amp;IF(Formulas!Y88=1," "&amp;Formulas!X88,"")&amp;":","")))</f>
        <v/>
      </c>
      <c r="X91" s="107" t="str" cm="1">
        <f t="array" aca="1" ref="X91" ca="1">IF(OR(Formulas!Y88=0,Formulas!Y88="",RIGHT(Formulas!Z88)="0"),"",
HYPERLINK("["&amp;Archivo_Nombre&amp;"]Datos!"&amp;LEFT(SUBSTITUTE(ADDRESS(1,RIGHT(Formulas!Z88)+2),"$",""))&amp;Formulas!X88+1,
IFERROR(INDEX(Datos!$A$2:$L$101,Formulas!X88,RIGHT(Formulas!Z88)+2),"")))</f>
        <v/>
      </c>
      <c r="Y91" s="107" t="str" cm="1">
        <f t="array" aca="1" ref="Y91" ca="1">IF(OR(Formulas!Z89=0,Formulas!Z89=""),"",HYPERLINK("["&amp;Archivo_Nombre&amp;"]Datos!"&amp;LEFT(SUBSTITUTE(ADDRESS(1,Formulas!Z89+2),"$",""))&amp;Formulas!Y89+1,
IFERROR(INDEX(Datos!$A$2:$L$101,Formulas!Y89,Formulas!Z89+2),"")))</f>
        <v/>
      </c>
      <c r="Z91" s="13"/>
      <c r="AA91" s="6"/>
      <c r="AB91" s="24" t="str" cm="1">
        <f t="array" aca="1" ref="AB91" ca="1">IF(OR(Formulas!AD88=0,Formulas!AD88="",RIGHT(Formulas!AE88)="0"),"",
HYPERLINK("["&amp;Archivo_Nombre&amp;"]Datos!"&amp;LEFT(SUBSTITUTE(ADDRESS(1,IF(Formulas!AD88=1,1,RIGHT(Formulas!AE88)+2)),"$",""))&amp;Formulas!AC88+1,
IFERROR(INDEX(Datos!$A$1:$L$1,1,RIGHT(Formulas!AE88)+2)&amp;IF(Formulas!AD88=1," "&amp;Formulas!AC88,"")&amp;":","")))</f>
        <v/>
      </c>
      <c r="AC91" s="107" t="str" cm="1">
        <f t="array" aca="1" ref="AC91" ca="1">IF(OR(Formulas!AD88=0,Formulas!AD88="",RIGHT(Formulas!AE88)="0"),"",
HYPERLINK("["&amp;Archivo_Nombre&amp;"]Datos!"&amp;LEFT(SUBSTITUTE(ADDRESS(1,RIGHT(Formulas!AE88)+2),"$",""))&amp;Formulas!AC88+1,
IFERROR(INDEX(Datos!$A$2:$L$101,Formulas!AC88,RIGHT(Formulas!AE88)+2),"")))</f>
        <v/>
      </c>
      <c r="AD91" s="107" t="str" cm="1">
        <f t="array" aca="1" ref="AD91" ca="1">IF(OR(Formulas!AE89=0,Formulas!AE89=""),"",HYPERLINK("["&amp;Archivo_Nombre&amp;"]Datos!"&amp;LEFT(SUBSTITUTE(ADDRESS(1,Formulas!AE89+2),"$",""))&amp;Formulas!AD89+1,
IFERROR(INDEX(Datos!$A$2:$L$101,Formulas!AD89,Formulas!AE89+2),"")))</f>
        <v/>
      </c>
      <c r="AE91" s="13"/>
      <c r="AF91" s="6"/>
      <c r="AG91" s="24" t="str" cm="1">
        <f t="array" aca="1" ref="AG91" ca="1">IF(OR(Formulas!AI88=0,Formulas!AI88="",RIGHT(Formulas!AJ88)="0"),"",
HYPERLINK("["&amp;Archivo_Nombre&amp;"]Datos!"&amp;LEFT(SUBSTITUTE(ADDRESS(1,IF(Formulas!AI88=1,1,RIGHT(Formulas!AJ88)+2)),"$",""))&amp;Formulas!AH88+1,
IFERROR(INDEX(Datos!$A$1:$L$1,1,RIGHT(Formulas!AJ88)+2)&amp;IF(Formulas!AI88=1," "&amp;Formulas!AH88,"")&amp;":","")))</f>
        <v/>
      </c>
      <c r="AH91" s="107" t="str" cm="1">
        <f t="array" aca="1" ref="AH91" ca="1">IF(OR(Formulas!AI88=0,Formulas!AI88="",RIGHT(Formulas!AJ88)="0"),"",
HYPERLINK("["&amp;Archivo_Nombre&amp;"]Datos!"&amp;LEFT(SUBSTITUTE(ADDRESS(1,RIGHT(Formulas!AJ88)+2),"$",""))&amp;Formulas!AH88+1,
IFERROR(INDEX(Datos!$A$2:$L$101,Formulas!AH88,RIGHT(Formulas!AJ88)+2),"")))</f>
        <v/>
      </c>
      <c r="AI91" s="107" t="str" cm="1">
        <f t="array" aca="1" ref="AI91" ca="1">IF(OR(Formulas!AJ89=0,Formulas!AJ89=""),"",HYPERLINK("["&amp;Archivo_Nombre&amp;"]Datos!"&amp;LEFT(SUBSTITUTE(ADDRESS(1,Formulas!AJ89+2),"$",""))&amp;Formulas!AI89+1,
IFERROR(INDEX(Datos!$A$2:$L$101,Formulas!AI89,Formulas!AJ89+2),"")))</f>
        <v/>
      </c>
      <c r="AJ91" s="13"/>
      <c r="AK91" s="6"/>
      <c r="AL91" s="24" t="str" cm="1">
        <f t="array" aca="1" ref="AL91" ca="1">IF(OR(Formulas!AN88=0,Formulas!AN88="",RIGHT(Formulas!AO88)="0"),"",
HYPERLINK("["&amp;Archivo_Nombre&amp;"]Datos!"&amp;LEFT(SUBSTITUTE(ADDRESS(1,IF(Formulas!AN88=1,1,RIGHT(Formulas!AO88)+2)),"$",""))&amp;Formulas!AM88+1,
IFERROR(INDEX(Datos!$A$1:$L$1,1,RIGHT(Formulas!AO88)+2)&amp;IF(Formulas!AN88=1," "&amp;Formulas!AM88,"")&amp;":","")))</f>
        <v/>
      </c>
      <c r="AM91" s="107" t="str" cm="1">
        <f t="array" aca="1" ref="AM91" ca="1">IF(OR(Formulas!AN88=0,Formulas!AN88="",RIGHT(Formulas!AO88)="0"),"",
HYPERLINK("["&amp;Archivo_Nombre&amp;"]Datos!"&amp;LEFT(SUBSTITUTE(ADDRESS(1,RIGHT(Formulas!AO88)+2),"$",""))&amp;Formulas!AM88+1,
IFERROR(INDEX(Datos!$A$2:$L$101,Formulas!AM88,RIGHT(Formulas!AO88)+2),"")))</f>
        <v/>
      </c>
      <c r="AN91" s="107" t="str" cm="1">
        <f t="array" aca="1" ref="AN91" ca="1">IF(OR(Formulas!AO89=0,Formulas!AO89=""),"",HYPERLINK("["&amp;Archivo_Nombre&amp;"]Datos!"&amp;LEFT(SUBSTITUTE(ADDRESS(1,Formulas!AO89+2),"$",""))&amp;Formulas!AN89+1,
IFERROR(INDEX(Datos!$A$2:$L$101,Formulas!AN89,Formulas!AO89+2),"")))</f>
        <v/>
      </c>
      <c r="AO91" s="13"/>
      <c r="AP91" s="6"/>
      <c r="AQ91" s="24" t="str" cm="1">
        <f t="array" aca="1" ref="AQ91" ca="1">IF(OR(Formulas!AS88=0,Formulas!AS88="",RIGHT(Formulas!AT88)="0"),"",
HYPERLINK("["&amp;Archivo_Nombre&amp;"]Datos!"&amp;LEFT(SUBSTITUTE(ADDRESS(1,IF(Formulas!AS88=1,1,RIGHT(Formulas!AT88)+2)),"$",""))&amp;Formulas!AR88+1,
IFERROR(INDEX(Datos!$A$1:$L$1,1,RIGHT(Formulas!AT88)+2)&amp;IF(Formulas!AS88=1," "&amp;Formulas!AR88,"")&amp;":","")))</f>
        <v/>
      </c>
      <c r="AR91" s="107" t="str" cm="1">
        <f t="array" aca="1" ref="AR91" ca="1">IF(OR(Formulas!AS88=0,Formulas!AS88="",RIGHT(Formulas!AT88)="0"),"",
HYPERLINK("["&amp;Archivo_Nombre&amp;"]Datos!"&amp;LEFT(SUBSTITUTE(ADDRESS(1,RIGHT(Formulas!AT88)+2),"$",""))&amp;Formulas!AR88+1,
IFERROR(INDEX(Datos!$A$2:$L$101,Formulas!AR88,RIGHT(Formulas!AT88)+2),"")))</f>
        <v/>
      </c>
      <c r="AS91" s="107" t="str" cm="1">
        <f t="array" aca="1" ref="AS91" ca="1">IF(OR(Formulas!AT89=0,Formulas!AT89=""),"",HYPERLINK("["&amp;Archivo_Nombre&amp;"]Datos!"&amp;LEFT(SUBSTITUTE(ADDRESS(1,Formulas!AT89+2),"$",""))&amp;Formulas!AS89+1,
IFERROR(INDEX(Datos!$A$2:$L$101,Formulas!AS89,Formulas!AT89+2),"")))</f>
        <v/>
      </c>
      <c r="AT91" s="13"/>
      <c r="AU91" s="6"/>
      <c r="AV91" s="24" t="str" cm="1">
        <f t="array" aca="1" ref="AV91" ca="1">IF(OR(Formulas!AX88=0,Formulas!AX88="",RIGHT(Formulas!AY88)="0"),"",
HYPERLINK("["&amp;Archivo_Nombre&amp;"]Datos!"&amp;LEFT(SUBSTITUTE(ADDRESS(1,IF(Formulas!AX88=1,1,RIGHT(Formulas!AY88)+2)),"$",""))&amp;Formulas!AW88+1,
IFERROR(INDEX(Datos!$A$1:$L$1,1,RIGHT(Formulas!AY88)+2)&amp;IF(Formulas!AX88=1," "&amp;Formulas!AW88,"")&amp;":","")))</f>
        <v/>
      </c>
      <c r="AW91" s="107" t="str" cm="1">
        <f t="array" aca="1" ref="AW91" ca="1">IF(OR(Formulas!AX88=0,Formulas!AX88="",RIGHT(Formulas!AY88)="0"),"",
HYPERLINK("["&amp;Archivo_Nombre&amp;"]Datos!"&amp;LEFT(SUBSTITUTE(ADDRESS(1,RIGHT(Formulas!AY88)+2),"$",""))&amp;Formulas!AW88+1,
IFERROR(INDEX(Datos!$A$2:$L$101,Formulas!AW88,RIGHT(Formulas!AY88)+2),"")))</f>
        <v/>
      </c>
      <c r="AX91" s="107" t="str" cm="1">
        <f t="array" aca="1" ref="AX91" ca="1">IF(OR(Formulas!AY89=0,Formulas!AY89=""),"",HYPERLINK("["&amp;Archivo_Nombre&amp;"]Datos!"&amp;LEFT(SUBSTITUTE(ADDRESS(1,Formulas!AY89+2),"$",""))&amp;Formulas!AX89+1,
IFERROR(INDEX(Datos!$A$2:$L$101,Formulas!AX89,Formulas!AY89+2),"")))</f>
        <v/>
      </c>
      <c r="AY91" s="13"/>
    </row>
    <row r="92" spans="2:51" x14ac:dyDescent="0.25">
      <c r="B92" s="11"/>
      <c r="C92" s="24" t="str" cm="1">
        <f t="array" aca="1" ref="C92" ca="1">IF(OR(Formulas!E89=0,Formulas!E89="",RIGHT(Formulas!F89)="0"),"",
HYPERLINK("["&amp;Archivo_Nombre&amp;"]Datos!"&amp;LEFT(SUBSTITUTE(ADDRESS(1,IF(Formulas!E89=1,1,RIGHT(Formulas!F89)+2)),"$",""))&amp;Formulas!D89+1,
IFERROR(INDEX(Datos!$A$1:$L$1,1,RIGHT(Formulas!F89)+2)&amp;IF(Formulas!E89=1," "&amp;Formulas!D89,"")&amp;":","")))</f>
        <v/>
      </c>
      <c r="D92" s="107" t="str" cm="1">
        <f t="array" aca="1" ref="D92" ca="1">IF(OR(Formulas!E89=0,Formulas!E89="",RIGHT(Formulas!F89)="0"),"",
HYPERLINK("["&amp;Archivo_Nombre&amp;"]Datos!"&amp;LEFT(SUBSTITUTE(ADDRESS(1,RIGHT(Formulas!F89)+2),"$",""))&amp;Formulas!D89+1,
IFERROR(INDEX(Datos!$A$2:$L$101,Formulas!D89,RIGHT(Formulas!F89)+2),"")))</f>
        <v/>
      </c>
      <c r="E92" s="107" t="str" cm="1">
        <f t="array" aca="1" ref="E92" ca="1">IF(OR(Formulas!F90=0,Formulas!F90=""),"",HYPERLINK("["&amp;Archivo_Nombre&amp;"]Datos!"&amp;LEFT(SUBSTITUTE(ADDRESS(1,Formulas!F90+2),"$",""))&amp;Formulas!E90+1,
IFERROR(INDEX(Datos!$A$2:$L$101,Formulas!E90,Formulas!F90+2),"")))</f>
        <v/>
      </c>
      <c r="F92" s="5"/>
      <c r="G92" s="6"/>
      <c r="H92" s="24" t="str" cm="1">
        <f t="array" aca="1" ref="H92" ca="1">IF(OR(Formulas!J89=0,Formulas!J89="",RIGHT(Formulas!K89)="0"),"",
HYPERLINK("["&amp;Archivo_Nombre&amp;"]Datos!"&amp;LEFT(SUBSTITUTE(ADDRESS(1,IF(Formulas!J89=1,1,RIGHT(Formulas!K89)+2)),"$",""))&amp;Formulas!I89+1,
IFERROR(INDEX(Datos!$A$1:$L$1,1,RIGHT(Formulas!K89)+2)&amp;IF(Formulas!J89=1," "&amp;Formulas!I89,"")&amp;":","")))</f>
        <v/>
      </c>
      <c r="I92" s="107" t="str" cm="1">
        <f t="array" aca="1" ref="I92" ca="1">IF(OR(Formulas!J89=0,Formulas!J89="",RIGHT(Formulas!K89)="0"),"",
HYPERLINK("["&amp;Archivo_Nombre&amp;"]Datos!"&amp;LEFT(SUBSTITUTE(ADDRESS(1,RIGHT(Formulas!K89)+2),"$",""))&amp;Formulas!I89+1,
IFERROR(INDEX(Datos!$A$2:$L$101,Formulas!I89,RIGHT(Formulas!K89)+2),"")))</f>
        <v/>
      </c>
      <c r="J92" s="107" t="str" cm="1">
        <f t="array" aca="1" ref="J92" ca="1">IF(OR(Formulas!K90=0,Formulas!K90=""),"",HYPERLINK("["&amp;Archivo_Nombre&amp;"]Datos!"&amp;LEFT(SUBSTITUTE(ADDRESS(1,Formulas!K90+2),"$",""))&amp;Formulas!J90+1,
IFERROR(INDEX(Datos!$A$2:$L$101,Formulas!J90,Formulas!K90+2),"")))</f>
        <v/>
      </c>
      <c r="K92" s="5"/>
      <c r="L92" s="6"/>
      <c r="M92" s="24" t="str" cm="1">
        <f t="array" aca="1" ref="M92" ca="1">IF(OR(Formulas!O89=0,Formulas!O89="",RIGHT(Formulas!P89)="0"),"",
HYPERLINK("["&amp;Archivo_Nombre&amp;"]Datos!"&amp;LEFT(SUBSTITUTE(ADDRESS(1,IF(Formulas!O89=1,1,RIGHT(Formulas!P89)+2)),"$",""))&amp;Formulas!N89+1,
IFERROR(INDEX(Datos!$A$1:$L$1,1,RIGHT(Formulas!P89)+2)&amp;IF(Formulas!O89=1," "&amp;Formulas!N89,"")&amp;":","")))</f>
        <v/>
      </c>
      <c r="N92" s="107" t="str" cm="1">
        <f t="array" aca="1" ref="N92" ca="1">IF(OR(Formulas!O89=0,Formulas!O89="",RIGHT(Formulas!P89)="0"),"",
HYPERLINK("["&amp;Archivo_Nombre&amp;"]Datos!"&amp;LEFT(SUBSTITUTE(ADDRESS(1,RIGHT(Formulas!P89)+2),"$",""))&amp;Formulas!N89+1,
IFERROR(INDEX(Datos!$A$2:$L$101,Formulas!N89,RIGHT(Formulas!P89)+2),"")))</f>
        <v/>
      </c>
      <c r="O92" s="107" t="str" cm="1">
        <f t="array" aca="1" ref="O92" ca="1">IF(OR(Formulas!P90=0,Formulas!P90=""),"",HYPERLINK("["&amp;Archivo_Nombre&amp;"]Datos!"&amp;LEFT(SUBSTITUTE(ADDRESS(1,Formulas!P90+2),"$",""))&amp;Formulas!O90+1,
IFERROR(INDEX(Datos!$A$2:$L$101,Formulas!O90,Formulas!P90+2),"")))</f>
        <v/>
      </c>
      <c r="P92" s="5"/>
      <c r="Q92" s="6"/>
      <c r="R92" s="24" t="str" cm="1">
        <f t="array" aca="1" ref="R92" ca="1">IF(OR(Formulas!T89=0,Formulas!T89="",RIGHT(Formulas!U89)="0"),"",
HYPERLINK("["&amp;Archivo_Nombre&amp;"]Datos!"&amp;LEFT(SUBSTITUTE(ADDRESS(1,IF(Formulas!T89=1,1,RIGHT(Formulas!U89)+2)),"$",""))&amp;Formulas!S89+1,
IFERROR(INDEX(Datos!$A$1:$L$1,1,RIGHT(Formulas!U89)+2)&amp;IF(Formulas!T89=1," "&amp;Formulas!S89,"")&amp;":","")))</f>
        <v>Duración:</v>
      </c>
      <c r="S92" s="107" t="str" cm="1">
        <f t="array" aca="1" ref="S92" ca="1">IF(OR(Formulas!T89=0,Formulas!T89="",RIGHT(Formulas!U89)="0"),"",
HYPERLINK("["&amp;Archivo_Nombre&amp;"]Datos!"&amp;LEFT(SUBSTITUTE(ADDRESS(1,RIGHT(Formulas!U89)+2),"$",""))&amp;Formulas!S89+1,
IFERROR(INDEX(Datos!$A$2:$L$101,Formulas!S89,RIGHT(Formulas!U89)+2),"")))</f>
        <v>3 días</v>
      </c>
      <c r="T92" s="107" t="e" cm="1">
        <f t="array" aca="1" ref="T92" ca="1">IF(OR(Formulas!U90=0,Formulas!U90=""),"",HYPERLINK("["&amp;Archivo_Nombre&amp;"]Datos!"&amp;LEFT(SUBSTITUTE(ADDRESS(1,Formulas!U90+2),"$",""))&amp;Formulas!T90+1,
IFERROR(INDEX(Datos!$A$2:$L$101,Formulas!T90,Formulas!U90+2),"")))</f>
        <v>#VALUE!</v>
      </c>
      <c r="U92" s="5"/>
      <c r="V92" s="6"/>
      <c r="W92" s="24" t="str" cm="1">
        <f t="array" aca="1" ref="W92" ca="1">IF(OR(Formulas!Y89=0,Formulas!Y89="",RIGHT(Formulas!Z89)="0"),"",
HYPERLINK("["&amp;Archivo_Nombre&amp;"]Datos!"&amp;LEFT(SUBSTITUTE(ADDRESS(1,IF(Formulas!Y89=1,1,RIGHT(Formulas!Z89)+2)),"$",""))&amp;Formulas!X89+1,
IFERROR(INDEX(Datos!$A$1:$L$1,1,RIGHT(Formulas!Z89)+2)&amp;IF(Formulas!Y89=1," "&amp;Formulas!X89,"")&amp;":","")))</f>
        <v/>
      </c>
      <c r="X92" s="107" t="str" cm="1">
        <f t="array" aca="1" ref="X92" ca="1">IF(OR(Formulas!Y89=0,Formulas!Y89="",RIGHT(Formulas!Z89)="0"),"",
HYPERLINK("["&amp;Archivo_Nombre&amp;"]Datos!"&amp;LEFT(SUBSTITUTE(ADDRESS(1,RIGHT(Formulas!Z89)+2),"$",""))&amp;Formulas!X89+1,
IFERROR(INDEX(Datos!$A$2:$L$101,Formulas!X89,RIGHT(Formulas!Z89)+2),"")))</f>
        <v/>
      </c>
      <c r="Y92" s="107" t="str" cm="1">
        <f t="array" aca="1" ref="Y92" ca="1">IF(OR(Formulas!Z90=0,Formulas!Z90=""),"",HYPERLINK("["&amp;Archivo_Nombre&amp;"]Datos!"&amp;LEFT(SUBSTITUTE(ADDRESS(1,Formulas!Z90+2),"$",""))&amp;Formulas!Y90+1,
IFERROR(INDEX(Datos!$A$2:$L$101,Formulas!Y90,Formulas!Z90+2),"")))</f>
        <v/>
      </c>
      <c r="Z92" s="13"/>
      <c r="AA92" s="6"/>
      <c r="AB92" s="24" t="str" cm="1">
        <f t="array" aca="1" ref="AB92" ca="1">IF(OR(Formulas!AD89=0,Formulas!AD89="",RIGHT(Formulas!AE89)="0"),"",
HYPERLINK("["&amp;Archivo_Nombre&amp;"]Datos!"&amp;LEFT(SUBSTITUTE(ADDRESS(1,IF(Formulas!AD89=1,1,RIGHT(Formulas!AE89)+2)),"$",""))&amp;Formulas!AC89+1,
IFERROR(INDEX(Datos!$A$1:$L$1,1,RIGHT(Formulas!AE89)+2)&amp;IF(Formulas!AD89=1," "&amp;Formulas!AC89,"")&amp;":","")))</f>
        <v/>
      </c>
      <c r="AC92" s="107" t="str" cm="1">
        <f t="array" aca="1" ref="AC92" ca="1">IF(OR(Formulas!AD89=0,Formulas!AD89="",RIGHT(Formulas!AE89)="0"),"",
HYPERLINK("["&amp;Archivo_Nombre&amp;"]Datos!"&amp;LEFT(SUBSTITUTE(ADDRESS(1,RIGHT(Formulas!AE89)+2),"$",""))&amp;Formulas!AC89+1,
IFERROR(INDEX(Datos!$A$2:$L$101,Formulas!AC89,RIGHT(Formulas!AE89)+2),"")))</f>
        <v/>
      </c>
      <c r="AD92" s="107" t="str" cm="1">
        <f t="array" aca="1" ref="AD92" ca="1">IF(OR(Formulas!AE90=0,Formulas!AE90=""),"",HYPERLINK("["&amp;Archivo_Nombre&amp;"]Datos!"&amp;LEFT(SUBSTITUTE(ADDRESS(1,Formulas!AE90+2),"$",""))&amp;Formulas!AD90+1,
IFERROR(INDEX(Datos!$A$2:$L$101,Formulas!AD90,Formulas!AE90+2),"")))</f>
        <v/>
      </c>
      <c r="AE92" s="13"/>
      <c r="AF92" s="6"/>
      <c r="AG92" s="24" t="str" cm="1">
        <f t="array" aca="1" ref="AG92" ca="1">IF(OR(Formulas!AI89=0,Formulas!AI89="",RIGHT(Formulas!AJ89)="0"),"",
HYPERLINK("["&amp;Archivo_Nombre&amp;"]Datos!"&amp;LEFT(SUBSTITUTE(ADDRESS(1,IF(Formulas!AI89=1,1,RIGHT(Formulas!AJ89)+2)),"$",""))&amp;Formulas!AH89+1,
IFERROR(INDEX(Datos!$A$1:$L$1,1,RIGHT(Formulas!AJ89)+2)&amp;IF(Formulas!AI89=1," "&amp;Formulas!AH89,"")&amp;":","")))</f>
        <v/>
      </c>
      <c r="AH92" s="107" t="str" cm="1">
        <f t="array" aca="1" ref="AH92" ca="1">IF(OR(Formulas!AI89=0,Formulas!AI89="",RIGHT(Formulas!AJ89)="0"),"",
HYPERLINK("["&amp;Archivo_Nombre&amp;"]Datos!"&amp;LEFT(SUBSTITUTE(ADDRESS(1,RIGHT(Formulas!AJ89)+2),"$",""))&amp;Formulas!AH89+1,
IFERROR(INDEX(Datos!$A$2:$L$101,Formulas!AH89,RIGHT(Formulas!AJ89)+2),"")))</f>
        <v/>
      </c>
      <c r="AI92" s="107" t="str" cm="1">
        <f t="array" aca="1" ref="AI92" ca="1">IF(OR(Formulas!AJ90=0,Formulas!AJ90=""),"",HYPERLINK("["&amp;Archivo_Nombre&amp;"]Datos!"&amp;LEFT(SUBSTITUTE(ADDRESS(1,Formulas!AJ90+2),"$",""))&amp;Formulas!AI90+1,
IFERROR(INDEX(Datos!$A$2:$L$101,Formulas!AI90,Formulas!AJ90+2),"")))</f>
        <v/>
      </c>
      <c r="AJ92" s="13"/>
      <c r="AK92" s="6"/>
      <c r="AL92" s="24" t="str" cm="1">
        <f t="array" aca="1" ref="AL92" ca="1">IF(OR(Formulas!AN89=0,Formulas!AN89="",RIGHT(Formulas!AO89)="0"),"",
HYPERLINK("["&amp;Archivo_Nombre&amp;"]Datos!"&amp;LEFT(SUBSTITUTE(ADDRESS(1,IF(Formulas!AN89=1,1,RIGHT(Formulas!AO89)+2)),"$",""))&amp;Formulas!AM89+1,
IFERROR(INDEX(Datos!$A$1:$L$1,1,RIGHT(Formulas!AO89)+2)&amp;IF(Formulas!AN89=1," "&amp;Formulas!AM89,"")&amp;":","")))</f>
        <v/>
      </c>
      <c r="AM92" s="107" t="str" cm="1">
        <f t="array" aca="1" ref="AM92" ca="1">IF(OR(Formulas!AN89=0,Formulas!AN89="",RIGHT(Formulas!AO89)="0"),"",
HYPERLINK("["&amp;Archivo_Nombre&amp;"]Datos!"&amp;LEFT(SUBSTITUTE(ADDRESS(1,RIGHT(Formulas!AO89)+2),"$",""))&amp;Formulas!AM89+1,
IFERROR(INDEX(Datos!$A$2:$L$101,Formulas!AM89,RIGHT(Formulas!AO89)+2),"")))</f>
        <v/>
      </c>
      <c r="AN92" s="107" t="str" cm="1">
        <f t="array" aca="1" ref="AN92" ca="1">IF(OR(Formulas!AO90=0,Formulas!AO90=""),"",HYPERLINK("["&amp;Archivo_Nombre&amp;"]Datos!"&amp;LEFT(SUBSTITUTE(ADDRESS(1,Formulas!AO90+2),"$",""))&amp;Formulas!AN90+1,
IFERROR(INDEX(Datos!$A$2:$L$101,Formulas!AN90,Formulas!AO90+2),"")))</f>
        <v/>
      </c>
      <c r="AO92" s="13"/>
      <c r="AP92" s="6"/>
      <c r="AQ92" s="24" t="str" cm="1">
        <f t="array" aca="1" ref="AQ92" ca="1">IF(OR(Formulas!AS89=0,Formulas!AS89="",RIGHT(Formulas!AT89)="0"),"",
HYPERLINK("["&amp;Archivo_Nombre&amp;"]Datos!"&amp;LEFT(SUBSTITUTE(ADDRESS(1,IF(Formulas!AS89=1,1,RIGHT(Formulas!AT89)+2)),"$",""))&amp;Formulas!AR89+1,
IFERROR(INDEX(Datos!$A$1:$L$1,1,RIGHT(Formulas!AT89)+2)&amp;IF(Formulas!AS89=1," "&amp;Formulas!AR89,"")&amp;":","")))</f>
        <v/>
      </c>
      <c r="AR92" s="107" t="str" cm="1">
        <f t="array" aca="1" ref="AR92" ca="1">IF(OR(Formulas!AS89=0,Formulas!AS89="",RIGHT(Formulas!AT89)="0"),"",
HYPERLINK("["&amp;Archivo_Nombre&amp;"]Datos!"&amp;LEFT(SUBSTITUTE(ADDRESS(1,RIGHT(Formulas!AT89)+2),"$",""))&amp;Formulas!AR89+1,
IFERROR(INDEX(Datos!$A$2:$L$101,Formulas!AR89,RIGHT(Formulas!AT89)+2),"")))</f>
        <v/>
      </c>
      <c r="AS92" s="107" t="str" cm="1">
        <f t="array" aca="1" ref="AS92" ca="1">IF(OR(Formulas!AT90=0,Formulas!AT90=""),"",HYPERLINK("["&amp;Archivo_Nombre&amp;"]Datos!"&amp;LEFT(SUBSTITUTE(ADDRESS(1,Formulas!AT90+2),"$",""))&amp;Formulas!AS90+1,
IFERROR(INDEX(Datos!$A$2:$L$101,Formulas!AS90,Formulas!AT90+2),"")))</f>
        <v/>
      </c>
      <c r="AT92" s="13"/>
      <c r="AU92" s="6"/>
      <c r="AV92" s="24" t="str" cm="1">
        <f t="array" aca="1" ref="AV92" ca="1">IF(OR(Formulas!AX89=0,Formulas!AX89="",RIGHT(Formulas!AY89)="0"),"",
HYPERLINK("["&amp;Archivo_Nombre&amp;"]Datos!"&amp;LEFT(SUBSTITUTE(ADDRESS(1,IF(Formulas!AX89=1,1,RIGHT(Formulas!AY89)+2)),"$",""))&amp;Formulas!AW89+1,
IFERROR(INDEX(Datos!$A$1:$L$1,1,RIGHT(Formulas!AY89)+2)&amp;IF(Formulas!AX89=1," "&amp;Formulas!AW89,"")&amp;":","")))</f>
        <v/>
      </c>
      <c r="AW92" s="107" t="str" cm="1">
        <f t="array" aca="1" ref="AW92" ca="1">IF(OR(Formulas!AX89=0,Formulas!AX89="",RIGHT(Formulas!AY89)="0"),"",
HYPERLINK("["&amp;Archivo_Nombre&amp;"]Datos!"&amp;LEFT(SUBSTITUTE(ADDRESS(1,RIGHT(Formulas!AY89)+2),"$",""))&amp;Formulas!AW89+1,
IFERROR(INDEX(Datos!$A$2:$L$101,Formulas!AW89,RIGHT(Formulas!AY89)+2),"")))</f>
        <v/>
      </c>
      <c r="AX92" s="107" t="str" cm="1">
        <f t="array" aca="1" ref="AX92" ca="1">IF(OR(Formulas!AY90=0,Formulas!AY90=""),"",HYPERLINK("["&amp;Archivo_Nombre&amp;"]Datos!"&amp;LEFT(SUBSTITUTE(ADDRESS(1,Formulas!AY90+2),"$",""))&amp;Formulas!AX90+1,
IFERROR(INDEX(Datos!$A$2:$L$101,Formulas!AX90,Formulas!AY90+2),"")))</f>
        <v/>
      </c>
      <c r="AY92" s="13"/>
    </row>
    <row r="93" spans="2:51" x14ac:dyDescent="0.25">
      <c r="B93" s="11"/>
      <c r="C93" s="24" t="str" cm="1">
        <f t="array" aca="1" ref="C93" ca="1">IF(OR(Formulas!E90=0,Formulas!E90="",RIGHT(Formulas!F90)="0"),"",
HYPERLINK("["&amp;Archivo_Nombre&amp;"]Datos!"&amp;LEFT(SUBSTITUTE(ADDRESS(1,IF(Formulas!E90=1,1,RIGHT(Formulas!F90)+2)),"$",""))&amp;Formulas!D90+1,
IFERROR(INDEX(Datos!$A$1:$L$1,1,RIGHT(Formulas!F90)+2)&amp;IF(Formulas!E90=1," "&amp;Formulas!D90,"")&amp;":","")))</f>
        <v/>
      </c>
      <c r="D93" s="107" t="str" cm="1">
        <f t="array" aca="1" ref="D93" ca="1">IF(OR(Formulas!E90=0,Formulas!E90="",RIGHT(Formulas!F90)="0"),"",
HYPERLINK("["&amp;Archivo_Nombre&amp;"]Datos!"&amp;LEFT(SUBSTITUTE(ADDRESS(1,RIGHT(Formulas!F90)+2),"$",""))&amp;Formulas!D90+1,
IFERROR(INDEX(Datos!$A$2:$L$101,Formulas!D90,RIGHT(Formulas!F90)+2),"")))</f>
        <v/>
      </c>
      <c r="E93" s="107" t="str" cm="1">
        <f t="array" aca="1" ref="E93" ca="1">IF(OR(Formulas!F91=0,Formulas!F91=""),"",HYPERLINK("["&amp;Archivo_Nombre&amp;"]Datos!"&amp;LEFT(SUBSTITUTE(ADDRESS(1,Formulas!F91+2),"$",""))&amp;Formulas!E91+1,
IFERROR(INDEX(Datos!$A$2:$L$101,Formulas!E91,Formulas!F91+2),"")))</f>
        <v/>
      </c>
      <c r="F93" s="5"/>
      <c r="G93" s="6"/>
      <c r="H93" s="24" t="str" cm="1">
        <f t="array" aca="1" ref="H93" ca="1">IF(OR(Formulas!J90=0,Formulas!J90="",RIGHT(Formulas!K90)="0"),"",
HYPERLINK("["&amp;Archivo_Nombre&amp;"]Datos!"&amp;LEFT(SUBSTITUTE(ADDRESS(1,IF(Formulas!J90=1,1,RIGHT(Formulas!K90)+2)),"$",""))&amp;Formulas!I90+1,
IFERROR(INDEX(Datos!$A$1:$L$1,1,RIGHT(Formulas!K90)+2)&amp;IF(Formulas!J90=1," "&amp;Formulas!I90,"")&amp;":","")))</f>
        <v/>
      </c>
      <c r="I93" s="107" t="str" cm="1">
        <f t="array" aca="1" ref="I93" ca="1">IF(OR(Formulas!J90=0,Formulas!J90="",RIGHT(Formulas!K90)="0"),"",
HYPERLINK("["&amp;Archivo_Nombre&amp;"]Datos!"&amp;LEFT(SUBSTITUTE(ADDRESS(1,RIGHT(Formulas!K90)+2),"$",""))&amp;Formulas!I90+1,
IFERROR(INDEX(Datos!$A$2:$L$101,Formulas!I90,RIGHT(Formulas!K90)+2),"")))</f>
        <v/>
      </c>
      <c r="J93" s="107" t="str" cm="1">
        <f t="array" aca="1" ref="J93" ca="1">IF(OR(Formulas!K91=0,Formulas!K91=""),"",HYPERLINK("["&amp;Archivo_Nombre&amp;"]Datos!"&amp;LEFT(SUBSTITUTE(ADDRESS(1,Formulas!K91+2),"$",""))&amp;Formulas!J91+1,
IFERROR(INDEX(Datos!$A$2:$L$101,Formulas!J91,Formulas!K91+2),"")))</f>
        <v/>
      </c>
      <c r="K93" s="5"/>
      <c r="L93" s="6"/>
      <c r="M93" s="24" t="str" cm="1">
        <f t="array" aca="1" ref="M93" ca="1">IF(OR(Formulas!O90=0,Formulas!O90="",RIGHT(Formulas!P90)="0"),"",
HYPERLINK("["&amp;Archivo_Nombre&amp;"]Datos!"&amp;LEFT(SUBSTITUTE(ADDRESS(1,IF(Formulas!O90=1,1,RIGHT(Formulas!P90)+2)),"$",""))&amp;Formulas!N90+1,
IFERROR(INDEX(Datos!$A$1:$L$1,1,RIGHT(Formulas!P90)+2)&amp;IF(Formulas!O90=1," "&amp;Formulas!N90,"")&amp;":","")))</f>
        <v/>
      </c>
      <c r="N93" s="107" t="str" cm="1">
        <f t="array" aca="1" ref="N93" ca="1">IF(OR(Formulas!O90=0,Formulas!O90="",RIGHT(Formulas!P90)="0"),"",
HYPERLINK("["&amp;Archivo_Nombre&amp;"]Datos!"&amp;LEFT(SUBSTITUTE(ADDRESS(1,RIGHT(Formulas!P90)+2),"$",""))&amp;Formulas!N90+1,
IFERROR(INDEX(Datos!$A$2:$L$101,Formulas!N90,RIGHT(Formulas!P90)+2),"")))</f>
        <v/>
      </c>
      <c r="O93" s="107" t="str" cm="1">
        <f t="array" aca="1" ref="O93" ca="1">IF(OR(Formulas!P91=0,Formulas!P91=""),"",HYPERLINK("["&amp;Archivo_Nombre&amp;"]Datos!"&amp;LEFT(SUBSTITUTE(ADDRESS(1,Formulas!P91+2),"$",""))&amp;Formulas!O91+1,
IFERROR(INDEX(Datos!$A$2:$L$101,Formulas!O91,Formulas!P91+2),"")))</f>
        <v/>
      </c>
      <c r="P93" s="5"/>
      <c r="Q93" s="6"/>
      <c r="R93" s="24" t="str" cm="1">
        <f t="array" aca="1" ref="R93" ca="1">IF(OR(Formulas!T90=0,Formulas!T90="",RIGHT(Formulas!U90)="0"),"",
HYPERLINK("["&amp;Archivo_Nombre&amp;"]Datos!"&amp;LEFT(SUBSTITUTE(ADDRESS(1,IF(Formulas!T90=1,1,RIGHT(Formulas!U90)+2)),"$",""))&amp;Formulas!S90+1,
IFERROR(INDEX(Datos!$A$1:$L$1,1,RIGHT(Formulas!U90)+2)&amp;IF(Formulas!T90=1," "&amp;Formulas!S90,"")&amp;":","")))</f>
        <v>Retraso:</v>
      </c>
      <c r="S93" s="107" t="str" cm="1">
        <f t="array" aca="1" ref="S93" ca="1">IF(OR(Formulas!T90=0,Formulas!T90="",RIGHT(Formulas!U90)="0"),"",
HYPERLINK("["&amp;Archivo_Nombre&amp;"]Datos!"&amp;LEFT(SUBSTITUTE(ADDRESS(1,RIGHT(Formulas!U90)+2),"$",""))&amp;Formulas!S90+1,
IFERROR(INDEX(Datos!$A$2:$L$101,Formulas!S90,RIGHT(Formulas!U90)+2),"")))</f>
        <v>0 días</v>
      </c>
      <c r="T93" s="107" t="e" cm="1">
        <f t="array" aca="1" ref="T93" ca="1">IF(OR(Formulas!U91=0,Formulas!U91=""),"",HYPERLINK("["&amp;Archivo_Nombre&amp;"]Datos!"&amp;LEFT(SUBSTITUTE(ADDRESS(1,Formulas!U91+2),"$",""))&amp;Formulas!T91+1,
IFERROR(INDEX(Datos!$A$2:$L$101,Formulas!T91,Formulas!U91+2),"")))</f>
        <v>#VALUE!</v>
      </c>
      <c r="U93" s="5"/>
      <c r="V93" s="6"/>
      <c r="W93" s="24" t="str" cm="1">
        <f t="array" aca="1" ref="W93" ca="1">IF(OR(Formulas!Y90=0,Formulas!Y90="",RIGHT(Formulas!Z90)="0"),"",
HYPERLINK("["&amp;Archivo_Nombre&amp;"]Datos!"&amp;LEFT(SUBSTITUTE(ADDRESS(1,IF(Formulas!Y90=1,1,RIGHT(Formulas!Z90)+2)),"$",""))&amp;Formulas!X90+1,
IFERROR(INDEX(Datos!$A$1:$L$1,1,RIGHT(Formulas!Z90)+2)&amp;IF(Formulas!Y90=1," "&amp;Formulas!X90,"")&amp;":","")))</f>
        <v/>
      </c>
      <c r="X93" s="107" t="str" cm="1">
        <f t="array" aca="1" ref="X93" ca="1">IF(OR(Formulas!Y90=0,Formulas!Y90="",RIGHT(Formulas!Z90)="0"),"",
HYPERLINK("["&amp;Archivo_Nombre&amp;"]Datos!"&amp;LEFT(SUBSTITUTE(ADDRESS(1,RIGHT(Formulas!Z90)+2),"$",""))&amp;Formulas!X90+1,
IFERROR(INDEX(Datos!$A$2:$L$101,Formulas!X90,RIGHT(Formulas!Z90)+2),"")))</f>
        <v/>
      </c>
      <c r="Y93" s="107" t="str" cm="1">
        <f t="array" aca="1" ref="Y93" ca="1">IF(OR(Formulas!Z91=0,Formulas!Z91=""),"",HYPERLINK("["&amp;Archivo_Nombre&amp;"]Datos!"&amp;LEFT(SUBSTITUTE(ADDRESS(1,Formulas!Z91+2),"$",""))&amp;Formulas!Y91+1,
IFERROR(INDEX(Datos!$A$2:$L$101,Formulas!Y91,Formulas!Z91+2),"")))</f>
        <v/>
      </c>
      <c r="Z93" s="13"/>
      <c r="AA93" s="6"/>
      <c r="AB93" s="24" t="str" cm="1">
        <f t="array" aca="1" ref="AB93" ca="1">IF(OR(Formulas!AD90=0,Formulas!AD90="",RIGHT(Formulas!AE90)="0"),"",
HYPERLINK("["&amp;Archivo_Nombre&amp;"]Datos!"&amp;LEFT(SUBSTITUTE(ADDRESS(1,IF(Formulas!AD90=1,1,RIGHT(Formulas!AE90)+2)),"$",""))&amp;Formulas!AC90+1,
IFERROR(INDEX(Datos!$A$1:$L$1,1,RIGHT(Formulas!AE90)+2)&amp;IF(Formulas!AD90=1," "&amp;Formulas!AC90,"")&amp;":","")))</f>
        <v/>
      </c>
      <c r="AC93" s="107" t="str" cm="1">
        <f t="array" aca="1" ref="AC93" ca="1">IF(OR(Formulas!AD90=0,Formulas!AD90="",RIGHT(Formulas!AE90)="0"),"",
HYPERLINK("["&amp;Archivo_Nombre&amp;"]Datos!"&amp;LEFT(SUBSTITUTE(ADDRESS(1,RIGHT(Formulas!AE90)+2),"$",""))&amp;Formulas!AC90+1,
IFERROR(INDEX(Datos!$A$2:$L$101,Formulas!AC90,RIGHT(Formulas!AE90)+2),"")))</f>
        <v/>
      </c>
      <c r="AD93" s="107" t="str" cm="1">
        <f t="array" aca="1" ref="AD93" ca="1">IF(OR(Formulas!AE91=0,Formulas!AE91=""),"",HYPERLINK("["&amp;Archivo_Nombre&amp;"]Datos!"&amp;LEFT(SUBSTITUTE(ADDRESS(1,Formulas!AE91+2),"$",""))&amp;Formulas!AD91+1,
IFERROR(INDEX(Datos!$A$2:$L$101,Formulas!AD91,Formulas!AE91+2),"")))</f>
        <v/>
      </c>
      <c r="AE93" s="13"/>
      <c r="AF93" s="6"/>
      <c r="AG93" s="24" t="str" cm="1">
        <f t="array" aca="1" ref="AG93" ca="1">IF(OR(Formulas!AI90=0,Formulas!AI90="",RIGHT(Formulas!AJ90)="0"),"",
HYPERLINK("["&amp;Archivo_Nombre&amp;"]Datos!"&amp;LEFT(SUBSTITUTE(ADDRESS(1,IF(Formulas!AI90=1,1,RIGHT(Formulas!AJ90)+2)),"$",""))&amp;Formulas!AH90+1,
IFERROR(INDEX(Datos!$A$1:$L$1,1,RIGHT(Formulas!AJ90)+2)&amp;IF(Formulas!AI90=1," "&amp;Formulas!AH90,"")&amp;":","")))</f>
        <v/>
      </c>
      <c r="AH93" s="107" t="str" cm="1">
        <f t="array" aca="1" ref="AH93" ca="1">IF(OR(Formulas!AI90=0,Formulas!AI90="",RIGHT(Formulas!AJ90)="0"),"",
HYPERLINK("["&amp;Archivo_Nombre&amp;"]Datos!"&amp;LEFT(SUBSTITUTE(ADDRESS(1,RIGHT(Formulas!AJ90)+2),"$",""))&amp;Formulas!AH90+1,
IFERROR(INDEX(Datos!$A$2:$L$101,Formulas!AH90,RIGHT(Formulas!AJ90)+2),"")))</f>
        <v/>
      </c>
      <c r="AI93" s="107" t="str" cm="1">
        <f t="array" aca="1" ref="AI93" ca="1">IF(OR(Formulas!AJ91=0,Formulas!AJ91=""),"",HYPERLINK("["&amp;Archivo_Nombre&amp;"]Datos!"&amp;LEFT(SUBSTITUTE(ADDRESS(1,Formulas!AJ91+2),"$",""))&amp;Formulas!AI91+1,
IFERROR(INDEX(Datos!$A$2:$L$101,Formulas!AI91,Formulas!AJ91+2),"")))</f>
        <v/>
      </c>
      <c r="AJ93" s="13"/>
      <c r="AK93" s="6"/>
      <c r="AL93" s="24" t="str" cm="1">
        <f t="array" aca="1" ref="AL93" ca="1">IF(OR(Formulas!AN90=0,Formulas!AN90="",RIGHT(Formulas!AO90)="0"),"",
HYPERLINK("["&amp;Archivo_Nombre&amp;"]Datos!"&amp;LEFT(SUBSTITUTE(ADDRESS(1,IF(Formulas!AN90=1,1,RIGHT(Formulas!AO90)+2)),"$",""))&amp;Formulas!AM90+1,
IFERROR(INDEX(Datos!$A$1:$L$1,1,RIGHT(Formulas!AO90)+2)&amp;IF(Formulas!AN90=1," "&amp;Formulas!AM90,"")&amp;":","")))</f>
        <v/>
      </c>
      <c r="AM93" s="107" t="str" cm="1">
        <f t="array" aca="1" ref="AM93" ca="1">IF(OR(Formulas!AN90=0,Formulas!AN90="",RIGHT(Formulas!AO90)="0"),"",
HYPERLINK("["&amp;Archivo_Nombre&amp;"]Datos!"&amp;LEFT(SUBSTITUTE(ADDRESS(1,RIGHT(Formulas!AO90)+2),"$",""))&amp;Formulas!AM90+1,
IFERROR(INDEX(Datos!$A$2:$L$101,Formulas!AM90,RIGHT(Formulas!AO90)+2),"")))</f>
        <v/>
      </c>
      <c r="AN93" s="107" t="str" cm="1">
        <f t="array" aca="1" ref="AN93" ca="1">IF(OR(Formulas!AO91=0,Formulas!AO91=""),"",HYPERLINK("["&amp;Archivo_Nombre&amp;"]Datos!"&amp;LEFT(SUBSTITUTE(ADDRESS(1,Formulas!AO91+2),"$",""))&amp;Formulas!AN91+1,
IFERROR(INDEX(Datos!$A$2:$L$101,Formulas!AN91,Formulas!AO91+2),"")))</f>
        <v/>
      </c>
      <c r="AO93" s="13"/>
      <c r="AP93" s="6"/>
      <c r="AQ93" s="24" t="str" cm="1">
        <f t="array" aca="1" ref="AQ93" ca="1">IF(OR(Formulas!AS90=0,Formulas!AS90="",RIGHT(Formulas!AT90)="0"),"",
HYPERLINK("["&amp;Archivo_Nombre&amp;"]Datos!"&amp;LEFT(SUBSTITUTE(ADDRESS(1,IF(Formulas!AS90=1,1,RIGHT(Formulas!AT90)+2)),"$",""))&amp;Formulas!AR90+1,
IFERROR(INDEX(Datos!$A$1:$L$1,1,RIGHT(Formulas!AT90)+2)&amp;IF(Formulas!AS90=1," "&amp;Formulas!AR90,"")&amp;":","")))</f>
        <v/>
      </c>
      <c r="AR93" s="107" t="str" cm="1">
        <f t="array" aca="1" ref="AR93" ca="1">IF(OR(Formulas!AS90=0,Formulas!AS90="",RIGHT(Formulas!AT90)="0"),"",
HYPERLINK("["&amp;Archivo_Nombre&amp;"]Datos!"&amp;LEFT(SUBSTITUTE(ADDRESS(1,RIGHT(Formulas!AT90)+2),"$",""))&amp;Formulas!AR90+1,
IFERROR(INDEX(Datos!$A$2:$L$101,Formulas!AR90,RIGHT(Formulas!AT90)+2),"")))</f>
        <v/>
      </c>
      <c r="AS93" s="107" t="str" cm="1">
        <f t="array" aca="1" ref="AS93" ca="1">IF(OR(Formulas!AT91=0,Formulas!AT91=""),"",HYPERLINK("["&amp;Archivo_Nombre&amp;"]Datos!"&amp;LEFT(SUBSTITUTE(ADDRESS(1,Formulas!AT91+2),"$",""))&amp;Formulas!AS91+1,
IFERROR(INDEX(Datos!$A$2:$L$101,Formulas!AS91,Formulas!AT91+2),"")))</f>
        <v/>
      </c>
      <c r="AT93" s="13"/>
      <c r="AU93" s="6"/>
      <c r="AV93" s="24" t="str" cm="1">
        <f t="array" aca="1" ref="AV93" ca="1">IF(OR(Formulas!AX90=0,Formulas!AX90="",RIGHT(Formulas!AY90)="0"),"",
HYPERLINK("["&amp;Archivo_Nombre&amp;"]Datos!"&amp;LEFT(SUBSTITUTE(ADDRESS(1,IF(Formulas!AX90=1,1,RIGHT(Formulas!AY90)+2)),"$",""))&amp;Formulas!AW90+1,
IFERROR(INDEX(Datos!$A$1:$L$1,1,RIGHT(Formulas!AY90)+2)&amp;IF(Formulas!AX90=1," "&amp;Formulas!AW90,"")&amp;":","")))</f>
        <v/>
      </c>
      <c r="AW93" s="107" t="str" cm="1">
        <f t="array" aca="1" ref="AW93" ca="1">IF(OR(Formulas!AX90=0,Formulas!AX90="",RIGHT(Formulas!AY90)="0"),"",
HYPERLINK("["&amp;Archivo_Nombre&amp;"]Datos!"&amp;LEFT(SUBSTITUTE(ADDRESS(1,RIGHT(Formulas!AY90)+2),"$",""))&amp;Formulas!AW90+1,
IFERROR(INDEX(Datos!$A$2:$L$101,Formulas!AW90,RIGHT(Formulas!AY90)+2),"")))</f>
        <v/>
      </c>
      <c r="AX93" s="107" t="str" cm="1">
        <f t="array" aca="1" ref="AX93" ca="1">IF(OR(Formulas!AY91=0,Formulas!AY91=""),"",HYPERLINK("["&amp;Archivo_Nombre&amp;"]Datos!"&amp;LEFT(SUBSTITUTE(ADDRESS(1,Formulas!AY91+2),"$",""))&amp;Formulas!AX91+1,
IFERROR(INDEX(Datos!$A$2:$L$101,Formulas!AX91,Formulas!AY91+2),"")))</f>
        <v/>
      </c>
      <c r="AY93" s="13"/>
    </row>
    <row r="94" spans="2:51" x14ac:dyDescent="0.25">
      <c r="B94" s="11"/>
      <c r="C94" s="24" t="str" cm="1">
        <f t="array" aca="1" ref="C94" ca="1">IF(OR(Formulas!E91=0,Formulas!E91="",RIGHT(Formulas!F91)="0"),"",
HYPERLINK("["&amp;Archivo_Nombre&amp;"]Datos!"&amp;LEFT(SUBSTITUTE(ADDRESS(1,IF(Formulas!E91=1,1,RIGHT(Formulas!F91)+2)),"$",""))&amp;Formulas!D91+1,
IFERROR(INDEX(Datos!$A$1:$L$1,1,RIGHT(Formulas!F91)+2)&amp;IF(Formulas!E91=1," "&amp;Formulas!D91,"")&amp;":","")))</f>
        <v/>
      </c>
      <c r="D94" s="107" t="str" cm="1">
        <f t="array" aca="1" ref="D94" ca="1">IF(OR(Formulas!E91=0,Formulas!E91="",RIGHT(Formulas!F91)="0"),"",
HYPERLINK("["&amp;Archivo_Nombre&amp;"]Datos!"&amp;LEFT(SUBSTITUTE(ADDRESS(1,RIGHT(Formulas!F91)+2),"$",""))&amp;Formulas!D91+1,
IFERROR(INDEX(Datos!$A$2:$L$101,Formulas!D91,RIGHT(Formulas!F91)+2),"")))</f>
        <v/>
      </c>
      <c r="E94" s="107" t="str" cm="1">
        <f t="array" aca="1" ref="E94" ca="1">IF(OR(Formulas!F92=0,Formulas!F92=""),"",HYPERLINK("["&amp;Archivo_Nombre&amp;"]Datos!"&amp;LEFT(SUBSTITUTE(ADDRESS(1,Formulas!F92+2),"$",""))&amp;Formulas!E92+1,
IFERROR(INDEX(Datos!$A$2:$L$101,Formulas!E92,Formulas!F92+2),"")))</f>
        <v/>
      </c>
      <c r="F94" s="5"/>
      <c r="G94" s="6"/>
      <c r="H94" s="24" t="str" cm="1">
        <f t="array" aca="1" ref="H94" ca="1">IF(OR(Formulas!J91=0,Formulas!J91="",RIGHT(Formulas!K91)="0"),"",
HYPERLINK("["&amp;Archivo_Nombre&amp;"]Datos!"&amp;LEFT(SUBSTITUTE(ADDRESS(1,IF(Formulas!J91=1,1,RIGHT(Formulas!K91)+2)),"$",""))&amp;Formulas!I91+1,
IFERROR(INDEX(Datos!$A$1:$L$1,1,RIGHT(Formulas!K91)+2)&amp;IF(Formulas!J91=1," "&amp;Formulas!I91,"")&amp;":","")))</f>
        <v/>
      </c>
      <c r="I94" s="107" t="str" cm="1">
        <f t="array" aca="1" ref="I94" ca="1">IF(OR(Formulas!J91=0,Formulas!J91="",RIGHT(Formulas!K91)="0"),"",
HYPERLINK("["&amp;Archivo_Nombre&amp;"]Datos!"&amp;LEFT(SUBSTITUTE(ADDRESS(1,RIGHT(Formulas!K91)+2),"$",""))&amp;Formulas!I91+1,
IFERROR(INDEX(Datos!$A$2:$L$101,Formulas!I91,RIGHT(Formulas!K91)+2),"")))</f>
        <v/>
      </c>
      <c r="J94" s="107" t="str" cm="1">
        <f t="array" aca="1" ref="J94" ca="1">IF(OR(Formulas!K92=0,Formulas!K92=""),"",HYPERLINK("["&amp;Archivo_Nombre&amp;"]Datos!"&amp;LEFT(SUBSTITUTE(ADDRESS(1,Formulas!K92+2),"$",""))&amp;Formulas!J92+1,
IFERROR(INDEX(Datos!$A$2:$L$101,Formulas!J92,Formulas!K92+2),"")))</f>
        <v/>
      </c>
      <c r="K94" s="5"/>
      <c r="L94" s="6"/>
      <c r="M94" s="24" t="str" cm="1">
        <f t="array" aca="1" ref="M94" ca="1">IF(OR(Formulas!O91=0,Formulas!O91="",RIGHT(Formulas!P91)="0"),"",
HYPERLINK("["&amp;Archivo_Nombre&amp;"]Datos!"&amp;LEFT(SUBSTITUTE(ADDRESS(1,IF(Formulas!O91=1,1,RIGHT(Formulas!P91)+2)),"$",""))&amp;Formulas!N91+1,
IFERROR(INDEX(Datos!$A$1:$L$1,1,RIGHT(Formulas!P91)+2)&amp;IF(Formulas!O91=1," "&amp;Formulas!N91,"")&amp;":","")))</f>
        <v/>
      </c>
      <c r="N94" s="107" t="str" cm="1">
        <f t="array" aca="1" ref="N94" ca="1">IF(OR(Formulas!O91=0,Formulas!O91="",RIGHT(Formulas!P91)="0"),"",
HYPERLINK("["&amp;Archivo_Nombre&amp;"]Datos!"&amp;LEFT(SUBSTITUTE(ADDRESS(1,RIGHT(Formulas!P91)+2),"$",""))&amp;Formulas!N91+1,
IFERROR(INDEX(Datos!$A$2:$L$101,Formulas!N91,RIGHT(Formulas!P91)+2),"")))</f>
        <v/>
      </c>
      <c r="O94" s="107" t="str" cm="1">
        <f t="array" aca="1" ref="O94" ca="1">IF(OR(Formulas!P92=0,Formulas!P92=""),"",HYPERLINK("["&amp;Archivo_Nombre&amp;"]Datos!"&amp;LEFT(SUBSTITUTE(ADDRESS(1,Formulas!P92+2),"$",""))&amp;Formulas!O92+1,
IFERROR(INDEX(Datos!$A$2:$L$101,Formulas!O92,Formulas!P92+2),"")))</f>
        <v/>
      </c>
      <c r="P94" s="5"/>
      <c r="Q94" s="6"/>
      <c r="R94" s="24" t="str" cm="1">
        <f t="array" aca="1" ref="R94" ca="1">IF(OR(Formulas!T91=0,Formulas!T91="",RIGHT(Formulas!U91)="0"),"",
HYPERLINK("["&amp;Archivo_Nombre&amp;"]Datos!"&amp;LEFT(SUBSTITUTE(ADDRESS(1,IF(Formulas!T91=1,1,RIGHT(Formulas!U91)+2)),"$",""))&amp;Formulas!S91+1,
IFERROR(INDEX(Datos!$A$1:$L$1,1,RIGHT(Formulas!U91)+2)&amp;IF(Formulas!T91=1," "&amp;Formulas!S91,"")&amp;":","")))</f>
        <v/>
      </c>
      <c r="S94" s="107" t="str" cm="1">
        <f t="array" aca="1" ref="S94" ca="1">IF(OR(Formulas!T91=0,Formulas!T91="",RIGHT(Formulas!U91)="0"),"",
HYPERLINK("["&amp;Archivo_Nombre&amp;"]Datos!"&amp;LEFT(SUBSTITUTE(ADDRESS(1,RIGHT(Formulas!U91)+2),"$",""))&amp;Formulas!S91+1,
IFERROR(INDEX(Datos!$A$2:$L$101,Formulas!S91,RIGHT(Formulas!U91)+2),"")))</f>
        <v/>
      </c>
      <c r="T94" s="107" t="str" cm="1">
        <f t="array" aca="1" ref="T94" ca="1">IF(OR(Formulas!U92=0,Formulas!U92=""),"",HYPERLINK("["&amp;Archivo_Nombre&amp;"]Datos!"&amp;LEFT(SUBSTITUTE(ADDRESS(1,Formulas!U92+2),"$",""))&amp;Formulas!T92+1,
IFERROR(INDEX(Datos!$A$2:$L$101,Formulas!T92,Formulas!U92+2),"")))</f>
        <v/>
      </c>
      <c r="U94" s="5"/>
      <c r="V94" s="6"/>
      <c r="W94" s="24" t="str" cm="1">
        <f t="array" aca="1" ref="W94" ca="1">IF(OR(Formulas!Y91=0,Formulas!Y91="",RIGHT(Formulas!Z91)="0"),"",
HYPERLINK("["&amp;Archivo_Nombre&amp;"]Datos!"&amp;LEFT(SUBSTITUTE(ADDRESS(1,IF(Formulas!Y91=1,1,RIGHT(Formulas!Z91)+2)),"$",""))&amp;Formulas!X91+1,
IFERROR(INDEX(Datos!$A$1:$L$1,1,RIGHT(Formulas!Z91)+2)&amp;IF(Formulas!Y91=1," "&amp;Formulas!X91,"")&amp;":","")))</f>
        <v/>
      </c>
      <c r="X94" s="107" t="str" cm="1">
        <f t="array" aca="1" ref="X94" ca="1">IF(OR(Formulas!Y91=0,Formulas!Y91="",RIGHT(Formulas!Z91)="0"),"",
HYPERLINK("["&amp;Archivo_Nombre&amp;"]Datos!"&amp;LEFT(SUBSTITUTE(ADDRESS(1,RIGHT(Formulas!Z91)+2),"$",""))&amp;Formulas!X91+1,
IFERROR(INDEX(Datos!$A$2:$L$101,Formulas!X91,RIGHT(Formulas!Z91)+2),"")))</f>
        <v/>
      </c>
      <c r="Y94" s="107" t="str" cm="1">
        <f t="array" aca="1" ref="Y94" ca="1">IF(OR(Formulas!Z92=0,Formulas!Z92=""),"",HYPERLINK("["&amp;Archivo_Nombre&amp;"]Datos!"&amp;LEFT(SUBSTITUTE(ADDRESS(1,Formulas!Z92+2),"$",""))&amp;Formulas!Y92+1,
IFERROR(INDEX(Datos!$A$2:$L$101,Formulas!Y92,Formulas!Z92+2),"")))</f>
        <v/>
      </c>
      <c r="Z94" s="13"/>
      <c r="AA94" s="6"/>
      <c r="AB94" s="24" t="str" cm="1">
        <f t="array" aca="1" ref="AB94" ca="1">IF(OR(Formulas!AD91=0,Formulas!AD91="",RIGHT(Formulas!AE91)="0"),"",
HYPERLINK("["&amp;Archivo_Nombre&amp;"]Datos!"&amp;LEFT(SUBSTITUTE(ADDRESS(1,IF(Formulas!AD91=1,1,RIGHT(Formulas!AE91)+2)),"$",""))&amp;Formulas!AC91+1,
IFERROR(INDEX(Datos!$A$1:$L$1,1,RIGHT(Formulas!AE91)+2)&amp;IF(Formulas!AD91=1," "&amp;Formulas!AC91,"")&amp;":","")))</f>
        <v/>
      </c>
      <c r="AC94" s="107" t="str" cm="1">
        <f t="array" aca="1" ref="AC94" ca="1">IF(OR(Formulas!AD91=0,Formulas!AD91="",RIGHT(Formulas!AE91)="0"),"",
HYPERLINK("["&amp;Archivo_Nombre&amp;"]Datos!"&amp;LEFT(SUBSTITUTE(ADDRESS(1,RIGHT(Formulas!AE91)+2),"$",""))&amp;Formulas!AC91+1,
IFERROR(INDEX(Datos!$A$2:$L$101,Formulas!AC91,RIGHT(Formulas!AE91)+2),"")))</f>
        <v/>
      </c>
      <c r="AD94" s="107" t="str" cm="1">
        <f t="array" aca="1" ref="AD94" ca="1">IF(OR(Formulas!AE92=0,Formulas!AE92=""),"",HYPERLINK("["&amp;Archivo_Nombre&amp;"]Datos!"&amp;LEFT(SUBSTITUTE(ADDRESS(1,Formulas!AE92+2),"$",""))&amp;Formulas!AD92+1,
IFERROR(INDEX(Datos!$A$2:$L$101,Formulas!AD92,Formulas!AE92+2),"")))</f>
        <v/>
      </c>
      <c r="AE94" s="13"/>
      <c r="AF94" s="6"/>
      <c r="AG94" s="24" t="str" cm="1">
        <f t="array" aca="1" ref="AG94" ca="1">IF(OR(Formulas!AI91=0,Formulas!AI91="",RIGHT(Formulas!AJ91)="0"),"",
HYPERLINK("["&amp;Archivo_Nombre&amp;"]Datos!"&amp;LEFT(SUBSTITUTE(ADDRESS(1,IF(Formulas!AI91=1,1,RIGHT(Formulas!AJ91)+2)),"$",""))&amp;Formulas!AH91+1,
IFERROR(INDEX(Datos!$A$1:$L$1,1,RIGHT(Formulas!AJ91)+2)&amp;IF(Formulas!AI91=1," "&amp;Formulas!AH91,"")&amp;":","")))</f>
        <v/>
      </c>
      <c r="AH94" s="107" t="str" cm="1">
        <f t="array" aca="1" ref="AH94" ca="1">IF(OR(Formulas!AI91=0,Formulas!AI91="",RIGHT(Formulas!AJ91)="0"),"",
HYPERLINK("["&amp;Archivo_Nombre&amp;"]Datos!"&amp;LEFT(SUBSTITUTE(ADDRESS(1,RIGHT(Formulas!AJ91)+2),"$",""))&amp;Formulas!AH91+1,
IFERROR(INDEX(Datos!$A$2:$L$101,Formulas!AH91,RIGHT(Formulas!AJ91)+2),"")))</f>
        <v/>
      </c>
      <c r="AI94" s="107" t="str" cm="1">
        <f t="array" aca="1" ref="AI94" ca="1">IF(OR(Formulas!AJ92=0,Formulas!AJ92=""),"",HYPERLINK("["&amp;Archivo_Nombre&amp;"]Datos!"&amp;LEFT(SUBSTITUTE(ADDRESS(1,Formulas!AJ92+2),"$",""))&amp;Formulas!AI92+1,
IFERROR(INDEX(Datos!$A$2:$L$101,Formulas!AI92,Formulas!AJ92+2),"")))</f>
        <v/>
      </c>
      <c r="AJ94" s="13"/>
      <c r="AK94" s="6"/>
      <c r="AL94" s="24" t="str" cm="1">
        <f t="array" aca="1" ref="AL94" ca="1">IF(OR(Formulas!AN91=0,Formulas!AN91="",RIGHT(Formulas!AO91)="0"),"",
HYPERLINK("["&amp;Archivo_Nombre&amp;"]Datos!"&amp;LEFT(SUBSTITUTE(ADDRESS(1,IF(Formulas!AN91=1,1,RIGHT(Formulas!AO91)+2)),"$",""))&amp;Formulas!AM91+1,
IFERROR(INDEX(Datos!$A$1:$L$1,1,RIGHT(Formulas!AO91)+2)&amp;IF(Formulas!AN91=1," "&amp;Formulas!AM91,"")&amp;":","")))</f>
        <v/>
      </c>
      <c r="AM94" s="107" t="str" cm="1">
        <f t="array" aca="1" ref="AM94" ca="1">IF(OR(Formulas!AN91=0,Formulas!AN91="",RIGHT(Formulas!AO91)="0"),"",
HYPERLINK("["&amp;Archivo_Nombre&amp;"]Datos!"&amp;LEFT(SUBSTITUTE(ADDRESS(1,RIGHT(Formulas!AO91)+2),"$",""))&amp;Formulas!AM91+1,
IFERROR(INDEX(Datos!$A$2:$L$101,Formulas!AM91,RIGHT(Formulas!AO91)+2),"")))</f>
        <v/>
      </c>
      <c r="AN94" s="107" t="str" cm="1">
        <f t="array" aca="1" ref="AN94" ca="1">IF(OR(Formulas!AO92=0,Formulas!AO92=""),"",HYPERLINK("["&amp;Archivo_Nombre&amp;"]Datos!"&amp;LEFT(SUBSTITUTE(ADDRESS(1,Formulas!AO92+2),"$",""))&amp;Formulas!AN92+1,
IFERROR(INDEX(Datos!$A$2:$L$101,Formulas!AN92,Formulas!AO92+2),"")))</f>
        <v/>
      </c>
      <c r="AO94" s="13"/>
      <c r="AP94" s="6"/>
      <c r="AQ94" s="24" t="str" cm="1">
        <f t="array" aca="1" ref="AQ94" ca="1">IF(OR(Formulas!AS91=0,Formulas!AS91="",RIGHT(Formulas!AT91)="0"),"",
HYPERLINK("["&amp;Archivo_Nombre&amp;"]Datos!"&amp;LEFT(SUBSTITUTE(ADDRESS(1,IF(Formulas!AS91=1,1,RIGHT(Formulas!AT91)+2)),"$",""))&amp;Formulas!AR91+1,
IFERROR(INDEX(Datos!$A$1:$L$1,1,RIGHT(Formulas!AT91)+2)&amp;IF(Formulas!AS91=1," "&amp;Formulas!AR91,"")&amp;":","")))</f>
        <v/>
      </c>
      <c r="AR94" s="107" t="str" cm="1">
        <f t="array" aca="1" ref="AR94" ca="1">IF(OR(Formulas!AS91=0,Formulas!AS91="",RIGHT(Formulas!AT91)="0"),"",
HYPERLINK("["&amp;Archivo_Nombre&amp;"]Datos!"&amp;LEFT(SUBSTITUTE(ADDRESS(1,RIGHT(Formulas!AT91)+2),"$",""))&amp;Formulas!AR91+1,
IFERROR(INDEX(Datos!$A$2:$L$101,Formulas!AR91,RIGHT(Formulas!AT91)+2),"")))</f>
        <v/>
      </c>
      <c r="AS94" s="107" t="str" cm="1">
        <f t="array" aca="1" ref="AS94" ca="1">IF(OR(Formulas!AT92=0,Formulas!AT92=""),"",HYPERLINK("["&amp;Archivo_Nombre&amp;"]Datos!"&amp;LEFT(SUBSTITUTE(ADDRESS(1,Formulas!AT92+2),"$",""))&amp;Formulas!AS92+1,
IFERROR(INDEX(Datos!$A$2:$L$101,Formulas!AS92,Formulas!AT92+2),"")))</f>
        <v/>
      </c>
      <c r="AT94" s="13"/>
      <c r="AU94" s="6"/>
      <c r="AV94" s="24" t="str" cm="1">
        <f t="array" aca="1" ref="AV94" ca="1">IF(OR(Formulas!AX91=0,Formulas!AX91="",RIGHT(Formulas!AY91)="0"),"",
HYPERLINK("["&amp;Archivo_Nombre&amp;"]Datos!"&amp;LEFT(SUBSTITUTE(ADDRESS(1,IF(Formulas!AX91=1,1,RIGHT(Formulas!AY91)+2)),"$",""))&amp;Formulas!AW91+1,
IFERROR(INDEX(Datos!$A$1:$L$1,1,RIGHT(Formulas!AY91)+2)&amp;IF(Formulas!AX91=1," "&amp;Formulas!AW91,"")&amp;":","")))</f>
        <v/>
      </c>
      <c r="AW94" s="107" t="str" cm="1">
        <f t="array" aca="1" ref="AW94" ca="1">IF(OR(Formulas!AX91=0,Formulas!AX91="",RIGHT(Formulas!AY91)="0"),"",
HYPERLINK("["&amp;Archivo_Nombre&amp;"]Datos!"&amp;LEFT(SUBSTITUTE(ADDRESS(1,RIGHT(Formulas!AY91)+2),"$",""))&amp;Formulas!AW91+1,
IFERROR(INDEX(Datos!$A$2:$L$101,Formulas!AW91,RIGHT(Formulas!AY91)+2),"")))</f>
        <v/>
      </c>
      <c r="AX94" s="107" t="str" cm="1">
        <f t="array" aca="1" ref="AX94" ca="1">IF(OR(Formulas!AY92=0,Formulas!AY92=""),"",HYPERLINK("["&amp;Archivo_Nombre&amp;"]Datos!"&amp;LEFT(SUBSTITUTE(ADDRESS(1,Formulas!AY92+2),"$",""))&amp;Formulas!AX92+1,
IFERROR(INDEX(Datos!$A$2:$L$101,Formulas!AX92,Formulas!AY92+2),"")))</f>
        <v/>
      </c>
      <c r="AY94" s="13"/>
    </row>
    <row r="95" spans="2:51" x14ac:dyDescent="0.25">
      <c r="B95" s="11"/>
      <c r="C95" s="24" t="str" cm="1">
        <f t="array" aca="1" ref="C95" ca="1">IF(OR(Formulas!E92=0,Formulas!E92="",RIGHT(Formulas!F92)="0"),"",
HYPERLINK("["&amp;Archivo_Nombre&amp;"]Datos!"&amp;LEFT(SUBSTITUTE(ADDRESS(1,IF(Formulas!E92=1,1,RIGHT(Formulas!F92)+2)),"$",""))&amp;Formulas!D92+1,
IFERROR(INDEX(Datos!$A$1:$L$1,1,RIGHT(Formulas!F92)+2)&amp;IF(Formulas!E92=1," "&amp;Formulas!D92,"")&amp;":","")))</f>
        <v/>
      </c>
      <c r="D95" s="107" t="str" cm="1">
        <f t="array" aca="1" ref="D95" ca="1">IF(OR(Formulas!E92=0,Formulas!E92="",RIGHT(Formulas!F92)="0"),"",
HYPERLINK("["&amp;Archivo_Nombre&amp;"]Datos!"&amp;LEFT(SUBSTITUTE(ADDRESS(1,RIGHT(Formulas!F92)+2),"$",""))&amp;Formulas!D92+1,
IFERROR(INDEX(Datos!$A$2:$L$101,Formulas!D92,RIGHT(Formulas!F92)+2),"")))</f>
        <v/>
      </c>
      <c r="E95" s="107" t="str" cm="1">
        <f t="array" aca="1" ref="E95" ca="1">IF(OR(Formulas!F93=0,Formulas!F93=""),"",HYPERLINK("["&amp;Archivo_Nombre&amp;"]Datos!"&amp;LEFT(SUBSTITUTE(ADDRESS(1,Formulas!F93+2),"$",""))&amp;Formulas!E93+1,
IFERROR(INDEX(Datos!$A$2:$L$101,Formulas!E93,Formulas!F93+2),"")))</f>
        <v/>
      </c>
      <c r="F95" s="5"/>
      <c r="G95" s="6"/>
      <c r="H95" s="24" t="str" cm="1">
        <f t="array" aca="1" ref="H95" ca="1">IF(OR(Formulas!J92=0,Formulas!J92="",RIGHT(Formulas!K92)="0"),"",
HYPERLINK("["&amp;Archivo_Nombre&amp;"]Datos!"&amp;LEFT(SUBSTITUTE(ADDRESS(1,IF(Formulas!J92=1,1,RIGHT(Formulas!K92)+2)),"$",""))&amp;Formulas!I92+1,
IFERROR(INDEX(Datos!$A$1:$L$1,1,RIGHT(Formulas!K92)+2)&amp;IF(Formulas!J92=1," "&amp;Formulas!I92,"")&amp;":","")))</f>
        <v/>
      </c>
      <c r="I95" s="107" t="str" cm="1">
        <f t="array" aca="1" ref="I95" ca="1">IF(OR(Formulas!J92=0,Formulas!J92="",RIGHT(Formulas!K92)="0"),"",
HYPERLINK("["&amp;Archivo_Nombre&amp;"]Datos!"&amp;LEFT(SUBSTITUTE(ADDRESS(1,RIGHT(Formulas!K92)+2),"$",""))&amp;Formulas!I92+1,
IFERROR(INDEX(Datos!$A$2:$L$101,Formulas!I92,RIGHT(Formulas!K92)+2),"")))</f>
        <v/>
      </c>
      <c r="J95" s="107" t="str" cm="1">
        <f t="array" aca="1" ref="J95" ca="1">IF(OR(Formulas!K93=0,Formulas!K93=""),"",HYPERLINK("["&amp;Archivo_Nombre&amp;"]Datos!"&amp;LEFT(SUBSTITUTE(ADDRESS(1,Formulas!K93+2),"$",""))&amp;Formulas!J93+1,
IFERROR(INDEX(Datos!$A$2:$L$101,Formulas!J93,Formulas!K93+2),"")))</f>
        <v/>
      </c>
      <c r="K95" s="5"/>
      <c r="L95" s="6"/>
      <c r="M95" s="24" t="str" cm="1">
        <f t="array" aca="1" ref="M95" ca="1">IF(OR(Formulas!O92=0,Formulas!O92="",RIGHT(Formulas!P92)="0"),"",
HYPERLINK("["&amp;Archivo_Nombre&amp;"]Datos!"&amp;LEFT(SUBSTITUTE(ADDRESS(1,IF(Formulas!O92=1,1,RIGHT(Formulas!P92)+2)),"$",""))&amp;Formulas!N92+1,
IFERROR(INDEX(Datos!$A$1:$L$1,1,RIGHT(Formulas!P92)+2)&amp;IF(Formulas!O92=1," "&amp;Formulas!N92,"")&amp;":","")))</f>
        <v/>
      </c>
      <c r="N95" s="107" t="str" cm="1">
        <f t="array" aca="1" ref="N95" ca="1">IF(OR(Formulas!O92=0,Formulas!O92="",RIGHT(Formulas!P92)="0"),"",
HYPERLINK("["&amp;Archivo_Nombre&amp;"]Datos!"&amp;LEFT(SUBSTITUTE(ADDRESS(1,RIGHT(Formulas!P92)+2),"$",""))&amp;Formulas!N92+1,
IFERROR(INDEX(Datos!$A$2:$L$101,Formulas!N92,RIGHT(Formulas!P92)+2),"")))</f>
        <v/>
      </c>
      <c r="O95" s="107" t="str" cm="1">
        <f t="array" aca="1" ref="O95" ca="1">IF(OR(Formulas!P93=0,Formulas!P93=""),"",HYPERLINK("["&amp;Archivo_Nombre&amp;"]Datos!"&amp;LEFT(SUBSTITUTE(ADDRESS(1,Formulas!P93+2),"$",""))&amp;Formulas!O93+1,
IFERROR(INDEX(Datos!$A$2:$L$101,Formulas!O93,Formulas!P93+2),"")))</f>
        <v/>
      </c>
      <c r="P95" s="5"/>
      <c r="Q95" s="6"/>
      <c r="R95" s="24" t="str" cm="1">
        <f t="array" aca="1" ref="R95" ca="1">IF(OR(Formulas!T92=0,Formulas!T92="",RIGHT(Formulas!U92)="0"),"",
HYPERLINK("["&amp;Archivo_Nombre&amp;"]Datos!"&amp;LEFT(SUBSTITUTE(ADDRESS(1,IF(Formulas!T92=1,1,RIGHT(Formulas!U92)+2)),"$",""))&amp;Formulas!S92+1,
IFERROR(INDEX(Datos!$A$1:$L$1,1,RIGHT(Formulas!U92)+2)&amp;IF(Formulas!T92=1," "&amp;Formulas!S92,"")&amp;":","")))</f>
        <v/>
      </c>
      <c r="S95" s="107" t="str" cm="1">
        <f t="array" aca="1" ref="S95" ca="1">IF(OR(Formulas!T92=0,Formulas!T92="",RIGHT(Formulas!U92)="0"),"",
HYPERLINK("["&amp;Archivo_Nombre&amp;"]Datos!"&amp;LEFT(SUBSTITUTE(ADDRESS(1,RIGHT(Formulas!U92)+2),"$",""))&amp;Formulas!S92+1,
IFERROR(INDEX(Datos!$A$2:$L$101,Formulas!S92,RIGHT(Formulas!U92)+2),"")))</f>
        <v/>
      </c>
      <c r="T95" s="107" t="e" cm="1">
        <f t="array" aca="1" ref="T95" ca="1">IF(OR(Formulas!U93=0,Formulas!U93=""),"",HYPERLINK("["&amp;Archivo_Nombre&amp;"]Datos!"&amp;LEFT(SUBSTITUTE(ADDRESS(1,Formulas!U93+2),"$",""))&amp;Formulas!T93+1,
IFERROR(INDEX(Datos!$A$2:$L$101,Formulas!T93,Formulas!U93+2),"")))</f>
        <v>#VALUE!</v>
      </c>
      <c r="U95" s="5"/>
      <c r="V95" s="6"/>
      <c r="W95" s="24" t="str" cm="1">
        <f t="array" aca="1" ref="W95" ca="1">IF(OR(Formulas!Y92=0,Formulas!Y92="",RIGHT(Formulas!Z92)="0"),"",
HYPERLINK("["&amp;Archivo_Nombre&amp;"]Datos!"&amp;LEFT(SUBSTITUTE(ADDRESS(1,IF(Formulas!Y92=1,1,RIGHT(Formulas!Z92)+2)),"$",""))&amp;Formulas!X92+1,
IFERROR(INDEX(Datos!$A$1:$L$1,1,RIGHT(Formulas!Z92)+2)&amp;IF(Formulas!Y92=1," "&amp;Formulas!X92,"")&amp;":","")))</f>
        <v/>
      </c>
      <c r="X95" s="107" t="str" cm="1">
        <f t="array" aca="1" ref="X95" ca="1">IF(OR(Formulas!Y92=0,Formulas!Y92="",RIGHT(Formulas!Z92)="0"),"",
HYPERLINK("["&amp;Archivo_Nombre&amp;"]Datos!"&amp;LEFT(SUBSTITUTE(ADDRESS(1,RIGHT(Formulas!Z92)+2),"$",""))&amp;Formulas!X92+1,
IFERROR(INDEX(Datos!$A$2:$L$101,Formulas!X92,RIGHT(Formulas!Z92)+2),"")))</f>
        <v/>
      </c>
      <c r="Y95" s="107" t="str" cm="1">
        <f t="array" aca="1" ref="Y95" ca="1">IF(OR(Formulas!Z93=0,Formulas!Z93=""),"",HYPERLINK("["&amp;Archivo_Nombre&amp;"]Datos!"&amp;LEFT(SUBSTITUTE(ADDRESS(1,Formulas!Z93+2),"$",""))&amp;Formulas!Y93+1,
IFERROR(INDEX(Datos!$A$2:$L$101,Formulas!Y93,Formulas!Z93+2),"")))</f>
        <v/>
      </c>
      <c r="Z95" s="13"/>
      <c r="AA95" s="6"/>
      <c r="AB95" s="24" t="str" cm="1">
        <f t="array" aca="1" ref="AB95" ca="1">IF(OR(Formulas!AD92=0,Formulas!AD92="",RIGHT(Formulas!AE92)="0"),"",
HYPERLINK("["&amp;Archivo_Nombre&amp;"]Datos!"&amp;LEFT(SUBSTITUTE(ADDRESS(1,IF(Formulas!AD92=1,1,RIGHT(Formulas!AE92)+2)),"$",""))&amp;Formulas!AC92+1,
IFERROR(INDEX(Datos!$A$1:$L$1,1,RIGHT(Formulas!AE92)+2)&amp;IF(Formulas!AD92=1," "&amp;Formulas!AC92,"")&amp;":","")))</f>
        <v/>
      </c>
      <c r="AC95" s="107" t="str" cm="1">
        <f t="array" aca="1" ref="AC95" ca="1">IF(OR(Formulas!AD92=0,Formulas!AD92="",RIGHT(Formulas!AE92)="0"),"",
HYPERLINK("["&amp;Archivo_Nombre&amp;"]Datos!"&amp;LEFT(SUBSTITUTE(ADDRESS(1,RIGHT(Formulas!AE92)+2),"$",""))&amp;Formulas!AC92+1,
IFERROR(INDEX(Datos!$A$2:$L$101,Formulas!AC92,RIGHT(Formulas!AE92)+2),"")))</f>
        <v/>
      </c>
      <c r="AD95" s="107" t="str" cm="1">
        <f t="array" aca="1" ref="AD95" ca="1">IF(OR(Formulas!AE93=0,Formulas!AE93=""),"",HYPERLINK("["&amp;Archivo_Nombre&amp;"]Datos!"&amp;LEFT(SUBSTITUTE(ADDRESS(1,Formulas!AE93+2),"$",""))&amp;Formulas!AD93+1,
IFERROR(INDEX(Datos!$A$2:$L$101,Formulas!AD93,Formulas!AE93+2),"")))</f>
        <v/>
      </c>
      <c r="AE95" s="13"/>
      <c r="AF95" s="6"/>
      <c r="AG95" s="24" t="str" cm="1">
        <f t="array" aca="1" ref="AG95" ca="1">IF(OR(Formulas!AI92=0,Formulas!AI92="",RIGHT(Formulas!AJ92)="0"),"",
HYPERLINK("["&amp;Archivo_Nombre&amp;"]Datos!"&amp;LEFT(SUBSTITUTE(ADDRESS(1,IF(Formulas!AI92=1,1,RIGHT(Formulas!AJ92)+2)),"$",""))&amp;Formulas!AH92+1,
IFERROR(INDEX(Datos!$A$1:$L$1,1,RIGHT(Formulas!AJ92)+2)&amp;IF(Formulas!AI92=1," "&amp;Formulas!AH92,"")&amp;":","")))</f>
        <v/>
      </c>
      <c r="AH95" s="107" t="str" cm="1">
        <f t="array" aca="1" ref="AH95" ca="1">IF(OR(Formulas!AI92=0,Formulas!AI92="",RIGHT(Formulas!AJ92)="0"),"",
HYPERLINK("["&amp;Archivo_Nombre&amp;"]Datos!"&amp;LEFT(SUBSTITUTE(ADDRESS(1,RIGHT(Formulas!AJ92)+2),"$",""))&amp;Formulas!AH92+1,
IFERROR(INDEX(Datos!$A$2:$L$101,Formulas!AH92,RIGHT(Formulas!AJ92)+2),"")))</f>
        <v/>
      </c>
      <c r="AI95" s="107" t="str" cm="1">
        <f t="array" aca="1" ref="AI95" ca="1">IF(OR(Formulas!AJ93=0,Formulas!AJ93=""),"",HYPERLINK("["&amp;Archivo_Nombre&amp;"]Datos!"&amp;LEFT(SUBSTITUTE(ADDRESS(1,Formulas!AJ93+2),"$",""))&amp;Formulas!AI93+1,
IFERROR(INDEX(Datos!$A$2:$L$101,Formulas!AI93,Formulas!AJ93+2),"")))</f>
        <v/>
      </c>
      <c r="AJ95" s="13"/>
      <c r="AK95" s="6"/>
      <c r="AL95" s="24" t="str" cm="1">
        <f t="array" aca="1" ref="AL95" ca="1">IF(OR(Formulas!AN92=0,Formulas!AN92="",RIGHT(Formulas!AO92)="0"),"",
HYPERLINK("["&amp;Archivo_Nombre&amp;"]Datos!"&amp;LEFT(SUBSTITUTE(ADDRESS(1,IF(Formulas!AN92=1,1,RIGHT(Formulas!AO92)+2)),"$",""))&amp;Formulas!AM92+1,
IFERROR(INDEX(Datos!$A$1:$L$1,1,RIGHT(Formulas!AO92)+2)&amp;IF(Formulas!AN92=1," "&amp;Formulas!AM92,"")&amp;":","")))</f>
        <v/>
      </c>
      <c r="AM95" s="107" t="str" cm="1">
        <f t="array" aca="1" ref="AM95" ca="1">IF(OR(Formulas!AN92=0,Formulas!AN92="",RIGHT(Formulas!AO92)="0"),"",
HYPERLINK("["&amp;Archivo_Nombre&amp;"]Datos!"&amp;LEFT(SUBSTITUTE(ADDRESS(1,RIGHT(Formulas!AO92)+2),"$",""))&amp;Formulas!AM92+1,
IFERROR(INDEX(Datos!$A$2:$L$101,Formulas!AM92,RIGHT(Formulas!AO92)+2),"")))</f>
        <v/>
      </c>
      <c r="AN95" s="107" t="str" cm="1">
        <f t="array" aca="1" ref="AN95" ca="1">IF(OR(Formulas!AO93=0,Formulas!AO93=""),"",HYPERLINK("["&amp;Archivo_Nombre&amp;"]Datos!"&amp;LEFT(SUBSTITUTE(ADDRESS(1,Formulas!AO93+2),"$",""))&amp;Formulas!AN93+1,
IFERROR(INDEX(Datos!$A$2:$L$101,Formulas!AN93,Formulas!AO93+2),"")))</f>
        <v/>
      </c>
      <c r="AO95" s="13"/>
      <c r="AP95" s="6"/>
      <c r="AQ95" s="24" t="str" cm="1">
        <f t="array" aca="1" ref="AQ95" ca="1">IF(OR(Formulas!AS92=0,Formulas!AS92="",RIGHT(Formulas!AT92)="0"),"",
HYPERLINK("["&amp;Archivo_Nombre&amp;"]Datos!"&amp;LEFT(SUBSTITUTE(ADDRESS(1,IF(Formulas!AS92=1,1,RIGHT(Formulas!AT92)+2)),"$",""))&amp;Formulas!AR92+1,
IFERROR(INDEX(Datos!$A$1:$L$1,1,RIGHT(Formulas!AT92)+2)&amp;IF(Formulas!AS92=1," "&amp;Formulas!AR92,"")&amp;":","")))</f>
        <v/>
      </c>
      <c r="AR95" s="107" t="str" cm="1">
        <f t="array" aca="1" ref="AR95" ca="1">IF(OR(Formulas!AS92=0,Formulas!AS92="",RIGHT(Formulas!AT92)="0"),"",
HYPERLINK("["&amp;Archivo_Nombre&amp;"]Datos!"&amp;LEFT(SUBSTITUTE(ADDRESS(1,RIGHT(Formulas!AT92)+2),"$",""))&amp;Formulas!AR92+1,
IFERROR(INDEX(Datos!$A$2:$L$101,Formulas!AR92,RIGHT(Formulas!AT92)+2),"")))</f>
        <v/>
      </c>
      <c r="AS95" s="107" t="str" cm="1">
        <f t="array" aca="1" ref="AS95" ca="1">IF(OR(Formulas!AT93=0,Formulas!AT93=""),"",HYPERLINK("["&amp;Archivo_Nombre&amp;"]Datos!"&amp;LEFT(SUBSTITUTE(ADDRESS(1,Formulas!AT93+2),"$",""))&amp;Formulas!AS93+1,
IFERROR(INDEX(Datos!$A$2:$L$101,Formulas!AS93,Formulas!AT93+2),"")))</f>
        <v/>
      </c>
      <c r="AT95" s="13"/>
      <c r="AU95" s="6"/>
      <c r="AV95" s="24" t="str" cm="1">
        <f t="array" aca="1" ref="AV95" ca="1">IF(OR(Formulas!AX92=0,Formulas!AX92="",RIGHT(Formulas!AY92)="0"),"",
HYPERLINK("["&amp;Archivo_Nombre&amp;"]Datos!"&amp;LEFT(SUBSTITUTE(ADDRESS(1,IF(Formulas!AX92=1,1,RIGHT(Formulas!AY92)+2)),"$",""))&amp;Formulas!AW92+1,
IFERROR(INDEX(Datos!$A$1:$L$1,1,RIGHT(Formulas!AY92)+2)&amp;IF(Formulas!AX92=1," "&amp;Formulas!AW92,"")&amp;":","")))</f>
        <v/>
      </c>
      <c r="AW95" s="107" t="str" cm="1">
        <f t="array" aca="1" ref="AW95" ca="1">IF(OR(Formulas!AX92=0,Formulas!AX92="",RIGHT(Formulas!AY92)="0"),"",
HYPERLINK("["&amp;Archivo_Nombre&amp;"]Datos!"&amp;LEFT(SUBSTITUTE(ADDRESS(1,RIGHT(Formulas!AY92)+2),"$",""))&amp;Formulas!AW92+1,
IFERROR(INDEX(Datos!$A$2:$L$101,Formulas!AW92,RIGHT(Formulas!AY92)+2),"")))</f>
        <v/>
      </c>
      <c r="AX95" s="107" t="str" cm="1">
        <f t="array" aca="1" ref="AX95" ca="1">IF(OR(Formulas!AY93=0,Formulas!AY93=""),"",HYPERLINK("["&amp;Archivo_Nombre&amp;"]Datos!"&amp;LEFT(SUBSTITUTE(ADDRESS(1,Formulas!AY93+2),"$",""))&amp;Formulas!AX93+1,
IFERROR(INDEX(Datos!$A$2:$L$101,Formulas!AX93,Formulas!AY93+2),"")))</f>
        <v/>
      </c>
      <c r="AY95" s="13"/>
    </row>
    <row r="96" spans="2:51" x14ac:dyDescent="0.25">
      <c r="B96" s="11"/>
      <c r="C96" s="24" t="str" cm="1">
        <f t="array" aca="1" ref="C96" ca="1">IF(OR(Formulas!E93=0,Formulas!E93="",RIGHT(Formulas!F93)="0"),"",
HYPERLINK("["&amp;Archivo_Nombre&amp;"]Datos!"&amp;LEFT(SUBSTITUTE(ADDRESS(1,IF(Formulas!E93=1,1,RIGHT(Formulas!F93)+2)),"$",""))&amp;Formulas!D93+1,
IFERROR(INDEX(Datos!$A$1:$L$1,1,RIGHT(Formulas!F93)+2)&amp;IF(Formulas!E93=1," "&amp;Formulas!D93,"")&amp;":","")))</f>
        <v/>
      </c>
      <c r="D96" s="107" t="str" cm="1">
        <f t="array" aca="1" ref="D96" ca="1">IF(OR(Formulas!E93=0,Formulas!E93="",RIGHT(Formulas!F93)="0"),"",
HYPERLINK("["&amp;Archivo_Nombre&amp;"]Datos!"&amp;LEFT(SUBSTITUTE(ADDRESS(1,RIGHT(Formulas!F93)+2),"$",""))&amp;Formulas!D93+1,
IFERROR(INDEX(Datos!$A$2:$L$101,Formulas!D93,RIGHT(Formulas!F93)+2),"")))</f>
        <v/>
      </c>
      <c r="E96" s="107" t="str" cm="1">
        <f t="array" aca="1" ref="E96" ca="1">IF(OR(Formulas!F94=0,Formulas!F94=""),"",HYPERLINK("["&amp;Archivo_Nombre&amp;"]Datos!"&amp;LEFT(SUBSTITUTE(ADDRESS(1,Formulas!F94+2),"$",""))&amp;Formulas!E94+1,
IFERROR(INDEX(Datos!$A$2:$L$101,Formulas!E94,Formulas!F94+2),"")))</f>
        <v/>
      </c>
      <c r="F96" s="5"/>
      <c r="G96" s="6"/>
      <c r="H96" s="24" t="str" cm="1">
        <f t="array" aca="1" ref="H96" ca="1">IF(OR(Formulas!J93=0,Formulas!J93="",RIGHT(Formulas!K93)="0"),"",
HYPERLINK("["&amp;Archivo_Nombre&amp;"]Datos!"&amp;LEFT(SUBSTITUTE(ADDRESS(1,IF(Formulas!J93=1,1,RIGHT(Formulas!K93)+2)),"$",""))&amp;Formulas!I93+1,
IFERROR(INDEX(Datos!$A$1:$L$1,1,RIGHT(Formulas!K93)+2)&amp;IF(Formulas!J93=1," "&amp;Formulas!I93,"")&amp;":","")))</f>
        <v/>
      </c>
      <c r="I96" s="107" t="str" cm="1">
        <f t="array" aca="1" ref="I96" ca="1">IF(OR(Formulas!J93=0,Formulas!J93="",RIGHT(Formulas!K93)="0"),"",
HYPERLINK("["&amp;Archivo_Nombre&amp;"]Datos!"&amp;LEFT(SUBSTITUTE(ADDRESS(1,RIGHT(Formulas!K93)+2),"$",""))&amp;Formulas!I93+1,
IFERROR(INDEX(Datos!$A$2:$L$101,Formulas!I93,RIGHT(Formulas!K93)+2),"")))</f>
        <v/>
      </c>
      <c r="J96" s="107" t="str" cm="1">
        <f t="array" aca="1" ref="J96" ca="1">IF(OR(Formulas!K94=0,Formulas!K94=""),"",HYPERLINK("["&amp;Archivo_Nombre&amp;"]Datos!"&amp;LEFT(SUBSTITUTE(ADDRESS(1,Formulas!K94+2),"$",""))&amp;Formulas!J94+1,
IFERROR(INDEX(Datos!$A$2:$L$101,Formulas!J94,Formulas!K94+2),"")))</f>
        <v/>
      </c>
      <c r="K96" s="5"/>
      <c r="L96" s="6"/>
      <c r="M96" s="24" t="str" cm="1">
        <f t="array" aca="1" ref="M96" ca="1">IF(OR(Formulas!O93=0,Formulas!O93="",RIGHT(Formulas!P93)="0"),"",
HYPERLINK("["&amp;Archivo_Nombre&amp;"]Datos!"&amp;LEFT(SUBSTITUTE(ADDRESS(1,IF(Formulas!O93=1,1,RIGHT(Formulas!P93)+2)),"$",""))&amp;Formulas!N93+1,
IFERROR(INDEX(Datos!$A$1:$L$1,1,RIGHT(Formulas!P93)+2)&amp;IF(Formulas!O93=1," "&amp;Formulas!N93,"")&amp;":","")))</f>
        <v/>
      </c>
      <c r="N96" s="107" t="str" cm="1">
        <f t="array" aca="1" ref="N96" ca="1">IF(OR(Formulas!O93=0,Formulas!O93="",RIGHT(Formulas!P93)="0"),"",
HYPERLINK("["&amp;Archivo_Nombre&amp;"]Datos!"&amp;LEFT(SUBSTITUTE(ADDRESS(1,RIGHT(Formulas!P93)+2),"$",""))&amp;Formulas!N93+1,
IFERROR(INDEX(Datos!$A$2:$L$101,Formulas!N93,RIGHT(Formulas!P93)+2),"")))</f>
        <v/>
      </c>
      <c r="O96" s="107" t="str" cm="1">
        <f t="array" aca="1" ref="O96" ca="1">IF(OR(Formulas!P94=0,Formulas!P94=""),"",HYPERLINK("["&amp;Archivo_Nombre&amp;"]Datos!"&amp;LEFT(SUBSTITUTE(ADDRESS(1,Formulas!P94+2),"$",""))&amp;Formulas!O94+1,
IFERROR(INDEX(Datos!$A$2:$L$101,Formulas!O94,Formulas!P94+2),"")))</f>
        <v/>
      </c>
      <c r="P96" s="5"/>
      <c r="Q96" s="6"/>
      <c r="R96" s="24" t="str" cm="1">
        <f t="array" aca="1" ref="R96" ca="1">IF(OR(Formulas!T93=0,Formulas!T93="",RIGHT(Formulas!U93)="0"),"",
HYPERLINK("["&amp;Archivo_Nombre&amp;"]Datos!"&amp;LEFT(SUBSTITUTE(ADDRESS(1,IF(Formulas!T93=1,1,RIGHT(Formulas!U93)+2)),"$",""))&amp;Formulas!S93+1,
IFERROR(INDEX(Datos!$A$1:$L$1,1,RIGHT(Formulas!U93)+2)&amp;IF(Formulas!T93=1," "&amp;Formulas!S93,"")&amp;":","")))</f>
        <v>ORDEN PCRONOLOGICO 20:</v>
      </c>
      <c r="S96" s="107" cm="1">
        <f t="array" aca="1" ref="S96" ca="1">IF(OR(Formulas!T93=0,Formulas!T93="",RIGHT(Formulas!U93)="0"),"",
HYPERLINK("["&amp;Archivo_Nombre&amp;"]Datos!"&amp;LEFT(SUBSTITUTE(ADDRESS(1,RIGHT(Formulas!U93)+2),"$",""))&amp;Formulas!S93+1,
IFERROR(INDEX(Datos!$A$2:$L$101,Formulas!S93,RIGHT(Formulas!U93)+2),"")))</f>
        <v>20</v>
      </c>
      <c r="T96" s="107" t="e" cm="1">
        <f t="array" aca="1" ref="T96" ca="1">IF(OR(Formulas!U94=0,Formulas!U94=""),"",HYPERLINK("["&amp;Archivo_Nombre&amp;"]Datos!"&amp;LEFT(SUBSTITUTE(ADDRESS(1,Formulas!U94+2),"$",""))&amp;Formulas!T94+1,
IFERROR(INDEX(Datos!$A$2:$L$101,Formulas!T94,Formulas!U94+2),"")))</f>
        <v>#VALUE!</v>
      </c>
      <c r="U96" s="5"/>
      <c r="V96" s="6"/>
      <c r="W96" s="24" t="str" cm="1">
        <f t="array" aca="1" ref="W96" ca="1">IF(OR(Formulas!Y93=0,Formulas!Y93="",RIGHT(Formulas!Z93)="0"),"",
HYPERLINK("["&amp;Archivo_Nombre&amp;"]Datos!"&amp;LEFT(SUBSTITUTE(ADDRESS(1,IF(Formulas!Y93=1,1,RIGHT(Formulas!Z93)+2)),"$",""))&amp;Formulas!X93+1,
IFERROR(INDEX(Datos!$A$1:$L$1,1,RIGHT(Formulas!Z93)+2)&amp;IF(Formulas!Y93=1," "&amp;Formulas!X93,"")&amp;":","")))</f>
        <v/>
      </c>
      <c r="X96" s="107" t="str" cm="1">
        <f t="array" aca="1" ref="X96" ca="1">IF(OR(Formulas!Y93=0,Formulas!Y93="",RIGHT(Formulas!Z93)="0"),"",
HYPERLINK("["&amp;Archivo_Nombre&amp;"]Datos!"&amp;LEFT(SUBSTITUTE(ADDRESS(1,RIGHT(Formulas!Z93)+2),"$",""))&amp;Formulas!X93+1,
IFERROR(INDEX(Datos!$A$2:$L$101,Formulas!X93,RIGHT(Formulas!Z93)+2),"")))</f>
        <v/>
      </c>
      <c r="Y96" s="107" t="str" cm="1">
        <f t="array" aca="1" ref="Y96" ca="1">IF(OR(Formulas!Z94=0,Formulas!Z94=""),"",HYPERLINK("["&amp;Archivo_Nombre&amp;"]Datos!"&amp;LEFT(SUBSTITUTE(ADDRESS(1,Formulas!Z94+2),"$",""))&amp;Formulas!Y94+1,
IFERROR(INDEX(Datos!$A$2:$L$101,Formulas!Y94,Formulas!Z94+2),"")))</f>
        <v/>
      </c>
      <c r="Z96" s="13"/>
      <c r="AA96" s="6"/>
      <c r="AB96" s="24" t="str" cm="1">
        <f t="array" aca="1" ref="AB96" ca="1">IF(OR(Formulas!AD93=0,Formulas!AD93="",RIGHT(Formulas!AE93)="0"),"",
HYPERLINK("["&amp;Archivo_Nombre&amp;"]Datos!"&amp;LEFT(SUBSTITUTE(ADDRESS(1,IF(Formulas!AD93=1,1,RIGHT(Formulas!AE93)+2)),"$",""))&amp;Formulas!AC93+1,
IFERROR(INDEX(Datos!$A$1:$L$1,1,RIGHT(Formulas!AE93)+2)&amp;IF(Formulas!AD93=1," "&amp;Formulas!AC93,"")&amp;":","")))</f>
        <v/>
      </c>
      <c r="AC96" s="107" t="str" cm="1">
        <f t="array" aca="1" ref="AC96" ca="1">IF(OR(Formulas!AD93=0,Formulas!AD93="",RIGHT(Formulas!AE93)="0"),"",
HYPERLINK("["&amp;Archivo_Nombre&amp;"]Datos!"&amp;LEFT(SUBSTITUTE(ADDRESS(1,RIGHT(Formulas!AE93)+2),"$",""))&amp;Formulas!AC93+1,
IFERROR(INDEX(Datos!$A$2:$L$101,Formulas!AC93,RIGHT(Formulas!AE93)+2),"")))</f>
        <v/>
      </c>
      <c r="AD96" s="107" t="str" cm="1">
        <f t="array" aca="1" ref="AD96" ca="1">IF(OR(Formulas!AE94=0,Formulas!AE94=""),"",HYPERLINK("["&amp;Archivo_Nombre&amp;"]Datos!"&amp;LEFT(SUBSTITUTE(ADDRESS(1,Formulas!AE94+2),"$",""))&amp;Formulas!AD94+1,
IFERROR(INDEX(Datos!$A$2:$L$101,Formulas!AD94,Formulas!AE94+2),"")))</f>
        <v/>
      </c>
      <c r="AE96" s="13"/>
      <c r="AF96" s="6"/>
      <c r="AG96" s="24" t="str" cm="1">
        <f t="array" aca="1" ref="AG96" ca="1">IF(OR(Formulas!AI93=0,Formulas!AI93="",RIGHT(Formulas!AJ93)="0"),"",
HYPERLINK("["&amp;Archivo_Nombre&amp;"]Datos!"&amp;LEFT(SUBSTITUTE(ADDRESS(1,IF(Formulas!AI93=1,1,RIGHT(Formulas!AJ93)+2)),"$",""))&amp;Formulas!AH93+1,
IFERROR(INDEX(Datos!$A$1:$L$1,1,RIGHT(Formulas!AJ93)+2)&amp;IF(Formulas!AI93=1," "&amp;Formulas!AH93,"")&amp;":","")))</f>
        <v/>
      </c>
      <c r="AH96" s="107" t="str" cm="1">
        <f t="array" aca="1" ref="AH96" ca="1">IF(OR(Formulas!AI93=0,Formulas!AI93="",RIGHT(Formulas!AJ93)="0"),"",
HYPERLINK("["&amp;Archivo_Nombre&amp;"]Datos!"&amp;LEFT(SUBSTITUTE(ADDRESS(1,RIGHT(Formulas!AJ93)+2),"$",""))&amp;Formulas!AH93+1,
IFERROR(INDEX(Datos!$A$2:$L$101,Formulas!AH93,RIGHT(Formulas!AJ93)+2),"")))</f>
        <v/>
      </c>
      <c r="AI96" s="107" t="str" cm="1">
        <f t="array" aca="1" ref="AI96" ca="1">IF(OR(Formulas!AJ94=0,Formulas!AJ94=""),"",HYPERLINK("["&amp;Archivo_Nombre&amp;"]Datos!"&amp;LEFT(SUBSTITUTE(ADDRESS(1,Formulas!AJ94+2),"$",""))&amp;Formulas!AI94+1,
IFERROR(INDEX(Datos!$A$2:$L$101,Formulas!AI94,Formulas!AJ94+2),"")))</f>
        <v/>
      </c>
      <c r="AJ96" s="13"/>
      <c r="AK96" s="6"/>
      <c r="AL96" s="24" t="str" cm="1">
        <f t="array" aca="1" ref="AL96" ca="1">IF(OR(Formulas!AN93=0,Formulas!AN93="",RIGHT(Formulas!AO93)="0"),"",
HYPERLINK("["&amp;Archivo_Nombre&amp;"]Datos!"&amp;LEFT(SUBSTITUTE(ADDRESS(1,IF(Formulas!AN93=1,1,RIGHT(Formulas!AO93)+2)),"$",""))&amp;Formulas!AM93+1,
IFERROR(INDEX(Datos!$A$1:$L$1,1,RIGHT(Formulas!AO93)+2)&amp;IF(Formulas!AN93=1," "&amp;Formulas!AM93,"")&amp;":","")))</f>
        <v/>
      </c>
      <c r="AM96" s="107" t="str" cm="1">
        <f t="array" aca="1" ref="AM96" ca="1">IF(OR(Formulas!AN93=0,Formulas!AN93="",RIGHT(Formulas!AO93)="0"),"",
HYPERLINK("["&amp;Archivo_Nombre&amp;"]Datos!"&amp;LEFT(SUBSTITUTE(ADDRESS(1,RIGHT(Formulas!AO93)+2),"$",""))&amp;Formulas!AM93+1,
IFERROR(INDEX(Datos!$A$2:$L$101,Formulas!AM93,RIGHT(Formulas!AO93)+2),"")))</f>
        <v/>
      </c>
      <c r="AN96" s="107" t="str" cm="1">
        <f t="array" aca="1" ref="AN96" ca="1">IF(OR(Formulas!AO94=0,Formulas!AO94=""),"",HYPERLINK("["&amp;Archivo_Nombre&amp;"]Datos!"&amp;LEFT(SUBSTITUTE(ADDRESS(1,Formulas!AO94+2),"$",""))&amp;Formulas!AN94+1,
IFERROR(INDEX(Datos!$A$2:$L$101,Formulas!AN94,Formulas!AO94+2),"")))</f>
        <v/>
      </c>
      <c r="AO96" s="13"/>
      <c r="AP96" s="6"/>
      <c r="AQ96" s="24" t="str" cm="1">
        <f t="array" aca="1" ref="AQ96" ca="1">IF(OR(Formulas!AS93=0,Formulas!AS93="",RIGHT(Formulas!AT93)="0"),"",
HYPERLINK("["&amp;Archivo_Nombre&amp;"]Datos!"&amp;LEFT(SUBSTITUTE(ADDRESS(1,IF(Formulas!AS93=1,1,RIGHT(Formulas!AT93)+2)),"$",""))&amp;Formulas!AR93+1,
IFERROR(INDEX(Datos!$A$1:$L$1,1,RIGHT(Formulas!AT93)+2)&amp;IF(Formulas!AS93=1," "&amp;Formulas!AR93,"")&amp;":","")))</f>
        <v/>
      </c>
      <c r="AR96" s="107" t="str" cm="1">
        <f t="array" aca="1" ref="AR96" ca="1">IF(OR(Formulas!AS93=0,Formulas!AS93="",RIGHT(Formulas!AT93)="0"),"",
HYPERLINK("["&amp;Archivo_Nombre&amp;"]Datos!"&amp;LEFT(SUBSTITUTE(ADDRESS(1,RIGHT(Formulas!AT93)+2),"$",""))&amp;Formulas!AR93+1,
IFERROR(INDEX(Datos!$A$2:$L$101,Formulas!AR93,RIGHT(Formulas!AT93)+2),"")))</f>
        <v/>
      </c>
      <c r="AS96" s="107" t="str" cm="1">
        <f t="array" aca="1" ref="AS96" ca="1">IF(OR(Formulas!AT94=0,Formulas!AT94=""),"",HYPERLINK("["&amp;Archivo_Nombre&amp;"]Datos!"&amp;LEFT(SUBSTITUTE(ADDRESS(1,Formulas!AT94+2),"$",""))&amp;Formulas!AS94+1,
IFERROR(INDEX(Datos!$A$2:$L$101,Formulas!AS94,Formulas!AT94+2),"")))</f>
        <v/>
      </c>
      <c r="AT96" s="13"/>
      <c r="AU96" s="6"/>
      <c r="AV96" s="24" t="str" cm="1">
        <f t="array" aca="1" ref="AV96" ca="1">IF(OR(Formulas!AX93=0,Formulas!AX93="",RIGHT(Formulas!AY93)="0"),"",
HYPERLINK("["&amp;Archivo_Nombre&amp;"]Datos!"&amp;LEFT(SUBSTITUTE(ADDRESS(1,IF(Formulas!AX93=1,1,RIGHT(Formulas!AY93)+2)),"$",""))&amp;Formulas!AW93+1,
IFERROR(INDEX(Datos!$A$1:$L$1,1,RIGHT(Formulas!AY93)+2)&amp;IF(Formulas!AX93=1," "&amp;Formulas!AW93,"")&amp;":","")))</f>
        <v/>
      </c>
      <c r="AW96" s="107" t="str" cm="1">
        <f t="array" aca="1" ref="AW96" ca="1">IF(OR(Formulas!AX93=0,Formulas!AX93="",RIGHT(Formulas!AY93)="0"),"",
HYPERLINK("["&amp;Archivo_Nombre&amp;"]Datos!"&amp;LEFT(SUBSTITUTE(ADDRESS(1,RIGHT(Formulas!AY93)+2),"$",""))&amp;Formulas!AW93+1,
IFERROR(INDEX(Datos!$A$2:$L$101,Formulas!AW93,RIGHT(Formulas!AY93)+2),"")))</f>
        <v/>
      </c>
      <c r="AX96" s="107" t="str" cm="1">
        <f t="array" aca="1" ref="AX96" ca="1">IF(OR(Formulas!AY94=0,Formulas!AY94=""),"",HYPERLINK("["&amp;Archivo_Nombre&amp;"]Datos!"&amp;LEFT(SUBSTITUTE(ADDRESS(1,Formulas!AY94+2),"$",""))&amp;Formulas!AX94+1,
IFERROR(INDEX(Datos!$A$2:$L$101,Formulas!AX94,Formulas!AY94+2),"")))</f>
        <v/>
      </c>
      <c r="AY96" s="13"/>
    </row>
    <row r="97" spans="2:51" x14ac:dyDescent="0.25">
      <c r="B97" s="11"/>
      <c r="C97" s="24" t="str" cm="1">
        <f t="array" aca="1" ref="C97" ca="1">IF(OR(Formulas!E94=0,Formulas!E94="",RIGHT(Formulas!F94)="0"),"",
HYPERLINK("["&amp;Archivo_Nombre&amp;"]Datos!"&amp;LEFT(SUBSTITUTE(ADDRESS(1,IF(Formulas!E94=1,1,RIGHT(Formulas!F94)+2)),"$",""))&amp;Formulas!D94+1,
IFERROR(INDEX(Datos!$A$1:$L$1,1,RIGHT(Formulas!F94)+2)&amp;IF(Formulas!E94=1," "&amp;Formulas!D94,"")&amp;":","")))</f>
        <v/>
      </c>
      <c r="D97" s="107" t="str" cm="1">
        <f t="array" aca="1" ref="D97" ca="1">IF(OR(Formulas!E94=0,Formulas!E94="",RIGHT(Formulas!F94)="0"),"",
HYPERLINK("["&amp;Archivo_Nombre&amp;"]Datos!"&amp;LEFT(SUBSTITUTE(ADDRESS(1,RIGHT(Formulas!F94)+2),"$",""))&amp;Formulas!D94+1,
IFERROR(INDEX(Datos!$A$2:$L$101,Formulas!D94,RIGHT(Formulas!F94)+2),"")))</f>
        <v/>
      </c>
      <c r="E97" s="107" t="str" cm="1">
        <f t="array" aca="1" ref="E97" ca="1">IF(OR(Formulas!F95=0,Formulas!F95=""),"",HYPERLINK("["&amp;Archivo_Nombre&amp;"]Datos!"&amp;LEFT(SUBSTITUTE(ADDRESS(1,Formulas!F95+2),"$",""))&amp;Formulas!E95+1,
IFERROR(INDEX(Datos!$A$2:$L$101,Formulas!E95,Formulas!F95+2),"")))</f>
        <v/>
      </c>
      <c r="F97" s="5"/>
      <c r="G97" s="6"/>
      <c r="H97" s="24" t="str" cm="1">
        <f t="array" aca="1" ref="H97" ca="1">IF(OR(Formulas!J94=0,Formulas!J94="",RIGHT(Formulas!K94)="0"),"",
HYPERLINK("["&amp;Archivo_Nombre&amp;"]Datos!"&amp;LEFT(SUBSTITUTE(ADDRESS(1,IF(Formulas!J94=1,1,RIGHT(Formulas!K94)+2)),"$",""))&amp;Formulas!I94+1,
IFERROR(INDEX(Datos!$A$1:$L$1,1,RIGHT(Formulas!K94)+2)&amp;IF(Formulas!J94=1," "&amp;Formulas!I94,"")&amp;":","")))</f>
        <v/>
      </c>
      <c r="I97" s="107" t="str" cm="1">
        <f t="array" aca="1" ref="I97" ca="1">IF(OR(Formulas!J94=0,Formulas!J94="",RIGHT(Formulas!K94)="0"),"",
HYPERLINK("["&amp;Archivo_Nombre&amp;"]Datos!"&amp;LEFT(SUBSTITUTE(ADDRESS(1,RIGHT(Formulas!K94)+2),"$",""))&amp;Formulas!I94+1,
IFERROR(INDEX(Datos!$A$2:$L$101,Formulas!I94,RIGHT(Formulas!K94)+2),"")))</f>
        <v/>
      </c>
      <c r="J97" s="107" t="str" cm="1">
        <f t="array" aca="1" ref="J97" ca="1">IF(OR(Formulas!K95=0,Formulas!K95=""),"",HYPERLINK("["&amp;Archivo_Nombre&amp;"]Datos!"&amp;LEFT(SUBSTITUTE(ADDRESS(1,Formulas!K95+2),"$",""))&amp;Formulas!J95+1,
IFERROR(INDEX(Datos!$A$2:$L$101,Formulas!J95,Formulas!K95+2),"")))</f>
        <v/>
      </c>
      <c r="K97" s="5"/>
      <c r="L97" s="6"/>
      <c r="M97" s="24" t="str" cm="1">
        <f t="array" aca="1" ref="M97" ca="1">IF(OR(Formulas!O94=0,Formulas!O94="",RIGHT(Formulas!P94)="0"),"",
HYPERLINK("["&amp;Archivo_Nombre&amp;"]Datos!"&amp;LEFT(SUBSTITUTE(ADDRESS(1,IF(Formulas!O94=1,1,RIGHT(Formulas!P94)+2)),"$",""))&amp;Formulas!N94+1,
IFERROR(INDEX(Datos!$A$1:$L$1,1,RIGHT(Formulas!P94)+2)&amp;IF(Formulas!O94=1," "&amp;Formulas!N94,"")&amp;":","")))</f>
        <v/>
      </c>
      <c r="N97" s="107" t="str" cm="1">
        <f t="array" aca="1" ref="N97" ca="1">IF(OR(Formulas!O94=0,Formulas!O94="",RIGHT(Formulas!P94)="0"),"",
HYPERLINK("["&amp;Archivo_Nombre&amp;"]Datos!"&amp;LEFT(SUBSTITUTE(ADDRESS(1,RIGHT(Formulas!P94)+2),"$",""))&amp;Formulas!N94+1,
IFERROR(INDEX(Datos!$A$2:$L$101,Formulas!N94,RIGHT(Formulas!P94)+2),"")))</f>
        <v/>
      </c>
      <c r="O97" s="107" t="str" cm="1">
        <f t="array" aca="1" ref="O97" ca="1">IF(OR(Formulas!P95=0,Formulas!P95=""),"",HYPERLINK("["&amp;Archivo_Nombre&amp;"]Datos!"&amp;LEFT(SUBSTITUTE(ADDRESS(1,Formulas!P95+2),"$",""))&amp;Formulas!O95+1,
IFERROR(INDEX(Datos!$A$2:$L$101,Formulas!O95,Formulas!P95+2),"")))</f>
        <v/>
      </c>
      <c r="P97" s="5"/>
      <c r="Q97" s="6"/>
      <c r="R97" s="24" t="str" cm="1">
        <f t="array" aca="1" ref="R97" ca="1">IF(OR(Formulas!T94=0,Formulas!T94="",RIGHT(Formulas!U94)="0"),"",
HYPERLINK("["&amp;Archivo_Nombre&amp;"]Datos!"&amp;LEFT(SUBSTITUTE(ADDRESS(1,IF(Formulas!T94=1,1,RIGHT(Formulas!U94)+2)),"$",""))&amp;Formulas!S94+1,
IFERROR(INDEX(Datos!$A$1:$L$1,1,RIGHT(Formulas!U94)+2)&amp;IF(Formulas!T94=1," "&amp;Formulas!S94,"")&amp;":","")))</f>
        <v>Tarea:</v>
      </c>
      <c r="S97" s="107" t="str" cm="1">
        <f t="array" aca="1" ref="S97" ca="1">IF(OR(Formulas!T94=0,Formulas!T94="",RIGHT(Formulas!U94)="0"),"",
HYPERLINK("["&amp;Archivo_Nombre&amp;"]Datos!"&amp;LEFT(SUBSTITUTE(ADDRESS(1,RIGHT(Formulas!U94)+2),"$",""))&amp;Formulas!S94+1,
IFERROR(INDEX(Datos!$A$2:$L$101,Formulas!S94,RIGHT(Formulas!U94)+2),"")))</f>
        <v>REQ003 Edición base de datos</v>
      </c>
      <c r="T97" s="107" t="e" cm="1">
        <f t="array" aca="1" ref="T97" ca="1">IF(OR(Formulas!U95=0,Formulas!U95=""),"",HYPERLINK("["&amp;Archivo_Nombre&amp;"]Datos!"&amp;LEFT(SUBSTITUTE(ADDRESS(1,Formulas!U95+2),"$",""))&amp;Formulas!T95+1,
IFERROR(INDEX(Datos!$A$2:$L$101,Formulas!T95,Formulas!U95+2),"")))</f>
        <v>#VALUE!</v>
      </c>
      <c r="U97" s="5"/>
      <c r="V97" s="6"/>
      <c r="W97" s="24" t="str" cm="1">
        <f t="array" aca="1" ref="W97" ca="1">IF(OR(Formulas!Y94=0,Formulas!Y94="",RIGHT(Formulas!Z94)="0"),"",
HYPERLINK("["&amp;Archivo_Nombre&amp;"]Datos!"&amp;LEFT(SUBSTITUTE(ADDRESS(1,IF(Formulas!Y94=1,1,RIGHT(Formulas!Z94)+2)),"$",""))&amp;Formulas!X94+1,
IFERROR(INDEX(Datos!$A$1:$L$1,1,RIGHT(Formulas!Z94)+2)&amp;IF(Formulas!Y94=1," "&amp;Formulas!X94,"")&amp;":","")))</f>
        <v/>
      </c>
      <c r="X97" s="107" t="str" cm="1">
        <f t="array" aca="1" ref="X97" ca="1">IF(OR(Formulas!Y94=0,Formulas!Y94="",RIGHT(Formulas!Z94)="0"),"",
HYPERLINK("["&amp;Archivo_Nombre&amp;"]Datos!"&amp;LEFT(SUBSTITUTE(ADDRESS(1,RIGHT(Formulas!Z94)+2),"$",""))&amp;Formulas!X94+1,
IFERROR(INDEX(Datos!$A$2:$L$101,Formulas!X94,RIGHT(Formulas!Z94)+2),"")))</f>
        <v/>
      </c>
      <c r="Y97" s="107" t="str" cm="1">
        <f t="array" aca="1" ref="Y97" ca="1">IF(OR(Formulas!Z95=0,Formulas!Z95=""),"",HYPERLINK("["&amp;Archivo_Nombre&amp;"]Datos!"&amp;LEFT(SUBSTITUTE(ADDRESS(1,Formulas!Z95+2),"$",""))&amp;Formulas!Y95+1,
IFERROR(INDEX(Datos!$A$2:$L$101,Formulas!Y95,Formulas!Z95+2),"")))</f>
        <v/>
      </c>
      <c r="Z97" s="13"/>
      <c r="AA97" s="6"/>
      <c r="AB97" s="24" t="str" cm="1">
        <f t="array" aca="1" ref="AB97" ca="1">IF(OR(Formulas!AD94=0,Formulas!AD94="",RIGHT(Formulas!AE94)="0"),"",
HYPERLINK("["&amp;Archivo_Nombre&amp;"]Datos!"&amp;LEFT(SUBSTITUTE(ADDRESS(1,IF(Formulas!AD94=1,1,RIGHT(Formulas!AE94)+2)),"$",""))&amp;Formulas!AC94+1,
IFERROR(INDEX(Datos!$A$1:$L$1,1,RIGHT(Formulas!AE94)+2)&amp;IF(Formulas!AD94=1," "&amp;Formulas!AC94,"")&amp;":","")))</f>
        <v/>
      </c>
      <c r="AC97" s="107" t="str" cm="1">
        <f t="array" aca="1" ref="AC97" ca="1">IF(OR(Formulas!AD94=0,Formulas!AD94="",RIGHT(Formulas!AE94)="0"),"",
HYPERLINK("["&amp;Archivo_Nombre&amp;"]Datos!"&amp;LEFT(SUBSTITUTE(ADDRESS(1,RIGHT(Formulas!AE94)+2),"$",""))&amp;Formulas!AC94+1,
IFERROR(INDEX(Datos!$A$2:$L$101,Formulas!AC94,RIGHT(Formulas!AE94)+2),"")))</f>
        <v/>
      </c>
      <c r="AD97" s="107" t="str" cm="1">
        <f t="array" aca="1" ref="AD97" ca="1">IF(OR(Formulas!AE95=0,Formulas!AE95=""),"",HYPERLINK("["&amp;Archivo_Nombre&amp;"]Datos!"&amp;LEFT(SUBSTITUTE(ADDRESS(1,Formulas!AE95+2),"$",""))&amp;Formulas!AD95+1,
IFERROR(INDEX(Datos!$A$2:$L$101,Formulas!AD95,Formulas!AE95+2),"")))</f>
        <v/>
      </c>
      <c r="AE97" s="13"/>
      <c r="AF97" s="6"/>
      <c r="AG97" s="24" t="str" cm="1">
        <f t="array" aca="1" ref="AG97" ca="1">IF(OR(Formulas!AI94=0,Formulas!AI94="",RIGHT(Formulas!AJ94)="0"),"",
HYPERLINK("["&amp;Archivo_Nombre&amp;"]Datos!"&amp;LEFT(SUBSTITUTE(ADDRESS(1,IF(Formulas!AI94=1,1,RIGHT(Formulas!AJ94)+2)),"$",""))&amp;Formulas!AH94+1,
IFERROR(INDEX(Datos!$A$1:$L$1,1,RIGHT(Formulas!AJ94)+2)&amp;IF(Formulas!AI94=1," "&amp;Formulas!AH94,"")&amp;":","")))</f>
        <v/>
      </c>
      <c r="AH97" s="107" t="str" cm="1">
        <f t="array" aca="1" ref="AH97" ca="1">IF(OR(Formulas!AI94=0,Formulas!AI94="",RIGHT(Formulas!AJ94)="0"),"",
HYPERLINK("["&amp;Archivo_Nombre&amp;"]Datos!"&amp;LEFT(SUBSTITUTE(ADDRESS(1,RIGHT(Formulas!AJ94)+2),"$",""))&amp;Formulas!AH94+1,
IFERROR(INDEX(Datos!$A$2:$L$101,Formulas!AH94,RIGHT(Formulas!AJ94)+2),"")))</f>
        <v/>
      </c>
      <c r="AI97" s="107" t="str" cm="1">
        <f t="array" aca="1" ref="AI97" ca="1">IF(OR(Formulas!AJ95=0,Formulas!AJ95=""),"",HYPERLINK("["&amp;Archivo_Nombre&amp;"]Datos!"&amp;LEFT(SUBSTITUTE(ADDRESS(1,Formulas!AJ95+2),"$",""))&amp;Formulas!AI95+1,
IFERROR(INDEX(Datos!$A$2:$L$101,Formulas!AI95,Formulas!AJ95+2),"")))</f>
        <v/>
      </c>
      <c r="AJ97" s="13"/>
      <c r="AK97" s="6"/>
      <c r="AL97" s="24" t="str" cm="1">
        <f t="array" aca="1" ref="AL97" ca="1">IF(OR(Formulas!AN94=0,Formulas!AN94="",RIGHT(Formulas!AO94)="0"),"",
HYPERLINK("["&amp;Archivo_Nombre&amp;"]Datos!"&amp;LEFT(SUBSTITUTE(ADDRESS(1,IF(Formulas!AN94=1,1,RIGHT(Formulas!AO94)+2)),"$",""))&amp;Formulas!AM94+1,
IFERROR(INDEX(Datos!$A$1:$L$1,1,RIGHT(Formulas!AO94)+2)&amp;IF(Formulas!AN94=1," "&amp;Formulas!AM94,"")&amp;":","")))</f>
        <v/>
      </c>
      <c r="AM97" s="107" t="str" cm="1">
        <f t="array" aca="1" ref="AM97" ca="1">IF(OR(Formulas!AN94=0,Formulas!AN94="",RIGHT(Formulas!AO94)="0"),"",
HYPERLINK("["&amp;Archivo_Nombre&amp;"]Datos!"&amp;LEFT(SUBSTITUTE(ADDRESS(1,RIGHT(Formulas!AO94)+2),"$",""))&amp;Formulas!AM94+1,
IFERROR(INDEX(Datos!$A$2:$L$101,Formulas!AM94,RIGHT(Formulas!AO94)+2),"")))</f>
        <v/>
      </c>
      <c r="AN97" s="107" t="str" cm="1">
        <f t="array" aca="1" ref="AN97" ca="1">IF(OR(Formulas!AO95=0,Formulas!AO95=""),"",HYPERLINK("["&amp;Archivo_Nombre&amp;"]Datos!"&amp;LEFT(SUBSTITUTE(ADDRESS(1,Formulas!AO95+2),"$",""))&amp;Formulas!AN95+1,
IFERROR(INDEX(Datos!$A$2:$L$101,Formulas!AN95,Formulas!AO95+2),"")))</f>
        <v/>
      </c>
      <c r="AO97" s="13"/>
      <c r="AP97" s="6"/>
      <c r="AQ97" s="24" t="str" cm="1">
        <f t="array" aca="1" ref="AQ97" ca="1">IF(OR(Formulas!AS94=0,Formulas!AS94="",RIGHT(Formulas!AT94)="0"),"",
HYPERLINK("["&amp;Archivo_Nombre&amp;"]Datos!"&amp;LEFT(SUBSTITUTE(ADDRESS(1,IF(Formulas!AS94=1,1,RIGHT(Formulas!AT94)+2)),"$",""))&amp;Formulas!AR94+1,
IFERROR(INDEX(Datos!$A$1:$L$1,1,RIGHT(Formulas!AT94)+2)&amp;IF(Formulas!AS94=1," "&amp;Formulas!AR94,"")&amp;":","")))</f>
        <v/>
      </c>
      <c r="AR97" s="107" t="str" cm="1">
        <f t="array" aca="1" ref="AR97" ca="1">IF(OR(Formulas!AS94=0,Formulas!AS94="",RIGHT(Formulas!AT94)="0"),"",
HYPERLINK("["&amp;Archivo_Nombre&amp;"]Datos!"&amp;LEFT(SUBSTITUTE(ADDRESS(1,RIGHT(Formulas!AT94)+2),"$",""))&amp;Formulas!AR94+1,
IFERROR(INDEX(Datos!$A$2:$L$101,Formulas!AR94,RIGHT(Formulas!AT94)+2),"")))</f>
        <v/>
      </c>
      <c r="AS97" s="107" t="str" cm="1">
        <f t="array" aca="1" ref="AS97" ca="1">IF(OR(Formulas!AT95=0,Formulas!AT95=""),"",HYPERLINK("["&amp;Archivo_Nombre&amp;"]Datos!"&amp;LEFT(SUBSTITUTE(ADDRESS(1,Formulas!AT95+2),"$",""))&amp;Formulas!AS95+1,
IFERROR(INDEX(Datos!$A$2:$L$101,Formulas!AS95,Formulas!AT95+2),"")))</f>
        <v/>
      </c>
      <c r="AT97" s="13"/>
      <c r="AU97" s="6"/>
      <c r="AV97" s="24" t="str" cm="1">
        <f t="array" aca="1" ref="AV97" ca="1">IF(OR(Formulas!AX94=0,Formulas!AX94="",RIGHT(Formulas!AY94)="0"),"",
HYPERLINK("["&amp;Archivo_Nombre&amp;"]Datos!"&amp;LEFT(SUBSTITUTE(ADDRESS(1,IF(Formulas!AX94=1,1,RIGHT(Formulas!AY94)+2)),"$",""))&amp;Formulas!AW94+1,
IFERROR(INDEX(Datos!$A$1:$L$1,1,RIGHT(Formulas!AY94)+2)&amp;IF(Formulas!AX94=1," "&amp;Formulas!AW94,"")&amp;":","")))</f>
        <v/>
      </c>
      <c r="AW97" s="107" t="str" cm="1">
        <f t="array" aca="1" ref="AW97" ca="1">IF(OR(Formulas!AX94=0,Formulas!AX94="",RIGHT(Formulas!AY94)="0"),"",
HYPERLINK("["&amp;Archivo_Nombre&amp;"]Datos!"&amp;LEFT(SUBSTITUTE(ADDRESS(1,RIGHT(Formulas!AY94)+2),"$",""))&amp;Formulas!AW94+1,
IFERROR(INDEX(Datos!$A$2:$L$101,Formulas!AW94,RIGHT(Formulas!AY94)+2),"")))</f>
        <v/>
      </c>
      <c r="AX97" s="107" t="str" cm="1">
        <f t="array" aca="1" ref="AX97" ca="1">IF(OR(Formulas!AY95=0,Formulas!AY95=""),"",HYPERLINK("["&amp;Archivo_Nombre&amp;"]Datos!"&amp;LEFT(SUBSTITUTE(ADDRESS(1,Formulas!AY95+2),"$",""))&amp;Formulas!AX95+1,
IFERROR(INDEX(Datos!$A$2:$L$101,Formulas!AX95,Formulas!AY95+2),"")))</f>
        <v/>
      </c>
      <c r="AY97" s="13"/>
    </row>
    <row r="98" spans="2:51" x14ac:dyDescent="0.25">
      <c r="B98" s="11"/>
      <c r="C98" s="24" t="str" cm="1">
        <f t="array" aca="1" ref="C98" ca="1">IF(OR(Formulas!E95=0,Formulas!E95="",RIGHT(Formulas!F95)="0"),"",
HYPERLINK("["&amp;Archivo_Nombre&amp;"]Datos!"&amp;LEFT(SUBSTITUTE(ADDRESS(1,IF(Formulas!E95=1,1,RIGHT(Formulas!F95)+2)),"$",""))&amp;Formulas!D95+1,
IFERROR(INDEX(Datos!$A$1:$L$1,1,RIGHT(Formulas!F95)+2)&amp;IF(Formulas!E95=1," "&amp;Formulas!D95,"")&amp;":","")))</f>
        <v/>
      </c>
      <c r="D98" s="107" t="str" cm="1">
        <f t="array" aca="1" ref="D98" ca="1">IF(OR(Formulas!E95=0,Formulas!E95="",RIGHT(Formulas!F95)="0"),"",
HYPERLINK("["&amp;Archivo_Nombre&amp;"]Datos!"&amp;LEFT(SUBSTITUTE(ADDRESS(1,RIGHT(Formulas!F95)+2),"$",""))&amp;Formulas!D95+1,
IFERROR(INDEX(Datos!$A$2:$L$101,Formulas!D95,RIGHT(Formulas!F95)+2),"")))</f>
        <v/>
      </c>
      <c r="E98" s="107" t="str" cm="1">
        <f t="array" aca="1" ref="E98" ca="1">IF(OR(Formulas!F96=0,Formulas!F96=""),"",HYPERLINK("["&amp;Archivo_Nombre&amp;"]Datos!"&amp;LEFT(SUBSTITUTE(ADDRESS(1,Formulas!F96+2),"$",""))&amp;Formulas!E96+1,
IFERROR(INDEX(Datos!$A$2:$L$101,Formulas!E96,Formulas!F96+2),"")))</f>
        <v/>
      </c>
      <c r="F98" s="5"/>
      <c r="G98" s="6"/>
      <c r="H98" s="24" t="str" cm="1">
        <f t="array" aca="1" ref="H98" ca="1">IF(OR(Formulas!J95=0,Formulas!J95="",RIGHT(Formulas!K95)="0"),"",
HYPERLINK("["&amp;Archivo_Nombre&amp;"]Datos!"&amp;LEFT(SUBSTITUTE(ADDRESS(1,IF(Formulas!J95=1,1,RIGHT(Formulas!K95)+2)),"$",""))&amp;Formulas!I95+1,
IFERROR(INDEX(Datos!$A$1:$L$1,1,RIGHT(Formulas!K95)+2)&amp;IF(Formulas!J95=1," "&amp;Formulas!I95,"")&amp;":","")))</f>
        <v/>
      </c>
      <c r="I98" s="107" t="str" cm="1">
        <f t="array" aca="1" ref="I98" ca="1">IF(OR(Formulas!J95=0,Formulas!J95="",RIGHT(Formulas!K95)="0"),"",
HYPERLINK("["&amp;Archivo_Nombre&amp;"]Datos!"&amp;LEFT(SUBSTITUTE(ADDRESS(1,RIGHT(Formulas!K95)+2),"$",""))&amp;Formulas!I95+1,
IFERROR(INDEX(Datos!$A$2:$L$101,Formulas!I95,RIGHT(Formulas!K95)+2),"")))</f>
        <v/>
      </c>
      <c r="J98" s="107" t="str" cm="1">
        <f t="array" aca="1" ref="J98" ca="1">IF(OR(Formulas!K96=0,Formulas!K96=""),"",HYPERLINK("["&amp;Archivo_Nombre&amp;"]Datos!"&amp;LEFT(SUBSTITUTE(ADDRESS(1,Formulas!K96+2),"$",""))&amp;Formulas!J96+1,
IFERROR(INDEX(Datos!$A$2:$L$101,Formulas!J96,Formulas!K96+2),"")))</f>
        <v/>
      </c>
      <c r="K98" s="5"/>
      <c r="L98" s="6"/>
      <c r="M98" s="24" t="str" cm="1">
        <f t="array" aca="1" ref="M98" ca="1">IF(OR(Formulas!O95=0,Formulas!O95="",RIGHT(Formulas!P95)="0"),"",
HYPERLINK("["&amp;Archivo_Nombre&amp;"]Datos!"&amp;LEFT(SUBSTITUTE(ADDRESS(1,IF(Formulas!O95=1,1,RIGHT(Formulas!P95)+2)),"$",""))&amp;Formulas!N95+1,
IFERROR(INDEX(Datos!$A$1:$L$1,1,RIGHT(Formulas!P95)+2)&amp;IF(Formulas!O95=1," "&amp;Formulas!N95,"")&amp;":","")))</f>
        <v/>
      </c>
      <c r="N98" s="107" t="str" cm="1">
        <f t="array" aca="1" ref="N98" ca="1">IF(OR(Formulas!O95=0,Formulas!O95="",RIGHT(Formulas!P95)="0"),"",
HYPERLINK("["&amp;Archivo_Nombre&amp;"]Datos!"&amp;LEFT(SUBSTITUTE(ADDRESS(1,RIGHT(Formulas!P95)+2),"$",""))&amp;Formulas!N95+1,
IFERROR(INDEX(Datos!$A$2:$L$101,Formulas!N95,RIGHT(Formulas!P95)+2),"")))</f>
        <v/>
      </c>
      <c r="O98" s="107" t="str" cm="1">
        <f t="array" aca="1" ref="O98" ca="1">IF(OR(Formulas!P96=0,Formulas!P96=""),"",HYPERLINK("["&amp;Archivo_Nombre&amp;"]Datos!"&amp;LEFT(SUBSTITUTE(ADDRESS(1,Formulas!P96+2),"$",""))&amp;Formulas!O96+1,
IFERROR(INDEX(Datos!$A$2:$L$101,Formulas!O96,Formulas!P96+2),"")))</f>
        <v/>
      </c>
      <c r="P98" s="5"/>
      <c r="Q98" s="6"/>
      <c r="R98" s="24" t="str" cm="1">
        <f t="array" aca="1" ref="R98" ca="1">IF(OR(Formulas!T95=0,Formulas!T95="",RIGHT(Formulas!U95)="0"),"",
HYPERLINK("["&amp;Archivo_Nombre&amp;"]Datos!"&amp;LEFT(SUBSTITUTE(ADDRESS(1,IF(Formulas!T95=1,1,RIGHT(Formulas!U95)+2)),"$",""))&amp;Formulas!S95+1,
IFERROR(INDEX(Datos!$A$1:$L$1,1,RIGHT(Formulas!U95)+2)&amp;IF(Formulas!T95=1," "&amp;Formulas!S95,"")&amp;":","")))</f>
        <v>Descripción:</v>
      </c>
      <c r="S98" s="107" t="str" cm="1">
        <f t="array" aca="1" ref="S98" ca="1">IF(OR(Formulas!T95=0,Formulas!T95="",RIGHT(Formulas!U95)="0"),"",
HYPERLINK("["&amp;Archivo_Nombre&amp;"]Datos!"&amp;LEFT(SUBSTITUTE(ADDRESS(1,RIGHT(Formulas!U95)+2),"$",""))&amp;Formulas!S95+1,
IFERROR(INDEX(Datos!$A$2:$L$101,Formulas!S95,RIGHT(Formulas!U95)+2),"")))</f>
        <v>REQ003 Edición base de datos</v>
      </c>
      <c r="T98" s="107" t="e" cm="1">
        <f t="array" aca="1" ref="T98" ca="1">IF(OR(Formulas!U96=0,Formulas!U96=""),"",HYPERLINK("["&amp;Archivo_Nombre&amp;"]Datos!"&amp;LEFT(SUBSTITUTE(ADDRESS(1,Formulas!U96+2),"$",""))&amp;Formulas!T96+1,
IFERROR(INDEX(Datos!$A$2:$L$101,Formulas!T96,Formulas!U96+2),"")))</f>
        <v>#VALUE!</v>
      </c>
      <c r="U98" s="5"/>
      <c r="V98" s="6"/>
      <c r="W98" s="24" t="str" cm="1">
        <f t="array" aca="1" ref="W98" ca="1">IF(OR(Formulas!Y95=0,Formulas!Y95="",RIGHT(Formulas!Z95)="0"),"",
HYPERLINK("["&amp;Archivo_Nombre&amp;"]Datos!"&amp;LEFT(SUBSTITUTE(ADDRESS(1,IF(Formulas!Y95=1,1,RIGHT(Formulas!Z95)+2)),"$",""))&amp;Formulas!X95+1,
IFERROR(INDEX(Datos!$A$1:$L$1,1,RIGHT(Formulas!Z95)+2)&amp;IF(Formulas!Y95=1," "&amp;Formulas!X95,"")&amp;":","")))</f>
        <v/>
      </c>
      <c r="X98" s="107" t="str" cm="1">
        <f t="array" aca="1" ref="X98" ca="1">IF(OR(Formulas!Y95=0,Formulas!Y95="",RIGHT(Formulas!Z95)="0"),"",
HYPERLINK("["&amp;Archivo_Nombre&amp;"]Datos!"&amp;LEFT(SUBSTITUTE(ADDRESS(1,RIGHT(Formulas!Z95)+2),"$",""))&amp;Formulas!X95+1,
IFERROR(INDEX(Datos!$A$2:$L$101,Formulas!X95,RIGHT(Formulas!Z95)+2),"")))</f>
        <v/>
      </c>
      <c r="Y98" s="107" t="str" cm="1">
        <f t="array" aca="1" ref="Y98" ca="1">IF(OR(Formulas!Z96=0,Formulas!Z96=""),"",HYPERLINK("["&amp;Archivo_Nombre&amp;"]Datos!"&amp;LEFT(SUBSTITUTE(ADDRESS(1,Formulas!Z96+2),"$",""))&amp;Formulas!Y96+1,
IFERROR(INDEX(Datos!$A$2:$L$101,Formulas!Y96,Formulas!Z96+2),"")))</f>
        <v/>
      </c>
      <c r="Z98" s="13"/>
      <c r="AA98" s="6"/>
      <c r="AB98" s="24" t="str" cm="1">
        <f t="array" aca="1" ref="AB98" ca="1">IF(OR(Formulas!AD95=0,Formulas!AD95="",RIGHT(Formulas!AE95)="0"),"",
HYPERLINK("["&amp;Archivo_Nombre&amp;"]Datos!"&amp;LEFT(SUBSTITUTE(ADDRESS(1,IF(Formulas!AD95=1,1,RIGHT(Formulas!AE95)+2)),"$",""))&amp;Formulas!AC95+1,
IFERROR(INDEX(Datos!$A$1:$L$1,1,RIGHT(Formulas!AE95)+2)&amp;IF(Formulas!AD95=1," "&amp;Formulas!AC95,"")&amp;":","")))</f>
        <v/>
      </c>
      <c r="AC98" s="107" t="str" cm="1">
        <f t="array" aca="1" ref="AC98" ca="1">IF(OR(Formulas!AD95=0,Formulas!AD95="",RIGHT(Formulas!AE95)="0"),"",
HYPERLINK("["&amp;Archivo_Nombre&amp;"]Datos!"&amp;LEFT(SUBSTITUTE(ADDRESS(1,RIGHT(Formulas!AE95)+2),"$",""))&amp;Formulas!AC95+1,
IFERROR(INDEX(Datos!$A$2:$L$101,Formulas!AC95,RIGHT(Formulas!AE95)+2),"")))</f>
        <v/>
      </c>
      <c r="AD98" s="107" t="str" cm="1">
        <f t="array" aca="1" ref="AD98" ca="1">IF(OR(Formulas!AE96=0,Formulas!AE96=""),"",HYPERLINK("["&amp;Archivo_Nombre&amp;"]Datos!"&amp;LEFT(SUBSTITUTE(ADDRESS(1,Formulas!AE96+2),"$",""))&amp;Formulas!AD96+1,
IFERROR(INDEX(Datos!$A$2:$L$101,Formulas!AD96,Formulas!AE96+2),"")))</f>
        <v/>
      </c>
      <c r="AE98" s="13"/>
      <c r="AF98" s="6"/>
      <c r="AG98" s="24" t="str" cm="1">
        <f t="array" aca="1" ref="AG98" ca="1">IF(OR(Formulas!AI95=0,Formulas!AI95="",RIGHT(Formulas!AJ95)="0"),"",
HYPERLINK("["&amp;Archivo_Nombre&amp;"]Datos!"&amp;LEFT(SUBSTITUTE(ADDRESS(1,IF(Formulas!AI95=1,1,RIGHT(Formulas!AJ95)+2)),"$",""))&amp;Formulas!AH95+1,
IFERROR(INDEX(Datos!$A$1:$L$1,1,RIGHT(Formulas!AJ95)+2)&amp;IF(Formulas!AI95=1," "&amp;Formulas!AH95,"")&amp;":","")))</f>
        <v/>
      </c>
      <c r="AH98" s="107" t="str" cm="1">
        <f t="array" aca="1" ref="AH98" ca="1">IF(OR(Formulas!AI95=0,Formulas!AI95="",RIGHT(Formulas!AJ95)="0"),"",
HYPERLINK("["&amp;Archivo_Nombre&amp;"]Datos!"&amp;LEFT(SUBSTITUTE(ADDRESS(1,RIGHT(Formulas!AJ95)+2),"$",""))&amp;Formulas!AH95+1,
IFERROR(INDEX(Datos!$A$2:$L$101,Formulas!AH95,RIGHT(Formulas!AJ95)+2),"")))</f>
        <v/>
      </c>
      <c r="AI98" s="107" t="str" cm="1">
        <f t="array" aca="1" ref="AI98" ca="1">IF(OR(Formulas!AJ96=0,Formulas!AJ96=""),"",HYPERLINK("["&amp;Archivo_Nombre&amp;"]Datos!"&amp;LEFT(SUBSTITUTE(ADDRESS(1,Formulas!AJ96+2),"$",""))&amp;Formulas!AI96+1,
IFERROR(INDEX(Datos!$A$2:$L$101,Formulas!AI96,Formulas!AJ96+2),"")))</f>
        <v/>
      </c>
      <c r="AJ98" s="13"/>
      <c r="AK98" s="6"/>
      <c r="AL98" s="24" t="str" cm="1">
        <f t="array" aca="1" ref="AL98" ca="1">IF(OR(Formulas!AN95=0,Formulas!AN95="",RIGHT(Formulas!AO95)="0"),"",
HYPERLINK("["&amp;Archivo_Nombre&amp;"]Datos!"&amp;LEFT(SUBSTITUTE(ADDRESS(1,IF(Formulas!AN95=1,1,RIGHT(Formulas!AO95)+2)),"$",""))&amp;Formulas!AM95+1,
IFERROR(INDEX(Datos!$A$1:$L$1,1,RIGHT(Formulas!AO95)+2)&amp;IF(Formulas!AN95=1," "&amp;Formulas!AM95,"")&amp;":","")))</f>
        <v/>
      </c>
      <c r="AM98" s="107" t="str" cm="1">
        <f t="array" aca="1" ref="AM98" ca="1">IF(OR(Formulas!AN95=0,Formulas!AN95="",RIGHT(Formulas!AO95)="0"),"",
HYPERLINK("["&amp;Archivo_Nombre&amp;"]Datos!"&amp;LEFT(SUBSTITUTE(ADDRESS(1,RIGHT(Formulas!AO95)+2),"$",""))&amp;Formulas!AM95+1,
IFERROR(INDEX(Datos!$A$2:$L$101,Formulas!AM95,RIGHT(Formulas!AO95)+2),"")))</f>
        <v/>
      </c>
      <c r="AN98" s="107" t="str" cm="1">
        <f t="array" aca="1" ref="AN98" ca="1">IF(OR(Formulas!AO96=0,Formulas!AO96=""),"",HYPERLINK("["&amp;Archivo_Nombre&amp;"]Datos!"&amp;LEFT(SUBSTITUTE(ADDRESS(1,Formulas!AO96+2),"$",""))&amp;Formulas!AN96+1,
IFERROR(INDEX(Datos!$A$2:$L$101,Formulas!AN96,Formulas!AO96+2),"")))</f>
        <v/>
      </c>
      <c r="AO98" s="13"/>
      <c r="AP98" s="6"/>
      <c r="AQ98" s="24" t="str" cm="1">
        <f t="array" aca="1" ref="AQ98" ca="1">IF(OR(Formulas!AS95=0,Formulas!AS95="",RIGHT(Formulas!AT95)="0"),"",
HYPERLINK("["&amp;Archivo_Nombre&amp;"]Datos!"&amp;LEFT(SUBSTITUTE(ADDRESS(1,IF(Formulas!AS95=1,1,RIGHT(Formulas!AT95)+2)),"$",""))&amp;Formulas!AR95+1,
IFERROR(INDEX(Datos!$A$1:$L$1,1,RIGHT(Formulas!AT95)+2)&amp;IF(Formulas!AS95=1," "&amp;Formulas!AR95,"")&amp;":","")))</f>
        <v/>
      </c>
      <c r="AR98" s="107" t="str" cm="1">
        <f t="array" aca="1" ref="AR98" ca="1">IF(OR(Formulas!AS95=0,Formulas!AS95="",RIGHT(Formulas!AT95)="0"),"",
HYPERLINK("["&amp;Archivo_Nombre&amp;"]Datos!"&amp;LEFT(SUBSTITUTE(ADDRESS(1,RIGHT(Formulas!AT95)+2),"$",""))&amp;Formulas!AR95+1,
IFERROR(INDEX(Datos!$A$2:$L$101,Formulas!AR95,RIGHT(Formulas!AT95)+2),"")))</f>
        <v/>
      </c>
      <c r="AS98" s="107" t="str" cm="1">
        <f t="array" aca="1" ref="AS98" ca="1">IF(OR(Formulas!AT96=0,Formulas!AT96=""),"",HYPERLINK("["&amp;Archivo_Nombre&amp;"]Datos!"&amp;LEFT(SUBSTITUTE(ADDRESS(1,Formulas!AT96+2),"$",""))&amp;Formulas!AS96+1,
IFERROR(INDEX(Datos!$A$2:$L$101,Formulas!AS96,Formulas!AT96+2),"")))</f>
        <v/>
      </c>
      <c r="AT98" s="13"/>
      <c r="AU98" s="6"/>
      <c r="AV98" s="24" t="str" cm="1">
        <f t="array" aca="1" ref="AV98" ca="1">IF(OR(Formulas!AX95=0,Formulas!AX95="",RIGHT(Formulas!AY95)="0"),"",
HYPERLINK("["&amp;Archivo_Nombre&amp;"]Datos!"&amp;LEFT(SUBSTITUTE(ADDRESS(1,IF(Formulas!AX95=1,1,RIGHT(Formulas!AY95)+2)),"$",""))&amp;Formulas!AW95+1,
IFERROR(INDEX(Datos!$A$1:$L$1,1,RIGHT(Formulas!AY95)+2)&amp;IF(Formulas!AX95=1," "&amp;Formulas!AW95,"")&amp;":","")))</f>
        <v/>
      </c>
      <c r="AW98" s="107" t="str" cm="1">
        <f t="array" aca="1" ref="AW98" ca="1">IF(OR(Formulas!AX95=0,Formulas!AX95="",RIGHT(Formulas!AY95)="0"),"",
HYPERLINK("["&amp;Archivo_Nombre&amp;"]Datos!"&amp;LEFT(SUBSTITUTE(ADDRESS(1,RIGHT(Formulas!AY95)+2),"$",""))&amp;Formulas!AW95+1,
IFERROR(INDEX(Datos!$A$2:$L$101,Formulas!AW95,RIGHT(Formulas!AY95)+2),"")))</f>
        <v/>
      </c>
      <c r="AX98" s="107" t="str" cm="1">
        <f t="array" aca="1" ref="AX98" ca="1">IF(OR(Formulas!AY96=0,Formulas!AY96=""),"",HYPERLINK("["&amp;Archivo_Nombre&amp;"]Datos!"&amp;LEFT(SUBSTITUTE(ADDRESS(1,Formulas!AY96+2),"$",""))&amp;Formulas!AX96+1,
IFERROR(INDEX(Datos!$A$2:$L$101,Formulas!AX96,Formulas!AY96+2),"")))</f>
        <v/>
      </c>
      <c r="AY98" s="13"/>
    </row>
    <row r="99" spans="2:51" x14ac:dyDescent="0.25">
      <c r="B99" s="11"/>
      <c r="C99" s="24" t="str" cm="1">
        <f t="array" aca="1" ref="C99" ca="1">IF(OR(Formulas!E96=0,Formulas!E96="",RIGHT(Formulas!F96)="0"),"",
HYPERLINK("["&amp;Archivo_Nombre&amp;"]Datos!"&amp;LEFT(SUBSTITUTE(ADDRESS(1,IF(Formulas!E96=1,1,RIGHT(Formulas!F96)+2)),"$",""))&amp;Formulas!D96+1,
IFERROR(INDEX(Datos!$A$1:$L$1,1,RIGHT(Formulas!F96)+2)&amp;IF(Formulas!E96=1," "&amp;Formulas!D96,"")&amp;":","")))</f>
        <v/>
      </c>
      <c r="D99" s="107" t="str" cm="1">
        <f t="array" aca="1" ref="D99" ca="1">IF(OR(Formulas!E96=0,Formulas!E96="",RIGHT(Formulas!F96)="0"),"",
HYPERLINK("["&amp;Archivo_Nombre&amp;"]Datos!"&amp;LEFT(SUBSTITUTE(ADDRESS(1,RIGHT(Formulas!F96)+2),"$",""))&amp;Formulas!D96+1,
IFERROR(INDEX(Datos!$A$2:$L$101,Formulas!D96,RIGHT(Formulas!F96)+2),"")))</f>
        <v/>
      </c>
      <c r="E99" s="107" t="str" cm="1">
        <f t="array" aca="1" ref="E99" ca="1">IF(OR(Formulas!F97=0,Formulas!F97=""),"",HYPERLINK("["&amp;Archivo_Nombre&amp;"]Datos!"&amp;LEFT(SUBSTITUTE(ADDRESS(1,Formulas!F97+2),"$",""))&amp;Formulas!E97+1,
IFERROR(INDEX(Datos!$A$2:$L$101,Formulas!E97,Formulas!F97+2),"")))</f>
        <v/>
      </c>
      <c r="F99" s="5"/>
      <c r="G99" s="6"/>
      <c r="H99" s="24" t="str" cm="1">
        <f t="array" aca="1" ref="H99" ca="1">IF(OR(Formulas!J96=0,Formulas!J96="",RIGHT(Formulas!K96)="0"),"",
HYPERLINK("["&amp;Archivo_Nombre&amp;"]Datos!"&amp;LEFT(SUBSTITUTE(ADDRESS(1,IF(Formulas!J96=1,1,RIGHT(Formulas!K96)+2)),"$",""))&amp;Formulas!I96+1,
IFERROR(INDEX(Datos!$A$1:$L$1,1,RIGHT(Formulas!K96)+2)&amp;IF(Formulas!J96=1," "&amp;Formulas!I96,"")&amp;":","")))</f>
        <v/>
      </c>
      <c r="I99" s="107" t="str" cm="1">
        <f t="array" aca="1" ref="I99" ca="1">IF(OR(Formulas!J96=0,Formulas!J96="",RIGHT(Formulas!K96)="0"),"",
HYPERLINK("["&amp;Archivo_Nombre&amp;"]Datos!"&amp;LEFT(SUBSTITUTE(ADDRESS(1,RIGHT(Formulas!K96)+2),"$",""))&amp;Formulas!I96+1,
IFERROR(INDEX(Datos!$A$2:$L$101,Formulas!I96,RIGHT(Formulas!K96)+2),"")))</f>
        <v/>
      </c>
      <c r="J99" s="107" t="str" cm="1">
        <f t="array" aca="1" ref="J99" ca="1">IF(OR(Formulas!K97=0,Formulas!K97=""),"",HYPERLINK("["&amp;Archivo_Nombre&amp;"]Datos!"&amp;LEFT(SUBSTITUTE(ADDRESS(1,Formulas!K97+2),"$",""))&amp;Formulas!J97+1,
IFERROR(INDEX(Datos!$A$2:$L$101,Formulas!J97,Formulas!K97+2),"")))</f>
        <v/>
      </c>
      <c r="K99" s="5"/>
      <c r="L99" s="6"/>
      <c r="M99" s="24" t="str" cm="1">
        <f t="array" aca="1" ref="M99" ca="1">IF(OR(Formulas!O96=0,Formulas!O96="",RIGHT(Formulas!P96)="0"),"",
HYPERLINK("["&amp;Archivo_Nombre&amp;"]Datos!"&amp;LEFT(SUBSTITUTE(ADDRESS(1,IF(Formulas!O96=1,1,RIGHT(Formulas!P96)+2)),"$",""))&amp;Formulas!N96+1,
IFERROR(INDEX(Datos!$A$1:$L$1,1,RIGHT(Formulas!P96)+2)&amp;IF(Formulas!O96=1," "&amp;Formulas!N96,"")&amp;":","")))</f>
        <v/>
      </c>
      <c r="N99" s="107" t="str" cm="1">
        <f t="array" aca="1" ref="N99" ca="1">IF(OR(Formulas!O96=0,Formulas!O96="",RIGHT(Formulas!P96)="0"),"",
HYPERLINK("["&amp;Archivo_Nombre&amp;"]Datos!"&amp;LEFT(SUBSTITUTE(ADDRESS(1,RIGHT(Formulas!P96)+2),"$",""))&amp;Formulas!N96+1,
IFERROR(INDEX(Datos!$A$2:$L$101,Formulas!N96,RIGHT(Formulas!P96)+2),"")))</f>
        <v/>
      </c>
      <c r="O99" s="107" t="str" cm="1">
        <f t="array" aca="1" ref="O99" ca="1">IF(OR(Formulas!P97=0,Formulas!P97=""),"",HYPERLINK("["&amp;Archivo_Nombre&amp;"]Datos!"&amp;LEFT(SUBSTITUTE(ADDRESS(1,Formulas!P97+2),"$",""))&amp;Formulas!O97+1,
IFERROR(INDEX(Datos!$A$2:$L$101,Formulas!O97,Formulas!P97+2),"")))</f>
        <v/>
      </c>
      <c r="P99" s="5"/>
      <c r="Q99" s="6"/>
      <c r="R99" s="24" t="str" cm="1">
        <f t="array" aca="1" ref="R99" ca="1">IF(OR(Formulas!T96=0,Formulas!T96="",RIGHT(Formulas!U96)="0"),"",
HYPERLINK("["&amp;Archivo_Nombre&amp;"]Datos!"&amp;LEFT(SUBSTITUTE(ADDRESS(1,IF(Formulas!T96=1,1,RIGHT(Formulas!U96)+2)),"$",""))&amp;Formulas!S96+1,
IFERROR(INDEX(Datos!$A$1:$L$1,1,RIGHT(Formulas!U96)+2)&amp;IF(Formulas!T96=1," "&amp;Formulas!S96,"")&amp;":","")))</f>
        <v>Inicio:</v>
      </c>
      <c r="S99" s="107" cm="1">
        <f t="array" aca="1" ref="S99" ca="1">IF(OR(Formulas!T96=0,Formulas!T96="",RIGHT(Formulas!U96)="0"),"",
HYPERLINK("["&amp;Archivo_Nombre&amp;"]Datos!"&amp;LEFT(SUBSTITUTE(ADDRESS(1,RIGHT(Formulas!U96)+2),"$",""))&amp;Formulas!S96+1,
IFERROR(INDEX(Datos!$A$2:$L$101,Formulas!S96,RIGHT(Formulas!U96)+2),"")))</f>
        <v>45806</v>
      </c>
      <c r="T99" s="107" t="e" cm="1">
        <f t="array" aca="1" ref="T99" ca="1">IF(OR(Formulas!U97=0,Formulas!U97=""),"",HYPERLINK("["&amp;Archivo_Nombre&amp;"]Datos!"&amp;LEFT(SUBSTITUTE(ADDRESS(1,Formulas!U97+2),"$",""))&amp;Formulas!T97+1,
IFERROR(INDEX(Datos!$A$2:$L$101,Formulas!T97,Formulas!U97+2),"")))</f>
        <v>#VALUE!</v>
      </c>
      <c r="U99" s="5"/>
      <c r="V99" s="6"/>
      <c r="W99" s="24" t="str" cm="1">
        <f t="array" aca="1" ref="W99" ca="1">IF(OR(Formulas!Y96=0,Formulas!Y96="",RIGHT(Formulas!Z96)="0"),"",
HYPERLINK("["&amp;Archivo_Nombre&amp;"]Datos!"&amp;LEFT(SUBSTITUTE(ADDRESS(1,IF(Formulas!Y96=1,1,RIGHT(Formulas!Z96)+2)),"$",""))&amp;Formulas!X96+1,
IFERROR(INDEX(Datos!$A$1:$L$1,1,RIGHT(Formulas!Z96)+2)&amp;IF(Formulas!Y96=1," "&amp;Formulas!X96,"")&amp;":","")))</f>
        <v/>
      </c>
      <c r="X99" s="107" t="str" cm="1">
        <f t="array" aca="1" ref="X99" ca="1">IF(OR(Formulas!Y96=0,Formulas!Y96="",RIGHT(Formulas!Z96)="0"),"",
HYPERLINK("["&amp;Archivo_Nombre&amp;"]Datos!"&amp;LEFT(SUBSTITUTE(ADDRESS(1,RIGHT(Formulas!Z96)+2),"$",""))&amp;Formulas!X96+1,
IFERROR(INDEX(Datos!$A$2:$L$101,Formulas!X96,RIGHT(Formulas!Z96)+2),"")))</f>
        <v/>
      </c>
      <c r="Y99" s="107" t="str" cm="1">
        <f t="array" aca="1" ref="Y99" ca="1">IF(OR(Formulas!Z97=0,Formulas!Z97=""),"",HYPERLINK("["&amp;Archivo_Nombre&amp;"]Datos!"&amp;LEFT(SUBSTITUTE(ADDRESS(1,Formulas!Z97+2),"$",""))&amp;Formulas!Y97+1,
IFERROR(INDEX(Datos!$A$2:$L$101,Formulas!Y97,Formulas!Z97+2),"")))</f>
        <v/>
      </c>
      <c r="Z99" s="13"/>
      <c r="AA99" s="6"/>
      <c r="AB99" s="24" t="str" cm="1">
        <f t="array" aca="1" ref="AB99" ca="1">IF(OR(Formulas!AD96=0,Formulas!AD96="",RIGHT(Formulas!AE96)="0"),"",
HYPERLINK("["&amp;Archivo_Nombre&amp;"]Datos!"&amp;LEFT(SUBSTITUTE(ADDRESS(1,IF(Formulas!AD96=1,1,RIGHT(Formulas!AE96)+2)),"$",""))&amp;Formulas!AC96+1,
IFERROR(INDEX(Datos!$A$1:$L$1,1,RIGHT(Formulas!AE96)+2)&amp;IF(Formulas!AD96=1," "&amp;Formulas!AC96,"")&amp;":","")))</f>
        <v/>
      </c>
      <c r="AC99" s="107" t="str" cm="1">
        <f t="array" aca="1" ref="AC99" ca="1">IF(OR(Formulas!AD96=0,Formulas!AD96="",RIGHT(Formulas!AE96)="0"),"",
HYPERLINK("["&amp;Archivo_Nombre&amp;"]Datos!"&amp;LEFT(SUBSTITUTE(ADDRESS(1,RIGHT(Formulas!AE96)+2),"$",""))&amp;Formulas!AC96+1,
IFERROR(INDEX(Datos!$A$2:$L$101,Formulas!AC96,RIGHT(Formulas!AE96)+2),"")))</f>
        <v/>
      </c>
      <c r="AD99" s="107" t="str" cm="1">
        <f t="array" aca="1" ref="AD99" ca="1">IF(OR(Formulas!AE97=0,Formulas!AE97=""),"",HYPERLINK("["&amp;Archivo_Nombre&amp;"]Datos!"&amp;LEFT(SUBSTITUTE(ADDRESS(1,Formulas!AE97+2),"$",""))&amp;Formulas!AD97+1,
IFERROR(INDEX(Datos!$A$2:$L$101,Formulas!AD97,Formulas!AE97+2),"")))</f>
        <v/>
      </c>
      <c r="AE99" s="13"/>
      <c r="AF99" s="6"/>
      <c r="AG99" s="24" t="str" cm="1">
        <f t="array" aca="1" ref="AG99" ca="1">IF(OR(Formulas!AI96=0,Formulas!AI96="",RIGHT(Formulas!AJ96)="0"),"",
HYPERLINK("["&amp;Archivo_Nombre&amp;"]Datos!"&amp;LEFT(SUBSTITUTE(ADDRESS(1,IF(Formulas!AI96=1,1,RIGHT(Formulas!AJ96)+2)),"$",""))&amp;Formulas!AH96+1,
IFERROR(INDEX(Datos!$A$1:$L$1,1,RIGHT(Formulas!AJ96)+2)&amp;IF(Formulas!AI96=1," "&amp;Formulas!AH96,"")&amp;":","")))</f>
        <v/>
      </c>
      <c r="AH99" s="107" t="str" cm="1">
        <f t="array" aca="1" ref="AH99" ca="1">IF(OR(Formulas!AI96=0,Formulas!AI96="",RIGHT(Formulas!AJ96)="0"),"",
HYPERLINK("["&amp;Archivo_Nombre&amp;"]Datos!"&amp;LEFT(SUBSTITUTE(ADDRESS(1,RIGHT(Formulas!AJ96)+2),"$",""))&amp;Formulas!AH96+1,
IFERROR(INDEX(Datos!$A$2:$L$101,Formulas!AH96,RIGHT(Formulas!AJ96)+2),"")))</f>
        <v/>
      </c>
      <c r="AI99" s="107" t="str" cm="1">
        <f t="array" aca="1" ref="AI99" ca="1">IF(OR(Formulas!AJ97=0,Formulas!AJ97=""),"",HYPERLINK("["&amp;Archivo_Nombre&amp;"]Datos!"&amp;LEFT(SUBSTITUTE(ADDRESS(1,Formulas!AJ97+2),"$",""))&amp;Formulas!AI97+1,
IFERROR(INDEX(Datos!$A$2:$L$101,Formulas!AI97,Formulas!AJ97+2),"")))</f>
        <v/>
      </c>
      <c r="AJ99" s="13"/>
      <c r="AK99" s="6"/>
      <c r="AL99" s="24" t="str" cm="1">
        <f t="array" aca="1" ref="AL99" ca="1">IF(OR(Formulas!AN96=0,Formulas!AN96="",RIGHT(Formulas!AO96)="0"),"",
HYPERLINK("["&amp;Archivo_Nombre&amp;"]Datos!"&amp;LEFT(SUBSTITUTE(ADDRESS(1,IF(Formulas!AN96=1,1,RIGHT(Formulas!AO96)+2)),"$",""))&amp;Formulas!AM96+1,
IFERROR(INDEX(Datos!$A$1:$L$1,1,RIGHT(Formulas!AO96)+2)&amp;IF(Formulas!AN96=1," "&amp;Formulas!AM96,"")&amp;":","")))</f>
        <v/>
      </c>
      <c r="AM99" s="107" t="str" cm="1">
        <f t="array" aca="1" ref="AM99" ca="1">IF(OR(Formulas!AN96=0,Formulas!AN96="",RIGHT(Formulas!AO96)="0"),"",
HYPERLINK("["&amp;Archivo_Nombre&amp;"]Datos!"&amp;LEFT(SUBSTITUTE(ADDRESS(1,RIGHT(Formulas!AO96)+2),"$",""))&amp;Formulas!AM96+1,
IFERROR(INDEX(Datos!$A$2:$L$101,Formulas!AM96,RIGHT(Formulas!AO96)+2),"")))</f>
        <v/>
      </c>
      <c r="AN99" s="107" t="str" cm="1">
        <f t="array" aca="1" ref="AN99" ca="1">IF(OR(Formulas!AO97=0,Formulas!AO97=""),"",HYPERLINK("["&amp;Archivo_Nombre&amp;"]Datos!"&amp;LEFT(SUBSTITUTE(ADDRESS(1,Formulas!AO97+2),"$",""))&amp;Formulas!AN97+1,
IFERROR(INDEX(Datos!$A$2:$L$101,Formulas!AN97,Formulas!AO97+2),"")))</f>
        <v/>
      </c>
      <c r="AO99" s="13"/>
      <c r="AP99" s="6"/>
      <c r="AQ99" s="24" t="str" cm="1">
        <f t="array" aca="1" ref="AQ99" ca="1">IF(OR(Formulas!AS96=0,Formulas!AS96="",RIGHT(Formulas!AT96)="0"),"",
HYPERLINK("["&amp;Archivo_Nombre&amp;"]Datos!"&amp;LEFT(SUBSTITUTE(ADDRESS(1,IF(Formulas!AS96=1,1,RIGHT(Formulas!AT96)+2)),"$",""))&amp;Formulas!AR96+1,
IFERROR(INDEX(Datos!$A$1:$L$1,1,RIGHT(Formulas!AT96)+2)&amp;IF(Formulas!AS96=1," "&amp;Formulas!AR96,"")&amp;":","")))</f>
        <v/>
      </c>
      <c r="AR99" s="107" t="str" cm="1">
        <f t="array" aca="1" ref="AR99" ca="1">IF(OR(Formulas!AS96=0,Formulas!AS96="",RIGHT(Formulas!AT96)="0"),"",
HYPERLINK("["&amp;Archivo_Nombre&amp;"]Datos!"&amp;LEFT(SUBSTITUTE(ADDRESS(1,RIGHT(Formulas!AT96)+2),"$",""))&amp;Formulas!AR96+1,
IFERROR(INDEX(Datos!$A$2:$L$101,Formulas!AR96,RIGHT(Formulas!AT96)+2),"")))</f>
        <v/>
      </c>
      <c r="AS99" s="107" t="str" cm="1">
        <f t="array" aca="1" ref="AS99" ca="1">IF(OR(Formulas!AT97=0,Formulas!AT97=""),"",HYPERLINK("["&amp;Archivo_Nombre&amp;"]Datos!"&amp;LEFT(SUBSTITUTE(ADDRESS(1,Formulas!AT97+2),"$",""))&amp;Formulas!AS97+1,
IFERROR(INDEX(Datos!$A$2:$L$101,Formulas!AS97,Formulas!AT97+2),"")))</f>
        <v/>
      </c>
      <c r="AT99" s="13"/>
      <c r="AU99" s="6"/>
      <c r="AV99" s="24" t="str" cm="1">
        <f t="array" aca="1" ref="AV99" ca="1">IF(OR(Formulas!AX96=0,Formulas!AX96="",RIGHT(Formulas!AY96)="0"),"",
HYPERLINK("["&amp;Archivo_Nombre&amp;"]Datos!"&amp;LEFT(SUBSTITUTE(ADDRESS(1,IF(Formulas!AX96=1,1,RIGHT(Formulas!AY96)+2)),"$",""))&amp;Formulas!AW96+1,
IFERROR(INDEX(Datos!$A$1:$L$1,1,RIGHT(Formulas!AY96)+2)&amp;IF(Formulas!AX96=1," "&amp;Formulas!AW96,"")&amp;":","")))</f>
        <v/>
      </c>
      <c r="AW99" s="107" t="str" cm="1">
        <f t="array" aca="1" ref="AW99" ca="1">IF(OR(Formulas!AX96=0,Formulas!AX96="",RIGHT(Formulas!AY96)="0"),"",
HYPERLINK("["&amp;Archivo_Nombre&amp;"]Datos!"&amp;LEFT(SUBSTITUTE(ADDRESS(1,RIGHT(Formulas!AY96)+2),"$",""))&amp;Formulas!AW96+1,
IFERROR(INDEX(Datos!$A$2:$L$101,Formulas!AW96,RIGHT(Formulas!AY96)+2),"")))</f>
        <v/>
      </c>
      <c r="AX99" s="107" t="str" cm="1">
        <f t="array" aca="1" ref="AX99" ca="1">IF(OR(Formulas!AY97=0,Formulas!AY97=""),"",HYPERLINK("["&amp;Archivo_Nombre&amp;"]Datos!"&amp;LEFT(SUBSTITUTE(ADDRESS(1,Formulas!AY97+2),"$",""))&amp;Formulas!AX97+1,
IFERROR(INDEX(Datos!$A$2:$L$101,Formulas!AX97,Formulas!AY97+2),"")))</f>
        <v/>
      </c>
      <c r="AY99" s="13"/>
    </row>
    <row r="100" spans="2:51" x14ac:dyDescent="0.25">
      <c r="B100" s="11"/>
      <c r="C100" s="24" t="str" cm="1">
        <f t="array" aca="1" ref="C100" ca="1">IF(OR(Formulas!E97=0,Formulas!E97="",RIGHT(Formulas!F97)="0"),"",
HYPERLINK("["&amp;Archivo_Nombre&amp;"]Datos!"&amp;LEFT(SUBSTITUTE(ADDRESS(1,IF(Formulas!E97=1,1,RIGHT(Formulas!F97)+2)),"$",""))&amp;Formulas!D97+1,
IFERROR(INDEX(Datos!$A$1:$L$1,1,RIGHT(Formulas!F97)+2)&amp;IF(Formulas!E97=1," "&amp;Formulas!D97,"")&amp;":","")))</f>
        <v/>
      </c>
      <c r="D100" s="107" t="str" cm="1">
        <f t="array" aca="1" ref="D100" ca="1">IF(OR(Formulas!E97=0,Formulas!E97="",RIGHT(Formulas!F97)="0"),"",
HYPERLINK("["&amp;Archivo_Nombre&amp;"]Datos!"&amp;LEFT(SUBSTITUTE(ADDRESS(1,RIGHT(Formulas!F97)+2),"$",""))&amp;Formulas!D97+1,
IFERROR(INDEX(Datos!$A$2:$L$101,Formulas!D97,RIGHT(Formulas!F97)+2),"")))</f>
        <v/>
      </c>
      <c r="E100" s="107" t="str" cm="1">
        <f t="array" aca="1" ref="E100" ca="1">IF(OR(Formulas!F98=0,Formulas!F98=""),"",HYPERLINK("["&amp;Archivo_Nombre&amp;"]Datos!"&amp;LEFT(SUBSTITUTE(ADDRESS(1,Formulas!F98+2),"$",""))&amp;Formulas!E98+1,
IFERROR(INDEX(Datos!$A$2:$L$101,Formulas!E98,Formulas!F98+2),"")))</f>
        <v/>
      </c>
      <c r="F100" s="5"/>
      <c r="G100" s="6"/>
      <c r="H100" s="24" t="str" cm="1">
        <f t="array" aca="1" ref="H100" ca="1">IF(OR(Formulas!J97=0,Formulas!J97="",RIGHT(Formulas!K97)="0"),"",
HYPERLINK("["&amp;Archivo_Nombre&amp;"]Datos!"&amp;LEFT(SUBSTITUTE(ADDRESS(1,IF(Formulas!J97=1,1,RIGHT(Formulas!K97)+2)),"$",""))&amp;Formulas!I97+1,
IFERROR(INDEX(Datos!$A$1:$L$1,1,RIGHT(Formulas!K97)+2)&amp;IF(Formulas!J97=1," "&amp;Formulas!I97,"")&amp;":","")))</f>
        <v/>
      </c>
      <c r="I100" s="107" t="str" cm="1">
        <f t="array" aca="1" ref="I100" ca="1">IF(OR(Formulas!J97=0,Formulas!J97="",RIGHT(Formulas!K97)="0"),"",
HYPERLINK("["&amp;Archivo_Nombre&amp;"]Datos!"&amp;LEFT(SUBSTITUTE(ADDRESS(1,RIGHT(Formulas!K97)+2),"$",""))&amp;Formulas!I97+1,
IFERROR(INDEX(Datos!$A$2:$L$101,Formulas!I97,RIGHT(Formulas!K97)+2),"")))</f>
        <v/>
      </c>
      <c r="J100" s="107" t="str" cm="1">
        <f t="array" aca="1" ref="J100" ca="1">IF(OR(Formulas!K98=0,Formulas!K98=""),"",HYPERLINK("["&amp;Archivo_Nombre&amp;"]Datos!"&amp;LEFT(SUBSTITUTE(ADDRESS(1,Formulas!K98+2),"$",""))&amp;Formulas!J98+1,
IFERROR(INDEX(Datos!$A$2:$L$101,Formulas!J98,Formulas!K98+2),"")))</f>
        <v/>
      </c>
      <c r="K100" s="5"/>
      <c r="L100" s="6"/>
      <c r="M100" s="24" t="str" cm="1">
        <f t="array" aca="1" ref="M100" ca="1">IF(OR(Formulas!O97=0,Formulas!O97="",RIGHT(Formulas!P97)="0"),"",
HYPERLINK("["&amp;Archivo_Nombre&amp;"]Datos!"&amp;LEFT(SUBSTITUTE(ADDRESS(1,IF(Formulas!O97=1,1,RIGHT(Formulas!P97)+2)),"$",""))&amp;Formulas!N97+1,
IFERROR(INDEX(Datos!$A$1:$L$1,1,RIGHT(Formulas!P97)+2)&amp;IF(Formulas!O97=1," "&amp;Formulas!N97,"")&amp;":","")))</f>
        <v/>
      </c>
      <c r="N100" s="107" t="str" cm="1">
        <f t="array" aca="1" ref="N100" ca="1">IF(OR(Formulas!O97=0,Formulas!O97="",RIGHT(Formulas!P97)="0"),"",
HYPERLINK("["&amp;Archivo_Nombre&amp;"]Datos!"&amp;LEFT(SUBSTITUTE(ADDRESS(1,RIGHT(Formulas!P97)+2),"$",""))&amp;Formulas!N97+1,
IFERROR(INDEX(Datos!$A$2:$L$101,Formulas!N97,RIGHT(Formulas!P97)+2),"")))</f>
        <v/>
      </c>
      <c r="O100" s="107" t="str" cm="1">
        <f t="array" aca="1" ref="O100" ca="1">IF(OR(Formulas!P98=0,Formulas!P98=""),"",HYPERLINK("["&amp;Archivo_Nombre&amp;"]Datos!"&amp;LEFT(SUBSTITUTE(ADDRESS(1,Formulas!P98+2),"$",""))&amp;Formulas!O98+1,
IFERROR(INDEX(Datos!$A$2:$L$101,Formulas!O98,Formulas!P98+2),"")))</f>
        <v/>
      </c>
      <c r="P100" s="5"/>
      <c r="Q100" s="6"/>
      <c r="R100" s="24" t="str" cm="1">
        <f t="array" aca="1" ref="R100" ca="1">IF(OR(Formulas!T97=0,Formulas!T97="",RIGHT(Formulas!U97)="0"),"",
HYPERLINK("["&amp;Archivo_Nombre&amp;"]Datos!"&amp;LEFT(SUBSTITUTE(ADDRESS(1,IF(Formulas!T97=1,1,RIGHT(Formulas!U97)+2)),"$",""))&amp;Formulas!S97+1,
IFERROR(INDEX(Datos!$A$1:$L$1,1,RIGHT(Formulas!U97)+2)&amp;IF(Formulas!T97=1," "&amp;Formulas!S97,"")&amp;":","")))</f>
        <v>Previsto:</v>
      </c>
      <c r="S100" s="107" cm="1">
        <f t="array" aca="1" ref="S100" ca="1">IF(OR(Formulas!T97=0,Formulas!T97="",RIGHT(Formulas!U97)="0"),"",
HYPERLINK("["&amp;Archivo_Nombre&amp;"]Datos!"&amp;LEFT(SUBSTITUTE(ADDRESS(1,RIGHT(Formulas!U97)+2),"$",""))&amp;Formulas!S97+1,
IFERROR(INDEX(Datos!$A$2:$L$101,Formulas!S97,RIGHT(Formulas!U97)+2),"")))</f>
        <v>45808</v>
      </c>
      <c r="T100" s="107" t="e" cm="1">
        <f t="array" aca="1" ref="T100" ca="1">IF(OR(Formulas!U98=0,Formulas!U98=""),"",HYPERLINK("["&amp;Archivo_Nombre&amp;"]Datos!"&amp;LEFT(SUBSTITUTE(ADDRESS(1,Formulas!U98+2),"$",""))&amp;Formulas!T98+1,
IFERROR(INDEX(Datos!$A$2:$L$101,Formulas!T98,Formulas!U98+2),"")))</f>
        <v>#VALUE!</v>
      </c>
      <c r="U100" s="5"/>
      <c r="V100" s="6"/>
      <c r="W100" s="24" t="str" cm="1">
        <f t="array" aca="1" ref="W100" ca="1">IF(OR(Formulas!Y97=0,Formulas!Y97="",RIGHT(Formulas!Z97)="0"),"",
HYPERLINK("["&amp;Archivo_Nombre&amp;"]Datos!"&amp;LEFT(SUBSTITUTE(ADDRESS(1,IF(Formulas!Y97=1,1,RIGHT(Formulas!Z97)+2)),"$",""))&amp;Formulas!X97+1,
IFERROR(INDEX(Datos!$A$1:$L$1,1,RIGHT(Formulas!Z97)+2)&amp;IF(Formulas!Y97=1," "&amp;Formulas!X97,"")&amp;":","")))</f>
        <v/>
      </c>
      <c r="X100" s="107" t="str" cm="1">
        <f t="array" aca="1" ref="X100" ca="1">IF(OR(Formulas!Y97=0,Formulas!Y97="",RIGHT(Formulas!Z97)="0"),"",
HYPERLINK("["&amp;Archivo_Nombre&amp;"]Datos!"&amp;LEFT(SUBSTITUTE(ADDRESS(1,RIGHT(Formulas!Z97)+2),"$",""))&amp;Formulas!X97+1,
IFERROR(INDEX(Datos!$A$2:$L$101,Formulas!X97,RIGHT(Formulas!Z97)+2),"")))</f>
        <v/>
      </c>
      <c r="Y100" s="107" t="str" cm="1">
        <f t="array" aca="1" ref="Y100" ca="1">IF(OR(Formulas!Z98=0,Formulas!Z98=""),"",HYPERLINK("["&amp;Archivo_Nombre&amp;"]Datos!"&amp;LEFT(SUBSTITUTE(ADDRESS(1,Formulas!Z98+2),"$",""))&amp;Formulas!Y98+1,
IFERROR(INDEX(Datos!$A$2:$L$101,Formulas!Y98,Formulas!Z98+2),"")))</f>
        <v/>
      </c>
      <c r="Z100" s="13"/>
      <c r="AA100" s="6"/>
      <c r="AB100" s="24" t="str" cm="1">
        <f t="array" aca="1" ref="AB100" ca="1">IF(OR(Formulas!AD97=0,Formulas!AD97="",RIGHT(Formulas!AE97)="0"),"",
HYPERLINK("["&amp;Archivo_Nombre&amp;"]Datos!"&amp;LEFT(SUBSTITUTE(ADDRESS(1,IF(Formulas!AD97=1,1,RIGHT(Formulas!AE97)+2)),"$",""))&amp;Formulas!AC97+1,
IFERROR(INDEX(Datos!$A$1:$L$1,1,RIGHT(Formulas!AE97)+2)&amp;IF(Formulas!AD97=1," "&amp;Formulas!AC97,"")&amp;":","")))</f>
        <v/>
      </c>
      <c r="AC100" s="107" t="str" cm="1">
        <f t="array" aca="1" ref="AC100" ca="1">IF(OR(Formulas!AD97=0,Formulas!AD97="",RIGHT(Formulas!AE97)="0"),"",
HYPERLINK("["&amp;Archivo_Nombre&amp;"]Datos!"&amp;LEFT(SUBSTITUTE(ADDRESS(1,RIGHT(Formulas!AE97)+2),"$",""))&amp;Formulas!AC97+1,
IFERROR(INDEX(Datos!$A$2:$L$101,Formulas!AC97,RIGHT(Formulas!AE97)+2),"")))</f>
        <v/>
      </c>
      <c r="AD100" s="107" t="str" cm="1">
        <f t="array" aca="1" ref="AD100" ca="1">IF(OR(Formulas!AE98=0,Formulas!AE98=""),"",HYPERLINK("["&amp;Archivo_Nombre&amp;"]Datos!"&amp;LEFT(SUBSTITUTE(ADDRESS(1,Formulas!AE98+2),"$",""))&amp;Formulas!AD98+1,
IFERROR(INDEX(Datos!$A$2:$L$101,Formulas!AD98,Formulas!AE98+2),"")))</f>
        <v/>
      </c>
      <c r="AE100" s="13"/>
      <c r="AF100" s="6"/>
      <c r="AG100" s="24" t="str" cm="1">
        <f t="array" aca="1" ref="AG100" ca="1">IF(OR(Formulas!AI97=0,Formulas!AI97="",RIGHT(Formulas!AJ97)="0"),"",
HYPERLINK("["&amp;Archivo_Nombre&amp;"]Datos!"&amp;LEFT(SUBSTITUTE(ADDRESS(1,IF(Formulas!AI97=1,1,RIGHT(Formulas!AJ97)+2)),"$",""))&amp;Formulas!AH97+1,
IFERROR(INDEX(Datos!$A$1:$L$1,1,RIGHT(Formulas!AJ97)+2)&amp;IF(Formulas!AI97=1," "&amp;Formulas!AH97,"")&amp;":","")))</f>
        <v/>
      </c>
      <c r="AH100" s="107" t="str" cm="1">
        <f t="array" aca="1" ref="AH100" ca="1">IF(OR(Formulas!AI97=0,Formulas!AI97="",RIGHT(Formulas!AJ97)="0"),"",
HYPERLINK("["&amp;Archivo_Nombre&amp;"]Datos!"&amp;LEFT(SUBSTITUTE(ADDRESS(1,RIGHT(Formulas!AJ97)+2),"$",""))&amp;Formulas!AH97+1,
IFERROR(INDEX(Datos!$A$2:$L$101,Formulas!AH97,RIGHT(Formulas!AJ97)+2),"")))</f>
        <v/>
      </c>
      <c r="AI100" s="107" t="str" cm="1">
        <f t="array" aca="1" ref="AI100" ca="1">IF(OR(Formulas!AJ98=0,Formulas!AJ98=""),"",HYPERLINK("["&amp;Archivo_Nombre&amp;"]Datos!"&amp;LEFT(SUBSTITUTE(ADDRESS(1,Formulas!AJ98+2),"$",""))&amp;Formulas!AI98+1,
IFERROR(INDEX(Datos!$A$2:$L$101,Formulas!AI98,Formulas!AJ98+2),"")))</f>
        <v/>
      </c>
      <c r="AJ100" s="13"/>
      <c r="AK100" s="6"/>
      <c r="AL100" s="24" t="str" cm="1">
        <f t="array" aca="1" ref="AL100" ca="1">IF(OR(Formulas!AN97=0,Formulas!AN97="",RIGHT(Formulas!AO97)="0"),"",
HYPERLINK("["&amp;Archivo_Nombre&amp;"]Datos!"&amp;LEFT(SUBSTITUTE(ADDRESS(1,IF(Formulas!AN97=1,1,RIGHT(Formulas!AO97)+2)),"$",""))&amp;Formulas!AM97+1,
IFERROR(INDEX(Datos!$A$1:$L$1,1,RIGHT(Formulas!AO97)+2)&amp;IF(Formulas!AN97=1," "&amp;Formulas!AM97,"")&amp;":","")))</f>
        <v/>
      </c>
      <c r="AM100" s="107" t="str" cm="1">
        <f t="array" aca="1" ref="AM100" ca="1">IF(OR(Formulas!AN97=0,Formulas!AN97="",RIGHT(Formulas!AO97)="0"),"",
HYPERLINK("["&amp;Archivo_Nombre&amp;"]Datos!"&amp;LEFT(SUBSTITUTE(ADDRESS(1,RIGHT(Formulas!AO97)+2),"$",""))&amp;Formulas!AM97+1,
IFERROR(INDEX(Datos!$A$2:$L$101,Formulas!AM97,RIGHT(Formulas!AO97)+2),"")))</f>
        <v/>
      </c>
      <c r="AN100" s="107" t="str" cm="1">
        <f t="array" aca="1" ref="AN100" ca="1">IF(OR(Formulas!AO98=0,Formulas!AO98=""),"",HYPERLINK("["&amp;Archivo_Nombre&amp;"]Datos!"&amp;LEFT(SUBSTITUTE(ADDRESS(1,Formulas!AO98+2),"$",""))&amp;Formulas!AN98+1,
IFERROR(INDEX(Datos!$A$2:$L$101,Formulas!AN98,Formulas!AO98+2),"")))</f>
        <v/>
      </c>
      <c r="AO100" s="13"/>
      <c r="AP100" s="6"/>
      <c r="AQ100" s="24" t="str" cm="1">
        <f t="array" aca="1" ref="AQ100" ca="1">IF(OR(Formulas!AS97=0,Formulas!AS97="",RIGHT(Formulas!AT97)="0"),"",
HYPERLINK("["&amp;Archivo_Nombre&amp;"]Datos!"&amp;LEFT(SUBSTITUTE(ADDRESS(1,IF(Formulas!AS97=1,1,RIGHT(Formulas!AT97)+2)),"$",""))&amp;Formulas!AR97+1,
IFERROR(INDEX(Datos!$A$1:$L$1,1,RIGHT(Formulas!AT97)+2)&amp;IF(Formulas!AS97=1," "&amp;Formulas!AR97,"")&amp;":","")))</f>
        <v/>
      </c>
      <c r="AR100" s="107" t="str" cm="1">
        <f t="array" aca="1" ref="AR100" ca="1">IF(OR(Formulas!AS97=0,Formulas!AS97="",RIGHT(Formulas!AT97)="0"),"",
HYPERLINK("["&amp;Archivo_Nombre&amp;"]Datos!"&amp;LEFT(SUBSTITUTE(ADDRESS(1,RIGHT(Formulas!AT97)+2),"$",""))&amp;Formulas!AR97+1,
IFERROR(INDEX(Datos!$A$2:$L$101,Formulas!AR97,RIGHT(Formulas!AT97)+2),"")))</f>
        <v/>
      </c>
      <c r="AS100" s="107" t="str" cm="1">
        <f t="array" aca="1" ref="AS100" ca="1">IF(OR(Formulas!AT98=0,Formulas!AT98=""),"",HYPERLINK("["&amp;Archivo_Nombre&amp;"]Datos!"&amp;LEFT(SUBSTITUTE(ADDRESS(1,Formulas!AT98+2),"$",""))&amp;Formulas!AS98+1,
IFERROR(INDEX(Datos!$A$2:$L$101,Formulas!AS98,Formulas!AT98+2),"")))</f>
        <v/>
      </c>
      <c r="AT100" s="13"/>
      <c r="AU100" s="6"/>
      <c r="AV100" s="24" t="str" cm="1">
        <f t="array" aca="1" ref="AV100" ca="1">IF(OR(Formulas!AX97=0,Formulas!AX97="",RIGHT(Formulas!AY97)="0"),"",
HYPERLINK("["&amp;Archivo_Nombre&amp;"]Datos!"&amp;LEFT(SUBSTITUTE(ADDRESS(1,IF(Formulas!AX97=1,1,RIGHT(Formulas!AY97)+2)),"$",""))&amp;Formulas!AW97+1,
IFERROR(INDEX(Datos!$A$1:$L$1,1,RIGHT(Formulas!AY97)+2)&amp;IF(Formulas!AX97=1," "&amp;Formulas!AW97,"")&amp;":","")))</f>
        <v/>
      </c>
      <c r="AW100" s="107" t="str" cm="1">
        <f t="array" aca="1" ref="AW100" ca="1">IF(OR(Formulas!AX97=0,Formulas!AX97="",RIGHT(Formulas!AY97)="0"),"",
HYPERLINK("["&amp;Archivo_Nombre&amp;"]Datos!"&amp;LEFT(SUBSTITUTE(ADDRESS(1,RIGHT(Formulas!AY97)+2),"$",""))&amp;Formulas!AW97+1,
IFERROR(INDEX(Datos!$A$2:$L$101,Formulas!AW97,RIGHT(Formulas!AY97)+2),"")))</f>
        <v/>
      </c>
      <c r="AX100" s="107" t="str" cm="1">
        <f t="array" aca="1" ref="AX100" ca="1">IF(OR(Formulas!AY98=0,Formulas!AY98=""),"",HYPERLINK("["&amp;Archivo_Nombre&amp;"]Datos!"&amp;LEFT(SUBSTITUTE(ADDRESS(1,Formulas!AY98+2),"$",""))&amp;Formulas!AX98+1,
IFERROR(INDEX(Datos!$A$2:$L$101,Formulas!AX98,Formulas!AY98+2),"")))</f>
        <v/>
      </c>
      <c r="AY100" s="13"/>
    </row>
    <row r="101" spans="2:51" x14ac:dyDescent="0.25">
      <c r="B101" s="11"/>
      <c r="C101" s="24" t="str" cm="1">
        <f t="array" aca="1" ref="C101" ca="1">IF(OR(Formulas!E98=0,Formulas!E98="",RIGHT(Formulas!F98)="0"),"",
HYPERLINK("["&amp;Archivo_Nombre&amp;"]Datos!"&amp;LEFT(SUBSTITUTE(ADDRESS(1,IF(Formulas!E98=1,1,RIGHT(Formulas!F98)+2)),"$",""))&amp;Formulas!D98+1,
IFERROR(INDEX(Datos!$A$1:$L$1,1,RIGHT(Formulas!F98)+2)&amp;IF(Formulas!E98=1," "&amp;Formulas!D98,"")&amp;":","")))</f>
        <v/>
      </c>
      <c r="D101" s="107" t="str" cm="1">
        <f t="array" aca="1" ref="D101" ca="1">IF(OR(Formulas!E98=0,Formulas!E98="",RIGHT(Formulas!F98)="0"),"",
HYPERLINK("["&amp;Archivo_Nombre&amp;"]Datos!"&amp;LEFT(SUBSTITUTE(ADDRESS(1,RIGHT(Formulas!F98)+2),"$",""))&amp;Formulas!D98+1,
IFERROR(INDEX(Datos!$A$2:$L$101,Formulas!D98,RIGHT(Formulas!F98)+2),"")))</f>
        <v/>
      </c>
      <c r="E101" s="107" t="str" cm="1">
        <f t="array" aca="1" ref="E101" ca="1">IF(OR(Formulas!F99=0,Formulas!F99=""),"",HYPERLINK("["&amp;Archivo_Nombre&amp;"]Datos!"&amp;LEFT(SUBSTITUTE(ADDRESS(1,Formulas!F99+2),"$",""))&amp;Formulas!E99+1,
IFERROR(INDEX(Datos!$A$2:$L$101,Formulas!E99,Formulas!F99+2),"")))</f>
        <v/>
      </c>
      <c r="F101" s="5"/>
      <c r="G101" s="6"/>
      <c r="H101" s="24" t="str" cm="1">
        <f t="array" aca="1" ref="H101" ca="1">IF(OR(Formulas!J98=0,Formulas!J98="",RIGHT(Formulas!K98)="0"),"",
HYPERLINK("["&amp;Archivo_Nombre&amp;"]Datos!"&amp;LEFT(SUBSTITUTE(ADDRESS(1,IF(Formulas!J98=1,1,RIGHT(Formulas!K98)+2)),"$",""))&amp;Formulas!I98+1,
IFERROR(INDEX(Datos!$A$1:$L$1,1,RIGHT(Formulas!K98)+2)&amp;IF(Formulas!J98=1," "&amp;Formulas!I98,"")&amp;":","")))</f>
        <v/>
      </c>
      <c r="I101" s="107" t="str" cm="1">
        <f t="array" aca="1" ref="I101" ca="1">IF(OR(Formulas!J98=0,Formulas!J98="",RIGHT(Formulas!K98)="0"),"",
HYPERLINK("["&amp;Archivo_Nombre&amp;"]Datos!"&amp;LEFT(SUBSTITUTE(ADDRESS(1,RIGHT(Formulas!K98)+2),"$",""))&amp;Formulas!I98+1,
IFERROR(INDEX(Datos!$A$2:$L$101,Formulas!I98,RIGHT(Formulas!K98)+2),"")))</f>
        <v/>
      </c>
      <c r="J101" s="107" t="str" cm="1">
        <f t="array" aca="1" ref="J101" ca="1">IF(OR(Formulas!K99=0,Formulas!K99=""),"",HYPERLINK("["&amp;Archivo_Nombre&amp;"]Datos!"&amp;LEFT(SUBSTITUTE(ADDRESS(1,Formulas!K99+2),"$",""))&amp;Formulas!J99+1,
IFERROR(INDEX(Datos!$A$2:$L$101,Formulas!J99,Formulas!K99+2),"")))</f>
        <v/>
      </c>
      <c r="K101" s="5"/>
      <c r="L101" s="6"/>
      <c r="M101" s="24" t="str" cm="1">
        <f t="array" aca="1" ref="M101" ca="1">IF(OR(Formulas!O98=0,Formulas!O98="",RIGHT(Formulas!P98)="0"),"",
HYPERLINK("["&amp;Archivo_Nombre&amp;"]Datos!"&amp;LEFT(SUBSTITUTE(ADDRESS(1,IF(Formulas!O98=1,1,RIGHT(Formulas!P98)+2)),"$",""))&amp;Formulas!N98+1,
IFERROR(INDEX(Datos!$A$1:$L$1,1,RIGHT(Formulas!P98)+2)&amp;IF(Formulas!O98=1," "&amp;Formulas!N98,"")&amp;":","")))</f>
        <v/>
      </c>
      <c r="N101" s="107" t="str" cm="1">
        <f t="array" aca="1" ref="N101" ca="1">IF(OR(Formulas!O98=0,Formulas!O98="",RIGHT(Formulas!P98)="0"),"",
HYPERLINK("["&amp;Archivo_Nombre&amp;"]Datos!"&amp;LEFT(SUBSTITUTE(ADDRESS(1,RIGHT(Formulas!P98)+2),"$",""))&amp;Formulas!N98+1,
IFERROR(INDEX(Datos!$A$2:$L$101,Formulas!N98,RIGHT(Formulas!P98)+2),"")))</f>
        <v/>
      </c>
      <c r="O101" s="107" t="str" cm="1">
        <f t="array" aca="1" ref="O101" ca="1">IF(OR(Formulas!P99=0,Formulas!P99=""),"",HYPERLINK("["&amp;Archivo_Nombre&amp;"]Datos!"&amp;LEFT(SUBSTITUTE(ADDRESS(1,Formulas!P99+2),"$",""))&amp;Formulas!O99+1,
IFERROR(INDEX(Datos!$A$2:$L$101,Formulas!O99,Formulas!P99+2),"")))</f>
        <v/>
      </c>
      <c r="P101" s="5"/>
      <c r="Q101" s="6"/>
      <c r="R101" s="24" t="str" cm="1">
        <f t="array" aca="1" ref="R101" ca="1">IF(OR(Formulas!T98=0,Formulas!T98="",RIGHT(Formulas!U98)="0"),"",
HYPERLINK("["&amp;Archivo_Nombre&amp;"]Datos!"&amp;LEFT(SUBSTITUTE(ADDRESS(1,IF(Formulas!T98=1,1,RIGHT(Formulas!U98)+2)),"$",""))&amp;Formulas!S98+1,
IFERROR(INDEX(Datos!$A$1:$L$1,1,RIGHT(Formulas!U98)+2)&amp;IF(Formulas!T98=1," "&amp;Formulas!S98,"")&amp;":","")))</f>
        <v>Final:</v>
      </c>
      <c r="S101" s="107" cm="1">
        <f t="array" aca="1" ref="S101" ca="1">IF(OR(Formulas!T98=0,Formulas!T98="",RIGHT(Formulas!U98)="0"),"",
HYPERLINK("["&amp;Archivo_Nombre&amp;"]Datos!"&amp;LEFT(SUBSTITUTE(ADDRESS(1,RIGHT(Formulas!U98)+2),"$",""))&amp;Formulas!S98+1,
IFERROR(INDEX(Datos!$A$2:$L$101,Formulas!S98,RIGHT(Formulas!U98)+2),"")))</f>
        <v>45808</v>
      </c>
      <c r="T101" s="107" t="e" cm="1">
        <f t="array" aca="1" ref="T101" ca="1">IF(OR(Formulas!U99=0,Formulas!U99=""),"",HYPERLINK("["&amp;Archivo_Nombre&amp;"]Datos!"&amp;LEFT(SUBSTITUTE(ADDRESS(1,Formulas!U99+2),"$",""))&amp;Formulas!T99+1,
IFERROR(INDEX(Datos!$A$2:$L$101,Formulas!T99,Formulas!U99+2),"")))</f>
        <v>#VALUE!</v>
      </c>
      <c r="U101" s="5"/>
      <c r="V101" s="6"/>
      <c r="W101" s="24" t="str" cm="1">
        <f t="array" aca="1" ref="W101" ca="1">IF(OR(Formulas!Y98=0,Formulas!Y98="",RIGHT(Formulas!Z98)="0"),"",
HYPERLINK("["&amp;Archivo_Nombre&amp;"]Datos!"&amp;LEFT(SUBSTITUTE(ADDRESS(1,IF(Formulas!Y98=1,1,RIGHT(Formulas!Z98)+2)),"$",""))&amp;Formulas!X98+1,
IFERROR(INDEX(Datos!$A$1:$L$1,1,RIGHT(Formulas!Z98)+2)&amp;IF(Formulas!Y98=1," "&amp;Formulas!X98,"")&amp;":","")))</f>
        <v/>
      </c>
      <c r="X101" s="107" t="str" cm="1">
        <f t="array" aca="1" ref="X101" ca="1">IF(OR(Formulas!Y98=0,Formulas!Y98="",RIGHT(Formulas!Z98)="0"),"",
HYPERLINK("["&amp;Archivo_Nombre&amp;"]Datos!"&amp;LEFT(SUBSTITUTE(ADDRESS(1,RIGHT(Formulas!Z98)+2),"$",""))&amp;Formulas!X98+1,
IFERROR(INDEX(Datos!$A$2:$L$101,Formulas!X98,RIGHT(Formulas!Z98)+2),"")))</f>
        <v/>
      </c>
      <c r="Y101" s="107" t="str" cm="1">
        <f t="array" aca="1" ref="Y101" ca="1">IF(OR(Formulas!Z99=0,Formulas!Z99=""),"",HYPERLINK("["&amp;Archivo_Nombre&amp;"]Datos!"&amp;LEFT(SUBSTITUTE(ADDRESS(1,Formulas!Z99+2),"$",""))&amp;Formulas!Y99+1,
IFERROR(INDEX(Datos!$A$2:$L$101,Formulas!Y99,Formulas!Z99+2),"")))</f>
        <v/>
      </c>
      <c r="Z101" s="13"/>
      <c r="AA101" s="6"/>
      <c r="AB101" s="24" t="str" cm="1">
        <f t="array" aca="1" ref="AB101" ca="1">IF(OR(Formulas!AD98=0,Formulas!AD98="",RIGHT(Formulas!AE98)="0"),"",
HYPERLINK("["&amp;Archivo_Nombre&amp;"]Datos!"&amp;LEFT(SUBSTITUTE(ADDRESS(1,IF(Formulas!AD98=1,1,RIGHT(Formulas!AE98)+2)),"$",""))&amp;Formulas!AC98+1,
IFERROR(INDEX(Datos!$A$1:$L$1,1,RIGHT(Formulas!AE98)+2)&amp;IF(Formulas!AD98=1," "&amp;Formulas!AC98,"")&amp;":","")))</f>
        <v/>
      </c>
      <c r="AC101" s="107" t="str" cm="1">
        <f t="array" aca="1" ref="AC101" ca="1">IF(OR(Formulas!AD98=0,Formulas!AD98="",RIGHT(Formulas!AE98)="0"),"",
HYPERLINK("["&amp;Archivo_Nombre&amp;"]Datos!"&amp;LEFT(SUBSTITUTE(ADDRESS(1,RIGHT(Formulas!AE98)+2),"$",""))&amp;Formulas!AC98+1,
IFERROR(INDEX(Datos!$A$2:$L$101,Formulas!AC98,RIGHT(Formulas!AE98)+2),"")))</f>
        <v/>
      </c>
      <c r="AD101" s="107" t="str" cm="1">
        <f t="array" aca="1" ref="AD101" ca="1">IF(OR(Formulas!AE99=0,Formulas!AE99=""),"",HYPERLINK("["&amp;Archivo_Nombre&amp;"]Datos!"&amp;LEFT(SUBSTITUTE(ADDRESS(1,Formulas!AE99+2),"$",""))&amp;Formulas!AD99+1,
IFERROR(INDEX(Datos!$A$2:$L$101,Formulas!AD99,Formulas!AE99+2),"")))</f>
        <v/>
      </c>
      <c r="AE101" s="13"/>
      <c r="AF101" s="6"/>
      <c r="AG101" s="24" t="str" cm="1">
        <f t="array" aca="1" ref="AG101" ca="1">IF(OR(Formulas!AI98=0,Formulas!AI98="",RIGHT(Formulas!AJ98)="0"),"",
HYPERLINK("["&amp;Archivo_Nombre&amp;"]Datos!"&amp;LEFT(SUBSTITUTE(ADDRESS(1,IF(Formulas!AI98=1,1,RIGHT(Formulas!AJ98)+2)),"$",""))&amp;Formulas!AH98+1,
IFERROR(INDEX(Datos!$A$1:$L$1,1,RIGHT(Formulas!AJ98)+2)&amp;IF(Formulas!AI98=1," "&amp;Formulas!AH98,"")&amp;":","")))</f>
        <v/>
      </c>
      <c r="AH101" s="107" t="str" cm="1">
        <f t="array" aca="1" ref="AH101" ca="1">IF(OR(Formulas!AI98=0,Formulas!AI98="",RIGHT(Formulas!AJ98)="0"),"",
HYPERLINK("["&amp;Archivo_Nombre&amp;"]Datos!"&amp;LEFT(SUBSTITUTE(ADDRESS(1,RIGHT(Formulas!AJ98)+2),"$",""))&amp;Formulas!AH98+1,
IFERROR(INDEX(Datos!$A$2:$L$101,Formulas!AH98,RIGHT(Formulas!AJ98)+2),"")))</f>
        <v/>
      </c>
      <c r="AI101" s="107" t="str" cm="1">
        <f t="array" aca="1" ref="AI101" ca="1">IF(OR(Formulas!AJ99=0,Formulas!AJ99=""),"",HYPERLINK("["&amp;Archivo_Nombre&amp;"]Datos!"&amp;LEFT(SUBSTITUTE(ADDRESS(1,Formulas!AJ99+2),"$",""))&amp;Formulas!AI99+1,
IFERROR(INDEX(Datos!$A$2:$L$101,Formulas!AI99,Formulas!AJ99+2),"")))</f>
        <v/>
      </c>
      <c r="AJ101" s="13"/>
      <c r="AK101" s="6"/>
      <c r="AL101" s="24" t="str" cm="1">
        <f t="array" aca="1" ref="AL101" ca="1">IF(OR(Formulas!AN98=0,Formulas!AN98="",RIGHT(Formulas!AO98)="0"),"",
HYPERLINK("["&amp;Archivo_Nombre&amp;"]Datos!"&amp;LEFT(SUBSTITUTE(ADDRESS(1,IF(Formulas!AN98=1,1,RIGHT(Formulas!AO98)+2)),"$",""))&amp;Formulas!AM98+1,
IFERROR(INDEX(Datos!$A$1:$L$1,1,RIGHT(Formulas!AO98)+2)&amp;IF(Formulas!AN98=1," "&amp;Formulas!AM98,"")&amp;":","")))</f>
        <v/>
      </c>
      <c r="AM101" s="107" t="str" cm="1">
        <f t="array" aca="1" ref="AM101" ca="1">IF(OR(Formulas!AN98=0,Formulas!AN98="",RIGHT(Formulas!AO98)="0"),"",
HYPERLINK("["&amp;Archivo_Nombre&amp;"]Datos!"&amp;LEFT(SUBSTITUTE(ADDRESS(1,RIGHT(Formulas!AO98)+2),"$",""))&amp;Formulas!AM98+1,
IFERROR(INDEX(Datos!$A$2:$L$101,Formulas!AM98,RIGHT(Formulas!AO98)+2),"")))</f>
        <v/>
      </c>
      <c r="AN101" s="107" t="str" cm="1">
        <f t="array" aca="1" ref="AN101" ca="1">IF(OR(Formulas!AO99=0,Formulas!AO99=""),"",HYPERLINK("["&amp;Archivo_Nombre&amp;"]Datos!"&amp;LEFT(SUBSTITUTE(ADDRESS(1,Formulas!AO99+2),"$",""))&amp;Formulas!AN99+1,
IFERROR(INDEX(Datos!$A$2:$L$101,Formulas!AN99,Formulas!AO99+2),"")))</f>
        <v/>
      </c>
      <c r="AO101" s="13"/>
      <c r="AP101" s="6"/>
      <c r="AQ101" s="24" t="str" cm="1">
        <f t="array" aca="1" ref="AQ101" ca="1">IF(OR(Formulas!AS98=0,Formulas!AS98="",RIGHT(Formulas!AT98)="0"),"",
HYPERLINK("["&amp;Archivo_Nombre&amp;"]Datos!"&amp;LEFT(SUBSTITUTE(ADDRESS(1,IF(Formulas!AS98=1,1,RIGHT(Formulas!AT98)+2)),"$",""))&amp;Formulas!AR98+1,
IFERROR(INDEX(Datos!$A$1:$L$1,1,RIGHT(Formulas!AT98)+2)&amp;IF(Formulas!AS98=1," "&amp;Formulas!AR98,"")&amp;":","")))</f>
        <v/>
      </c>
      <c r="AR101" s="107" t="str" cm="1">
        <f t="array" aca="1" ref="AR101" ca="1">IF(OR(Formulas!AS98=0,Formulas!AS98="",RIGHT(Formulas!AT98)="0"),"",
HYPERLINK("["&amp;Archivo_Nombre&amp;"]Datos!"&amp;LEFT(SUBSTITUTE(ADDRESS(1,RIGHT(Formulas!AT98)+2),"$",""))&amp;Formulas!AR98+1,
IFERROR(INDEX(Datos!$A$2:$L$101,Formulas!AR98,RIGHT(Formulas!AT98)+2),"")))</f>
        <v/>
      </c>
      <c r="AS101" s="107" t="str" cm="1">
        <f t="array" aca="1" ref="AS101" ca="1">IF(OR(Formulas!AT99=0,Formulas!AT99=""),"",HYPERLINK("["&amp;Archivo_Nombre&amp;"]Datos!"&amp;LEFT(SUBSTITUTE(ADDRESS(1,Formulas!AT99+2),"$",""))&amp;Formulas!AS99+1,
IFERROR(INDEX(Datos!$A$2:$L$101,Formulas!AS99,Formulas!AT99+2),"")))</f>
        <v/>
      </c>
      <c r="AT101" s="13"/>
      <c r="AU101" s="6"/>
      <c r="AV101" s="24" t="str" cm="1">
        <f t="array" aca="1" ref="AV101" ca="1">IF(OR(Formulas!AX98=0,Formulas!AX98="",RIGHT(Formulas!AY98)="0"),"",
HYPERLINK("["&amp;Archivo_Nombre&amp;"]Datos!"&amp;LEFT(SUBSTITUTE(ADDRESS(1,IF(Formulas!AX98=1,1,RIGHT(Formulas!AY98)+2)),"$",""))&amp;Formulas!AW98+1,
IFERROR(INDEX(Datos!$A$1:$L$1,1,RIGHT(Formulas!AY98)+2)&amp;IF(Formulas!AX98=1," "&amp;Formulas!AW98,"")&amp;":","")))</f>
        <v/>
      </c>
      <c r="AW101" s="107" t="str" cm="1">
        <f t="array" aca="1" ref="AW101" ca="1">IF(OR(Formulas!AX98=0,Formulas!AX98="",RIGHT(Formulas!AY98)="0"),"",
HYPERLINK("["&amp;Archivo_Nombre&amp;"]Datos!"&amp;LEFT(SUBSTITUTE(ADDRESS(1,RIGHT(Formulas!AY98)+2),"$",""))&amp;Formulas!AW98+1,
IFERROR(INDEX(Datos!$A$2:$L$101,Formulas!AW98,RIGHT(Formulas!AY98)+2),"")))</f>
        <v/>
      </c>
      <c r="AX101" s="107" t="str" cm="1">
        <f t="array" aca="1" ref="AX101" ca="1">IF(OR(Formulas!AY99=0,Formulas!AY99=""),"",HYPERLINK("["&amp;Archivo_Nombre&amp;"]Datos!"&amp;LEFT(SUBSTITUTE(ADDRESS(1,Formulas!AY99+2),"$",""))&amp;Formulas!AX99+1,
IFERROR(INDEX(Datos!$A$2:$L$101,Formulas!AX99,Formulas!AY99+2),"")))</f>
        <v/>
      </c>
      <c r="AY101" s="13"/>
    </row>
    <row r="102" spans="2:51" x14ac:dyDescent="0.25">
      <c r="B102" s="11"/>
      <c r="C102" s="24" t="str" cm="1">
        <f t="array" aca="1" ref="C102" ca="1">IF(OR(Formulas!E99=0,Formulas!E99="",RIGHT(Formulas!F99)="0"),"",
HYPERLINK("["&amp;Archivo_Nombre&amp;"]Datos!"&amp;LEFT(SUBSTITUTE(ADDRESS(1,IF(Formulas!E99=1,1,RIGHT(Formulas!F99)+2)),"$",""))&amp;Formulas!D99+1,
IFERROR(INDEX(Datos!$A$1:$L$1,1,RIGHT(Formulas!F99)+2)&amp;IF(Formulas!E99=1," "&amp;Formulas!D99,"")&amp;":","")))</f>
        <v/>
      </c>
      <c r="D102" s="107" t="str" cm="1">
        <f t="array" aca="1" ref="D102" ca="1">IF(OR(Formulas!E99=0,Formulas!E99="",RIGHT(Formulas!F99)="0"),"",
HYPERLINK("["&amp;Archivo_Nombre&amp;"]Datos!"&amp;LEFT(SUBSTITUTE(ADDRESS(1,RIGHT(Formulas!F99)+2),"$",""))&amp;Formulas!D99+1,
IFERROR(INDEX(Datos!$A$2:$L$101,Formulas!D99,RIGHT(Formulas!F99)+2),"")))</f>
        <v/>
      </c>
      <c r="E102" s="107" t="str" cm="1">
        <f t="array" aca="1" ref="E102" ca="1">IF(OR(Formulas!F100=0,Formulas!F100=""),"",HYPERLINK("["&amp;Archivo_Nombre&amp;"]Datos!"&amp;LEFT(SUBSTITUTE(ADDRESS(1,Formulas!F100+2),"$",""))&amp;Formulas!E100+1,
IFERROR(INDEX(Datos!$A$2:$L$101,Formulas!E100,Formulas!F100+2),"")))</f>
        <v/>
      </c>
      <c r="F102" s="5"/>
      <c r="G102" s="6"/>
      <c r="H102" s="24" t="str" cm="1">
        <f t="array" aca="1" ref="H102" ca="1">IF(OR(Formulas!J99=0,Formulas!J99="",RIGHT(Formulas!K99)="0"),"",
HYPERLINK("["&amp;Archivo_Nombre&amp;"]Datos!"&amp;LEFT(SUBSTITUTE(ADDRESS(1,IF(Formulas!J99=1,1,RIGHT(Formulas!K99)+2)),"$",""))&amp;Formulas!I99+1,
IFERROR(INDEX(Datos!$A$1:$L$1,1,RIGHT(Formulas!K99)+2)&amp;IF(Formulas!J99=1," "&amp;Formulas!I99,"")&amp;":","")))</f>
        <v/>
      </c>
      <c r="I102" s="107" t="str" cm="1">
        <f t="array" aca="1" ref="I102" ca="1">IF(OR(Formulas!J99=0,Formulas!J99="",RIGHT(Formulas!K99)="0"),"",
HYPERLINK("["&amp;Archivo_Nombre&amp;"]Datos!"&amp;LEFT(SUBSTITUTE(ADDRESS(1,RIGHT(Formulas!K99)+2),"$",""))&amp;Formulas!I99+1,
IFERROR(INDEX(Datos!$A$2:$L$101,Formulas!I99,RIGHT(Formulas!K99)+2),"")))</f>
        <v/>
      </c>
      <c r="J102" s="107" t="str" cm="1">
        <f t="array" aca="1" ref="J102" ca="1">IF(OR(Formulas!K100=0,Formulas!K100=""),"",HYPERLINK("["&amp;Archivo_Nombre&amp;"]Datos!"&amp;LEFT(SUBSTITUTE(ADDRESS(1,Formulas!K100+2),"$",""))&amp;Formulas!J100+1,
IFERROR(INDEX(Datos!$A$2:$L$101,Formulas!J100,Formulas!K100+2),"")))</f>
        <v/>
      </c>
      <c r="K102" s="5"/>
      <c r="L102" s="6"/>
      <c r="M102" s="24" t="str" cm="1">
        <f t="array" aca="1" ref="M102" ca="1">IF(OR(Formulas!O99=0,Formulas!O99="",RIGHT(Formulas!P99)="0"),"",
HYPERLINK("["&amp;Archivo_Nombre&amp;"]Datos!"&amp;LEFT(SUBSTITUTE(ADDRESS(1,IF(Formulas!O99=1,1,RIGHT(Formulas!P99)+2)),"$",""))&amp;Formulas!N99+1,
IFERROR(INDEX(Datos!$A$1:$L$1,1,RIGHT(Formulas!P99)+2)&amp;IF(Formulas!O99=1," "&amp;Formulas!N99,"")&amp;":","")))</f>
        <v/>
      </c>
      <c r="N102" s="107" t="str" cm="1">
        <f t="array" aca="1" ref="N102" ca="1">IF(OR(Formulas!O99=0,Formulas!O99="",RIGHT(Formulas!P99)="0"),"",
HYPERLINK("["&amp;Archivo_Nombre&amp;"]Datos!"&amp;LEFT(SUBSTITUTE(ADDRESS(1,RIGHT(Formulas!P99)+2),"$",""))&amp;Formulas!N99+1,
IFERROR(INDEX(Datos!$A$2:$L$101,Formulas!N99,RIGHT(Formulas!P99)+2),"")))</f>
        <v/>
      </c>
      <c r="O102" s="107" t="str" cm="1">
        <f t="array" aca="1" ref="O102" ca="1">IF(OR(Formulas!P100=0,Formulas!P100=""),"",HYPERLINK("["&amp;Archivo_Nombre&amp;"]Datos!"&amp;LEFT(SUBSTITUTE(ADDRESS(1,Formulas!P100+2),"$",""))&amp;Formulas!O100+1,
IFERROR(INDEX(Datos!$A$2:$L$101,Formulas!O100,Formulas!P100+2),"")))</f>
        <v/>
      </c>
      <c r="P102" s="5"/>
      <c r="Q102" s="6"/>
      <c r="R102" s="24" t="str" cm="1">
        <f t="array" aca="1" ref="R102" ca="1">IF(OR(Formulas!T99=0,Formulas!T99="",RIGHT(Formulas!U99)="0"),"",
HYPERLINK("["&amp;Archivo_Nombre&amp;"]Datos!"&amp;LEFT(SUBSTITUTE(ADDRESS(1,IF(Formulas!T99=1,1,RIGHT(Formulas!U99)+2)),"$",""))&amp;Formulas!S99+1,
IFERROR(INDEX(Datos!$A$1:$L$1,1,RIGHT(Formulas!U99)+2)&amp;IF(Formulas!T99=1," "&amp;Formulas!S99,"")&amp;":","")))</f>
        <v>Duración:</v>
      </c>
      <c r="S102" s="107" t="str" cm="1">
        <f t="array" aca="1" ref="S102" ca="1">IF(OR(Formulas!T99=0,Formulas!T99="",RIGHT(Formulas!U99)="0"),"",
HYPERLINK("["&amp;Archivo_Nombre&amp;"]Datos!"&amp;LEFT(SUBSTITUTE(ADDRESS(1,RIGHT(Formulas!U99)+2),"$",""))&amp;Formulas!S99+1,
IFERROR(INDEX(Datos!$A$2:$L$101,Formulas!S99,RIGHT(Formulas!U99)+2),"")))</f>
        <v>4 días</v>
      </c>
      <c r="T102" s="107" t="e" cm="1">
        <f t="array" aca="1" ref="T102" ca="1">IF(OR(Formulas!U100=0,Formulas!U100=""),"",HYPERLINK("["&amp;Archivo_Nombre&amp;"]Datos!"&amp;LEFT(SUBSTITUTE(ADDRESS(1,Formulas!U100+2),"$",""))&amp;Formulas!T100+1,
IFERROR(INDEX(Datos!$A$2:$L$101,Formulas!T100,Formulas!U100+2),"")))</f>
        <v>#VALUE!</v>
      </c>
      <c r="U102" s="5"/>
      <c r="V102" s="6"/>
      <c r="W102" s="24" t="str" cm="1">
        <f t="array" aca="1" ref="W102" ca="1">IF(OR(Formulas!Y99=0,Formulas!Y99="",RIGHT(Formulas!Z99)="0"),"",
HYPERLINK("["&amp;Archivo_Nombre&amp;"]Datos!"&amp;LEFT(SUBSTITUTE(ADDRESS(1,IF(Formulas!Y99=1,1,RIGHT(Formulas!Z99)+2)),"$",""))&amp;Formulas!X99+1,
IFERROR(INDEX(Datos!$A$1:$L$1,1,RIGHT(Formulas!Z99)+2)&amp;IF(Formulas!Y99=1," "&amp;Formulas!X99,"")&amp;":","")))</f>
        <v/>
      </c>
      <c r="X102" s="107" t="str" cm="1">
        <f t="array" aca="1" ref="X102" ca="1">IF(OR(Formulas!Y99=0,Formulas!Y99="",RIGHT(Formulas!Z99)="0"),"",
HYPERLINK("["&amp;Archivo_Nombre&amp;"]Datos!"&amp;LEFT(SUBSTITUTE(ADDRESS(1,RIGHT(Formulas!Z99)+2),"$",""))&amp;Formulas!X99+1,
IFERROR(INDEX(Datos!$A$2:$L$101,Formulas!X99,RIGHT(Formulas!Z99)+2),"")))</f>
        <v/>
      </c>
      <c r="Y102" s="107" t="str" cm="1">
        <f t="array" aca="1" ref="Y102" ca="1">IF(OR(Formulas!Z100=0,Formulas!Z100=""),"",HYPERLINK("["&amp;Archivo_Nombre&amp;"]Datos!"&amp;LEFT(SUBSTITUTE(ADDRESS(1,Formulas!Z100+2),"$",""))&amp;Formulas!Y100+1,
IFERROR(INDEX(Datos!$A$2:$L$101,Formulas!Y100,Formulas!Z100+2),"")))</f>
        <v/>
      </c>
      <c r="Z102" s="13"/>
      <c r="AA102" s="6"/>
      <c r="AB102" s="24" t="str" cm="1">
        <f t="array" aca="1" ref="AB102" ca="1">IF(OR(Formulas!AD99=0,Formulas!AD99="",RIGHT(Formulas!AE99)="0"),"",
HYPERLINK("["&amp;Archivo_Nombre&amp;"]Datos!"&amp;LEFT(SUBSTITUTE(ADDRESS(1,IF(Formulas!AD99=1,1,RIGHT(Formulas!AE99)+2)),"$",""))&amp;Formulas!AC99+1,
IFERROR(INDEX(Datos!$A$1:$L$1,1,RIGHT(Formulas!AE99)+2)&amp;IF(Formulas!AD99=1," "&amp;Formulas!AC99,"")&amp;":","")))</f>
        <v/>
      </c>
      <c r="AC102" s="107" t="str" cm="1">
        <f t="array" aca="1" ref="AC102" ca="1">IF(OR(Formulas!AD99=0,Formulas!AD99="",RIGHT(Formulas!AE99)="0"),"",
HYPERLINK("["&amp;Archivo_Nombre&amp;"]Datos!"&amp;LEFT(SUBSTITUTE(ADDRESS(1,RIGHT(Formulas!AE99)+2),"$",""))&amp;Formulas!AC99+1,
IFERROR(INDEX(Datos!$A$2:$L$101,Formulas!AC99,RIGHT(Formulas!AE99)+2),"")))</f>
        <v/>
      </c>
      <c r="AD102" s="107" t="str" cm="1">
        <f t="array" aca="1" ref="AD102" ca="1">IF(OR(Formulas!AE100=0,Formulas!AE100=""),"",HYPERLINK("["&amp;Archivo_Nombre&amp;"]Datos!"&amp;LEFT(SUBSTITUTE(ADDRESS(1,Formulas!AE100+2),"$",""))&amp;Formulas!AD100+1,
IFERROR(INDEX(Datos!$A$2:$L$101,Formulas!AD100,Formulas!AE100+2),"")))</f>
        <v/>
      </c>
      <c r="AE102" s="13"/>
      <c r="AF102" s="6"/>
      <c r="AG102" s="24" t="str" cm="1">
        <f t="array" aca="1" ref="AG102" ca="1">IF(OR(Formulas!AI99=0,Formulas!AI99="",RIGHT(Formulas!AJ99)="0"),"",
HYPERLINK("["&amp;Archivo_Nombre&amp;"]Datos!"&amp;LEFT(SUBSTITUTE(ADDRESS(1,IF(Formulas!AI99=1,1,RIGHT(Formulas!AJ99)+2)),"$",""))&amp;Formulas!AH99+1,
IFERROR(INDEX(Datos!$A$1:$L$1,1,RIGHT(Formulas!AJ99)+2)&amp;IF(Formulas!AI99=1," "&amp;Formulas!AH99,"")&amp;":","")))</f>
        <v/>
      </c>
      <c r="AH102" s="107" t="str" cm="1">
        <f t="array" aca="1" ref="AH102" ca="1">IF(OR(Formulas!AI99=0,Formulas!AI99="",RIGHT(Formulas!AJ99)="0"),"",
HYPERLINK("["&amp;Archivo_Nombre&amp;"]Datos!"&amp;LEFT(SUBSTITUTE(ADDRESS(1,RIGHT(Formulas!AJ99)+2),"$",""))&amp;Formulas!AH99+1,
IFERROR(INDEX(Datos!$A$2:$L$101,Formulas!AH99,RIGHT(Formulas!AJ99)+2),"")))</f>
        <v/>
      </c>
      <c r="AI102" s="107" t="str" cm="1">
        <f t="array" aca="1" ref="AI102" ca="1">IF(OR(Formulas!AJ100=0,Formulas!AJ100=""),"",HYPERLINK("["&amp;Archivo_Nombre&amp;"]Datos!"&amp;LEFT(SUBSTITUTE(ADDRESS(1,Formulas!AJ100+2),"$",""))&amp;Formulas!AI100+1,
IFERROR(INDEX(Datos!$A$2:$L$101,Formulas!AI100,Formulas!AJ100+2),"")))</f>
        <v/>
      </c>
      <c r="AJ102" s="13"/>
      <c r="AK102" s="6"/>
      <c r="AL102" s="24" t="str" cm="1">
        <f t="array" aca="1" ref="AL102" ca="1">IF(OR(Formulas!AN99=0,Formulas!AN99="",RIGHT(Formulas!AO99)="0"),"",
HYPERLINK("["&amp;Archivo_Nombre&amp;"]Datos!"&amp;LEFT(SUBSTITUTE(ADDRESS(1,IF(Formulas!AN99=1,1,RIGHT(Formulas!AO99)+2)),"$",""))&amp;Formulas!AM99+1,
IFERROR(INDEX(Datos!$A$1:$L$1,1,RIGHT(Formulas!AO99)+2)&amp;IF(Formulas!AN99=1," "&amp;Formulas!AM99,"")&amp;":","")))</f>
        <v/>
      </c>
      <c r="AM102" s="107" t="str" cm="1">
        <f t="array" aca="1" ref="AM102" ca="1">IF(OR(Formulas!AN99=0,Formulas!AN99="",RIGHT(Formulas!AO99)="0"),"",
HYPERLINK("["&amp;Archivo_Nombre&amp;"]Datos!"&amp;LEFT(SUBSTITUTE(ADDRESS(1,RIGHT(Formulas!AO99)+2),"$",""))&amp;Formulas!AM99+1,
IFERROR(INDEX(Datos!$A$2:$L$101,Formulas!AM99,RIGHT(Formulas!AO99)+2),"")))</f>
        <v/>
      </c>
      <c r="AN102" s="107" t="str" cm="1">
        <f t="array" aca="1" ref="AN102" ca="1">IF(OR(Formulas!AO100=0,Formulas!AO100=""),"",HYPERLINK("["&amp;Archivo_Nombre&amp;"]Datos!"&amp;LEFT(SUBSTITUTE(ADDRESS(1,Formulas!AO100+2),"$",""))&amp;Formulas!AN100+1,
IFERROR(INDEX(Datos!$A$2:$L$101,Formulas!AN100,Formulas!AO100+2),"")))</f>
        <v/>
      </c>
      <c r="AO102" s="13"/>
      <c r="AP102" s="6"/>
      <c r="AQ102" s="24" t="str" cm="1">
        <f t="array" aca="1" ref="AQ102" ca="1">IF(OR(Formulas!AS99=0,Formulas!AS99="",RIGHT(Formulas!AT99)="0"),"",
HYPERLINK("["&amp;Archivo_Nombre&amp;"]Datos!"&amp;LEFT(SUBSTITUTE(ADDRESS(1,IF(Formulas!AS99=1,1,RIGHT(Formulas!AT99)+2)),"$",""))&amp;Formulas!AR99+1,
IFERROR(INDEX(Datos!$A$1:$L$1,1,RIGHT(Formulas!AT99)+2)&amp;IF(Formulas!AS99=1," "&amp;Formulas!AR99,"")&amp;":","")))</f>
        <v/>
      </c>
      <c r="AR102" s="107" t="str" cm="1">
        <f t="array" aca="1" ref="AR102" ca="1">IF(OR(Formulas!AS99=0,Formulas!AS99="",RIGHT(Formulas!AT99)="0"),"",
HYPERLINK("["&amp;Archivo_Nombre&amp;"]Datos!"&amp;LEFT(SUBSTITUTE(ADDRESS(1,RIGHT(Formulas!AT99)+2),"$",""))&amp;Formulas!AR99+1,
IFERROR(INDEX(Datos!$A$2:$L$101,Formulas!AR99,RIGHT(Formulas!AT99)+2),"")))</f>
        <v/>
      </c>
      <c r="AS102" s="107" t="str" cm="1">
        <f t="array" aca="1" ref="AS102" ca="1">IF(OR(Formulas!AT100=0,Formulas!AT100=""),"",HYPERLINK("["&amp;Archivo_Nombre&amp;"]Datos!"&amp;LEFT(SUBSTITUTE(ADDRESS(1,Formulas!AT100+2),"$",""))&amp;Formulas!AS100+1,
IFERROR(INDEX(Datos!$A$2:$L$101,Formulas!AS100,Formulas!AT100+2),"")))</f>
        <v/>
      </c>
      <c r="AT102" s="13"/>
      <c r="AU102" s="6"/>
      <c r="AV102" s="24" t="str" cm="1">
        <f t="array" aca="1" ref="AV102" ca="1">IF(OR(Formulas!AX99=0,Formulas!AX99="",RIGHT(Formulas!AY99)="0"),"",
HYPERLINK("["&amp;Archivo_Nombre&amp;"]Datos!"&amp;LEFT(SUBSTITUTE(ADDRESS(1,IF(Formulas!AX99=1,1,RIGHT(Formulas!AY99)+2)),"$",""))&amp;Formulas!AW99+1,
IFERROR(INDEX(Datos!$A$1:$L$1,1,RIGHT(Formulas!AY99)+2)&amp;IF(Formulas!AX99=1," "&amp;Formulas!AW99,"")&amp;":","")))</f>
        <v/>
      </c>
      <c r="AW102" s="107" t="str" cm="1">
        <f t="array" aca="1" ref="AW102" ca="1">IF(OR(Formulas!AX99=0,Formulas!AX99="",RIGHT(Formulas!AY99)="0"),"",
HYPERLINK("["&amp;Archivo_Nombre&amp;"]Datos!"&amp;LEFT(SUBSTITUTE(ADDRESS(1,RIGHT(Formulas!AY99)+2),"$",""))&amp;Formulas!AW99+1,
IFERROR(INDEX(Datos!$A$2:$L$101,Formulas!AW99,RIGHT(Formulas!AY99)+2),"")))</f>
        <v/>
      </c>
      <c r="AX102" s="107" t="str" cm="1">
        <f t="array" aca="1" ref="AX102" ca="1">IF(OR(Formulas!AY100=0,Formulas!AY100=""),"",HYPERLINK("["&amp;Archivo_Nombre&amp;"]Datos!"&amp;LEFT(SUBSTITUTE(ADDRESS(1,Formulas!AY100+2),"$",""))&amp;Formulas!AX100+1,
IFERROR(INDEX(Datos!$A$2:$L$101,Formulas!AX100,Formulas!AY100+2),"")))</f>
        <v/>
      </c>
      <c r="AY102" s="13"/>
    </row>
    <row r="103" spans="2:51" x14ac:dyDescent="0.25">
      <c r="B103" s="11"/>
      <c r="C103" s="24" t="str" cm="1">
        <f t="array" aca="1" ref="C103" ca="1">IF(OR(Formulas!E100=0,Formulas!E100="",RIGHT(Formulas!F100)="0"),"",
HYPERLINK("["&amp;Archivo_Nombre&amp;"]Datos!"&amp;LEFT(SUBSTITUTE(ADDRESS(1,IF(Formulas!E100=1,1,RIGHT(Formulas!F100)+2)),"$",""))&amp;Formulas!D100+1,
IFERROR(INDEX(Datos!$A$1:$L$1,1,RIGHT(Formulas!F100)+2)&amp;IF(Formulas!E100=1," "&amp;Formulas!D100,"")&amp;":","")))</f>
        <v/>
      </c>
      <c r="D103" s="107" t="str" cm="1">
        <f t="array" aca="1" ref="D103" ca="1">IF(OR(Formulas!E100=0,Formulas!E100="",RIGHT(Formulas!F100)="0"),"",
HYPERLINK("["&amp;Archivo_Nombre&amp;"]Datos!"&amp;LEFT(SUBSTITUTE(ADDRESS(1,RIGHT(Formulas!F100)+2),"$",""))&amp;Formulas!D100+1,
IFERROR(INDEX(Datos!$A$2:$L$101,Formulas!D100,RIGHT(Formulas!F100)+2),"")))</f>
        <v/>
      </c>
      <c r="E103" s="107" t="str" cm="1">
        <f t="array" aca="1" ref="E103" ca="1">IF(OR(Formulas!F101=0,Formulas!F101=""),"",HYPERLINK("["&amp;Archivo_Nombre&amp;"]Datos!"&amp;LEFT(SUBSTITUTE(ADDRESS(1,Formulas!F101+2),"$",""))&amp;Formulas!E101+1,
IFERROR(INDEX(Datos!$A$2:$L$101,Formulas!E101,Formulas!F101+2),"")))</f>
        <v/>
      </c>
      <c r="F103" s="5"/>
      <c r="G103" s="6"/>
      <c r="H103" s="24" t="str" cm="1">
        <f t="array" aca="1" ref="H103" ca="1">IF(OR(Formulas!J100=0,Formulas!J100="",RIGHT(Formulas!K100)="0"),"",
HYPERLINK("["&amp;Archivo_Nombre&amp;"]Datos!"&amp;LEFT(SUBSTITUTE(ADDRESS(1,IF(Formulas!J100=1,1,RIGHT(Formulas!K100)+2)),"$",""))&amp;Formulas!I100+1,
IFERROR(INDEX(Datos!$A$1:$L$1,1,RIGHT(Formulas!K100)+2)&amp;IF(Formulas!J100=1," "&amp;Formulas!I100,"")&amp;":","")))</f>
        <v/>
      </c>
      <c r="I103" s="107" t="str" cm="1">
        <f t="array" aca="1" ref="I103" ca="1">IF(OR(Formulas!J100=0,Formulas!J100="",RIGHT(Formulas!K100)="0"),"",
HYPERLINK("["&amp;Archivo_Nombre&amp;"]Datos!"&amp;LEFT(SUBSTITUTE(ADDRESS(1,RIGHT(Formulas!K100)+2),"$",""))&amp;Formulas!I100+1,
IFERROR(INDEX(Datos!$A$2:$L$101,Formulas!I100,RIGHT(Formulas!K100)+2),"")))</f>
        <v/>
      </c>
      <c r="J103" s="107" t="str" cm="1">
        <f t="array" aca="1" ref="J103" ca="1">IF(OR(Formulas!K101=0,Formulas!K101=""),"",HYPERLINK("["&amp;Archivo_Nombre&amp;"]Datos!"&amp;LEFT(SUBSTITUTE(ADDRESS(1,Formulas!K101+2),"$",""))&amp;Formulas!J101+1,
IFERROR(INDEX(Datos!$A$2:$L$101,Formulas!J101,Formulas!K101+2),"")))</f>
        <v/>
      </c>
      <c r="K103" s="5"/>
      <c r="L103" s="6"/>
      <c r="M103" s="24" t="str" cm="1">
        <f t="array" aca="1" ref="M103" ca="1">IF(OR(Formulas!O100=0,Formulas!O100="",RIGHT(Formulas!P100)="0"),"",
HYPERLINK("["&amp;Archivo_Nombre&amp;"]Datos!"&amp;LEFT(SUBSTITUTE(ADDRESS(1,IF(Formulas!O100=1,1,RIGHT(Formulas!P100)+2)),"$",""))&amp;Formulas!N100+1,
IFERROR(INDEX(Datos!$A$1:$L$1,1,RIGHT(Formulas!P100)+2)&amp;IF(Formulas!O100=1," "&amp;Formulas!N100,"")&amp;":","")))</f>
        <v/>
      </c>
      <c r="N103" s="107" t="str" cm="1">
        <f t="array" aca="1" ref="N103" ca="1">IF(OR(Formulas!O100=0,Formulas!O100="",RIGHT(Formulas!P100)="0"),"",
HYPERLINK("["&amp;Archivo_Nombre&amp;"]Datos!"&amp;LEFT(SUBSTITUTE(ADDRESS(1,RIGHT(Formulas!P100)+2),"$",""))&amp;Formulas!N100+1,
IFERROR(INDEX(Datos!$A$2:$L$101,Formulas!N100,RIGHT(Formulas!P100)+2),"")))</f>
        <v/>
      </c>
      <c r="O103" s="107" t="str" cm="1">
        <f t="array" aca="1" ref="O103" ca="1">IF(OR(Formulas!P101=0,Formulas!P101=""),"",HYPERLINK("["&amp;Archivo_Nombre&amp;"]Datos!"&amp;LEFT(SUBSTITUTE(ADDRESS(1,Formulas!P101+2),"$",""))&amp;Formulas!O101+1,
IFERROR(INDEX(Datos!$A$2:$L$101,Formulas!O101,Formulas!P101+2),"")))</f>
        <v/>
      </c>
      <c r="P103" s="5"/>
      <c r="Q103" s="6"/>
      <c r="R103" s="24" t="str" cm="1">
        <f t="array" aca="1" ref="R103" ca="1">IF(OR(Formulas!T100=0,Formulas!T100="",RIGHT(Formulas!U100)="0"),"",
HYPERLINK("["&amp;Archivo_Nombre&amp;"]Datos!"&amp;LEFT(SUBSTITUTE(ADDRESS(1,IF(Formulas!T100=1,1,RIGHT(Formulas!U100)+2)),"$",""))&amp;Formulas!S100+1,
IFERROR(INDEX(Datos!$A$1:$L$1,1,RIGHT(Formulas!U100)+2)&amp;IF(Formulas!T100=1," "&amp;Formulas!S100,"")&amp;":","")))</f>
        <v>Retraso:</v>
      </c>
      <c r="S103" s="107" t="str" cm="1">
        <f t="array" aca="1" ref="S103" ca="1">IF(OR(Formulas!T100=0,Formulas!T100="",RIGHT(Formulas!U100)="0"),"",
HYPERLINK("["&amp;Archivo_Nombre&amp;"]Datos!"&amp;LEFT(SUBSTITUTE(ADDRESS(1,RIGHT(Formulas!U100)+2),"$",""))&amp;Formulas!S100+1,
IFERROR(INDEX(Datos!$A$2:$L$101,Formulas!S100,RIGHT(Formulas!U100)+2),"")))</f>
        <v>0 días</v>
      </c>
      <c r="T103" s="107" t="e" cm="1">
        <f t="array" aca="1" ref="T103" ca="1">IF(OR(Formulas!U101=0,Formulas!U101=""),"",HYPERLINK("["&amp;Archivo_Nombre&amp;"]Datos!"&amp;LEFT(SUBSTITUTE(ADDRESS(1,Formulas!U101+2),"$",""))&amp;Formulas!T101+1,
IFERROR(INDEX(Datos!$A$2:$L$101,Formulas!T101,Formulas!U101+2),"")))</f>
        <v>#VALUE!</v>
      </c>
      <c r="U103" s="5"/>
      <c r="V103" s="6"/>
      <c r="W103" s="24" t="str" cm="1">
        <f t="array" aca="1" ref="W103" ca="1">IF(OR(Formulas!Y100=0,Formulas!Y100="",RIGHT(Formulas!Z100)="0"),"",
HYPERLINK("["&amp;Archivo_Nombre&amp;"]Datos!"&amp;LEFT(SUBSTITUTE(ADDRESS(1,IF(Formulas!Y100=1,1,RIGHT(Formulas!Z100)+2)),"$",""))&amp;Formulas!X100+1,
IFERROR(INDEX(Datos!$A$1:$L$1,1,RIGHT(Formulas!Z100)+2)&amp;IF(Formulas!Y100=1," "&amp;Formulas!X100,"")&amp;":","")))</f>
        <v/>
      </c>
      <c r="X103" s="107" t="str" cm="1">
        <f t="array" aca="1" ref="X103" ca="1">IF(OR(Formulas!Y100=0,Formulas!Y100="",RIGHT(Formulas!Z100)="0"),"",
HYPERLINK("["&amp;Archivo_Nombre&amp;"]Datos!"&amp;LEFT(SUBSTITUTE(ADDRESS(1,RIGHT(Formulas!Z100)+2),"$",""))&amp;Formulas!X100+1,
IFERROR(INDEX(Datos!$A$2:$L$101,Formulas!X100,RIGHT(Formulas!Z100)+2),"")))</f>
        <v/>
      </c>
      <c r="Y103" s="107" t="str" cm="1">
        <f t="array" aca="1" ref="Y103" ca="1">IF(OR(Formulas!Z101=0,Formulas!Z101=""),"",HYPERLINK("["&amp;Archivo_Nombre&amp;"]Datos!"&amp;LEFT(SUBSTITUTE(ADDRESS(1,Formulas!Z101+2),"$",""))&amp;Formulas!Y101+1,
IFERROR(INDEX(Datos!$A$2:$L$101,Formulas!Y101,Formulas!Z101+2),"")))</f>
        <v/>
      </c>
      <c r="Z103" s="13"/>
      <c r="AA103" s="6"/>
      <c r="AB103" s="24" t="str" cm="1">
        <f t="array" aca="1" ref="AB103" ca="1">IF(OR(Formulas!AD100=0,Formulas!AD100="",RIGHT(Formulas!AE100)="0"),"",
HYPERLINK("["&amp;Archivo_Nombre&amp;"]Datos!"&amp;LEFT(SUBSTITUTE(ADDRESS(1,IF(Formulas!AD100=1,1,RIGHT(Formulas!AE100)+2)),"$",""))&amp;Formulas!AC100+1,
IFERROR(INDEX(Datos!$A$1:$L$1,1,RIGHT(Formulas!AE100)+2)&amp;IF(Formulas!AD100=1," "&amp;Formulas!AC100,"")&amp;":","")))</f>
        <v/>
      </c>
      <c r="AC103" s="107" t="str" cm="1">
        <f t="array" aca="1" ref="AC103" ca="1">IF(OR(Formulas!AD100=0,Formulas!AD100="",RIGHT(Formulas!AE100)="0"),"",
HYPERLINK("["&amp;Archivo_Nombre&amp;"]Datos!"&amp;LEFT(SUBSTITUTE(ADDRESS(1,RIGHT(Formulas!AE100)+2),"$",""))&amp;Formulas!AC100+1,
IFERROR(INDEX(Datos!$A$2:$L$101,Formulas!AC100,RIGHT(Formulas!AE100)+2),"")))</f>
        <v/>
      </c>
      <c r="AD103" s="107" t="str" cm="1">
        <f t="array" aca="1" ref="AD103" ca="1">IF(OR(Formulas!AE101=0,Formulas!AE101=""),"",HYPERLINK("["&amp;Archivo_Nombre&amp;"]Datos!"&amp;LEFT(SUBSTITUTE(ADDRESS(1,Formulas!AE101+2),"$",""))&amp;Formulas!AD101+1,
IFERROR(INDEX(Datos!$A$2:$L$101,Formulas!AD101,Formulas!AE101+2),"")))</f>
        <v/>
      </c>
      <c r="AE103" s="13"/>
      <c r="AF103" s="6"/>
      <c r="AG103" s="24" t="str" cm="1">
        <f t="array" aca="1" ref="AG103" ca="1">IF(OR(Formulas!AI100=0,Formulas!AI100="",RIGHT(Formulas!AJ100)="0"),"",
HYPERLINK("["&amp;Archivo_Nombre&amp;"]Datos!"&amp;LEFT(SUBSTITUTE(ADDRESS(1,IF(Formulas!AI100=1,1,RIGHT(Formulas!AJ100)+2)),"$",""))&amp;Formulas!AH100+1,
IFERROR(INDEX(Datos!$A$1:$L$1,1,RIGHT(Formulas!AJ100)+2)&amp;IF(Formulas!AI100=1," "&amp;Formulas!AH100,"")&amp;":","")))</f>
        <v/>
      </c>
      <c r="AH103" s="107" t="str" cm="1">
        <f t="array" aca="1" ref="AH103" ca="1">IF(OR(Formulas!AI100=0,Formulas!AI100="",RIGHT(Formulas!AJ100)="0"),"",
HYPERLINK("["&amp;Archivo_Nombre&amp;"]Datos!"&amp;LEFT(SUBSTITUTE(ADDRESS(1,RIGHT(Formulas!AJ100)+2),"$",""))&amp;Formulas!AH100+1,
IFERROR(INDEX(Datos!$A$2:$L$101,Formulas!AH100,RIGHT(Formulas!AJ100)+2),"")))</f>
        <v/>
      </c>
      <c r="AI103" s="107" t="str" cm="1">
        <f t="array" aca="1" ref="AI103" ca="1">IF(OR(Formulas!AJ101=0,Formulas!AJ101=""),"",HYPERLINK("["&amp;Archivo_Nombre&amp;"]Datos!"&amp;LEFT(SUBSTITUTE(ADDRESS(1,Formulas!AJ101+2),"$",""))&amp;Formulas!AI101+1,
IFERROR(INDEX(Datos!$A$2:$L$101,Formulas!AI101,Formulas!AJ101+2),"")))</f>
        <v/>
      </c>
      <c r="AJ103" s="13"/>
      <c r="AK103" s="6"/>
      <c r="AL103" s="24" t="str" cm="1">
        <f t="array" aca="1" ref="AL103" ca="1">IF(OR(Formulas!AN100=0,Formulas!AN100="",RIGHT(Formulas!AO100)="0"),"",
HYPERLINK("["&amp;Archivo_Nombre&amp;"]Datos!"&amp;LEFT(SUBSTITUTE(ADDRESS(1,IF(Formulas!AN100=1,1,RIGHT(Formulas!AO100)+2)),"$",""))&amp;Formulas!AM100+1,
IFERROR(INDEX(Datos!$A$1:$L$1,1,RIGHT(Formulas!AO100)+2)&amp;IF(Formulas!AN100=1," "&amp;Formulas!AM100,"")&amp;":","")))</f>
        <v/>
      </c>
      <c r="AM103" s="107" t="str" cm="1">
        <f t="array" aca="1" ref="AM103" ca="1">IF(OR(Formulas!AN100=0,Formulas!AN100="",RIGHT(Formulas!AO100)="0"),"",
HYPERLINK("["&amp;Archivo_Nombre&amp;"]Datos!"&amp;LEFT(SUBSTITUTE(ADDRESS(1,RIGHT(Formulas!AO100)+2),"$",""))&amp;Formulas!AM100+1,
IFERROR(INDEX(Datos!$A$2:$L$101,Formulas!AM100,RIGHT(Formulas!AO100)+2),"")))</f>
        <v/>
      </c>
      <c r="AN103" s="107" t="str" cm="1">
        <f t="array" aca="1" ref="AN103" ca="1">IF(OR(Formulas!AO101=0,Formulas!AO101=""),"",HYPERLINK("["&amp;Archivo_Nombre&amp;"]Datos!"&amp;LEFT(SUBSTITUTE(ADDRESS(1,Formulas!AO101+2),"$",""))&amp;Formulas!AN101+1,
IFERROR(INDEX(Datos!$A$2:$L$101,Formulas!AN101,Formulas!AO101+2),"")))</f>
        <v/>
      </c>
      <c r="AO103" s="13"/>
      <c r="AP103" s="6"/>
      <c r="AQ103" s="24" t="str" cm="1">
        <f t="array" aca="1" ref="AQ103" ca="1">IF(OR(Formulas!AS100=0,Formulas!AS100="",RIGHT(Formulas!AT100)="0"),"",
HYPERLINK("["&amp;Archivo_Nombre&amp;"]Datos!"&amp;LEFT(SUBSTITUTE(ADDRESS(1,IF(Formulas!AS100=1,1,RIGHT(Formulas!AT100)+2)),"$",""))&amp;Formulas!AR100+1,
IFERROR(INDEX(Datos!$A$1:$L$1,1,RIGHT(Formulas!AT100)+2)&amp;IF(Formulas!AS100=1," "&amp;Formulas!AR100,"")&amp;":","")))</f>
        <v/>
      </c>
      <c r="AR103" s="107" t="str" cm="1">
        <f t="array" aca="1" ref="AR103" ca="1">IF(OR(Formulas!AS100=0,Formulas!AS100="",RIGHT(Formulas!AT100)="0"),"",
HYPERLINK("["&amp;Archivo_Nombre&amp;"]Datos!"&amp;LEFT(SUBSTITUTE(ADDRESS(1,RIGHT(Formulas!AT100)+2),"$",""))&amp;Formulas!AR100+1,
IFERROR(INDEX(Datos!$A$2:$L$101,Formulas!AR100,RIGHT(Formulas!AT100)+2),"")))</f>
        <v/>
      </c>
      <c r="AS103" s="107" t="str" cm="1">
        <f t="array" aca="1" ref="AS103" ca="1">IF(OR(Formulas!AT101=0,Formulas!AT101=""),"",HYPERLINK("["&amp;Archivo_Nombre&amp;"]Datos!"&amp;LEFT(SUBSTITUTE(ADDRESS(1,Formulas!AT101+2),"$",""))&amp;Formulas!AS101+1,
IFERROR(INDEX(Datos!$A$2:$L$101,Formulas!AS101,Formulas!AT101+2),"")))</f>
        <v/>
      </c>
      <c r="AT103" s="13"/>
      <c r="AU103" s="6"/>
      <c r="AV103" s="24" t="str" cm="1">
        <f t="array" aca="1" ref="AV103" ca="1">IF(OR(Formulas!AX100=0,Formulas!AX100="",RIGHT(Formulas!AY100)="0"),"",
HYPERLINK("["&amp;Archivo_Nombre&amp;"]Datos!"&amp;LEFT(SUBSTITUTE(ADDRESS(1,IF(Formulas!AX100=1,1,RIGHT(Formulas!AY100)+2)),"$",""))&amp;Formulas!AW100+1,
IFERROR(INDEX(Datos!$A$1:$L$1,1,RIGHT(Formulas!AY100)+2)&amp;IF(Formulas!AX100=1," "&amp;Formulas!AW100,"")&amp;":","")))</f>
        <v/>
      </c>
      <c r="AW103" s="107" t="str" cm="1">
        <f t="array" aca="1" ref="AW103" ca="1">IF(OR(Formulas!AX100=0,Formulas!AX100="",RIGHT(Formulas!AY100)="0"),"",
HYPERLINK("["&amp;Archivo_Nombre&amp;"]Datos!"&amp;LEFT(SUBSTITUTE(ADDRESS(1,RIGHT(Formulas!AY100)+2),"$",""))&amp;Formulas!AW100+1,
IFERROR(INDEX(Datos!$A$2:$L$101,Formulas!AW100,RIGHT(Formulas!AY100)+2),"")))</f>
        <v/>
      </c>
      <c r="AX103" s="107" t="str" cm="1">
        <f t="array" aca="1" ref="AX103" ca="1">IF(OR(Formulas!AY101=0,Formulas!AY101=""),"",HYPERLINK("["&amp;Archivo_Nombre&amp;"]Datos!"&amp;LEFT(SUBSTITUTE(ADDRESS(1,Formulas!AY101+2),"$",""))&amp;Formulas!AX101+1,
IFERROR(INDEX(Datos!$A$2:$L$101,Formulas!AX101,Formulas!AY101+2),"")))</f>
        <v/>
      </c>
      <c r="AY103" s="13"/>
    </row>
    <row r="104" spans="2:51" x14ac:dyDescent="0.25">
      <c r="B104" s="11"/>
      <c r="C104" s="24" t="str" cm="1">
        <f t="array" aca="1" ref="C104" ca="1">IF(OR(Formulas!E101=0,Formulas!E101="",RIGHT(Formulas!F101)="0"),"",
HYPERLINK("["&amp;Archivo_Nombre&amp;"]Datos!"&amp;LEFT(SUBSTITUTE(ADDRESS(1,IF(Formulas!E101=1,1,RIGHT(Formulas!F101)+2)),"$",""))&amp;Formulas!D101+1,
IFERROR(INDEX(Datos!$A$1:$L$1,1,RIGHT(Formulas!F101)+2)&amp;IF(Formulas!E101=1," "&amp;Formulas!D101,"")&amp;":","")))</f>
        <v/>
      </c>
      <c r="D104" s="107" t="str" cm="1">
        <f t="array" aca="1" ref="D104" ca="1">IF(OR(Formulas!E101=0,Formulas!E101="",RIGHT(Formulas!F101)="0"),"",
HYPERLINK("["&amp;Archivo_Nombre&amp;"]Datos!"&amp;LEFT(SUBSTITUTE(ADDRESS(1,RIGHT(Formulas!F101)+2),"$",""))&amp;Formulas!D101+1,
IFERROR(INDEX(Datos!$A$2:$L$101,Formulas!D101,RIGHT(Formulas!F101)+2),"")))</f>
        <v/>
      </c>
      <c r="E104" s="107" t="str" cm="1">
        <f t="array" aca="1" ref="E104" ca="1">IF(OR(Formulas!F102=0,Formulas!F102=""),"",HYPERLINK("["&amp;Archivo_Nombre&amp;"]Datos!"&amp;LEFT(SUBSTITUTE(ADDRESS(1,Formulas!F102+2),"$",""))&amp;Formulas!E102+1,
IFERROR(INDEX(Datos!$A$2:$L$101,Formulas!E102,Formulas!F102+2),"")))</f>
        <v/>
      </c>
      <c r="F104" s="5"/>
      <c r="G104" s="6"/>
      <c r="H104" s="24" t="str" cm="1">
        <f t="array" aca="1" ref="H104" ca="1">IF(OR(Formulas!J101=0,Formulas!J101="",RIGHT(Formulas!K101)="0"),"",
HYPERLINK("["&amp;Archivo_Nombre&amp;"]Datos!"&amp;LEFT(SUBSTITUTE(ADDRESS(1,IF(Formulas!J101=1,1,RIGHT(Formulas!K101)+2)),"$",""))&amp;Formulas!I101+1,
IFERROR(INDEX(Datos!$A$1:$L$1,1,RIGHT(Formulas!K101)+2)&amp;IF(Formulas!J101=1," "&amp;Formulas!I101,"")&amp;":","")))</f>
        <v/>
      </c>
      <c r="I104" s="107" t="str" cm="1">
        <f t="array" aca="1" ref="I104" ca="1">IF(OR(Formulas!J101=0,Formulas!J101="",RIGHT(Formulas!K101)="0"),"",
HYPERLINK("["&amp;Archivo_Nombre&amp;"]Datos!"&amp;LEFT(SUBSTITUTE(ADDRESS(1,RIGHT(Formulas!K101)+2),"$",""))&amp;Formulas!I101+1,
IFERROR(INDEX(Datos!$A$2:$L$101,Formulas!I101,RIGHT(Formulas!K101)+2),"")))</f>
        <v/>
      </c>
      <c r="J104" s="107" t="str" cm="1">
        <f t="array" aca="1" ref="J104" ca="1">IF(OR(Formulas!K102=0,Formulas!K102=""),"",HYPERLINK("["&amp;Archivo_Nombre&amp;"]Datos!"&amp;LEFT(SUBSTITUTE(ADDRESS(1,Formulas!K102+2),"$",""))&amp;Formulas!J102+1,
IFERROR(INDEX(Datos!$A$2:$L$101,Formulas!J102,Formulas!K102+2),"")))</f>
        <v/>
      </c>
      <c r="K104" s="5"/>
      <c r="L104" s="6"/>
      <c r="M104" s="24" t="str" cm="1">
        <f t="array" aca="1" ref="M104" ca="1">IF(OR(Formulas!O101=0,Formulas!O101="",RIGHT(Formulas!P101)="0"),"",
HYPERLINK("["&amp;Archivo_Nombre&amp;"]Datos!"&amp;LEFT(SUBSTITUTE(ADDRESS(1,IF(Formulas!O101=1,1,RIGHT(Formulas!P101)+2)),"$",""))&amp;Formulas!N101+1,
IFERROR(INDEX(Datos!$A$1:$L$1,1,RIGHT(Formulas!P101)+2)&amp;IF(Formulas!O101=1," "&amp;Formulas!N101,"")&amp;":","")))</f>
        <v/>
      </c>
      <c r="N104" s="107" t="str" cm="1">
        <f t="array" aca="1" ref="N104" ca="1">IF(OR(Formulas!O101=0,Formulas!O101="",RIGHT(Formulas!P101)="0"),"",
HYPERLINK("["&amp;Archivo_Nombre&amp;"]Datos!"&amp;LEFT(SUBSTITUTE(ADDRESS(1,RIGHT(Formulas!P101)+2),"$",""))&amp;Formulas!N101+1,
IFERROR(INDEX(Datos!$A$2:$L$101,Formulas!N101,RIGHT(Formulas!P101)+2),"")))</f>
        <v/>
      </c>
      <c r="O104" s="107" t="str" cm="1">
        <f t="array" aca="1" ref="O104" ca="1">IF(OR(Formulas!P102=0,Formulas!P102=""),"",HYPERLINK("["&amp;Archivo_Nombre&amp;"]Datos!"&amp;LEFT(SUBSTITUTE(ADDRESS(1,Formulas!P102+2),"$",""))&amp;Formulas!O102+1,
IFERROR(INDEX(Datos!$A$2:$L$101,Formulas!O102,Formulas!P102+2),"")))</f>
        <v/>
      </c>
      <c r="P104" s="5"/>
      <c r="Q104" s="6"/>
      <c r="R104" s="24" t="str" cm="1">
        <f t="array" aca="1" ref="R104" ca="1">IF(OR(Formulas!T101=0,Formulas!T101="",RIGHT(Formulas!U101)="0"),"",
HYPERLINK("["&amp;Archivo_Nombre&amp;"]Datos!"&amp;LEFT(SUBSTITUTE(ADDRESS(1,IF(Formulas!T101=1,1,RIGHT(Formulas!U101)+2)),"$",""))&amp;Formulas!S101+1,
IFERROR(INDEX(Datos!$A$1:$L$1,1,RIGHT(Formulas!U101)+2)&amp;IF(Formulas!T101=1," "&amp;Formulas!S101,"")&amp;":","")))</f>
        <v/>
      </c>
      <c r="S104" s="107" t="str" cm="1">
        <f t="array" aca="1" ref="S104" ca="1">IF(OR(Formulas!T101=0,Formulas!T101="",RIGHT(Formulas!U101)="0"),"",
HYPERLINK("["&amp;Archivo_Nombre&amp;"]Datos!"&amp;LEFT(SUBSTITUTE(ADDRESS(1,RIGHT(Formulas!U101)+2),"$",""))&amp;Formulas!S101+1,
IFERROR(INDEX(Datos!$A$2:$L$101,Formulas!S101,RIGHT(Formulas!U101)+2),"")))</f>
        <v/>
      </c>
      <c r="T104" s="107" t="str" cm="1">
        <f t="array" aca="1" ref="T104" ca="1">IF(OR(Formulas!U102=0,Formulas!U102=""),"",HYPERLINK("["&amp;Archivo_Nombre&amp;"]Datos!"&amp;LEFT(SUBSTITUTE(ADDRESS(1,Formulas!U102+2),"$",""))&amp;Formulas!T102+1,
IFERROR(INDEX(Datos!$A$2:$L$101,Formulas!T102,Formulas!U102+2),"")))</f>
        <v/>
      </c>
      <c r="U104" s="5"/>
      <c r="V104" s="6"/>
      <c r="W104" s="24" t="str" cm="1">
        <f t="array" aca="1" ref="W104" ca="1">IF(OR(Formulas!Y101=0,Formulas!Y101="",RIGHT(Formulas!Z101)="0"),"",
HYPERLINK("["&amp;Archivo_Nombre&amp;"]Datos!"&amp;LEFT(SUBSTITUTE(ADDRESS(1,IF(Formulas!Y101=1,1,RIGHT(Formulas!Z101)+2)),"$",""))&amp;Formulas!X101+1,
IFERROR(INDEX(Datos!$A$1:$L$1,1,RIGHT(Formulas!Z101)+2)&amp;IF(Formulas!Y101=1," "&amp;Formulas!X101,"")&amp;":","")))</f>
        <v/>
      </c>
      <c r="X104" s="107" t="str" cm="1">
        <f t="array" aca="1" ref="X104" ca="1">IF(OR(Formulas!Y101=0,Formulas!Y101="",RIGHT(Formulas!Z101)="0"),"",
HYPERLINK("["&amp;Archivo_Nombre&amp;"]Datos!"&amp;LEFT(SUBSTITUTE(ADDRESS(1,RIGHT(Formulas!Z101)+2),"$",""))&amp;Formulas!X101+1,
IFERROR(INDEX(Datos!$A$2:$L$101,Formulas!X101,RIGHT(Formulas!Z101)+2),"")))</f>
        <v/>
      </c>
      <c r="Y104" s="107" t="str" cm="1">
        <f t="array" aca="1" ref="Y104" ca="1">IF(OR(Formulas!Z102=0,Formulas!Z102=""),"",HYPERLINK("["&amp;Archivo_Nombre&amp;"]Datos!"&amp;LEFT(SUBSTITUTE(ADDRESS(1,Formulas!Z102+2),"$",""))&amp;Formulas!Y102+1,
IFERROR(INDEX(Datos!$A$2:$L$101,Formulas!Y102,Formulas!Z102+2),"")))</f>
        <v/>
      </c>
      <c r="Z104" s="13"/>
      <c r="AA104" s="6"/>
      <c r="AB104" s="24" t="str" cm="1">
        <f t="array" aca="1" ref="AB104" ca="1">IF(OR(Formulas!AD101=0,Formulas!AD101="",RIGHT(Formulas!AE101)="0"),"",
HYPERLINK("["&amp;Archivo_Nombre&amp;"]Datos!"&amp;LEFT(SUBSTITUTE(ADDRESS(1,IF(Formulas!AD101=1,1,RIGHT(Formulas!AE101)+2)),"$",""))&amp;Formulas!AC101+1,
IFERROR(INDEX(Datos!$A$1:$L$1,1,RIGHT(Formulas!AE101)+2)&amp;IF(Formulas!AD101=1," "&amp;Formulas!AC101,"")&amp;":","")))</f>
        <v/>
      </c>
      <c r="AC104" s="107" t="str" cm="1">
        <f t="array" aca="1" ref="AC104" ca="1">IF(OR(Formulas!AD101=0,Formulas!AD101="",RIGHT(Formulas!AE101)="0"),"",
HYPERLINK("["&amp;Archivo_Nombre&amp;"]Datos!"&amp;LEFT(SUBSTITUTE(ADDRESS(1,RIGHT(Formulas!AE101)+2),"$",""))&amp;Formulas!AC101+1,
IFERROR(INDEX(Datos!$A$2:$L$101,Formulas!AC101,RIGHT(Formulas!AE101)+2),"")))</f>
        <v/>
      </c>
      <c r="AD104" s="107" t="str" cm="1">
        <f t="array" aca="1" ref="AD104" ca="1">IF(OR(Formulas!AE102=0,Formulas!AE102=""),"",HYPERLINK("["&amp;Archivo_Nombre&amp;"]Datos!"&amp;LEFT(SUBSTITUTE(ADDRESS(1,Formulas!AE102+2),"$",""))&amp;Formulas!AD102+1,
IFERROR(INDEX(Datos!$A$2:$L$101,Formulas!AD102,Formulas!AE102+2),"")))</f>
        <v/>
      </c>
      <c r="AE104" s="13"/>
      <c r="AF104" s="6"/>
      <c r="AG104" s="24" t="str" cm="1">
        <f t="array" aca="1" ref="AG104" ca="1">IF(OR(Formulas!AI101=0,Formulas!AI101="",RIGHT(Formulas!AJ101)="0"),"",
HYPERLINK("["&amp;Archivo_Nombre&amp;"]Datos!"&amp;LEFT(SUBSTITUTE(ADDRESS(1,IF(Formulas!AI101=1,1,RIGHT(Formulas!AJ101)+2)),"$",""))&amp;Formulas!AH101+1,
IFERROR(INDEX(Datos!$A$1:$L$1,1,RIGHT(Formulas!AJ101)+2)&amp;IF(Formulas!AI101=1," "&amp;Formulas!AH101,"")&amp;":","")))</f>
        <v/>
      </c>
      <c r="AH104" s="107" t="str" cm="1">
        <f t="array" aca="1" ref="AH104" ca="1">IF(OR(Formulas!AI101=0,Formulas!AI101="",RIGHT(Formulas!AJ101)="0"),"",
HYPERLINK("["&amp;Archivo_Nombre&amp;"]Datos!"&amp;LEFT(SUBSTITUTE(ADDRESS(1,RIGHT(Formulas!AJ101)+2),"$",""))&amp;Formulas!AH101+1,
IFERROR(INDEX(Datos!$A$2:$L$101,Formulas!AH101,RIGHT(Formulas!AJ101)+2),"")))</f>
        <v/>
      </c>
      <c r="AI104" s="107" t="str" cm="1">
        <f t="array" aca="1" ref="AI104" ca="1">IF(OR(Formulas!AJ102=0,Formulas!AJ102=""),"",HYPERLINK("["&amp;Archivo_Nombre&amp;"]Datos!"&amp;LEFT(SUBSTITUTE(ADDRESS(1,Formulas!AJ102+2),"$",""))&amp;Formulas!AI102+1,
IFERROR(INDEX(Datos!$A$2:$L$101,Formulas!AI102,Formulas!AJ102+2),"")))</f>
        <v/>
      </c>
      <c r="AJ104" s="13"/>
      <c r="AK104" s="6"/>
      <c r="AL104" s="24" t="str" cm="1">
        <f t="array" aca="1" ref="AL104" ca="1">IF(OR(Formulas!AN101=0,Formulas!AN101="",RIGHT(Formulas!AO101)="0"),"",
HYPERLINK("["&amp;Archivo_Nombre&amp;"]Datos!"&amp;LEFT(SUBSTITUTE(ADDRESS(1,IF(Formulas!AN101=1,1,RIGHT(Formulas!AO101)+2)),"$",""))&amp;Formulas!AM101+1,
IFERROR(INDEX(Datos!$A$1:$L$1,1,RIGHT(Formulas!AO101)+2)&amp;IF(Formulas!AN101=1," "&amp;Formulas!AM101,"")&amp;":","")))</f>
        <v/>
      </c>
      <c r="AM104" s="107" t="str" cm="1">
        <f t="array" aca="1" ref="AM104" ca="1">IF(OR(Formulas!AN101=0,Formulas!AN101="",RIGHT(Formulas!AO101)="0"),"",
HYPERLINK("["&amp;Archivo_Nombre&amp;"]Datos!"&amp;LEFT(SUBSTITUTE(ADDRESS(1,RIGHT(Formulas!AO101)+2),"$",""))&amp;Formulas!AM101+1,
IFERROR(INDEX(Datos!$A$2:$L$101,Formulas!AM101,RIGHT(Formulas!AO101)+2),"")))</f>
        <v/>
      </c>
      <c r="AN104" s="107" t="str" cm="1">
        <f t="array" aca="1" ref="AN104" ca="1">IF(OR(Formulas!AO102=0,Formulas!AO102=""),"",HYPERLINK("["&amp;Archivo_Nombre&amp;"]Datos!"&amp;LEFT(SUBSTITUTE(ADDRESS(1,Formulas!AO102+2),"$",""))&amp;Formulas!AN102+1,
IFERROR(INDEX(Datos!$A$2:$L$101,Formulas!AN102,Formulas!AO102+2),"")))</f>
        <v/>
      </c>
      <c r="AO104" s="13"/>
      <c r="AP104" s="6"/>
      <c r="AQ104" s="24" t="str" cm="1">
        <f t="array" aca="1" ref="AQ104" ca="1">IF(OR(Formulas!AS101=0,Formulas!AS101="",RIGHT(Formulas!AT101)="0"),"",
HYPERLINK("["&amp;Archivo_Nombre&amp;"]Datos!"&amp;LEFT(SUBSTITUTE(ADDRESS(1,IF(Formulas!AS101=1,1,RIGHT(Formulas!AT101)+2)),"$",""))&amp;Formulas!AR101+1,
IFERROR(INDEX(Datos!$A$1:$L$1,1,RIGHT(Formulas!AT101)+2)&amp;IF(Formulas!AS101=1," "&amp;Formulas!AR101,"")&amp;":","")))</f>
        <v/>
      </c>
      <c r="AR104" s="107" t="str" cm="1">
        <f t="array" aca="1" ref="AR104" ca="1">IF(OR(Formulas!AS101=0,Formulas!AS101="",RIGHT(Formulas!AT101)="0"),"",
HYPERLINK("["&amp;Archivo_Nombre&amp;"]Datos!"&amp;LEFT(SUBSTITUTE(ADDRESS(1,RIGHT(Formulas!AT101)+2),"$",""))&amp;Formulas!AR101+1,
IFERROR(INDEX(Datos!$A$2:$L$101,Formulas!AR101,RIGHT(Formulas!AT101)+2),"")))</f>
        <v/>
      </c>
      <c r="AS104" s="107" t="str" cm="1">
        <f t="array" aca="1" ref="AS104" ca="1">IF(OR(Formulas!AT102=0,Formulas!AT102=""),"",HYPERLINK("["&amp;Archivo_Nombre&amp;"]Datos!"&amp;LEFT(SUBSTITUTE(ADDRESS(1,Formulas!AT102+2),"$",""))&amp;Formulas!AS102+1,
IFERROR(INDEX(Datos!$A$2:$L$101,Formulas!AS102,Formulas!AT102+2),"")))</f>
        <v/>
      </c>
      <c r="AT104" s="13"/>
      <c r="AU104" s="6"/>
      <c r="AV104" s="24" t="str" cm="1">
        <f t="array" aca="1" ref="AV104" ca="1">IF(OR(Formulas!AX101=0,Formulas!AX101="",RIGHT(Formulas!AY101)="0"),"",
HYPERLINK("["&amp;Archivo_Nombre&amp;"]Datos!"&amp;LEFT(SUBSTITUTE(ADDRESS(1,IF(Formulas!AX101=1,1,RIGHT(Formulas!AY101)+2)),"$",""))&amp;Formulas!AW101+1,
IFERROR(INDEX(Datos!$A$1:$L$1,1,RIGHT(Formulas!AY101)+2)&amp;IF(Formulas!AX101=1," "&amp;Formulas!AW101,"")&amp;":","")))</f>
        <v/>
      </c>
      <c r="AW104" s="107" t="str" cm="1">
        <f t="array" aca="1" ref="AW104" ca="1">IF(OR(Formulas!AX101=0,Formulas!AX101="",RIGHT(Formulas!AY101)="0"),"",
HYPERLINK("["&amp;Archivo_Nombre&amp;"]Datos!"&amp;LEFT(SUBSTITUTE(ADDRESS(1,RIGHT(Formulas!AY101)+2),"$",""))&amp;Formulas!AW101+1,
IFERROR(INDEX(Datos!$A$2:$L$101,Formulas!AW101,RIGHT(Formulas!AY101)+2),"")))</f>
        <v/>
      </c>
      <c r="AX104" s="107" t="str" cm="1">
        <f t="array" aca="1" ref="AX104" ca="1">IF(OR(Formulas!AY102=0,Formulas!AY102=""),"",HYPERLINK("["&amp;Archivo_Nombre&amp;"]Datos!"&amp;LEFT(SUBSTITUTE(ADDRESS(1,Formulas!AY102+2),"$",""))&amp;Formulas!AX102+1,
IFERROR(INDEX(Datos!$A$2:$L$101,Formulas!AX102,Formulas!AY102+2),"")))</f>
        <v/>
      </c>
      <c r="AY104" s="13"/>
    </row>
    <row r="105" spans="2:51" x14ac:dyDescent="0.25">
      <c r="B105" s="11"/>
      <c r="C105" s="24" t="str" cm="1">
        <f t="array" aca="1" ref="C105" ca="1">IF(OR(Formulas!E102=0,Formulas!E102="",RIGHT(Formulas!F102)="0"),"",
HYPERLINK("["&amp;Archivo_Nombre&amp;"]Datos!"&amp;LEFT(SUBSTITUTE(ADDRESS(1,IF(Formulas!E102=1,1,RIGHT(Formulas!F102)+2)),"$",""))&amp;Formulas!D102+1,
IFERROR(INDEX(Datos!$A$1:$L$1,1,RIGHT(Formulas!F102)+2)&amp;IF(Formulas!E102=1," "&amp;Formulas!D102,"")&amp;":","")))</f>
        <v/>
      </c>
      <c r="D105" s="107" t="str" cm="1">
        <f t="array" aca="1" ref="D105" ca="1">IF(OR(Formulas!E102=0,Formulas!E102="",RIGHT(Formulas!F102)="0"),"",
HYPERLINK("["&amp;Archivo_Nombre&amp;"]Datos!"&amp;LEFT(SUBSTITUTE(ADDRESS(1,RIGHT(Formulas!F102)+2),"$",""))&amp;Formulas!D102+1,
IFERROR(INDEX(Datos!$A$2:$L$101,Formulas!D102,RIGHT(Formulas!F102)+2),"")))</f>
        <v/>
      </c>
      <c r="E105" s="107" t="str" cm="1">
        <f t="array" aca="1" ref="E105" ca="1">IF(OR(Formulas!F103=0,Formulas!F103=""),"",HYPERLINK("["&amp;Archivo_Nombre&amp;"]Datos!"&amp;LEFT(SUBSTITUTE(ADDRESS(1,Formulas!F103+2),"$",""))&amp;Formulas!E103+1,
IFERROR(INDEX(Datos!$A$2:$L$101,Formulas!E103,Formulas!F103+2),"")))</f>
        <v/>
      </c>
      <c r="F105" s="5"/>
      <c r="G105" s="6"/>
      <c r="H105" s="24" t="str" cm="1">
        <f t="array" aca="1" ref="H105" ca="1">IF(OR(Formulas!J102=0,Formulas!J102="",RIGHT(Formulas!K102)="0"),"",
HYPERLINK("["&amp;Archivo_Nombre&amp;"]Datos!"&amp;LEFT(SUBSTITUTE(ADDRESS(1,IF(Formulas!J102=1,1,RIGHT(Formulas!K102)+2)),"$",""))&amp;Formulas!I102+1,
IFERROR(INDEX(Datos!$A$1:$L$1,1,RIGHT(Formulas!K102)+2)&amp;IF(Formulas!J102=1," "&amp;Formulas!I102,"")&amp;":","")))</f>
        <v/>
      </c>
      <c r="I105" s="107" t="str" cm="1">
        <f t="array" aca="1" ref="I105" ca="1">IF(OR(Formulas!J102=0,Formulas!J102="",RIGHT(Formulas!K102)="0"),"",
HYPERLINK("["&amp;Archivo_Nombre&amp;"]Datos!"&amp;LEFT(SUBSTITUTE(ADDRESS(1,RIGHT(Formulas!K102)+2),"$",""))&amp;Formulas!I102+1,
IFERROR(INDEX(Datos!$A$2:$L$101,Formulas!I102,RIGHT(Formulas!K102)+2),"")))</f>
        <v/>
      </c>
      <c r="J105" s="107" t="str" cm="1">
        <f t="array" aca="1" ref="J105" ca="1">IF(OR(Formulas!K103=0,Formulas!K103=""),"",HYPERLINK("["&amp;Archivo_Nombre&amp;"]Datos!"&amp;LEFT(SUBSTITUTE(ADDRESS(1,Formulas!K103+2),"$",""))&amp;Formulas!J103+1,
IFERROR(INDEX(Datos!$A$2:$L$101,Formulas!J103,Formulas!K103+2),"")))</f>
        <v/>
      </c>
      <c r="K105" s="5"/>
      <c r="L105" s="6"/>
      <c r="M105" s="24" t="str" cm="1">
        <f t="array" aca="1" ref="M105" ca="1">IF(OR(Formulas!O102=0,Formulas!O102="",RIGHT(Formulas!P102)="0"),"",
HYPERLINK("["&amp;Archivo_Nombre&amp;"]Datos!"&amp;LEFT(SUBSTITUTE(ADDRESS(1,IF(Formulas!O102=1,1,RIGHT(Formulas!P102)+2)),"$",""))&amp;Formulas!N102+1,
IFERROR(INDEX(Datos!$A$1:$L$1,1,RIGHT(Formulas!P102)+2)&amp;IF(Formulas!O102=1," "&amp;Formulas!N102,"")&amp;":","")))</f>
        <v/>
      </c>
      <c r="N105" s="107" t="str" cm="1">
        <f t="array" aca="1" ref="N105" ca="1">IF(OR(Formulas!O102=0,Formulas!O102="",RIGHT(Formulas!P102)="0"),"",
HYPERLINK("["&amp;Archivo_Nombre&amp;"]Datos!"&amp;LEFT(SUBSTITUTE(ADDRESS(1,RIGHT(Formulas!P102)+2),"$",""))&amp;Formulas!N102+1,
IFERROR(INDEX(Datos!$A$2:$L$101,Formulas!N102,RIGHT(Formulas!P102)+2),"")))</f>
        <v/>
      </c>
      <c r="O105" s="107" t="str" cm="1">
        <f t="array" aca="1" ref="O105" ca="1">IF(OR(Formulas!P103=0,Formulas!P103=""),"",HYPERLINK("["&amp;Archivo_Nombre&amp;"]Datos!"&amp;LEFT(SUBSTITUTE(ADDRESS(1,Formulas!P103+2),"$",""))&amp;Formulas!O103+1,
IFERROR(INDEX(Datos!$A$2:$L$101,Formulas!O103,Formulas!P103+2),"")))</f>
        <v/>
      </c>
      <c r="P105" s="5"/>
      <c r="Q105" s="6"/>
      <c r="R105" s="24" t="str" cm="1">
        <f t="array" aca="1" ref="R105" ca="1">IF(OR(Formulas!T102=0,Formulas!T102="",RIGHT(Formulas!U102)="0"),"",
HYPERLINK("["&amp;Archivo_Nombre&amp;"]Datos!"&amp;LEFT(SUBSTITUTE(ADDRESS(1,IF(Formulas!T102=1,1,RIGHT(Formulas!U102)+2)),"$",""))&amp;Formulas!S102+1,
IFERROR(INDEX(Datos!$A$1:$L$1,1,RIGHT(Formulas!U102)+2)&amp;IF(Formulas!T102=1," "&amp;Formulas!S102,"")&amp;":","")))</f>
        <v/>
      </c>
      <c r="S105" s="107" t="str" cm="1">
        <f t="array" aca="1" ref="S105" ca="1">IF(OR(Formulas!T102=0,Formulas!T102="",RIGHT(Formulas!U102)="0"),"",
HYPERLINK("["&amp;Archivo_Nombre&amp;"]Datos!"&amp;LEFT(SUBSTITUTE(ADDRESS(1,RIGHT(Formulas!U102)+2),"$",""))&amp;Formulas!S102+1,
IFERROR(INDEX(Datos!$A$2:$L$101,Formulas!S102,RIGHT(Formulas!U102)+2),"")))</f>
        <v/>
      </c>
      <c r="T105" s="107" t="e" cm="1">
        <f t="array" aca="1" ref="T105" ca="1">IF(OR(Formulas!U103=0,Formulas!U103=""),"",HYPERLINK("["&amp;Archivo_Nombre&amp;"]Datos!"&amp;LEFT(SUBSTITUTE(ADDRESS(1,Formulas!U103+2),"$",""))&amp;Formulas!T103+1,
IFERROR(INDEX(Datos!$A$2:$L$101,Formulas!T103,Formulas!U103+2),"")))</f>
        <v>#VALUE!</v>
      </c>
      <c r="U105" s="5"/>
      <c r="V105" s="6"/>
      <c r="W105" s="24" t="str" cm="1">
        <f t="array" aca="1" ref="W105" ca="1">IF(OR(Formulas!Y102=0,Formulas!Y102="",RIGHT(Formulas!Z102)="0"),"",
HYPERLINK("["&amp;Archivo_Nombre&amp;"]Datos!"&amp;LEFT(SUBSTITUTE(ADDRESS(1,IF(Formulas!Y102=1,1,RIGHT(Formulas!Z102)+2)),"$",""))&amp;Formulas!X102+1,
IFERROR(INDEX(Datos!$A$1:$L$1,1,RIGHT(Formulas!Z102)+2)&amp;IF(Formulas!Y102=1," "&amp;Formulas!X102,"")&amp;":","")))</f>
        <v/>
      </c>
      <c r="X105" s="107" t="str" cm="1">
        <f t="array" aca="1" ref="X105" ca="1">IF(OR(Formulas!Y102=0,Formulas!Y102="",RIGHT(Formulas!Z102)="0"),"",
HYPERLINK("["&amp;Archivo_Nombre&amp;"]Datos!"&amp;LEFT(SUBSTITUTE(ADDRESS(1,RIGHT(Formulas!Z102)+2),"$",""))&amp;Formulas!X102+1,
IFERROR(INDEX(Datos!$A$2:$L$101,Formulas!X102,RIGHT(Formulas!Z102)+2),"")))</f>
        <v/>
      </c>
      <c r="Y105" s="107" t="str" cm="1">
        <f t="array" aca="1" ref="Y105" ca="1">IF(OR(Formulas!Z103=0,Formulas!Z103=""),"",HYPERLINK("["&amp;Archivo_Nombre&amp;"]Datos!"&amp;LEFT(SUBSTITUTE(ADDRESS(1,Formulas!Z103+2),"$",""))&amp;Formulas!Y103+1,
IFERROR(INDEX(Datos!$A$2:$L$101,Formulas!Y103,Formulas!Z103+2),"")))</f>
        <v/>
      </c>
      <c r="Z105" s="13"/>
      <c r="AA105" s="6"/>
      <c r="AB105" s="24" t="str" cm="1">
        <f t="array" aca="1" ref="AB105" ca="1">IF(OR(Formulas!AD102=0,Formulas!AD102="",RIGHT(Formulas!AE102)="0"),"",
HYPERLINK("["&amp;Archivo_Nombre&amp;"]Datos!"&amp;LEFT(SUBSTITUTE(ADDRESS(1,IF(Formulas!AD102=1,1,RIGHT(Formulas!AE102)+2)),"$",""))&amp;Formulas!AC102+1,
IFERROR(INDEX(Datos!$A$1:$L$1,1,RIGHT(Formulas!AE102)+2)&amp;IF(Formulas!AD102=1," "&amp;Formulas!AC102,"")&amp;":","")))</f>
        <v/>
      </c>
      <c r="AC105" s="107" t="str" cm="1">
        <f t="array" aca="1" ref="AC105" ca="1">IF(OR(Formulas!AD102=0,Formulas!AD102="",RIGHT(Formulas!AE102)="0"),"",
HYPERLINK("["&amp;Archivo_Nombre&amp;"]Datos!"&amp;LEFT(SUBSTITUTE(ADDRESS(1,RIGHT(Formulas!AE102)+2),"$",""))&amp;Formulas!AC102+1,
IFERROR(INDEX(Datos!$A$2:$L$101,Formulas!AC102,RIGHT(Formulas!AE102)+2),"")))</f>
        <v/>
      </c>
      <c r="AD105" s="107" t="str" cm="1">
        <f t="array" aca="1" ref="AD105" ca="1">IF(OR(Formulas!AE103=0,Formulas!AE103=""),"",HYPERLINK("["&amp;Archivo_Nombre&amp;"]Datos!"&amp;LEFT(SUBSTITUTE(ADDRESS(1,Formulas!AE103+2),"$",""))&amp;Formulas!AD103+1,
IFERROR(INDEX(Datos!$A$2:$L$101,Formulas!AD103,Formulas!AE103+2),"")))</f>
        <v/>
      </c>
      <c r="AE105" s="13"/>
      <c r="AF105" s="6"/>
      <c r="AG105" s="24" t="str" cm="1">
        <f t="array" aca="1" ref="AG105" ca="1">IF(OR(Formulas!AI102=0,Formulas!AI102="",RIGHT(Formulas!AJ102)="0"),"",
HYPERLINK("["&amp;Archivo_Nombre&amp;"]Datos!"&amp;LEFT(SUBSTITUTE(ADDRESS(1,IF(Formulas!AI102=1,1,RIGHT(Formulas!AJ102)+2)),"$",""))&amp;Formulas!AH102+1,
IFERROR(INDEX(Datos!$A$1:$L$1,1,RIGHT(Formulas!AJ102)+2)&amp;IF(Formulas!AI102=1," "&amp;Formulas!AH102,"")&amp;":","")))</f>
        <v/>
      </c>
      <c r="AH105" s="107" t="str" cm="1">
        <f t="array" aca="1" ref="AH105" ca="1">IF(OR(Formulas!AI102=0,Formulas!AI102="",RIGHT(Formulas!AJ102)="0"),"",
HYPERLINK("["&amp;Archivo_Nombre&amp;"]Datos!"&amp;LEFT(SUBSTITUTE(ADDRESS(1,RIGHT(Formulas!AJ102)+2),"$",""))&amp;Formulas!AH102+1,
IFERROR(INDEX(Datos!$A$2:$L$101,Formulas!AH102,RIGHT(Formulas!AJ102)+2),"")))</f>
        <v/>
      </c>
      <c r="AI105" s="107" t="str" cm="1">
        <f t="array" aca="1" ref="AI105" ca="1">IF(OR(Formulas!AJ103=0,Formulas!AJ103=""),"",HYPERLINK("["&amp;Archivo_Nombre&amp;"]Datos!"&amp;LEFT(SUBSTITUTE(ADDRESS(1,Formulas!AJ103+2),"$",""))&amp;Formulas!AI103+1,
IFERROR(INDEX(Datos!$A$2:$L$101,Formulas!AI103,Formulas!AJ103+2),"")))</f>
        <v/>
      </c>
      <c r="AJ105" s="13"/>
      <c r="AK105" s="6"/>
      <c r="AL105" s="24" t="str" cm="1">
        <f t="array" aca="1" ref="AL105" ca="1">IF(OR(Formulas!AN102=0,Formulas!AN102="",RIGHT(Formulas!AO102)="0"),"",
HYPERLINK("["&amp;Archivo_Nombre&amp;"]Datos!"&amp;LEFT(SUBSTITUTE(ADDRESS(1,IF(Formulas!AN102=1,1,RIGHT(Formulas!AO102)+2)),"$",""))&amp;Formulas!AM102+1,
IFERROR(INDEX(Datos!$A$1:$L$1,1,RIGHT(Formulas!AO102)+2)&amp;IF(Formulas!AN102=1," "&amp;Formulas!AM102,"")&amp;":","")))</f>
        <v/>
      </c>
      <c r="AM105" s="107" t="str" cm="1">
        <f t="array" aca="1" ref="AM105" ca="1">IF(OR(Formulas!AN102=0,Formulas!AN102="",RIGHT(Formulas!AO102)="0"),"",
HYPERLINK("["&amp;Archivo_Nombre&amp;"]Datos!"&amp;LEFT(SUBSTITUTE(ADDRESS(1,RIGHT(Formulas!AO102)+2),"$",""))&amp;Formulas!AM102+1,
IFERROR(INDEX(Datos!$A$2:$L$101,Formulas!AM102,RIGHT(Formulas!AO102)+2),"")))</f>
        <v/>
      </c>
      <c r="AN105" s="107" t="str" cm="1">
        <f t="array" aca="1" ref="AN105" ca="1">IF(OR(Formulas!AO103=0,Formulas!AO103=""),"",HYPERLINK("["&amp;Archivo_Nombre&amp;"]Datos!"&amp;LEFT(SUBSTITUTE(ADDRESS(1,Formulas!AO103+2),"$",""))&amp;Formulas!AN103+1,
IFERROR(INDEX(Datos!$A$2:$L$101,Formulas!AN103,Formulas!AO103+2),"")))</f>
        <v/>
      </c>
      <c r="AO105" s="13"/>
      <c r="AP105" s="6"/>
      <c r="AQ105" s="24" t="str" cm="1">
        <f t="array" aca="1" ref="AQ105" ca="1">IF(OR(Formulas!AS102=0,Formulas!AS102="",RIGHT(Formulas!AT102)="0"),"",
HYPERLINK("["&amp;Archivo_Nombre&amp;"]Datos!"&amp;LEFT(SUBSTITUTE(ADDRESS(1,IF(Formulas!AS102=1,1,RIGHT(Formulas!AT102)+2)),"$",""))&amp;Formulas!AR102+1,
IFERROR(INDEX(Datos!$A$1:$L$1,1,RIGHT(Formulas!AT102)+2)&amp;IF(Formulas!AS102=1," "&amp;Formulas!AR102,"")&amp;":","")))</f>
        <v/>
      </c>
      <c r="AR105" s="107" t="str" cm="1">
        <f t="array" aca="1" ref="AR105" ca="1">IF(OR(Formulas!AS102=0,Formulas!AS102="",RIGHT(Formulas!AT102)="0"),"",
HYPERLINK("["&amp;Archivo_Nombre&amp;"]Datos!"&amp;LEFT(SUBSTITUTE(ADDRESS(1,RIGHT(Formulas!AT102)+2),"$",""))&amp;Formulas!AR102+1,
IFERROR(INDEX(Datos!$A$2:$L$101,Formulas!AR102,RIGHT(Formulas!AT102)+2),"")))</f>
        <v/>
      </c>
      <c r="AS105" s="107" t="str" cm="1">
        <f t="array" aca="1" ref="AS105" ca="1">IF(OR(Formulas!AT103=0,Formulas!AT103=""),"",HYPERLINK("["&amp;Archivo_Nombre&amp;"]Datos!"&amp;LEFT(SUBSTITUTE(ADDRESS(1,Formulas!AT103+2),"$",""))&amp;Formulas!AS103+1,
IFERROR(INDEX(Datos!$A$2:$L$101,Formulas!AS103,Formulas!AT103+2),"")))</f>
        <v/>
      </c>
      <c r="AT105" s="13"/>
      <c r="AU105" s="6"/>
      <c r="AV105" s="24" t="str" cm="1">
        <f t="array" aca="1" ref="AV105" ca="1">IF(OR(Formulas!AX102=0,Formulas!AX102="",RIGHT(Formulas!AY102)="0"),"",
HYPERLINK("["&amp;Archivo_Nombre&amp;"]Datos!"&amp;LEFT(SUBSTITUTE(ADDRESS(1,IF(Formulas!AX102=1,1,RIGHT(Formulas!AY102)+2)),"$",""))&amp;Formulas!AW102+1,
IFERROR(INDEX(Datos!$A$1:$L$1,1,RIGHT(Formulas!AY102)+2)&amp;IF(Formulas!AX102=1," "&amp;Formulas!AW102,"")&amp;":","")))</f>
        <v/>
      </c>
      <c r="AW105" s="107" t="str" cm="1">
        <f t="array" aca="1" ref="AW105" ca="1">IF(OR(Formulas!AX102=0,Formulas!AX102="",RIGHT(Formulas!AY102)="0"),"",
HYPERLINK("["&amp;Archivo_Nombre&amp;"]Datos!"&amp;LEFT(SUBSTITUTE(ADDRESS(1,RIGHT(Formulas!AY102)+2),"$",""))&amp;Formulas!AW102+1,
IFERROR(INDEX(Datos!$A$2:$L$101,Formulas!AW102,RIGHT(Formulas!AY102)+2),"")))</f>
        <v/>
      </c>
      <c r="AX105" s="107" t="str" cm="1">
        <f t="array" aca="1" ref="AX105" ca="1">IF(OR(Formulas!AY103=0,Formulas!AY103=""),"",HYPERLINK("["&amp;Archivo_Nombre&amp;"]Datos!"&amp;LEFT(SUBSTITUTE(ADDRESS(1,Formulas!AY103+2),"$",""))&amp;Formulas!AX103+1,
IFERROR(INDEX(Datos!$A$2:$L$101,Formulas!AX103,Formulas!AY103+2),"")))</f>
        <v/>
      </c>
      <c r="AY105" s="13"/>
    </row>
    <row r="106" spans="2:51" x14ac:dyDescent="0.25">
      <c r="B106" s="11"/>
      <c r="C106" s="24" t="str" cm="1">
        <f t="array" aca="1" ref="C106" ca="1">IF(OR(Formulas!E103=0,Formulas!E103="",RIGHT(Formulas!F103)="0"),"",
HYPERLINK("["&amp;Archivo_Nombre&amp;"]Datos!"&amp;LEFT(SUBSTITUTE(ADDRESS(1,IF(Formulas!E103=1,1,RIGHT(Formulas!F103)+2)),"$",""))&amp;Formulas!D103+1,
IFERROR(INDEX(Datos!$A$1:$L$1,1,RIGHT(Formulas!F103)+2)&amp;IF(Formulas!E103=1," "&amp;Formulas!D103,"")&amp;":","")))</f>
        <v/>
      </c>
      <c r="D106" s="107" t="str" cm="1">
        <f t="array" aca="1" ref="D106" ca="1">IF(OR(Formulas!E103=0,Formulas!E103="",RIGHT(Formulas!F103)="0"),"",
HYPERLINK("["&amp;Archivo_Nombre&amp;"]Datos!"&amp;LEFT(SUBSTITUTE(ADDRESS(1,RIGHT(Formulas!F103)+2),"$",""))&amp;Formulas!D103+1,
IFERROR(INDEX(Datos!$A$2:$L$101,Formulas!D103,RIGHT(Formulas!F103)+2),"")))</f>
        <v/>
      </c>
      <c r="E106" s="107" t="str" cm="1">
        <f t="array" aca="1" ref="E106" ca="1">IF(OR(Formulas!F104=0,Formulas!F104=""),"",HYPERLINK("["&amp;Archivo_Nombre&amp;"]Datos!"&amp;LEFT(SUBSTITUTE(ADDRESS(1,Formulas!F104+2),"$",""))&amp;Formulas!E104+1,
IFERROR(INDEX(Datos!$A$2:$L$101,Formulas!E104,Formulas!F104+2),"")))</f>
        <v/>
      </c>
      <c r="F106" s="5"/>
      <c r="G106" s="6"/>
      <c r="H106" s="24" t="str" cm="1">
        <f t="array" aca="1" ref="H106" ca="1">IF(OR(Formulas!J103=0,Formulas!J103="",RIGHT(Formulas!K103)="0"),"",
HYPERLINK("["&amp;Archivo_Nombre&amp;"]Datos!"&amp;LEFT(SUBSTITUTE(ADDRESS(1,IF(Formulas!J103=1,1,RIGHT(Formulas!K103)+2)),"$",""))&amp;Formulas!I103+1,
IFERROR(INDEX(Datos!$A$1:$L$1,1,RIGHT(Formulas!K103)+2)&amp;IF(Formulas!J103=1," "&amp;Formulas!I103,"")&amp;":","")))</f>
        <v/>
      </c>
      <c r="I106" s="107" t="str" cm="1">
        <f t="array" aca="1" ref="I106" ca="1">IF(OR(Formulas!J103=0,Formulas!J103="",RIGHT(Formulas!K103)="0"),"",
HYPERLINK("["&amp;Archivo_Nombre&amp;"]Datos!"&amp;LEFT(SUBSTITUTE(ADDRESS(1,RIGHT(Formulas!K103)+2),"$",""))&amp;Formulas!I103+1,
IFERROR(INDEX(Datos!$A$2:$L$101,Formulas!I103,RIGHT(Formulas!K103)+2),"")))</f>
        <v/>
      </c>
      <c r="J106" s="107" t="str" cm="1">
        <f t="array" aca="1" ref="J106" ca="1">IF(OR(Formulas!K104=0,Formulas!K104=""),"",HYPERLINK("["&amp;Archivo_Nombre&amp;"]Datos!"&amp;LEFT(SUBSTITUTE(ADDRESS(1,Formulas!K104+2),"$",""))&amp;Formulas!J104+1,
IFERROR(INDEX(Datos!$A$2:$L$101,Formulas!J104,Formulas!K104+2),"")))</f>
        <v/>
      </c>
      <c r="K106" s="5"/>
      <c r="L106" s="6"/>
      <c r="M106" s="24" t="str" cm="1">
        <f t="array" aca="1" ref="M106" ca="1">IF(OR(Formulas!O103=0,Formulas!O103="",RIGHT(Formulas!P103)="0"),"",
HYPERLINK("["&amp;Archivo_Nombre&amp;"]Datos!"&amp;LEFT(SUBSTITUTE(ADDRESS(1,IF(Formulas!O103=1,1,RIGHT(Formulas!P103)+2)),"$",""))&amp;Formulas!N103+1,
IFERROR(INDEX(Datos!$A$1:$L$1,1,RIGHT(Formulas!P103)+2)&amp;IF(Formulas!O103=1," "&amp;Formulas!N103,"")&amp;":","")))</f>
        <v/>
      </c>
      <c r="N106" s="107" t="str" cm="1">
        <f t="array" aca="1" ref="N106" ca="1">IF(OR(Formulas!O103=0,Formulas!O103="",RIGHT(Formulas!P103)="0"),"",
HYPERLINK("["&amp;Archivo_Nombre&amp;"]Datos!"&amp;LEFT(SUBSTITUTE(ADDRESS(1,RIGHT(Formulas!P103)+2),"$",""))&amp;Formulas!N103+1,
IFERROR(INDEX(Datos!$A$2:$L$101,Formulas!N103,RIGHT(Formulas!P103)+2),"")))</f>
        <v/>
      </c>
      <c r="O106" s="107" t="str" cm="1">
        <f t="array" aca="1" ref="O106" ca="1">IF(OR(Formulas!P104=0,Formulas!P104=""),"",HYPERLINK("["&amp;Archivo_Nombre&amp;"]Datos!"&amp;LEFT(SUBSTITUTE(ADDRESS(1,Formulas!P104+2),"$",""))&amp;Formulas!O104+1,
IFERROR(INDEX(Datos!$A$2:$L$101,Formulas!O104,Formulas!P104+2),"")))</f>
        <v/>
      </c>
      <c r="P106" s="5"/>
      <c r="Q106" s="6"/>
      <c r="R106" s="24" t="str" cm="1">
        <f t="array" aca="1" ref="R106" ca="1">IF(OR(Formulas!T103=0,Formulas!T103="",RIGHT(Formulas!U103)="0"),"",
HYPERLINK("["&amp;Archivo_Nombre&amp;"]Datos!"&amp;LEFT(SUBSTITUTE(ADDRESS(1,IF(Formulas!T103=1,1,RIGHT(Formulas!U103)+2)),"$",""))&amp;Formulas!S103+1,
IFERROR(INDEX(Datos!$A$1:$L$1,1,RIGHT(Formulas!U103)+2)&amp;IF(Formulas!T103=1," "&amp;Formulas!S103,"")&amp;":","")))</f>
        <v>ORDEN PCRONOLOGICO 19:</v>
      </c>
      <c r="S106" s="107" cm="1">
        <f t="array" aca="1" ref="S106" ca="1">IF(OR(Formulas!T103=0,Formulas!T103="",RIGHT(Formulas!U103)="0"),"",
HYPERLINK("["&amp;Archivo_Nombre&amp;"]Datos!"&amp;LEFT(SUBSTITUTE(ADDRESS(1,RIGHT(Formulas!U103)+2),"$",""))&amp;Formulas!S103+1,
IFERROR(INDEX(Datos!$A$2:$L$101,Formulas!S103,RIGHT(Formulas!U103)+2),"")))</f>
        <v>19</v>
      </c>
      <c r="T106" s="107" t="e" cm="1">
        <f t="array" aca="1" ref="T106" ca="1">IF(OR(Formulas!U104=0,Formulas!U104=""),"",HYPERLINK("["&amp;Archivo_Nombre&amp;"]Datos!"&amp;LEFT(SUBSTITUTE(ADDRESS(1,Formulas!U104+2),"$",""))&amp;Formulas!T104+1,
IFERROR(INDEX(Datos!$A$2:$L$101,Formulas!T104,Formulas!U104+2),"")))</f>
        <v>#VALUE!</v>
      </c>
      <c r="U106" s="5"/>
      <c r="V106" s="6"/>
      <c r="W106" s="24" t="str" cm="1">
        <f t="array" aca="1" ref="W106" ca="1">IF(OR(Formulas!Y103=0,Formulas!Y103="",RIGHT(Formulas!Z103)="0"),"",
HYPERLINK("["&amp;Archivo_Nombre&amp;"]Datos!"&amp;LEFT(SUBSTITUTE(ADDRESS(1,IF(Formulas!Y103=1,1,RIGHT(Formulas!Z103)+2)),"$",""))&amp;Formulas!X103+1,
IFERROR(INDEX(Datos!$A$1:$L$1,1,RIGHT(Formulas!Z103)+2)&amp;IF(Formulas!Y103=1," "&amp;Formulas!X103,"")&amp;":","")))</f>
        <v/>
      </c>
      <c r="X106" s="107" t="str" cm="1">
        <f t="array" aca="1" ref="X106" ca="1">IF(OR(Formulas!Y103=0,Formulas!Y103="",RIGHT(Formulas!Z103)="0"),"",
HYPERLINK("["&amp;Archivo_Nombre&amp;"]Datos!"&amp;LEFT(SUBSTITUTE(ADDRESS(1,RIGHT(Formulas!Z103)+2),"$",""))&amp;Formulas!X103+1,
IFERROR(INDEX(Datos!$A$2:$L$101,Formulas!X103,RIGHT(Formulas!Z103)+2),"")))</f>
        <v/>
      </c>
      <c r="Y106" s="107" t="str" cm="1">
        <f t="array" aca="1" ref="Y106" ca="1">IF(OR(Formulas!Z104=0,Formulas!Z104=""),"",HYPERLINK("["&amp;Archivo_Nombre&amp;"]Datos!"&amp;LEFT(SUBSTITUTE(ADDRESS(1,Formulas!Z104+2),"$",""))&amp;Formulas!Y104+1,
IFERROR(INDEX(Datos!$A$2:$L$101,Formulas!Y104,Formulas!Z104+2),"")))</f>
        <v/>
      </c>
      <c r="Z106" s="13"/>
      <c r="AA106" s="6"/>
      <c r="AB106" s="24" t="str" cm="1">
        <f t="array" aca="1" ref="AB106" ca="1">IF(OR(Formulas!AD103=0,Formulas!AD103="",RIGHT(Formulas!AE103)="0"),"",
HYPERLINK("["&amp;Archivo_Nombre&amp;"]Datos!"&amp;LEFT(SUBSTITUTE(ADDRESS(1,IF(Formulas!AD103=1,1,RIGHT(Formulas!AE103)+2)),"$",""))&amp;Formulas!AC103+1,
IFERROR(INDEX(Datos!$A$1:$L$1,1,RIGHT(Formulas!AE103)+2)&amp;IF(Formulas!AD103=1," "&amp;Formulas!AC103,"")&amp;":","")))</f>
        <v/>
      </c>
      <c r="AC106" s="107" t="str" cm="1">
        <f t="array" aca="1" ref="AC106" ca="1">IF(OR(Formulas!AD103=0,Formulas!AD103="",RIGHT(Formulas!AE103)="0"),"",
HYPERLINK("["&amp;Archivo_Nombre&amp;"]Datos!"&amp;LEFT(SUBSTITUTE(ADDRESS(1,RIGHT(Formulas!AE103)+2),"$",""))&amp;Formulas!AC103+1,
IFERROR(INDEX(Datos!$A$2:$L$101,Formulas!AC103,RIGHT(Formulas!AE103)+2),"")))</f>
        <v/>
      </c>
      <c r="AD106" s="107" t="str" cm="1">
        <f t="array" aca="1" ref="AD106" ca="1">IF(OR(Formulas!AE104=0,Formulas!AE104=""),"",HYPERLINK("["&amp;Archivo_Nombre&amp;"]Datos!"&amp;LEFT(SUBSTITUTE(ADDRESS(1,Formulas!AE104+2),"$",""))&amp;Formulas!AD104+1,
IFERROR(INDEX(Datos!$A$2:$L$101,Formulas!AD104,Formulas!AE104+2),"")))</f>
        <v/>
      </c>
      <c r="AE106" s="13"/>
      <c r="AF106" s="6"/>
      <c r="AG106" s="24" t="str" cm="1">
        <f t="array" aca="1" ref="AG106" ca="1">IF(OR(Formulas!AI103=0,Formulas!AI103="",RIGHT(Formulas!AJ103)="0"),"",
HYPERLINK("["&amp;Archivo_Nombre&amp;"]Datos!"&amp;LEFT(SUBSTITUTE(ADDRESS(1,IF(Formulas!AI103=1,1,RIGHT(Formulas!AJ103)+2)),"$",""))&amp;Formulas!AH103+1,
IFERROR(INDEX(Datos!$A$1:$L$1,1,RIGHT(Formulas!AJ103)+2)&amp;IF(Formulas!AI103=1," "&amp;Formulas!AH103,"")&amp;":","")))</f>
        <v/>
      </c>
      <c r="AH106" s="107" t="str" cm="1">
        <f t="array" aca="1" ref="AH106" ca="1">IF(OR(Formulas!AI103=0,Formulas!AI103="",RIGHT(Formulas!AJ103)="0"),"",
HYPERLINK("["&amp;Archivo_Nombre&amp;"]Datos!"&amp;LEFT(SUBSTITUTE(ADDRESS(1,RIGHT(Formulas!AJ103)+2),"$",""))&amp;Formulas!AH103+1,
IFERROR(INDEX(Datos!$A$2:$L$101,Formulas!AH103,RIGHT(Formulas!AJ103)+2),"")))</f>
        <v/>
      </c>
      <c r="AI106" s="107" t="str" cm="1">
        <f t="array" aca="1" ref="AI106" ca="1">IF(OR(Formulas!AJ104=0,Formulas!AJ104=""),"",HYPERLINK("["&amp;Archivo_Nombre&amp;"]Datos!"&amp;LEFT(SUBSTITUTE(ADDRESS(1,Formulas!AJ104+2),"$",""))&amp;Formulas!AI104+1,
IFERROR(INDEX(Datos!$A$2:$L$101,Formulas!AI104,Formulas!AJ104+2),"")))</f>
        <v/>
      </c>
      <c r="AJ106" s="13"/>
      <c r="AK106" s="6"/>
      <c r="AL106" s="24" t="str" cm="1">
        <f t="array" aca="1" ref="AL106" ca="1">IF(OR(Formulas!AN103=0,Formulas!AN103="",RIGHT(Formulas!AO103)="0"),"",
HYPERLINK("["&amp;Archivo_Nombre&amp;"]Datos!"&amp;LEFT(SUBSTITUTE(ADDRESS(1,IF(Formulas!AN103=1,1,RIGHT(Formulas!AO103)+2)),"$",""))&amp;Formulas!AM103+1,
IFERROR(INDEX(Datos!$A$1:$L$1,1,RIGHT(Formulas!AO103)+2)&amp;IF(Formulas!AN103=1," "&amp;Formulas!AM103,"")&amp;":","")))</f>
        <v/>
      </c>
      <c r="AM106" s="107" t="str" cm="1">
        <f t="array" aca="1" ref="AM106" ca="1">IF(OR(Formulas!AN103=0,Formulas!AN103="",RIGHT(Formulas!AO103)="0"),"",
HYPERLINK("["&amp;Archivo_Nombre&amp;"]Datos!"&amp;LEFT(SUBSTITUTE(ADDRESS(1,RIGHT(Formulas!AO103)+2),"$",""))&amp;Formulas!AM103+1,
IFERROR(INDEX(Datos!$A$2:$L$101,Formulas!AM103,RIGHT(Formulas!AO103)+2),"")))</f>
        <v/>
      </c>
      <c r="AN106" s="107" t="str" cm="1">
        <f t="array" aca="1" ref="AN106" ca="1">IF(OR(Formulas!AO104=0,Formulas!AO104=""),"",HYPERLINK("["&amp;Archivo_Nombre&amp;"]Datos!"&amp;LEFT(SUBSTITUTE(ADDRESS(1,Formulas!AO104+2),"$",""))&amp;Formulas!AN104+1,
IFERROR(INDEX(Datos!$A$2:$L$101,Formulas!AN104,Formulas!AO104+2),"")))</f>
        <v/>
      </c>
      <c r="AO106" s="13"/>
      <c r="AP106" s="6"/>
      <c r="AQ106" s="24" t="str" cm="1">
        <f t="array" aca="1" ref="AQ106" ca="1">IF(OR(Formulas!AS103=0,Formulas!AS103="",RIGHT(Formulas!AT103)="0"),"",
HYPERLINK("["&amp;Archivo_Nombre&amp;"]Datos!"&amp;LEFT(SUBSTITUTE(ADDRESS(1,IF(Formulas!AS103=1,1,RIGHT(Formulas!AT103)+2)),"$",""))&amp;Formulas!AR103+1,
IFERROR(INDEX(Datos!$A$1:$L$1,1,RIGHT(Formulas!AT103)+2)&amp;IF(Formulas!AS103=1," "&amp;Formulas!AR103,"")&amp;":","")))</f>
        <v/>
      </c>
      <c r="AR106" s="107" t="str" cm="1">
        <f t="array" aca="1" ref="AR106" ca="1">IF(OR(Formulas!AS103=0,Formulas!AS103="",RIGHT(Formulas!AT103)="0"),"",
HYPERLINK("["&amp;Archivo_Nombre&amp;"]Datos!"&amp;LEFT(SUBSTITUTE(ADDRESS(1,RIGHT(Formulas!AT103)+2),"$",""))&amp;Formulas!AR103+1,
IFERROR(INDEX(Datos!$A$2:$L$101,Formulas!AR103,RIGHT(Formulas!AT103)+2),"")))</f>
        <v/>
      </c>
      <c r="AS106" s="107" t="str" cm="1">
        <f t="array" aca="1" ref="AS106" ca="1">IF(OR(Formulas!AT104=0,Formulas!AT104=""),"",HYPERLINK("["&amp;Archivo_Nombre&amp;"]Datos!"&amp;LEFT(SUBSTITUTE(ADDRESS(1,Formulas!AT104+2),"$",""))&amp;Formulas!AS104+1,
IFERROR(INDEX(Datos!$A$2:$L$101,Formulas!AS104,Formulas!AT104+2),"")))</f>
        <v/>
      </c>
      <c r="AT106" s="13"/>
      <c r="AU106" s="6"/>
      <c r="AV106" s="24" t="str" cm="1">
        <f t="array" aca="1" ref="AV106" ca="1">IF(OR(Formulas!AX103=0,Formulas!AX103="",RIGHT(Formulas!AY103)="0"),"",
HYPERLINK("["&amp;Archivo_Nombre&amp;"]Datos!"&amp;LEFT(SUBSTITUTE(ADDRESS(1,IF(Formulas!AX103=1,1,RIGHT(Formulas!AY103)+2)),"$",""))&amp;Formulas!AW103+1,
IFERROR(INDEX(Datos!$A$1:$L$1,1,RIGHT(Formulas!AY103)+2)&amp;IF(Formulas!AX103=1," "&amp;Formulas!AW103,"")&amp;":","")))</f>
        <v/>
      </c>
      <c r="AW106" s="107" t="str" cm="1">
        <f t="array" aca="1" ref="AW106" ca="1">IF(OR(Formulas!AX103=0,Formulas!AX103="",RIGHT(Formulas!AY103)="0"),"",
HYPERLINK("["&amp;Archivo_Nombre&amp;"]Datos!"&amp;LEFT(SUBSTITUTE(ADDRESS(1,RIGHT(Formulas!AY103)+2),"$",""))&amp;Formulas!AW103+1,
IFERROR(INDEX(Datos!$A$2:$L$101,Formulas!AW103,RIGHT(Formulas!AY103)+2),"")))</f>
        <v/>
      </c>
      <c r="AX106" s="107" t="str" cm="1">
        <f t="array" aca="1" ref="AX106" ca="1">IF(OR(Formulas!AY104=0,Formulas!AY104=""),"",HYPERLINK("["&amp;Archivo_Nombre&amp;"]Datos!"&amp;LEFT(SUBSTITUTE(ADDRESS(1,Formulas!AY104+2),"$",""))&amp;Formulas!AX104+1,
IFERROR(INDEX(Datos!$A$2:$L$101,Formulas!AX104,Formulas!AY104+2),"")))</f>
        <v/>
      </c>
      <c r="AY106" s="13"/>
    </row>
    <row r="107" spans="2:51" x14ac:dyDescent="0.25">
      <c r="B107" s="11"/>
      <c r="C107" s="24" t="str" cm="1">
        <f t="array" aca="1" ref="C107" ca="1">IF(OR(Formulas!E104=0,Formulas!E104="",RIGHT(Formulas!F104)="0"),"",
HYPERLINK("["&amp;Archivo_Nombre&amp;"]Datos!"&amp;LEFT(SUBSTITUTE(ADDRESS(1,IF(Formulas!E104=1,1,RIGHT(Formulas!F104)+2)),"$",""))&amp;Formulas!D104+1,
IFERROR(INDEX(Datos!$A$1:$L$1,1,RIGHT(Formulas!F104)+2)&amp;IF(Formulas!E104=1," "&amp;Formulas!D104,"")&amp;":","")))</f>
        <v/>
      </c>
      <c r="D107" s="107" t="str" cm="1">
        <f t="array" aca="1" ref="D107" ca="1">IF(OR(Formulas!E104=0,Formulas!E104="",RIGHT(Formulas!F104)="0"),"",
HYPERLINK("["&amp;Archivo_Nombre&amp;"]Datos!"&amp;LEFT(SUBSTITUTE(ADDRESS(1,RIGHT(Formulas!F104)+2),"$",""))&amp;Formulas!D104+1,
IFERROR(INDEX(Datos!$A$2:$L$101,Formulas!D104,RIGHT(Formulas!F104)+2),"")))</f>
        <v/>
      </c>
      <c r="E107" s="107" t="str" cm="1">
        <f t="array" aca="1" ref="E107" ca="1">IF(OR(Formulas!F105=0,Formulas!F105=""),"",HYPERLINK("["&amp;Archivo_Nombre&amp;"]Datos!"&amp;LEFT(SUBSTITUTE(ADDRESS(1,Formulas!F105+2),"$",""))&amp;Formulas!E105+1,
IFERROR(INDEX(Datos!$A$2:$L$101,Formulas!E105,Formulas!F105+2),"")))</f>
        <v/>
      </c>
      <c r="F107" s="5"/>
      <c r="G107" s="6"/>
      <c r="H107" s="24" t="str" cm="1">
        <f t="array" aca="1" ref="H107" ca="1">IF(OR(Formulas!J104=0,Formulas!J104="",RIGHT(Formulas!K104)="0"),"",
HYPERLINK("["&amp;Archivo_Nombre&amp;"]Datos!"&amp;LEFT(SUBSTITUTE(ADDRESS(1,IF(Formulas!J104=1,1,RIGHT(Formulas!K104)+2)),"$",""))&amp;Formulas!I104+1,
IFERROR(INDEX(Datos!$A$1:$L$1,1,RIGHT(Formulas!K104)+2)&amp;IF(Formulas!J104=1," "&amp;Formulas!I104,"")&amp;":","")))</f>
        <v/>
      </c>
      <c r="I107" s="107" t="str" cm="1">
        <f t="array" aca="1" ref="I107" ca="1">IF(OR(Formulas!J104=0,Formulas!J104="",RIGHT(Formulas!K104)="0"),"",
HYPERLINK("["&amp;Archivo_Nombre&amp;"]Datos!"&amp;LEFT(SUBSTITUTE(ADDRESS(1,RIGHT(Formulas!K104)+2),"$",""))&amp;Formulas!I104+1,
IFERROR(INDEX(Datos!$A$2:$L$101,Formulas!I104,RIGHT(Formulas!K104)+2),"")))</f>
        <v/>
      </c>
      <c r="J107" s="107" t="str" cm="1">
        <f t="array" aca="1" ref="J107" ca="1">IF(OR(Formulas!K105=0,Formulas!K105=""),"",HYPERLINK("["&amp;Archivo_Nombre&amp;"]Datos!"&amp;LEFT(SUBSTITUTE(ADDRESS(1,Formulas!K105+2),"$",""))&amp;Formulas!J105+1,
IFERROR(INDEX(Datos!$A$2:$L$101,Formulas!J105,Formulas!K105+2),"")))</f>
        <v/>
      </c>
      <c r="K107" s="5"/>
      <c r="L107" s="6"/>
      <c r="M107" s="24" t="str" cm="1">
        <f t="array" aca="1" ref="M107" ca="1">IF(OR(Formulas!O104=0,Formulas!O104="",RIGHT(Formulas!P104)="0"),"",
HYPERLINK("["&amp;Archivo_Nombre&amp;"]Datos!"&amp;LEFT(SUBSTITUTE(ADDRESS(1,IF(Formulas!O104=1,1,RIGHT(Formulas!P104)+2)),"$",""))&amp;Formulas!N104+1,
IFERROR(INDEX(Datos!$A$1:$L$1,1,RIGHT(Formulas!P104)+2)&amp;IF(Formulas!O104=1," "&amp;Formulas!N104,"")&amp;":","")))</f>
        <v/>
      </c>
      <c r="N107" s="107" t="str" cm="1">
        <f t="array" aca="1" ref="N107" ca="1">IF(OR(Formulas!O104=0,Formulas!O104="",RIGHT(Formulas!P104)="0"),"",
HYPERLINK("["&amp;Archivo_Nombre&amp;"]Datos!"&amp;LEFT(SUBSTITUTE(ADDRESS(1,RIGHT(Formulas!P104)+2),"$",""))&amp;Formulas!N104+1,
IFERROR(INDEX(Datos!$A$2:$L$101,Formulas!N104,RIGHT(Formulas!P104)+2),"")))</f>
        <v/>
      </c>
      <c r="O107" s="107" t="str" cm="1">
        <f t="array" aca="1" ref="O107" ca="1">IF(OR(Formulas!P105=0,Formulas!P105=""),"",HYPERLINK("["&amp;Archivo_Nombre&amp;"]Datos!"&amp;LEFT(SUBSTITUTE(ADDRESS(1,Formulas!P105+2),"$",""))&amp;Formulas!O105+1,
IFERROR(INDEX(Datos!$A$2:$L$101,Formulas!O105,Formulas!P105+2),"")))</f>
        <v/>
      </c>
      <c r="P107" s="5"/>
      <c r="Q107" s="6"/>
      <c r="R107" s="24" t="str" cm="1">
        <f t="array" aca="1" ref="R107" ca="1">IF(OR(Formulas!T104=0,Formulas!T104="",RIGHT(Formulas!U104)="0"),"",
HYPERLINK("["&amp;Archivo_Nombre&amp;"]Datos!"&amp;LEFT(SUBSTITUTE(ADDRESS(1,IF(Formulas!T104=1,1,RIGHT(Formulas!U104)+2)),"$",""))&amp;Formulas!S104+1,
IFERROR(INDEX(Datos!$A$1:$L$1,1,RIGHT(Formulas!U104)+2)&amp;IF(Formulas!T104=1," "&amp;Formulas!S104,"")&amp;":","")))</f>
        <v>Tarea:</v>
      </c>
      <c r="S107" s="107" t="str" cm="1">
        <f t="array" aca="1" ref="S107" ca="1">IF(OR(Formulas!T104=0,Formulas!T104="",RIGHT(Formulas!U104)="0"),"",
HYPERLINK("["&amp;Archivo_Nombre&amp;"]Datos!"&amp;LEFT(SUBSTITUTE(ADDRESS(1,RIGHT(Formulas!U104)+2),"$",""))&amp;Formulas!S104+1,
IFERROR(INDEX(Datos!$A$2:$L$101,Formulas!S104,RIGHT(Formulas!U104)+2),"")))</f>
        <v>REQ002 Menú</v>
      </c>
      <c r="T107" s="107" t="e" cm="1">
        <f t="array" aca="1" ref="T107" ca="1">IF(OR(Formulas!U105=0,Formulas!U105=""),"",HYPERLINK("["&amp;Archivo_Nombre&amp;"]Datos!"&amp;LEFT(SUBSTITUTE(ADDRESS(1,Formulas!U105+2),"$",""))&amp;Formulas!T105+1,
IFERROR(INDEX(Datos!$A$2:$L$101,Formulas!T105,Formulas!U105+2),"")))</f>
        <v>#VALUE!</v>
      </c>
      <c r="U107" s="5"/>
      <c r="V107" s="6"/>
      <c r="W107" s="24" t="str" cm="1">
        <f t="array" aca="1" ref="W107" ca="1">IF(OR(Formulas!Y104=0,Formulas!Y104="",RIGHT(Formulas!Z104)="0"),"",
HYPERLINK("["&amp;Archivo_Nombre&amp;"]Datos!"&amp;LEFT(SUBSTITUTE(ADDRESS(1,IF(Formulas!Y104=1,1,RIGHT(Formulas!Z104)+2)),"$",""))&amp;Formulas!X104+1,
IFERROR(INDEX(Datos!$A$1:$L$1,1,RIGHT(Formulas!Z104)+2)&amp;IF(Formulas!Y104=1," "&amp;Formulas!X104,"")&amp;":","")))</f>
        <v/>
      </c>
      <c r="X107" s="107" t="str" cm="1">
        <f t="array" aca="1" ref="X107" ca="1">IF(OR(Formulas!Y104=0,Formulas!Y104="",RIGHT(Formulas!Z104)="0"),"",
HYPERLINK("["&amp;Archivo_Nombre&amp;"]Datos!"&amp;LEFT(SUBSTITUTE(ADDRESS(1,RIGHT(Formulas!Z104)+2),"$",""))&amp;Formulas!X104+1,
IFERROR(INDEX(Datos!$A$2:$L$101,Formulas!X104,RIGHT(Formulas!Z104)+2),"")))</f>
        <v/>
      </c>
      <c r="Y107" s="107" t="str" cm="1">
        <f t="array" aca="1" ref="Y107" ca="1">IF(OR(Formulas!Z105=0,Formulas!Z105=""),"",HYPERLINK("["&amp;Archivo_Nombre&amp;"]Datos!"&amp;LEFT(SUBSTITUTE(ADDRESS(1,Formulas!Z105+2),"$",""))&amp;Formulas!Y105+1,
IFERROR(INDEX(Datos!$A$2:$L$101,Formulas!Y105,Formulas!Z105+2),"")))</f>
        <v/>
      </c>
      <c r="Z107" s="13"/>
      <c r="AA107" s="6"/>
      <c r="AB107" s="24" t="str" cm="1">
        <f t="array" aca="1" ref="AB107" ca="1">IF(OR(Formulas!AD104=0,Formulas!AD104="",RIGHT(Formulas!AE104)="0"),"",
HYPERLINK("["&amp;Archivo_Nombre&amp;"]Datos!"&amp;LEFT(SUBSTITUTE(ADDRESS(1,IF(Formulas!AD104=1,1,RIGHT(Formulas!AE104)+2)),"$",""))&amp;Formulas!AC104+1,
IFERROR(INDEX(Datos!$A$1:$L$1,1,RIGHT(Formulas!AE104)+2)&amp;IF(Formulas!AD104=1," "&amp;Formulas!AC104,"")&amp;":","")))</f>
        <v/>
      </c>
      <c r="AC107" s="107" t="str" cm="1">
        <f t="array" aca="1" ref="AC107" ca="1">IF(OR(Formulas!AD104=0,Formulas!AD104="",RIGHT(Formulas!AE104)="0"),"",
HYPERLINK("["&amp;Archivo_Nombre&amp;"]Datos!"&amp;LEFT(SUBSTITUTE(ADDRESS(1,RIGHT(Formulas!AE104)+2),"$",""))&amp;Formulas!AC104+1,
IFERROR(INDEX(Datos!$A$2:$L$101,Formulas!AC104,RIGHT(Formulas!AE104)+2),"")))</f>
        <v/>
      </c>
      <c r="AD107" s="107" t="str" cm="1">
        <f t="array" aca="1" ref="AD107" ca="1">IF(OR(Formulas!AE105=0,Formulas!AE105=""),"",HYPERLINK("["&amp;Archivo_Nombre&amp;"]Datos!"&amp;LEFT(SUBSTITUTE(ADDRESS(1,Formulas!AE105+2),"$",""))&amp;Formulas!AD105+1,
IFERROR(INDEX(Datos!$A$2:$L$101,Formulas!AD105,Formulas!AE105+2),"")))</f>
        <v/>
      </c>
      <c r="AE107" s="13"/>
      <c r="AF107" s="6"/>
      <c r="AG107" s="24" t="str" cm="1">
        <f t="array" aca="1" ref="AG107" ca="1">IF(OR(Formulas!AI104=0,Formulas!AI104="",RIGHT(Formulas!AJ104)="0"),"",
HYPERLINK("["&amp;Archivo_Nombre&amp;"]Datos!"&amp;LEFT(SUBSTITUTE(ADDRESS(1,IF(Formulas!AI104=1,1,RIGHT(Formulas!AJ104)+2)),"$",""))&amp;Formulas!AH104+1,
IFERROR(INDEX(Datos!$A$1:$L$1,1,RIGHT(Formulas!AJ104)+2)&amp;IF(Formulas!AI104=1," "&amp;Formulas!AH104,"")&amp;":","")))</f>
        <v/>
      </c>
      <c r="AH107" s="107" t="str" cm="1">
        <f t="array" aca="1" ref="AH107" ca="1">IF(OR(Formulas!AI104=0,Formulas!AI104="",RIGHT(Formulas!AJ104)="0"),"",
HYPERLINK("["&amp;Archivo_Nombre&amp;"]Datos!"&amp;LEFT(SUBSTITUTE(ADDRESS(1,RIGHT(Formulas!AJ104)+2),"$",""))&amp;Formulas!AH104+1,
IFERROR(INDEX(Datos!$A$2:$L$101,Formulas!AH104,RIGHT(Formulas!AJ104)+2),"")))</f>
        <v/>
      </c>
      <c r="AI107" s="107" t="str" cm="1">
        <f t="array" aca="1" ref="AI107" ca="1">IF(OR(Formulas!AJ105=0,Formulas!AJ105=""),"",HYPERLINK("["&amp;Archivo_Nombre&amp;"]Datos!"&amp;LEFT(SUBSTITUTE(ADDRESS(1,Formulas!AJ105+2),"$",""))&amp;Formulas!AI105+1,
IFERROR(INDEX(Datos!$A$2:$L$101,Formulas!AI105,Formulas!AJ105+2),"")))</f>
        <v/>
      </c>
      <c r="AJ107" s="13"/>
      <c r="AK107" s="6"/>
      <c r="AL107" s="24" t="str" cm="1">
        <f t="array" aca="1" ref="AL107" ca="1">IF(OR(Formulas!AN104=0,Formulas!AN104="",RIGHT(Formulas!AO104)="0"),"",
HYPERLINK("["&amp;Archivo_Nombre&amp;"]Datos!"&amp;LEFT(SUBSTITUTE(ADDRESS(1,IF(Formulas!AN104=1,1,RIGHT(Formulas!AO104)+2)),"$",""))&amp;Formulas!AM104+1,
IFERROR(INDEX(Datos!$A$1:$L$1,1,RIGHT(Formulas!AO104)+2)&amp;IF(Formulas!AN104=1," "&amp;Formulas!AM104,"")&amp;":","")))</f>
        <v/>
      </c>
      <c r="AM107" s="107" t="str" cm="1">
        <f t="array" aca="1" ref="AM107" ca="1">IF(OR(Formulas!AN104=0,Formulas!AN104="",RIGHT(Formulas!AO104)="0"),"",
HYPERLINK("["&amp;Archivo_Nombre&amp;"]Datos!"&amp;LEFT(SUBSTITUTE(ADDRESS(1,RIGHT(Formulas!AO104)+2),"$",""))&amp;Formulas!AM104+1,
IFERROR(INDEX(Datos!$A$2:$L$101,Formulas!AM104,RIGHT(Formulas!AO104)+2),"")))</f>
        <v/>
      </c>
      <c r="AN107" s="107" t="str" cm="1">
        <f t="array" aca="1" ref="AN107" ca="1">IF(OR(Formulas!AO105=0,Formulas!AO105=""),"",HYPERLINK("["&amp;Archivo_Nombre&amp;"]Datos!"&amp;LEFT(SUBSTITUTE(ADDRESS(1,Formulas!AO105+2),"$",""))&amp;Formulas!AN105+1,
IFERROR(INDEX(Datos!$A$2:$L$101,Formulas!AN105,Formulas!AO105+2),"")))</f>
        <v/>
      </c>
      <c r="AO107" s="13"/>
      <c r="AP107" s="6"/>
      <c r="AQ107" s="24" t="str" cm="1">
        <f t="array" aca="1" ref="AQ107" ca="1">IF(OR(Formulas!AS104=0,Formulas!AS104="",RIGHT(Formulas!AT104)="0"),"",
HYPERLINK("["&amp;Archivo_Nombre&amp;"]Datos!"&amp;LEFT(SUBSTITUTE(ADDRESS(1,IF(Formulas!AS104=1,1,RIGHT(Formulas!AT104)+2)),"$",""))&amp;Formulas!AR104+1,
IFERROR(INDEX(Datos!$A$1:$L$1,1,RIGHT(Formulas!AT104)+2)&amp;IF(Formulas!AS104=1," "&amp;Formulas!AR104,"")&amp;":","")))</f>
        <v/>
      </c>
      <c r="AR107" s="107" t="str" cm="1">
        <f t="array" aca="1" ref="AR107" ca="1">IF(OR(Formulas!AS104=0,Formulas!AS104="",RIGHT(Formulas!AT104)="0"),"",
HYPERLINK("["&amp;Archivo_Nombre&amp;"]Datos!"&amp;LEFT(SUBSTITUTE(ADDRESS(1,RIGHT(Formulas!AT104)+2),"$",""))&amp;Formulas!AR104+1,
IFERROR(INDEX(Datos!$A$2:$L$101,Formulas!AR104,RIGHT(Formulas!AT104)+2),"")))</f>
        <v/>
      </c>
      <c r="AS107" s="107" t="str" cm="1">
        <f t="array" aca="1" ref="AS107" ca="1">IF(OR(Formulas!AT105=0,Formulas!AT105=""),"",HYPERLINK("["&amp;Archivo_Nombre&amp;"]Datos!"&amp;LEFT(SUBSTITUTE(ADDRESS(1,Formulas!AT105+2),"$",""))&amp;Formulas!AS105+1,
IFERROR(INDEX(Datos!$A$2:$L$101,Formulas!AS105,Formulas!AT105+2),"")))</f>
        <v/>
      </c>
      <c r="AT107" s="13"/>
      <c r="AU107" s="6"/>
      <c r="AV107" s="24" t="str" cm="1">
        <f t="array" aca="1" ref="AV107" ca="1">IF(OR(Formulas!AX104=0,Formulas!AX104="",RIGHT(Formulas!AY104)="0"),"",
HYPERLINK("["&amp;Archivo_Nombre&amp;"]Datos!"&amp;LEFT(SUBSTITUTE(ADDRESS(1,IF(Formulas!AX104=1,1,RIGHT(Formulas!AY104)+2)),"$",""))&amp;Formulas!AW104+1,
IFERROR(INDEX(Datos!$A$1:$L$1,1,RIGHT(Formulas!AY104)+2)&amp;IF(Formulas!AX104=1," "&amp;Formulas!AW104,"")&amp;":","")))</f>
        <v/>
      </c>
      <c r="AW107" s="107" t="str" cm="1">
        <f t="array" aca="1" ref="AW107" ca="1">IF(OR(Formulas!AX104=0,Formulas!AX104="",RIGHT(Formulas!AY104)="0"),"",
HYPERLINK("["&amp;Archivo_Nombre&amp;"]Datos!"&amp;LEFT(SUBSTITUTE(ADDRESS(1,RIGHT(Formulas!AY104)+2),"$",""))&amp;Formulas!AW104+1,
IFERROR(INDEX(Datos!$A$2:$L$101,Formulas!AW104,RIGHT(Formulas!AY104)+2),"")))</f>
        <v/>
      </c>
      <c r="AX107" s="107" t="str" cm="1">
        <f t="array" aca="1" ref="AX107" ca="1">IF(OR(Formulas!AY105=0,Formulas!AY105=""),"",HYPERLINK("["&amp;Archivo_Nombre&amp;"]Datos!"&amp;LEFT(SUBSTITUTE(ADDRESS(1,Formulas!AY105+2),"$",""))&amp;Formulas!AX105+1,
IFERROR(INDEX(Datos!$A$2:$L$101,Formulas!AX105,Formulas!AY105+2),"")))</f>
        <v/>
      </c>
      <c r="AY107" s="13"/>
    </row>
    <row r="108" spans="2:51" x14ac:dyDescent="0.25">
      <c r="B108" s="11"/>
      <c r="C108" s="24" t="str" cm="1">
        <f t="array" aca="1" ref="C108" ca="1">IF(OR(Formulas!E105=0,Formulas!E105="",RIGHT(Formulas!F105)="0"),"",
HYPERLINK("["&amp;Archivo_Nombre&amp;"]Datos!"&amp;LEFT(SUBSTITUTE(ADDRESS(1,IF(Formulas!E105=1,1,RIGHT(Formulas!F105)+2)),"$",""))&amp;Formulas!D105+1,
IFERROR(INDEX(Datos!$A$1:$L$1,1,RIGHT(Formulas!F105)+2)&amp;IF(Formulas!E105=1," "&amp;Formulas!D105,"")&amp;":","")))</f>
        <v/>
      </c>
      <c r="D108" s="107" t="str" cm="1">
        <f t="array" aca="1" ref="D108" ca="1">IF(OR(Formulas!E105=0,Formulas!E105="",RIGHT(Formulas!F105)="0"),"",
HYPERLINK("["&amp;Archivo_Nombre&amp;"]Datos!"&amp;LEFT(SUBSTITUTE(ADDRESS(1,RIGHT(Formulas!F105)+2),"$",""))&amp;Formulas!D105+1,
IFERROR(INDEX(Datos!$A$2:$L$101,Formulas!D105,RIGHT(Formulas!F105)+2),"")))</f>
        <v/>
      </c>
      <c r="E108" s="107" t="str" cm="1">
        <f t="array" aca="1" ref="E108" ca="1">IF(OR(Formulas!F106=0,Formulas!F106=""),"",HYPERLINK("["&amp;Archivo_Nombre&amp;"]Datos!"&amp;LEFT(SUBSTITUTE(ADDRESS(1,Formulas!F106+2),"$",""))&amp;Formulas!E106+1,
IFERROR(INDEX(Datos!$A$2:$L$101,Formulas!E106,Formulas!F106+2),"")))</f>
        <v/>
      </c>
      <c r="F108" s="5"/>
      <c r="G108" s="6"/>
      <c r="H108" s="24" t="str" cm="1">
        <f t="array" aca="1" ref="H108" ca="1">IF(OR(Formulas!J105=0,Formulas!J105="",RIGHT(Formulas!K105)="0"),"",
HYPERLINK("["&amp;Archivo_Nombre&amp;"]Datos!"&amp;LEFT(SUBSTITUTE(ADDRESS(1,IF(Formulas!J105=1,1,RIGHT(Formulas!K105)+2)),"$",""))&amp;Formulas!I105+1,
IFERROR(INDEX(Datos!$A$1:$L$1,1,RIGHT(Formulas!K105)+2)&amp;IF(Formulas!J105=1," "&amp;Formulas!I105,"")&amp;":","")))</f>
        <v/>
      </c>
      <c r="I108" s="107" t="str" cm="1">
        <f t="array" aca="1" ref="I108" ca="1">IF(OR(Formulas!J105=0,Formulas!J105="",RIGHT(Formulas!K105)="0"),"",
HYPERLINK("["&amp;Archivo_Nombre&amp;"]Datos!"&amp;LEFT(SUBSTITUTE(ADDRESS(1,RIGHT(Formulas!K105)+2),"$",""))&amp;Formulas!I105+1,
IFERROR(INDEX(Datos!$A$2:$L$101,Formulas!I105,RIGHT(Formulas!K105)+2),"")))</f>
        <v/>
      </c>
      <c r="J108" s="107" t="str" cm="1">
        <f t="array" aca="1" ref="J108" ca="1">IF(OR(Formulas!K106=0,Formulas!K106=""),"",HYPERLINK("["&amp;Archivo_Nombre&amp;"]Datos!"&amp;LEFT(SUBSTITUTE(ADDRESS(1,Formulas!K106+2),"$",""))&amp;Formulas!J106+1,
IFERROR(INDEX(Datos!$A$2:$L$101,Formulas!J106,Formulas!K106+2),"")))</f>
        <v/>
      </c>
      <c r="K108" s="5"/>
      <c r="L108" s="6"/>
      <c r="M108" s="24" t="str" cm="1">
        <f t="array" aca="1" ref="M108" ca="1">IF(OR(Formulas!O105=0,Formulas!O105="",RIGHT(Formulas!P105)="0"),"",
HYPERLINK("["&amp;Archivo_Nombre&amp;"]Datos!"&amp;LEFT(SUBSTITUTE(ADDRESS(1,IF(Formulas!O105=1,1,RIGHT(Formulas!P105)+2)),"$",""))&amp;Formulas!N105+1,
IFERROR(INDEX(Datos!$A$1:$L$1,1,RIGHT(Formulas!P105)+2)&amp;IF(Formulas!O105=1," "&amp;Formulas!N105,"")&amp;":","")))</f>
        <v/>
      </c>
      <c r="N108" s="107" t="str" cm="1">
        <f t="array" aca="1" ref="N108" ca="1">IF(OR(Formulas!O105=0,Formulas!O105="",RIGHT(Formulas!P105)="0"),"",
HYPERLINK("["&amp;Archivo_Nombre&amp;"]Datos!"&amp;LEFT(SUBSTITUTE(ADDRESS(1,RIGHT(Formulas!P105)+2),"$",""))&amp;Formulas!N105+1,
IFERROR(INDEX(Datos!$A$2:$L$101,Formulas!N105,RIGHT(Formulas!P105)+2),"")))</f>
        <v/>
      </c>
      <c r="O108" s="107" t="str" cm="1">
        <f t="array" aca="1" ref="O108" ca="1">IF(OR(Formulas!P106=0,Formulas!P106=""),"",HYPERLINK("["&amp;Archivo_Nombre&amp;"]Datos!"&amp;LEFT(SUBSTITUTE(ADDRESS(1,Formulas!P106+2),"$",""))&amp;Formulas!O106+1,
IFERROR(INDEX(Datos!$A$2:$L$101,Formulas!O106,Formulas!P106+2),"")))</f>
        <v/>
      </c>
      <c r="P108" s="5"/>
      <c r="Q108" s="6"/>
      <c r="R108" s="24" t="str" cm="1">
        <f t="array" aca="1" ref="R108" ca="1">IF(OR(Formulas!T105=0,Formulas!T105="",RIGHT(Formulas!U105)="0"),"",
HYPERLINK("["&amp;Archivo_Nombre&amp;"]Datos!"&amp;LEFT(SUBSTITUTE(ADDRESS(1,IF(Formulas!T105=1,1,RIGHT(Formulas!U105)+2)),"$",""))&amp;Formulas!S105+1,
IFERROR(INDEX(Datos!$A$1:$L$1,1,RIGHT(Formulas!U105)+2)&amp;IF(Formulas!T105=1," "&amp;Formulas!S105,"")&amp;":","")))</f>
        <v>Descripción:</v>
      </c>
      <c r="S108" s="107" t="str" cm="1">
        <f t="array" aca="1" ref="S108" ca="1">IF(OR(Formulas!T105=0,Formulas!T105="",RIGHT(Formulas!U105)="0"),"",
HYPERLINK("["&amp;Archivo_Nombre&amp;"]Datos!"&amp;LEFT(SUBSTITUTE(ADDRESS(1,RIGHT(Formulas!U105)+2),"$",""))&amp;Formulas!S105+1,
IFERROR(INDEX(Datos!$A$2:$L$101,Formulas!S105,RIGHT(Formulas!U105)+2),"")))</f>
        <v>REQ002 Menú</v>
      </c>
      <c r="T108" s="107" t="e" cm="1">
        <f t="array" aca="1" ref="T108" ca="1">IF(OR(Formulas!U106=0,Formulas!U106=""),"",HYPERLINK("["&amp;Archivo_Nombre&amp;"]Datos!"&amp;LEFT(SUBSTITUTE(ADDRESS(1,Formulas!U106+2),"$",""))&amp;Formulas!T106+1,
IFERROR(INDEX(Datos!$A$2:$L$101,Formulas!T106,Formulas!U106+2),"")))</f>
        <v>#VALUE!</v>
      </c>
      <c r="U108" s="5"/>
      <c r="V108" s="6"/>
      <c r="W108" s="24" t="str" cm="1">
        <f t="array" aca="1" ref="W108" ca="1">IF(OR(Formulas!Y105=0,Formulas!Y105="",RIGHT(Formulas!Z105)="0"),"",
HYPERLINK("["&amp;Archivo_Nombre&amp;"]Datos!"&amp;LEFT(SUBSTITUTE(ADDRESS(1,IF(Formulas!Y105=1,1,RIGHT(Formulas!Z105)+2)),"$",""))&amp;Formulas!X105+1,
IFERROR(INDEX(Datos!$A$1:$L$1,1,RIGHT(Formulas!Z105)+2)&amp;IF(Formulas!Y105=1," "&amp;Formulas!X105,"")&amp;":","")))</f>
        <v/>
      </c>
      <c r="X108" s="107" t="str" cm="1">
        <f t="array" aca="1" ref="X108" ca="1">IF(OR(Formulas!Y105=0,Formulas!Y105="",RIGHT(Formulas!Z105)="0"),"",
HYPERLINK("["&amp;Archivo_Nombre&amp;"]Datos!"&amp;LEFT(SUBSTITUTE(ADDRESS(1,RIGHT(Formulas!Z105)+2),"$",""))&amp;Formulas!X105+1,
IFERROR(INDEX(Datos!$A$2:$L$101,Formulas!X105,RIGHT(Formulas!Z105)+2),"")))</f>
        <v/>
      </c>
      <c r="Y108" s="107" t="str" cm="1">
        <f t="array" aca="1" ref="Y108" ca="1">IF(OR(Formulas!Z106=0,Formulas!Z106=""),"",HYPERLINK("["&amp;Archivo_Nombre&amp;"]Datos!"&amp;LEFT(SUBSTITUTE(ADDRESS(1,Formulas!Z106+2),"$",""))&amp;Formulas!Y106+1,
IFERROR(INDEX(Datos!$A$2:$L$101,Formulas!Y106,Formulas!Z106+2),"")))</f>
        <v/>
      </c>
      <c r="Z108" s="13"/>
      <c r="AA108" s="6"/>
      <c r="AB108" s="24" t="str" cm="1">
        <f t="array" aca="1" ref="AB108" ca="1">IF(OR(Formulas!AD105=0,Formulas!AD105="",RIGHT(Formulas!AE105)="0"),"",
HYPERLINK("["&amp;Archivo_Nombre&amp;"]Datos!"&amp;LEFT(SUBSTITUTE(ADDRESS(1,IF(Formulas!AD105=1,1,RIGHT(Formulas!AE105)+2)),"$",""))&amp;Formulas!AC105+1,
IFERROR(INDEX(Datos!$A$1:$L$1,1,RIGHT(Formulas!AE105)+2)&amp;IF(Formulas!AD105=1," "&amp;Formulas!AC105,"")&amp;":","")))</f>
        <v/>
      </c>
      <c r="AC108" s="107" t="str" cm="1">
        <f t="array" aca="1" ref="AC108" ca="1">IF(OR(Formulas!AD105=0,Formulas!AD105="",RIGHT(Formulas!AE105)="0"),"",
HYPERLINK("["&amp;Archivo_Nombre&amp;"]Datos!"&amp;LEFT(SUBSTITUTE(ADDRESS(1,RIGHT(Formulas!AE105)+2),"$",""))&amp;Formulas!AC105+1,
IFERROR(INDEX(Datos!$A$2:$L$101,Formulas!AC105,RIGHT(Formulas!AE105)+2),"")))</f>
        <v/>
      </c>
      <c r="AD108" s="107" t="str" cm="1">
        <f t="array" aca="1" ref="AD108" ca="1">IF(OR(Formulas!AE106=0,Formulas!AE106=""),"",HYPERLINK("["&amp;Archivo_Nombre&amp;"]Datos!"&amp;LEFT(SUBSTITUTE(ADDRESS(1,Formulas!AE106+2),"$",""))&amp;Formulas!AD106+1,
IFERROR(INDEX(Datos!$A$2:$L$101,Formulas!AD106,Formulas!AE106+2),"")))</f>
        <v/>
      </c>
      <c r="AE108" s="13"/>
      <c r="AF108" s="6"/>
      <c r="AG108" s="24" t="str" cm="1">
        <f t="array" aca="1" ref="AG108" ca="1">IF(OR(Formulas!AI105=0,Formulas!AI105="",RIGHT(Formulas!AJ105)="0"),"",
HYPERLINK("["&amp;Archivo_Nombre&amp;"]Datos!"&amp;LEFT(SUBSTITUTE(ADDRESS(1,IF(Formulas!AI105=1,1,RIGHT(Formulas!AJ105)+2)),"$",""))&amp;Formulas!AH105+1,
IFERROR(INDEX(Datos!$A$1:$L$1,1,RIGHT(Formulas!AJ105)+2)&amp;IF(Formulas!AI105=1," "&amp;Formulas!AH105,"")&amp;":","")))</f>
        <v/>
      </c>
      <c r="AH108" s="107" t="str" cm="1">
        <f t="array" aca="1" ref="AH108" ca="1">IF(OR(Formulas!AI105=0,Formulas!AI105="",RIGHT(Formulas!AJ105)="0"),"",
HYPERLINK("["&amp;Archivo_Nombre&amp;"]Datos!"&amp;LEFT(SUBSTITUTE(ADDRESS(1,RIGHT(Formulas!AJ105)+2),"$",""))&amp;Formulas!AH105+1,
IFERROR(INDEX(Datos!$A$2:$L$101,Formulas!AH105,RIGHT(Formulas!AJ105)+2),"")))</f>
        <v/>
      </c>
      <c r="AI108" s="107" t="str" cm="1">
        <f t="array" aca="1" ref="AI108" ca="1">IF(OR(Formulas!AJ106=0,Formulas!AJ106=""),"",HYPERLINK("["&amp;Archivo_Nombre&amp;"]Datos!"&amp;LEFT(SUBSTITUTE(ADDRESS(1,Formulas!AJ106+2),"$",""))&amp;Formulas!AI106+1,
IFERROR(INDEX(Datos!$A$2:$L$101,Formulas!AI106,Formulas!AJ106+2),"")))</f>
        <v/>
      </c>
      <c r="AJ108" s="13"/>
      <c r="AK108" s="6"/>
      <c r="AL108" s="24" t="str" cm="1">
        <f t="array" aca="1" ref="AL108" ca="1">IF(OR(Formulas!AN105=0,Formulas!AN105="",RIGHT(Formulas!AO105)="0"),"",
HYPERLINK("["&amp;Archivo_Nombre&amp;"]Datos!"&amp;LEFT(SUBSTITUTE(ADDRESS(1,IF(Formulas!AN105=1,1,RIGHT(Formulas!AO105)+2)),"$",""))&amp;Formulas!AM105+1,
IFERROR(INDEX(Datos!$A$1:$L$1,1,RIGHT(Formulas!AO105)+2)&amp;IF(Formulas!AN105=1," "&amp;Formulas!AM105,"")&amp;":","")))</f>
        <v/>
      </c>
      <c r="AM108" s="107" t="str" cm="1">
        <f t="array" aca="1" ref="AM108" ca="1">IF(OR(Formulas!AN105=0,Formulas!AN105="",RIGHT(Formulas!AO105)="0"),"",
HYPERLINK("["&amp;Archivo_Nombre&amp;"]Datos!"&amp;LEFT(SUBSTITUTE(ADDRESS(1,RIGHT(Formulas!AO105)+2),"$",""))&amp;Formulas!AM105+1,
IFERROR(INDEX(Datos!$A$2:$L$101,Formulas!AM105,RIGHT(Formulas!AO105)+2),"")))</f>
        <v/>
      </c>
      <c r="AN108" s="107" t="str" cm="1">
        <f t="array" aca="1" ref="AN108" ca="1">IF(OR(Formulas!AO106=0,Formulas!AO106=""),"",HYPERLINK("["&amp;Archivo_Nombre&amp;"]Datos!"&amp;LEFT(SUBSTITUTE(ADDRESS(1,Formulas!AO106+2),"$",""))&amp;Formulas!AN106+1,
IFERROR(INDEX(Datos!$A$2:$L$101,Formulas!AN106,Formulas!AO106+2),"")))</f>
        <v/>
      </c>
      <c r="AO108" s="13"/>
      <c r="AP108" s="6"/>
      <c r="AQ108" s="24" t="str" cm="1">
        <f t="array" aca="1" ref="AQ108" ca="1">IF(OR(Formulas!AS105=0,Formulas!AS105="",RIGHT(Formulas!AT105)="0"),"",
HYPERLINK("["&amp;Archivo_Nombre&amp;"]Datos!"&amp;LEFT(SUBSTITUTE(ADDRESS(1,IF(Formulas!AS105=1,1,RIGHT(Formulas!AT105)+2)),"$",""))&amp;Formulas!AR105+1,
IFERROR(INDEX(Datos!$A$1:$L$1,1,RIGHT(Formulas!AT105)+2)&amp;IF(Formulas!AS105=1," "&amp;Formulas!AR105,"")&amp;":","")))</f>
        <v/>
      </c>
      <c r="AR108" s="107" t="str" cm="1">
        <f t="array" aca="1" ref="AR108" ca="1">IF(OR(Formulas!AS105=0,Formulas!AS105="",RIGHT(Formulas!AT105)="0"),"",
HYPERLINK("["&amp;Archivo_Nombre&amp;"]Datos!"&amp;LEFT(SUBSTITUTE(ADDRESS(1,RIGHT(Formulas!AT105)+2),"$",""))&amp;Formulas!AR105+1,
IFERROR(INDEX(Datos!$A$2:$L$101,Formulas!AR105,RIGHT(Formulas!AT105)+2),"")))</f>
        <v/>
      </c>
      <c r="AS108" s="107" t="str" cm="1">
        <f t="array" aca="1" ref="AS108" ca="1">IF(OR(Formulas!AT106=0,Formulas!AT106=""),"",HYPERLINK("["&amp;Archivo_Nombre&amp;"]Datos!"&amp;LEFT(SUBSTITUTE(ADDRESS(1,Formulas!AT106+2),"$",""))&amp;Formulas!AS106+1,
IFERROR(INDEX(Datos!$A$2:$L$101,Formulas!AS106,Formulas!AT106+2),"")))</f>
        <v/>
      </c>
      <c r="AT108" s="13"/>
      <c r="AU108" s="6"/>
      <c r="AV108" s="24" t="str" cm="1">
        <f t="array" aca="1" ref="AV108" ca="1">IF(OR(Formulas!AX105=0,Formulas!AX105="",RIGHT(Formulas!AY105)="0"),"",
HYPERLINK("["&amp;Archivo_Nombre&amp;"]Datos!"&amp;LEFT(SUBSTITUTE(ADDRESS(1,IF(Formulas!AX105=1,1,RIGHT(Formulas!AY105)+2)),"$",""))&amp;Formulas!AW105+1,
IFERROR(INDEX(Datos!$A$1:$L$1,1,RIGHT(Formulas!AY105)+2)&amp;IF(Formulas!AX105=1," "&amp;Formulas!AW105,"")&amp;":","")))</f>
        <v/>
      </c>
      <c r="AW108" s="107" t="str" cm="1">
        <f t="array" aca="1" ref="AW108" ca="1">IF(OR(Formulas!AX105=0,Formulas!AX105="",RIGHT(Formulas!AY105)="0"),"",
HYPERLINK("["&amp;Archivo_Nombre&amp;"]Datos!"&amp;LEFT(SUBSTITUTE(ADDRESS(1,RIGHT(Formulas!AY105)+2),"$",""))&amp;Formulas!AW105+1,
IFERROR(INDEX(Datos!$A$2:$L$101,Formulas!AW105,RIGHT(Formulas!AY105)+2),"")))</f>
        <v/>
      </c>
      <c r="AX108" s="107" t="str" cm="1">
        <f t="array" aca="1" ref="AX108" ca="1">IF(OR(Formulas!AY106=0,Formulas!AY106=""),"",HYPERLINK("["&amp;Archivo_Nombre&amp;"]Datos!"&amp;LEFT(SUBSTITUTE(ADDRESS(1,Formulas!AY106+2),"$",""))&amp;Formulas!AX106+1,
IFERROR(INDEX(Datos!$A$2:$L$101,Formulas!AX106,Formulas!AY106+2),"")))</f>
        <v/>
      </c>
      <c r="AY108" s="13"/>
    </row>
    <row r="109" spans="2:51" x14ac:dyDescent="0.25">
      <c r="B109" s="11"/>
      <c r="C109" s="24" t="str" cm="1">
        <f t="array" aca="1" ref="C109" ca="1">IF(OR(Formulas!E106=0,Formulas!E106="",RIGHT(Formulas!F106)="0"),"",
HYPERLINK("["&amp;Archivo_Nombre&amp;"]Datos!"&amp;LEFT(SUBSTITUTE(ADDRESS(1,IF(Formulas!E106=1,1,RIGHT(Formulas!F106)+2)),"$",""))&amp;Formulas!D106+1,
IFERROR(INDEX(Datos!$A$1:$L$1,1,RIGHT(Formulas!F106)+2)&amp;IF(Formulas!E106=1," "&amp;Formulas!D106,"")&amp;":","")))</f>
        <v/>
      </c>
      <c r="D109" s="107" t="str" cm="1">
        <f t="array" aca="1" ref="D109" ca="1">IF(OR(Formulas!E106=0,Formulas!E106="",RIGHT(Formulas!F106)="0"),"",
HYPERLINK("["&amp;Archivo_Nombre&amp;"]Datos!"&amp;LEFT(SUBSTITUTE(ADDRESS(1,RIGHT(Formulas!F106)+2),"$",""))&amp;Formulas!D106+1,
IFERROR(INDEX(Datos!$A$2:$L$101,Formulas!D106,RIGHT(Formulas!F106)+2),"")))</f>
        <v/>
      </c>
      <c r="E109" s="107" t="str" cm="1">
        <f t="array" aca="1" ref="E109" ca="1">IF(OR(Formulas!F107=0,Formulas!F107=""),"",HYPERLINK("["&amp;Archivo_Nombre&amp;"]Datos!"&amp;LEFT(SUBSTITUTE(ADDRESS(1,Formulas!F107+2),"$",""))&amp;Formulas!E107+1,
IFERROR(INDEX(Datos!$A$2:$L$101,Formulas!E107,Formulas!F107+2),"")))</f>
        <v/>
      </c>
      <c r="F109" s="5"/>
      <c r="G109" s="6"/>
      <c r="H109" s="24" t="str" cm="1">
        <f t="array" aca="1" ref="H109" ca="1">IF(OR(Formulas!J106=0,Formulas!J106="",RIGHT(Formulas!K106)="0"),"",
HYPERLINK("["&amp;Archivo_Nombre&amp;"]Datos!"&amp;LEFT(SUBSTITUTE(ADDRESS(1,IF(Formulas!J106=1,1,RIGHT(Formulas!K106)+2)),"$",""))&amp;Formulas!I106+1,
IFERROR(INDEX(Datos!$A$1:$L$1,1,RIGHT(Formulas!K106)+2)&amp;IF(Formulas!J106=1," "&amp;Formulas!I106,"")&amp;":","")))</f>
        <v/>
      </c>
      <c r="I109" s="107" t="str" cm="1">
        <f t="array" aca="1" ref="I109" ca="1">IF(OR(Formulas!J106=0,Formulas!J106="",RIGHT(Formulas!K106)="0"),"",
HYPERLINK("["&amp;Archivo_Nombre&amp;"]Datos!"&amp;LEFT(SUBSTITUTE(ADDRESS(1,RIGHT(Formulas!K106)+2),"$",""))&amp;Formulas!I106+1,
IFERROR(INDEX(Datos!$A$2:$L$101,Formulas!I106,RIGHT(Formulas!K106)+2),"")))</f>
        <v/>
      </c>
      <c r="J109" s="107" t="str" cm="1">
        <f t="array" aca="1" ref="J109" ca="1">IF(OR(Formulas!K107=0,Formulas!K107=""),"",HYPERLINK("["&amp;Archivo_Nombre&amp;"]Datos!"&amp;LEFT(SUBSTITUTE(ADDRESS(1,Formulas!K107+2),"$",""))&amp;Formulas!J107+1,
IFERROR(INDEX(Datos!$A$2:$L$101,Formulas!J107,Formulas!K107+2),"")))</f>
        <v/>
      </c>
      <c r="K109" s="5"/>
      <c r="L109" s="6"/>
      <c r="M109" s="24" t="str" cm="1">
        <f t="array" aca="1" ref="M109" ca="1">IF(OR(Formulas!O106=0,Formulas!O106="",RIGHT(Formulas!P106)="0"),"",
HYPERLINK("["&amp;Archivo_Nombre&amp;"]Datos!"&amp;LEFT(SUBSTITUTE(ADDRESS(1,IF(Formulas!O106=1,1,RIGHT(Formulas!P106)+2)),"$",""))&amp;Formulas!N106+1,
IFERROR(INDEX(Datos!$A$1:$L$1,1,RIGHT(Formulas!P106)+2)&amp;IF(Formulas!O106=1," "&amp;Formulas!N106,"")&amp;":","")))</f>
        <v/>
      </c>
      <c r="N109" s="107" t="str" cm="1">
        <f t="array" aca="1" ref="N109" ca="1">IF(OR(Formulas!O106=0,Formulas!O106="",RIGHT(Formulas!P106)="0"),"",
HYPERLINK("["&amp;Archivo_Nombre&amp;"]Datos!"&amp;LEFT(SUBSTITUTE(ADDRESS(1,RIGHT(Formulas!P106)+2),"$",""))&amp;Formulas!N106+1,
IFERROR(INDEX(Datos!$A$2:$L$101,Formulas!N106,RIGHT(Formulas!P106)+2),"")))</f>
        <v/>
      </c>
      <c r="O109" s="107" t="str" cm="1">
        <f t="array" aca="1" ref="O109" ca="1">IF(OR(Formulas!P107=0,Formulas!P107=""),"",HYPERLINK("["&amp;Archivo_Nombre&amp;"]Datos!"&amp;LEFT(SUBSTITUTE(ADDRESS(1,Formulas!P107+2),"$",""))&amp;Formulas!O107+1,
IFERROR(INDEX(Datos!$A$2:$L$101,Formulas!O107,Formulas!P107+2),"")))</f>
        <v/>
      </c>
      <c r="P109" s="5"/>
      <c r="Q109" s="6"/>
      <c r="R109" s="24" t="str" cm="1">
        <f t="array" aca="1" ref="R109" ca="1">IF(OR(Formulas!T106=0,Formulas!T106="",RIGHT(Formulas!U106)="0"),"",
HYPERLINK("["&amp;Archivo_Nombre&amp;"]Datos!"&amp;LEFT(SUBSTITUTE(ADDRESS(1,IF(Formulas!T106=1,1,RIGHT(Formulas!U106)+2)),"$",""))&amp;Formulas!S106+1,
IFERROR(INDEX(Datos!$A$1:$L$1,1,RIGHT(Formulas!U106)+2)&amp;IF(Formulas!T106=1," "&amp;Formulas!S106,"")&amp;":","")))</f>
        <v>Inicio:</v>
      </c>
      <c r="S109" s="107" cm="1">
        <f t="array" aca="1" ref="S109" ca="1">IF(OR(Formulas!T106=0,Formulas!T106="",RIGHT(Formulas!U106)="0"),"",
HYPERLINK("["&amp;Archivo_Nombre&amp;"]Datos!"&amp;LEFT(SUBSTITUTE(ADDRESS(1,RIGHT(Formulas!U106)+2),"$",""))&amp;Formulas!S106+1,
IFERROR(INDEX(Datos!$A$2:$L$101,Formulas!S106,RIGHT(Formulas!U106)+2),"")))</f>
        <v>45800</v>
      </c>
      <c r="T109" s="107" t="e" cm="1">
        <f t="array" aca="1" ref="T109" ca="1">IF(OR(Formulas!U107=0,Formulas!U107=""),"",HYPERLINK("["&amp;Archivo_Nombre&amp;"]Datos!"&amp;LEFT(SUBSTITUTE(ADDRESS(1,Formulas!U107+2),"$",""))&amp;Formulas!T107+1,
IFERROR(INDEX(Datos!$A$2:$L$101,Formulas!T107,Formulas!U107+2),"")))</f>
        <v>#VALUE!</v>
      </c>
      <c r="U109" s="5"/>
      <c r="V109" s="6"/>
      <c r="W109" s="24" t="str" cm="1">
        <f t="array" aca="1" ref="W109" ca="1">IF(OR(Formulas!Y106=0,Formulas!Y106="",RIGHT(Formulas!Z106)="0"),"",
HYPERLINK("["&amp;Archivo_Nombre&amp;"]Datos!"&amp;LEFT(SUBSTITUTE(ADDRESS(1,IF(Formulas!Y106=1,1,RIGHT(Formulas!Z106)+2)),"$",""))&amp;Formulas!X106+1,
IFERROR(INDEX(Datos!$A$1:$L$1,1,RIGHT(Formulas!Z106)+2)&amp;IF(Formulas!Y106=1," "&amp;Formulas!X106,"")&amp;":","")))</f>
        <v/>
      </c>
      <c r="X109" s="107" t="str" cm="1">
        <f t="array" aca="1" ref="X109" ca="1">IF(OR(Formulas!Y106=0,Formulas!Y106="",RIGHT(Formulas!Z106)="0"),"",
HYPERLINK("["&amp;Archivo_Nombre&amp;"]Datos!"&amp;LEFT(SUBSTITUTE(ADDRESS(1,RIGHT(Formulas!Z106)+2),"$",""))&amp;Formulas!X106+1,
IFERROR(INDEX(Datos!$A$2:$L$101,Formulas!X106,RIGHT(Formulas!Z106)+2),"")))</f>
        <v/>
      </c>
      <c r="Y109" s="107" t="str" cm="1">
        <f t="array" aca="1" ref="Y109" ca="1">IF(OR(Formulas!Z107=0,Formulas!Z107=""),"",HYPERLINK("["&amp;Archivo_Nombre&amp;"]Datos!"&amp;LEFT(SUBSTITUTE(ADDRESS(1,Formulas!Z107+2),"$",""))&amp;Formulas!Y107+1,
IFERROR(INDEX(Datos!$A$2:$L$101,Formulas!Y107,Formulas!Z107+2),"")))</f>
        <v/>
      </c>
      <c r="Z109" s="13"/>
      <c r="AA109" s="6"/>
      <c r="AB109" s="24" t="str" cm="1">
        <f t="array" aca="1" ref="AB109" ca="1">IF(OR(Formulas!AD106=0,Formulas!AD106="",RIGHT(Formulas!AE106)="0"),"",
HYPERLINK("["&amp;Archivo_Nombre&amp;"]Datos!"&amp;LEFT(SUBSTITUTE(ADDRESS(1,IF(Formulas!AD106=1,1,RIGHT(Formulas!AE106)+2)),"$",""))&amp;Formulas!AC106+1,
IFERROR(INDEX(Datos!$A$1:$L$1,1,RIGHT(Formulas!AE106)+2)&amp;IF(Formulas!AD106=1," "&amp;Formulas!AC106,"")&amp;":","")))</f>
        <v/>
      </c>
      <c r="AC109" s="107" t="str" cm="1">
        <f t="array" aca="1" ref="AC109" ca="1">IF(OR(Formulas!AD106=0,Formulas!AD106="",RIGHT(Formulas!AE106)="0"),"",
HYPERLINK("["&amp;Archivo_Nombre&amp;"]Datos!"&amp;LEFT(SUBSTITUTE(ADDRESS(1,RIGHT(Formulas!AE106)+2),"$",""))&amp;Formulas!AC106+1,
IFERROR(INDEX(Datos!$A$2:$L$101,Formulas!AC106,RIGHT(Formulas!AE106)+2),"")))</f>
        <v/>
      </c>
      <c r="AD109" s="107" t="str" cm="1">
        <f t="array" aca="1" ref="AD109" ca="1">IF(OR(Formulas!AE107=0,Formulas!AE107=""),"",HYPERLINK("["&amp;Archivo_Nombre&amp;"]Datos!"&amp;LEFT(SUBSTITUTE(ADDRESS(1,Formulas!AE107+2),"$",""))&amp;Formulas!AD107+1,
IFERROR(INDEX(Datos!$A$2:$L$101,Formulas!AD107,Formulas!AE107+2),"")))</f>
        <v/>
      </c>
      <c r="AE109" s="13"/>
      <c r="AF109" s="6"/>
      <c r="AG109" s="24" t="str" cm="1">
        <f t="array" aca="1" ref="AG109" ca="1">IF(OR(Formulas!AI106=0,Formulas!AI106="",RIGHT(Formulas!AJ106)="0"),"",
HYPERLINK("["&amp;Archivo_Nombre&amp;"]Datos!"&amp;LEFT(SUBSTITUTE(ADDRESS(1,IF(Formulas!AI106=1,1,RIGHT(Formulas!AJ106)+2)),"$",""))&amp;Formulas!AH106+1,
IFERROR(INDEX(Datos!$A$1:$L$1,1,RIGHT(Formulas!AJ106)+2)&amp;IF(Formulas!AI106=1," "&amp;Formulas!AH106,"")&amp;":","")))</f>
        <v/>
      </c>
      <c r="AH109" s="107" t="str" cm="1">
        <f t="array" aca="1" ref="AH109" ca="1">IF(OR(Formulas!AI106=0,Formulas!AI106="",RIGHT(Formulas!AJ106)="0"),"",
HYPERLINK("["&amp;Archivo_Nombre&amp;"]Datos!"&amp;LEFT(SUBSTITUTE(ADDRESS(1,RIGHT(Formulas!AJ106)+2),"$",""))&amp;Formulas!AH106+1,
IFERROR(INDEX(Datos!$A$2:$L$101,Formulas!AH106,RIGHT(Formulas!AJ106)+2),"")))</f>
        <v/>
      </c>
      <c r="AI109" s="107" t="str" cm="1">
        <f t="array" aca="1" ref="AI109" ca="1">IF(OR(Formulas!AJ107=0,Formulas!AJ107=""),"",HYPERLINK("["&amp;Archivo_Nombre&amp;"]Datos!"&amp;LEFT(SUBSTITUTE(ADDRESS(1,Formulas!AJ107+2),"$",""))&amp;Formulas!AI107+1,
IFERROR(INDEX(Datos!$A$2:$L$101,Formulas!AI107,Formulas!AJ107+2),"")))</f>
        <v/>
      </c>
      <c r="AJ109" s="13"/>
      <c r="AK109" s="6"/>
      <c r="AL109" s="24" t="str" cm="1">
        <f t="array" aca="1" ref="AL109" ca="1">IF(OR(Formulas!AN106=0,Formulas!AN106="",RIGHT(Formulas!AO106)="0"),"",
HYPERLINK("["&amp;Archivo_Nombre&amp;"]Datos!"&amp;LEFT(SUBSTITUTE(ADDRESS(1,IF(Formulas!AN106=1,1,RIGHT(Formulas!AO106)+2)),"$",""))&amp;Formulas!AM106+1,
IFERROR(INDEX(Datos!$A$1:$L$1,1,RIGHT(Formulas!AO106)+2)&amp;IF(Formulas!AN106=1," "&amp;Formulas!AM106,"")&amp;":","")))</f>
        <v/>
      </c>
      <c r="AM109" s="107" t="str" cm="1">
        <f t="array" aca="1" ref="AM109" ca="1">IF(OR(Formulas!AN106=0,Formulas!AN106="",RIGHT(Formulas!AO106)="0"),"",
HYPERLINK("["&amp;Archivo_Nombre&amp;"]Datos!"&amp;LEFT(SUBSTITUTE(ADDRESS(1,RIGHT(Formulas!AO106)+2),"$",""))&amp;Formulas!AM106+1,
IFERROR(INDEX(Datos!$A$2:$L$101,Formulas!AM106,RIGHT(Formulas!AO106)+2),"")))</f>
        <v/>
      </c>
      <c r="AN109" s="107" t="str" cm="1">
        <f t="array" aca="1" ref="AN109" ca="1">IF(OR(Formulas!AO107=0,Formulas!AO107=""),"",HYPERLINK("["&amp;Archivo_Nombre&amp;"]Datos!"&amp;LEFT(SUBSTITUTE(ADDRESS(1,Formulas!AO107+2),"$",""))&amp;Formulas!AN107+1,
IFERROR(INDEX(Datos!$A$2:$L$101,Formulas!AN107,Formulas!AO107+2),"")))</f>
        <v/>
      </c>
      <c r="AO109" s="13"/>
      <c r="AP109" s="6"/>
      <c r="AQ109" s="24" t="str" cm="1">
        <f t="array" aca="1" ref="AQ109" ca="1">IF(OR(Formulas!AS106=0,Formulas!AS106="",RIGHT(Formulas!AT106)="0"),"",
HYPERLINK("["&amp;Archivo_Nombre&amp;"]Datos!"&amp;LEFT(SUBSTITUTE(ADDRESS(1,IF(Formulas!AS106=1,1,RIGHT(Formulas!AT106)+2)),"$",""))&amp;Formulas!AR106+1,
IFERROR(INDEX(Datos!$A$1:$L$1,1,RIGHT(Formulas!AT106)+2)&amp;IF(Formulas!AS106=1," "&amp;Formulas!AR106,"")&amp;":","")))</f>
        <v/>
      </c>
      <c r="AR109" s="107" t="str" cm="1">
        <f t="array" aca="1" ref="AR109" ca="1">IF(OR(Formulas!AS106=0,Formulas!AS106="",RIGHT(Formulas!AT106)="0"),"",
HYPERLINK("["&amp;Archivo_Nombre&amp;"]Datos!"&amp;LEFT(SUBSTITUTE(ADDRESS(1,RIGHT(Formulas!AT106)+2),"$",""))&amp;Formulas!AR106+1,
IFERROR(INDEX(Datos!$A$2:$L$101,Formulas!AR106,RIGHT(Formulas!AT106)+2),"")))</f>
        <v/>
      </c>
      <c r="AS109" s="107" t="str" cm="1">
        <f t="array" aca="1" ref="AS109" ca="1">IF(OR(Formulas!AT107=0,Formulas!AT107=""),"",HYPERLINK("["&amp;Archivo_Nombre&amp;"]Datos!"&amp;LEFT(SUBSTITUTE(ADDRESS(1,Formulas!AT107+2),"$",""))&amp;Formulas!AS107+1,
IFERROR(INDEX(Datos!$A$2:$L$101,Formulas!AS107,Formulas!AT107+2),"")))</f>
        <v/>
      </c>
      <c r="AT109" s="13"/>
      <c r="AU109" s="6"/>
      <c r="AV109" s="24" t="str" cm="1">
        <f t="array" aca="1" ref="AV109" ca="1">IF(OR(Formulas!AX106=0,Formulas!AX106="",RIGHT(Formulas!AY106)="0"),"",
HYPERLINK("["&amp;Archivo_Nombre&amp;"]Datos!"&amp;LEFT(SUBSTITUTE(ADDRESS(1,IF(Formulas!AX106=1,1,RIGHT(Formulas!AY106)+2)),"$",""))&amp;Formulas!AW106+1,
IFERROR(INDEX(Datos!$A$1:$L$1,1,RIGHT(Formulas!AY106)+2)&amp;IF(Formulas!AX106=1," "&amp;Formulas!AW106,"")&amp;":","")))</f>
        <v/>
      </c>
      <c r="AW109" s="107" t="str" cm="1">
        <f t="array" aca="1" ref="AW109" ca="1">IF(OR(Formulas!AX106=0,Formulas!AX106="",RIGHT(Formulas!AY106)="0"),"",
HYPERLINK("["&amp;Archivo_Nombre&amp;"]Datos!"&amp;LEFT(SUBSTITUTE(ADDRESS(1,RIGHT(Formulas!AY106)+2),"$",""))&amp;Formulas!AW106+1,
IFERROR(INDEX(Datos!$A$2:$L$101,Formulas!AW106,RIGHT(Formulas!AY106)+2),"")))</f>
        <v/>
      </c>
      <c r="AX109" s="107" t="str" cm="1">
        <f t="array" aca="1" ref="AX109" ca="1">IF(OR(Formulas!AY107=0,Formulas!AY107=""),"",HYPERLINK("["&amp;Archivo_Nombre&amp;"]Datos!"&amp;LEFT(SUBSTITUTE(ADDRESS(1,Formulas!AY107+2),"$",""))&amp;Formulas!AX107+1,
IFERROR(INDEX(Datos!$A$2:$L$101,Formulas!AX107,Formulas!AY107+2),"")))</f>
        <v/>
      </c>
      <c r="AY109" s="13"/>
    </row>
    <row r="110" spans="2:51" x14ac:dyDescent="0.25">
      <c r="B110" s="11"/>
      <c r="C110" s="24" t="str" cm="1">
        <f t="array" aca="1" ref="C110" ca="1">IF(OR(Formulas!E107=0,Formulas!E107="",RIGHT(Formulas!F107)="0"),"",
HYPERLINK("["&amp;Archivo_Nombre&amp;"]Datos!"&amp;LEFT(SUBSTITUTE(ADDRESS(1,IF(Formulas!E107=1,1,RIGHT(Formulas!F107)+2)),"$",""))&amp;Formulas!D107+1,
IFERROR(INDEX(Datos!$A$1:$L$1,1,RIGHT(Formulas!F107)+2)&amp;IF(Formulas!E107=1," "&amp;Formulas!D107,"")&amp;":","")))</f>
        <v/>
      </c>
      <c r="D110" s="107" t="str" cm="1">
        <f t="array" aca="1" ref="D110" ca="1">IF(OR(Formulas!E107=0,Formulas!E107="",RIGHT(Formulas!F107)="0"),"",
HYPERLINK("["&amp;Archivo_Nombre&amp;"]Datos!"&amp;LEFT(SUBSTITUTE(ADDRESS(1,RIGHT(Formulas!F107)+2),"$",""))&amp;Formulas!D107+1,
IFERROR(INDEX(Datos!$A$2:$L$101,Formulas!D107,RIGHT(Formulas!F107)+2),"")))</f>
        <v/>
      </c>
      <c r="E110" s="107" t="str" cm="1">
        <f t="array" aca="1" ref="E110" ca="1">IF(OR(Formulas!F108=0,Formulas!F108=""),"",HYPERLINK("["&amp;Archivo_Nombre&amp;"]Datos!"&amp;LEFT(SUBSTITUTE(ADDRESS(1,Formulas!F108+2),"$",""))&amp;Formulas!E108+1,
IFERROR(INDEX(Datos!$A$2:$L$101,Formulas!E108,Formulas!F108+2),"")))</f>
        <v/>
      </c>
      <c r="F110" s="5"/>
      <c r="G110" s="6"/>
      <c r="H110" s="24" t="str" cm="1">
        <f t="array" aca="1" ref="H110" ca="1">IF(OR(Formulas!J107=0,Formulas!J107="",RIGHT(Formulas!K107)="0"),"",
HYPERLINK("["&amp;Archivo_Nombre&amp;"]Datos!"&amp;LEFT(SUBSTITUTE(ADDRESS(1,IF(Formulas!J107=1,1,RIGHT(Formulas!K107)+2)),"$",""))&amp;Formulas!I107+1,
IFERROR(INDEX(Datos!$A$1:$L$1,1,RIGHT(Formulas!K107)+2)&amp;IF(Formulas!J107=1," "&amp;Formulas!I107,"")&amp;":","")))</f>
        <v/>
      </c>
      <c r="I110" s="107" t="str" cm="1">
        <f t="array" aca="1" ref="I110" ca="1">IF(OR(Formulas!J107=0,Formulas!J107="",RIGHT(Formulas!K107)="0"),"",
HYPERLINK("["&amp;Archivo_Nombre&amp;"]Datos!"&amp;LEFT(SUBSTITUTE(ADDRESS(1,RIGHT(Formulas!K107)+2),"$",""))&amp;Formulas!I107+1,
IFERROR(INDEX(Datos!$A$2:$L$101,Formulas!I107,RIGHT(Formulas!K107)+2),"")))</f>
        <v/>
      </c>
      <c r="J110" s="107" t="str" cm="1">
        <f t="array" aca="1" ref="J110" ca="1">IF(OR(Formulas!K108=0,Formulas!K108=""),"",HYPERLINK("["&amp;Archivo_Nombre&amp;"]Datos!"&amp;LEFT(SUBSTITUTE(ADDRESS(1,Formulas!K108+2),"$",""))&amp;Formulas!J108+1,
IFERROR(INDEX(Datos!$A$2:$L$101,Formulas!J108,Formulas!K108+2),"")))</f>
        <v/>
      </c>
      <c r="K110" s="5"/>
      <c r="L110" s="6"/>
      <c r="M110" s="24" t="str" cm="1">
        <f t="array" aca="1" ref="M110" ca="1">IF(OR(Formulas!O107=0,Formulas!O107="",RIGHT(Formulas!P107)="0"),"",
HYPERLINK("["&amp;Archivo_Nombre&amp;"]Datos!"&amp;LEFT(SUBSTITUTE(ADDRESS(1,IF(Formulas!O107=1,1,RIGHT(Formulas!P107)+2)),"$",""))&amp;Formulas!N107+1,
IFERROR(INDEX(Datos!$A$1:$L$1,1,RIGHT(Formulas!P107)+2)&amp;IF(Formulas!O107=1," "&amp;Formulas!N107,"")&amp;":","")))</f>
        <v/>
      </c>
      <c r="N110" s="107" t="str" cm="1">
        <f t="array" aca="1" ref="N110" ca="1">IF(OR(Formulas!O107=0,Formulas!O107="",RIGHT(Formulas!P107)="0"),"",
HYPERLINK("["&amp;Archivo_Nombre&amp;"]Datos!"&amp;LEFT(SUBSTITUTE(ADDRESS(1,RIGHT(Formulas!P107)+2),"$",""))&amp;Formulas!N107+1,
IFERROR(INDEX(Datos!$A$2:$L$101,Formulas!N107,RIGHT(Formulas!P107)+2),"")))</f>
        <v/>
      </c>
      <c r="O110" s="107" t="str" cm="1">
        <f t="array" aca="1" ref="O110" ca="1">IF(OR(Formulas!P108=0,Formulas!P108=""),"",HYPERLINK("["&amp;Archivo_Nombre&amp;"]Datos!"&amp;LEFT(SUBSTITUTE(ADDRESS(1,Formulas!P108+2),"$",""))&amp;Formulas!O108+1,
IFERROR(INDEX(Datos!$A$2:$L$101,Formulas!O108,Formulas!P108+2),"")))</f>
        <v/>
      </c>
      <c r="P110" s="5"/>
      <c r="Q110" s="6"/>
      <c r="R110" s="24" t="str" cm="1">
        <f t="array" aca="1" ref="R110" ca="1">IF(OR(Formulas!T107=0,Formulas!T107="",RIGHT(Formulas!U107)="0"),"",
HYPERLINK("["&amp;Archivo_Nombre&amp;"]Datos!"&amp;LEFT(SUBSTITUTE(ADDRESS(1,IF(Formulas!T107=1,1,RIGHT(Formulas!U107)+2)),"$",""))&amp;Formulas!S107+1,
IFERROR(INDEX(Datos!$A$1:$L$1,1,RIGHT(Formulas!U107)+2)&amp;IF(Formulas!T107=1," "&amp;Formulas!S107,"")&amp;":","")))</f>
        <v>Previsto:</v>
      </c>
      <c r="S110" s="107" cm="1">
        <f t="array" aca="1" ref="S110" ca="1">IF(OR(Formulas!T107=0,Formulas!T107="",RIGHT(Formulas!U107)="0"),"",
HYPERLINK("["&amp;Archivo_Nombre&amp;"]Datos!"&amp;LEFT(SUBSTITUTE(ADDRESS(1,RIGHT(Formulas!U107)+2),"$",""))&amp;Formulas!S107+1,
IFERROR(INDEX(Datos!$A$2:$L$101,Formulas!S107,RIGHT(Formulas!U107)+2),"")))</f>
        <v>45803</v>
      </c>
      <c r="T110" s="107" t="e" cm="1">
        <f t="array" aca="1" ref="T110" ca="1">IF(OR(Formulas!U108=0,Formulas!U108=""),"",HYPERLINK("["&amp;Archivo_Nombre&amp;"]Datos!"&amp;LEFT(SUBSTITUTE(ADDRESS(1,Formulas!U108+2),"$",""))&amp;Formulas!T108+1,
IFERROR(INDEX(Datos!$A$2:$L$101,Formulas!T108,Formulas!U108+2),"")))</f>
        <v>#VALUE!</v>
      </c>
      <c r="U110" s="5"/>
      <c r="V110" s="6"/>
      <c r="W110" s="24" t="str" cm="1">
        <f t="array" aca="1" ref="W110" ca="1">IF(OR(Formulas!Y107=0,Formulas!Y107="",RIGHT(Formulas!Z107)="0"),"",
HYPERLINK("["&amp;Archivo_Nombre&amp;"]Datos!"&amp;LEFT(SUBSTITUTE(ADDRESS(1,IF(Formulas!Y107=1,1,RIGHT(Formulas!Z107)+2)),"$",""))&amp;Formulas!X107+1,
IFERROR(INDEX(Datos!$A$1:$L$1,1,RIGHT(Formulas!Z107)+2)&amp;IF(Formulas!Y107=1," "&amp;Formulas!X107,"")&amp;":","")))</f>
        <v/>
      </c>
      <c r="X110" s="107" t="str" cm="1">
        <f t="array" aca="1" ref="X110" ca="1">IF(OR(Formulas!Y107=0,Formulas!Y107="",RIGHT(Formulas!Z107)="0"),"",
HYPERLINK("["&amp;Archivo_Nombre&amp;"]Datos!"&amp;LEFT(SUBSTITUTE(ADDRESS(1,RIGHT(Formulas!Z107)+2),"$",""))&amp;Formulas!X107+1,
IFERROR(INDEX(Datos!$A$2:$L$101,Formulas!X107,RIGHT(Formulas!Z107)+2),"")))</f>
        <v/>
      </c>
      <c r="Y110" s="107" t="str" cm="1">
        <f t="array" aca="1" ref="Y110" ca="1">IF(OR(Formulas!Z108=0,Formulas!Z108=""),"",HYPERLINK("["&amp;Archivo_Nombre&amp;"]Datos!"&amp;LEFT(SUBSTITUTE(ADDRESS(1,Formulas!Z108+2),"$",""))&amp;Formulas!Y108+1,
IFERROR(INDEX(Datos!$A$2:$L$101,Formulas!Y108,Formulas!Z108+2),"")))</f>
        <v/>
      </c>
      <c r="Z110" s="13"/>
      <c r="AA110" s="6"/>
      <c r="AB110" s="24" t="str" cm="1">
        <f t="array" aca="1" ref="AB110" ca="1">IF(OR(Formulas!AD107=0,Formulas!AD107="",RIGHT(Formulas!AE107)="0"),"",
HYPERLINK("["&amp;Archivo_Nombre&amp;"]Datos!"&amp;LEFT(SUBSTITUTE(ADDRESS(1,IF(Formulas!AD107=1,1,RIGHT(Formulas!AE107)+2)),"$",""))&amp;Formulas!AC107+1,
IFERROR(INDEX(Datos!$A$1:$L$1,1,RIGHT(Formulas!AE107)+2)&amp;IF(Formulas!AD107=1," "&amp;Formulas!AC107,"")&amp;":","")))</f>
        <v/>
      </c>
      <c r="AC110" s="107" t="str" cm="1">
        <f t="array" aca="1" ref="AC110" ca="1">IF(OR(Formulas!AD107=0,Formulas!AD107="",RIGHT(Formulas!AE107)="0"),"",
HYPERLINK("["&amp;Archivo_Nombre&amp;"]Datos!"&amp;LEFT(SUBSTITUTE(ADDRESS(1,RIGHT(Formulas!AE107)+2),"$",""))&amp;Formulas!AC107+1,
IFERROR(INDEX(Datos!$A$2:$L$101,Formulas!AC107,RIGHT(Formulas!AE107)+2),"")))</f>
        <v/>
      </c>
      <c r="AD110" s="107" t="str" cm="1">
        <f t="array" aca="1" ref="AD110" ca="1">IF(OR(Formulas!AE108=0,Formulas!AE108=""),"",HYPERLINK("["&amp;Archivo_Nombre&amp;"]Datos!"&amp;LEFT(SUBSTITUTE(ADDRESS(1,Formulas!AE108+2),"$",""))&amp;Formulas!AD108+1,
IFERROR(INDEX(Datos!$A$2:$L$101,Formulas!AD108,Formulas!AE108+2),"")))</f>
        <v/>
      </c>
      <c r="AE110" s="13"/>
      <c r="AF110" s="6"/>
      <c r="AG110" s="24" t="str" cm="1">
        <f t="array" aca="1" ref="AG110" ca="1">IF(OR(Formulas!AI107=0,Formulas!AI107="",RIGHT(Formulas!AJ107)="0"),"",
HYPERLINK("["&amp;Archivo_Nombre&amp;"]Datos!"&amp;LEFT(SUBSTITUTE(ADDRESS(1,IF(Formulas!AI107=1,1,RIGHT(Formulas!AJ107)+2)),"$",""))&amp;Formulas!AH107+1,
IFERROR(INDEX(Datos!$A$1:$L$1,1,RIGHT(Formulas!AJ107)+2)&amp;IF(Formulas!AI107=1," "&amp;Formulas!AH107,"")&amp;":","")))</f>
        <v/>
      </c>
      <c r="AH110" s="107" t="str" cm="1">
        <f t="array" aca="1" ref="AH110" ca="1">IF(OR(Formulas!AI107=0,Formulas!AI107="",RIGHT(Formulas!AJ107)="0"),"",
HYPERLINK("["&amp;Archivo_Nombre&amp;"]Datos!"&amp;LEFT(SUBSTITUTE(ADDRESS(1,RIGHT(Formulas!AJ107)+2),"$",""))&amp;Formulas!AH107+1,
IFERROR(INDEX(Datos!$A$2:$L$101,Formulas!AH107,RIGHT(Formulas!AJ107)+2),"")))</f>
        <v/>
      </c>
      <c r="AI110" s="107" t="str" cm="1">
        <f t="array" aca="1" ref="AI110" ca="1">IF(OR(Formulas!AJ108=0,Formulas!AJ108=""),"",HYPERLINK("["&amp;Archivo_Nombre&amp;"]Datos!"&amp;LEFT(SUBSTITUTE(ADDRESS(1,Formulas!AJ108+2),"$",""))&amp;Formulas!AI108+1,
IFERROR(INDEX(Datos!$A$2:$L$101,Formulas!AI108,Formulas!AJ108+2),"")))</f>
        <v/>
      </c>
      <c r="AJ110" s="13"/>
      <c r="AK110" s="6"/>
      <c r="AL110" s="24" t="str" cm="1">
        <f t="array" aca="1" ref="AL110" ca="1">IF(OR(Formulas!AN107=0,Formulas!AN107="",RIGHT(Formulas!AO107)="0"),"",
HYPERLINK("["&amp;Archivo_Nombre&amp;"]Datos!"&amp;LEFT(SUBSTITUTE(ADDRESS(1,IF(Formulas!AN107=1,1,RIGHT(Formulas!AO107)+2)),"$",""))&amp;Formulas!AM107+1,
IFERROR(INDEX(Datos!$A$1:$L$1,1,RIGHT(Formulas!AO107)+2)&amp;IF(Formulas!AN107=1," "&amp;Formulas!AM107,"")&amp;":","")))</f>
        <v/>
      </c>
      <c r="AM110" s="107" t="str" cm="1">
        <f t="array" aca="1" ref="AM110" ca="1">IF(OR(Formulas!AN107=0,Formulas!AN107="",RIGHT(Formulas!AO107)="0"),"",
HYPERLINK("["&amp;Archivo_Nombre&amp;"]Datos!"&amp;LEFT(SUBSTITUTE(ADDRESS(1,RIGHT(Formulas!AO107)+2),"$",""))&amp;Formulas!AM107+1,
IFERROR(INDEX(Datos!$A$2:$L$101,Formulas!AM107,RIGHT(Formulas!AO107)+2),"")))</f>
        <v/>
      </c>
      <c r="AN110" s="107" t="str" cm="1">
        <f t="array" aca="1" ref="AN110" ca="1">IF(OR(Formulas!AO108=0,Formulas!AO108=""),"",HYPERLINK("["&amp;Archivo_Nombre&amp;"]Datos!"&amp;LEFT(SUBSTITUTE(ADDRESS(1,Formulas!AO108+2),"$",""))&amp;Formulas!AN108+1,
IFERROR(INDEX(Datos!$A$2:$L$101,Formulas!AN108,Formulas!AO108+2),"")))</f>
        <v/>
      </c>
      <c r="AO110" s="13"/>
      <c r="AP110" s="6"/>
      <c r="AQ110" s="24" t="str" cm="1">
        <f t="array" aca="1" ref="AQ110" ca="1">IF(OR(Formulas!AS107=0,Formulas!AS107="",RIGHT(Formulas!AT107)="0"),"",
HYPERLINK("["&amp;Archivo_Nombre&amp;"]Datos!"&amp;LEFT(SUBSTITUTE(ADDRESS(1,IF(Formulas!AS107=1,1,RIGHT(Formulas!AT107)+2)),"$",""))&amp;Formulas!AR107+1,
IFERROR(INDEX(Datos!$A$1:$L$1,1,RIGHT(Formulas!AT107)+2)&amp;IF(Formulas!AS107=1," "&amp;Formulas!AR107,"")&amp;":","")))</f>
        <v/>
      </c>
      <c r="AR110" s="107" t="str" cm="1">
        <f t="array" aca="1" ref="AR110" ca="1">IF(OR(Formulas!AS107=0,Formulas!AS107="",RIGHT(Formulas!AT107)="0"),"",
HYPERLINK("["&amp;Archivo_Nombre&amp;"]Datos!"&amp;LEFT(SUBSTITUTE(ADDRESS(1,RIGHT(Formulas!AT107)+2),"$",""))&amp;Formulas!AR107+1,
IFERROR(INDEX(Datos!$A$2:$L$101,Formulas!AR107,RIGHT(Formulas!AT107)+2),"")))</f>
        <v/>
      </c>
      <c r="AS110" s="107" t="str" cm="1">
        <f t="array" aca="1" ref="AS110" ca="1">IF(OR(Formulas!AT108=0,Formulas!AT108=""),"",HYPERLINK("["&amp;Archivo_Nombre&amp;"]Datos!"&amp;LEFT(SUBSTITUTE(ADDRESS(1,Formulas!AT108+2),"$",""))&amp;Formulas!AS108+1,
IFERROR(INDEX(Datos!$A$2:$L$101,Formulas!AS108,Formulas!AT108+2),"")))</f>
        <v/>
      </c>
      <c r="AT110" s="13"/>
      <c r="AU110" s="6"/>
      <c r="AV110" s="24" t="str" cm="1">
        <f t="array" aca="1" ref="AV110" ca="1">IF(OR(Formulas!AX107=0,Formulas!AX107="",RIGHT(Formulas!AY107)="0"),"",
HYPERLINK("["&amp;Archivo_Nombre&amp;"]Datos!"&amp;LEFT(SUBSTITUTE(ADDRESS(1,IF(Formulas!AX107=1,1,RIGHT(Formulas!AY107)+2)),"$",""))&amp;Formulas!AW107+1,
IFERROR(INDEX(Datos!$A$1:$L$1,1,RIGHT(Formulas!AY107)+2)&amp;IF(Formulas!AX107=1," "&amp;Formulas!AW107,"")&amp;":","")))</f>
        <v/>
      </c>
      <c r="AW110" s="107" t="str" cm="1">
        <f t="array" aca="1" ref="AW110" ca="1">IF(OR(Formulas!AX107=0,Formulas!AX107="",RIGHT(Formulas!AY107)="0"),"",
HYPERLINK("["&amp;Archivo_Nombre&amp;"]Datos!"&amp;LEFT(SUBSTITUTE(ADDRESS(1,RIGHT(Formulas!AY107)+2),"$",""))&amp;Formulas!AW107+1,
IFERROR(INDEX(Datos!$A$2:$L$101,Formulas!AW107,RIGHT(Formulas!AY107)+2),"")))</f>
        <v/>
      </c>
      <c r="AX110" s="107" t="str" cm="1">
        <f t="array" aca="1" ref="AX110" ca="1">IF(OR(Formulas!AY108=0,Formulas!AY108=""),"",HYPERLINK("["&amp;Archivo_Nombre&amp;"]Datos!"&amp;LEFT(SUBSTITUTE(ADDRESS(1,Formulas!AY108+2),"$",""))&amp;Formulas!AX108+1,
IFERROR(INDEX(Datos!$A$2:$L$101,Formulas!AX108,Formulas!AY108+2),"")))</f>
        <v/>
      </c>
      <c r="AY110" s="13"/>
    </row>
    <row r="111" spans="2:51" x14ac:dyDescent="0.25">
      <c r="B111" s="11"/>
      <c r="C111" s="24" t="str" cm="1">
        <f t="array" aca="1" ref="C111" ca="1">IF(OR(Formulas!E108=0,Formulas!E108="",RIGHT(Formulas!F108)="0"),"",
HYPERLINK("["&amp;Archivo_Nombre&amp;"]Datos!"&amp;LEFT(SUBSTITUTE(ADDRESS(1,IF(Formulas!E108=1,1,RIGHT(Formulas!F108)+2)),"$",""))&amp;Formulas!D108+1,
IFERROR(INDEX(Datos!$A$1:$L$1,1,RIGHT(Formulas!F108)+2)&amp;IF(Formulas!E108=1," "&amp;Formulas!D108,"")&amp;":","")))</f>
        <v/>
      </c>
      <c r="D111" s="107" t="str" cm="1">
        <f t="array" aca="1" ref="D111" ca="1">IF(OR(Formulas!E108=0,Formulas!E108="",RIGHT(Formulas!F108)="0"),"",
HYPERLINK("["&amp;Archivo_Nombre&amp;"]Datos!"&amp;LEFT(SUBSTITUTE(ADDRESS(1,RIGHT(Formulas!F108)+2),"$",""))&amp;Formulas!D108+1,
IFERROR(INDEX(Datos!$A$2:$L$101,Formulas!D108,RIGHT(Formulas!F108)+2),"")))</f>
        <v/>
      </c>
      <c r="E111" s="107" t="str" cm="1">
        <f t="array" aca="1" ref="E111" ca="1">IF(OR(Formulas!F109=0,Formulas!F109=""),"",HYPERLINK("["&amp;Archivo_Nombre&amp;"]Datos!"&amp;LEFT(SUBSTITUTE(ADDRESS(1,Formulas!F109+2),"$",""))&amp;Formulas!E109+1,
IFERROR(INDEX(Datos!$A$2:$L$101,Formulas!E109,Formulas!F109+2),"")))</f>
        <v/>
      </c>
      <c r="F111" s="5"/>
      <c r="G111" s="6"/>
      <c r="H111" s="24" t="str" cm="1">
        <f t="array" aca="1" ref="H111" ca="1">IF(OR(Formulas!J108=0,Formulas!J108="",RIGHT(Formulas!K108)="0"),"",
HYPERLINK("["&amp;Archivo_Nombre&amp;"]Datos!"&amp;LEFT(SUBSTITUTE(ADDRESS(1,IF(Formulas!J108=1,1,RIGHT(Formulas!K108)+2)),"$",""))&amp;Formulas!I108+1,
IFERROR(INDEX(Datos!$A$1:$L$1,1,RIGHT(Formulas!K108)+2)&amp;IF(Formulas!J108=1," "&amp;Formulas!I108,"")&amp;":","")))</f>
        <v/>
      </c>
      <c r="I111" s="107" t="str" cm="1">
        <f t="array" aca="1" ref="I111" ca="1">IF(OR(Formulas!J108=0,Formulas!J108="",RIGHT(Formulas!K108)="0"),"",
HYPERLINK("["&amp;Archivo_Nombre&amp;"]Datos!"&amp;LEFT(SUBSTITUTE(ADDRESS(1,RIGHT(Formulas!K108)+2),"$",""))&amp;Formulas!I108+1,
IFERROR(INDEX(Datos!$A$2:$L$101,Formulas!I108,RIGHT(Formulas!K108)+2),"")))</f>
        <v/>
      </c>
      <c r="J111" s="107" t="str" cm="1">
        <f t="array" aca="1" ref="J111" ca="1">IF(OR(Formulas!K109=0,Formulas!K109=""),"",HYPERLINK("["&amp;Archivo_Nombre&amp;"]Datos!"&amp;LEFT(SUBSTITUTE(ADDRESS(1,Formulas!K109+2),"$",""))&amp;Formulas!J109+1,
IFERROR(INDEX(Datos!$A$2:$L$101,Formulas!J109,Formulas!K109+2),"")))</f>
        <v/>
      </c>
      <c r="K111" s="5"/>
      <c r="L111" s="6"/>
      <c r="M111" s="24" t="str" cm="1">
        <f t="array" aca="1" ref="M111" ca="1">IF(OR(Formulas!O108=0,Formulas!O108="",RIGHT(Formulas!P108)="0"),"",
HYPERLINK("["&amp;Archivo_Nombre&amp;"]Datos!"&amp;LEFT(SUBSTITUTE(ADDRESS(1,IF(Formulas!O108=1,1,RIGHT(Formulas!P108)+2)),"$",""))&amp;Formulas!N108+1,
IFERROR(INDEX(Datos!$A$1:$L$1,1,RIGHT(Formulas!P108)+2)&amp;IF(Formulas!O108=1," "&amp;Formulas!N108,"")&amp;":","")))</f>
        <v/>
      </c>
      <c r="N111" s="107" t="str" cm="1">
        <f t="array" aca="1" ref="N111" ca="1">IF(OR(Formulas!O108=0,Formulas!O108="",RIGHT(Formulas!P108)="0"),"",
HYPERLINK("["&amp;Archivo_Nombre&amp;"]Datos!"&amp;LEFT(SUBSTITUTE(ADDRESS(1,RIGHT(Formulas!P108)+2),"$",""))&amp;Formulas!N108+1,
IFERROR(INDEX(Datos!$A$2:$L$101,Formulas!N108,RIGHT(Formulas!P108)+2),"")))</f>
        <v/>
      </c>
      <c r="O111" s="107" t="str" cm="1">
        <f t="array" aca="1" ref="O111" ca="1">IF(OR(Formulas!P109=0,Formulas!P109=""),"",HYPERLINK("["&amp;Archivo_Nombre&amp;"]Datos!"&amp;LEFT(SUBSTITUTE(ADDRESS(1,Formulas!P109+2),"$",""))&amp;Formulas!O109+1,
IFERROR(INDEX(Datos!$A$2:$L$101,Formulas!O109,Formulas!P109+2),"")))</f>
        <v/>
      </c>
      <c r="P111" s="5"/>
      <c r="Q111" s="6"/>
      <c r="R111" s="24" t="str" cm="1">
        <f t="array" aca="1" ref="R111" ca="1">IF(OR(Formulas!T108=0,Formulas!T108="",RIGHT(Formulas!U108)="0"),"",
HYPERLINK("["&amp;Archivo_Nombre&amp;"]Datos!"&amp;LEFT(SUBSTITUTE(ADDRESS(1,IF(Formulas!T108=1,1,RIGHT(Formulas!U108)+2)),"$",""))&amp;Formulas!S108+1,
IFERROR(INDEX(Datos!$A$1:$L$1,1,RIGHT(Formulas!U108)+2)&amp;IF(Formulas!T108=1," "&amp;Formulas!S108,"")&amp;":","")))</f>
        <v>Final:</v>
      </c>
      <c r="S111" s="107" cm="1">
        <f t="array" aca="1" ref="S111" ca="1">IF(OR(Formulas!T108=0,Formulas!T108="",RIGHT(Formulas!U108)="0"),"",
HYPERLINK("["&amp;Archivo_Nombre&amp;"]Datos!"&amp;LEFT(SUBSTITUTE(ADDRESS(1,RIGHT(Formulas!U108)+2),"$",""))&amp;Formulas!S108+1,
IFERROR(INDEX(Datos!$A$2:$L$101,Formulas!S108,RIGHT(Formulas!U108)+2),"")))</f>
        <v>45803</v>
      </c>
      <c r="T111" s="107" t="e" cm="1">
        <f t="array" aca="1" ref="T111" ca="1">IF(OR(Formulas!U109=0,Formulas!U109=""),"",HYPERLINK("["&amp;Archivo_Nombre&amp;"]Datos!"&amp;LEFT(SUBSTITUTE(ADDRESS(1,Formulas!U109+2),"$",""))&amp;Formulas!T109+1,
IFERROR(INDEX(Datos!$A$2:$L$101,Formulas!T109,Formulas!U109+2),"")))</f>
        <v>#VALUE!</v>
      </c>
      <c r="U111" s="5"/>
      <c r="V111" s="6"/>
      <c r="W111" s="24" t="str" cm="1">
        <f t="array" aca="1" ref="W111" ca="1">IF(OR(Formulas!Y108=0,Formulas!Y108="",RIGHT(Formulas!Z108)="0"),"",
HYPERLINK("["&amp;Archivo_Nombre&amp;"]Datos!"&amp;LEFT(SUBSTITUTE(ADDRESS(1,IF(Formulas!Y108=1,1,RIGHT(Formulas!Z108)+2)),"$",""))&amp;Formulas!X108+1,
IFERROR(INDEX(Datos!$A$1:$L$1,1,RIGHT(Formulas!Z108)+2)&amp;IF(Formulas!Y108=1," "&amp;Formulas!X108,"")&amp;":","")))</f>
        <v/>
      </c>
      <c r="X111" s="107" t="str" cm="1">
        <f t="array" aca="1" ref="X111" ca="1">IF(OR(Formulas!Y108=0,Formulas!Y108="",RIGHT(Formulas!Z108)="0"),"",
HYPERLINK("["&amp;Archivo_Nombre&amp;"]Datos!"&amp;LEFT(SUBSTITUTE(ADDRESS(1,RIGHT(Formulas!Z108)+2),"$",""))&amp;Formulas!X108+1,
IFERROR(INDEX(Datos!$A$2:$L$101,Formulas!X108,RIGHT(Formulas!Z108)+2),"")))</f>
        <v/>
      </c>
      <c r="Y111" s="107" t="str" cm="1">
        <f t="array" aca="1" ref="Y111" ca="1">IF(OR(Formulas!Z109=0,Formulas!Z109=""),"",HYPERLINK("["&amp;Archivo_Nombre&amp;"]Datos!"&amp;LEFT(SUBSTITUTE(ADDRESS(1,Formulas!Z109+2),"$",""))&amp;Formulas!Y109+1,
IFERROR(INDEX(Datos!$A$2:$L$101,Formulas!Y109,Formulas!Z109+2),"")))</f>
        <v/>
      </c>
      <c r="Z111" s="13"/>
      <c r="AA111" s="6"/>
      <c r="AB111" s="24" t="str" cm="1">
        <f t="array" aca="1" ref="AB111" ca="1">IF(OR(Formulas!AD108=0,Formulas!AD108="",RIGHT(Formulas!AE108)="0"),"",
HYPERLINK("["&amp;Archivo_Nombre&amp;"]Datos!"&amp;LEFT(SUBSTITUTE(ADDRESS(1,IF(Formulas!AD108=1,1,RIGHT(Formulas!AE108)+2)),"$",""))&amp;Formulas!AC108+1,
IFERROR(INDEX(Datos!$A$1:$L$1,1,RIGHT(Formulas!AE108)+2)&amp;IF(Formulas!AD108=1," "&amp;Formulas!AC108,"")&amp;":","")))</f>
        <v/>
      </c>
      <c r="AC111" s="107" t="str" cm="1">
        <f t="array" aca="1" ref="AC111" ca="1">IF(OR(Formulas!AD108=0,Formulas!AD108="",RIGHT(Formulas!AE108)="0"),"",
HYPERLINK("["&amp;Archivo_Nombre&amp;"]Datos!"&amp;LEFT(SUBSTITUTE(ADDRESS(1,RIGHT(Formulas!AE108)+2),"$",""))&amp;Formulas!AC108+1,
IFERROR(INDEX(Datos!$A$2:$L$101,Formulas!AC108,RIGHT(Formulas!AE108)+2),"")))</f>
        <v/>
      </c>
      <c r="AD111" s="107" t="str" cm="1">
        <f t="array" aca="1" ref="AD111" ca="1">IF(OR(Formulas!AE109=0,Formulas!AE109=""),"",HYPERLINK("["&amp;Archivo_Nombre&amp;"]Datos!"&amp;LEFT(SUBSTITUTE(ADDRESS(1,Formulas!AE109+2),"$",""))&amp;Formulas!AD109+1,
IFERROR(INDEX(Datos!$A$2:$L$101,Formulas!AD109,Formulas!AE109+2),"")))</f>
        <v/>
      </c>
      <c r="AE111" s="13"/>
      <c r="AF111" s="6"/>
      <c r="AG111" s="24" t="str" cm="1">
        <f t="array" aca="1" ref="AG111" ca="1">IF(OR(Formulas!AI108=0,Formulas!AI108="",RIGHT(Formulas!AJ108)="0"),"",
HYPERLINK("["&amp;Archivo_Nombre&amp;"]Datos!"&amp;LEFT(SUBSTITUTE(ADDRESS(1,IF(Formulas!AI108=1,1,RIGHT(Formulas!AJ108)+2)),"$",""))&amp;Formulas!AH108+1,
IFERROR(INDEX(Datos!$A$1:$L$1,1,RIGHT(Formulas!AJ108)+2)&amp;IF(Formulas!AI108=1," "&amp;Formulas!AH108,"")&amp;":","")))</f>
        <v/>
      </c>
      <c r="AH111" s="107" t="str" cm="1">
        <f t="array" aca="1" ref="AH111" ca="1">IF(OR(Formulas!AI108=0,Formulas!AI108="",RIGHT(Formulas!AJ108)="0"),"",
HYPERLINK("["&amp;Archivo_Nombre&amp;"]Datos!"&amp;LEFT(SUBSTITUTE(ADDRESS(1,RIGHT(Formulas!AJ108)+2),"$",""))&amp;Formulas!AH108+1,
IFERROR(INDEX(Datos!$A$2:$L$101,Formulas!AH108,RIGHT(Formulas!AJ108)+2),"")))</f>
        <v/>
      </c>
      <c r="AI111" s="107" t="str" cm="1">
        <f t="array" aca="1" ref="AI111" ca="1">IF(OR(Formulas!AJ109=0,Formulas!AJ109=""),"",HYPERLINK("["&amp;Archivo_Nombre&amp;"]Datos!"&amp;LEFT(SUBSTITUTE(ADDRESS(1,Formulas!AJ109+2),"$",""))&amp;Formulas!AI109+1,
IFERROR(INDEX(Datos!$A$2:$L$101,Formulas!AI109,Formulas!AJ109+2),"")))</f>
        <v/>
      </c>
      <c r="AJ111" s="13"/>
      <c r="AK111" s="6"/>
      <c r="AL111" s="24" t="str" cm="1">
        <f t="array" aca="1" ref="AL111" ca="1">IF(OR(Formulas!AN108=0,Formulas!AN108="",RIGHT(Formulas!AO108)="0"),"",
HYPERLINK("["&amp;Archivo_Nombre&amp;"]Datos!"&amp;LEFT(SUBSTITUTE(ADDRESS(1,IF(Formulas!AN108=1,1,RIGHT(Formulas!AO108)+2)),"$",""))&amp;Formulas!AM108+1,
IFERROR(INDEX(Datos!$A$1:$L$1,1,RIGHT(Formulas!AO108)+2)&amp;IF(Formulas!AN108=1," "&amp;Formulas!AM108,"")&amp;":","")))</f>
        <v/>
      </c>
      <c r="AM111" s="107" t="str" cm="1">
        <f t="array" aca="1" ref="AM111" ca="1">IF(OR(Formulas!AN108=0,Formulas!AN108="",RIGHT(Formulas!AO108)="0"),"",
HYPERLINK("["&amp;Archivo_Nombre&amp;"]Datos!"&amp;LEFT(SUBSTITUTE(ADDRESS(1,RIGHT(Formulas!AO108)+2),"$",""))&amp;Formulas!AM108+1,
IFERROR(INDEX(Datos!$A$2:$L$101,Formulas!AM108,RIGHT(Formulas!AO108)+2),"")))</f>
        <v/>
      </c>
      <c r="AN111" s="107" t="str" cm="1">
        <f t="array" aca="1" ref="AN111" ca="1">IF(OR(Formulas!AO109=0,Formulas!AO109=""),"",HYPERLINK("["&amp;Archivo_Nombre&amp;"]Datos!"&amp;LEFT(SUBSTITUTE(ADDRESS(1,Formulas!AO109+2),"$",""))&amp;Formulas!AN109+1,
IFERROR(INDEX(Datos!$A$2:$L$101,Formulas!AN109,Formulas!AO109+2),"")))</f>
        <v/>
      </c>
      <c r="AO111" s="13"/>
      <c r="AP111" s="6"/>
      <c r="AQ111" s="24" t="str" cm="1">
        <f t="array" aca="1" ref="AQ111" ca="1">IF(OR(Formulas!AS108=0,Formulas!AS108="",RIGHT(Formulas!AT108)="0"),"",
HYPERLINK("["&amp;Archivo_Nombre&amp;"]Datos!"&amp;LEFT(SUBSTITUTE(ADDRESS(1,IF(Formulas!AS108=1,1,RIGHT(Formulas!AT108)+2)),"$",""))&amp;Formulas!AR108+1,
IFERROR(INDEX(Datos!$A$1:$L$1,1,RIGHT(Formulas!AT108)+2)&amp;IF(Formulas!AS108=1," "&amp;Formulas!AR108,"")&amp;":","")))</f>
        <v/>
      </c>
      <c r="AR111" s="107" t="str" cm="1">
        <f t="array" aca="1" ref="AR111" ca="1">IF(OR(Formulas!AS108=0,Formulas!AS108="",RIGHT(Formulas!AT108)="0"),"",
HYPERLINK("["&amp;Archivo_Nombre&amp;"]Datos!"&amp;LEFT(SUBSTITUTE(ADDRESS(1,RIGHT(Formulas!AT108)+2),"$",""))&amp;Formulas!AR108+1,
IFERROR(INDEX(Datos!$A$2:$L$101,Formulas!AR108,RIGHT(Formulas!AT108)+2),"")))</f>
        <v/>
      </c>
      <c r="AS111" s="107" t="str" cm="1">
        <f t="array" aca="1" ref="AS111" ca="1">IF(OR(Formulas!AT109=0,Formulas!AT109=""),"",HYPERLINK("["&amp;Archivo_Nombre&amp;"]Datos!"&amp;LEFT(SUBSTITUTE(ADDRESS(1,Formulas!AT109+2),"$",""))&amp;Formulas!AS109+1,
IFERROR(INDEX(Datos!$A$2:$L$101,Formulas!AS109,Formulas!AT109+2),"")))</f>
        <v/>
      </c>
      <c r="AT111" s="13"/>
      <c r="AU111" s="6"/>
      <c r="AV111" s="24" t="str" cm="1">
        <f t="array" aca="1" ref="AV111" ca="1">IF(OR(Formulas!AX108=0,Formulas!AX108="",RIGHT(Formulas!AY108)="0"),"",
HYPERLINK("["&amp;Archivo_Nombre&amp;"]Datos!"&amp;LEFT(SUBSTITUTE(ADDRESS(1,IF(Formulas!AX108=1,1,RIGHT(Formulas!AY108)+2)),"$",""))&amp;Formulas!AW108+1,
IFERROR(INDEX(Datos!$A$1:$L$1,1,RIGHT(Formulas!AY108)+2)&amp;IF(Formulas!AX108=1," "&amp;Formulas!AW108,"")&amp;":","")))</f>
        <v/>
      </c>
      <c r="AW111" s="107" t="str" cm="1">
        <f t="array" aca="1" ref="AW111" ca="1">IF(OR(Formulas!AX108=0,Formulas!AX108="",RIGHT(Formulas!AY108)="0"),"",
HYPERLINK("["&amp;Archivo_Nombre&amp;"]Datos!"&amp;LEFT(SUBSTITUTE(ADDRESS(1,RIGHT(Formulas!AY108)+2),"$",""))&amp;Formulas!AW108+1,
IFERROR(INDEX(Datos!$A$2:$L$101,Formulas!AW108,RIGHT(Formulas!AY108)+2),"")))</f>
        <v/>
      </c>
      <c r="AX111" s="107" t="str" cm="1">
        <f t="array" aca="1" ref="AX111" ca="1">IF(OR(Formulas!AY109=0,Formulas!AY109=""),"",HYPERLINK("["&amp;Archivo_Nombre&amp;"]Datos!"&amp;LEFT(SUBSTITUTE(ADDRESS(1,Formulas!AY109+2),"$",""))&amp;Formulas!AX109+1,
IFERROR(INDEX(Datos!$A$2:$L$101,Formulas!AX109,Formulas!AY109+2),"")))</f>
        <v/>
      </c>
      <c r="AY111" s="13"/>
    </row>
    <row r="112" spans="2:51" x14ac:dyDescent="0.25">
      <c r="B112" s="11"/>
      <c r="C112" s="24" t="str" cm="1">
        <f t="array" aca="1" ref="C112" ca="1">IF(OR(Formulas!E109=0,Formulas!E109="",RIGHT(Formulas!F109)="0"),"",
HYPERLINK("["&amp;Archivo_Nombre&amp;"]Datos!"&amp;LEFT(SUBSTITUTE(ADDRESS(1,IF(Formulas!E109=1,1,RIGHT(Formulas!F109)+2)),"$",""))&amp;Formulas!D109+1,
IFERROR(INDEX(Datos!$A$1:$L$1,1,RIGHT(Formulas!F109)+2)&amp;IF(Formulas!E109=1," "&amp;Formulas!D109,"")&amp;":","")))</f>
        <v/>
      </c>
      <c r="D112" s="107" t="str" cm="1">
        <f t="array" aca="1" ref="D112" ca="1">IF(OR(Formulas!E109=0,Formulas!E109="",RIGHT(Formulas!F109)="0"),"",
HYPERLINK("["&amp;Archivo_Nombre&amp;"]Datos!"&amp;LEFT(SUBSTITUTE(ADDRESS(1,RIGHT(Formulas!F109)+2),"$",""))&amp;Formulas!D109+1,
IFERROR(INDEX(Datos!$A$2:$L$101,Formulas!D109,RIGHT(Formulas!F109)+2),"")))</f>
        <v/>
      </c>
      <c r="E112" s="107" t="str" cm="1">
        <f t="array" aca="1" ref="E112" ca="1">IF(OR(Formulas!F110=0,Formulas!F110=""),"",HYPERLINK("["&amp;Archivo_Nombre&amp;"]Datos!"&amp;LEFT(SUBSTITUTE(ADDRESS(1,Formulas!F110+2),"$",""))&amp;Formulas!E110+1,
IFERROR(INDEX(Datos!$A$2:$L$101,Formulas!E110,Formulas!F110+2),"")))</f>
        <v/>
      </c>
      <c r="F112" s="5"/>
      <c r="G112" s="6"/>
      <c r="H112" s="24" t="str" cm="1">
        <f t="array" aca="1" ref="H112" ca="1">IF(OR(Formulas!J109=0,Formulas!J109="",RIGHT(Formulas!K109)="0"),"",
HYPERLINK("["&amp;Archivo_Nombre&amp;"]Datos!"&amp;LEFT(SUBSTITUTE(ADDRESS(1,IF(Formulas!J109=1,1,RIGHT(Formulas!K109)+2)),"$",""))&amp;Formulas!I109+1,
IFERROR(INDEX(Datos!$A$1:$L$1,1,RIGHT(Formulas!K109)+2)&amp;IF(Formulas!J109=1," "&amp;Formulas!I109,"")&amp;":","")))</f>
        <v/>
      </c>
      <c r="I112" s="107" t="str" cm="1">
        <f t="array" aca="1" ref="I112" ca="1">IF(OR(Formulas!J109=0,Formulas!J109="",RIGHT(Formulas!K109)="0"),"",
HYPERLINK("["&amp;Archivo_Nombre&amp;"]Datos!"&amp;LEFT(SUBSTITUTE(ADDRESS(1,RIGHT(Formulas!K109)+2),"$",""))&amp;Formulas!I109+1,
IFERROR(INDEX(Datos!$A$2:$L$101,Formulas!I109,RIGHT(Formulas!K109)+2),"")))</f>
        <v/>
      </c>
      <c r="J112" s="107" t="str" cm="1">
        <f t="array" aca="1" ref="J112" ca="1">IF(OR(Formulas!K110=0,Formulas!K110=""),"",HYPERLINK("["&amp;Archivo_Nombre&amp;"]Datos!"&amp;LEFT(SUBSTITUTE(ADDRESS(1,Formulas!K110+2),"$",""))&amp;Formulas!J110+1,
IFERROR(INDEX(Datos!$A$2:$L$101,Formulas!J110,Formulas!K110+2),"")))</f>
        <v/>
      </c>
      <c r="K112" s="5"/>
      <c r="L112" s="6"/>
      <c r="M112" s="24" t="str" cm="1">
        <f t="array" aca="1" ref="M112" ca="1">IF(OR(Formulas!O109=0,Formulas!O109="",RIGHT(Formulas!P109)="0"),"",
HYPERLINK("["&amp;Archivo_Nombre&amp;"]Datos!"&amp;LEFT(SUBSTITUTE(ADDRESS(1,IF(Formulas!O109=1,1,RIGHT(Formulas!P109)+2)),"$",""))&amp;Formulas!N109+1,
IFERROR(INDEX(Datos!$A$1:$L$1,1,RIGHT(Formulas!P109)+2)&amp;IF(Formulas!O109=1," "&amp;Formulas!N109,"")&amp;":","")))</f>
        <v/>
      </c>
      <c r="N112" s="107" t="str" cm="1">
        <f t="array" aca="1" ref="N112" ca="1">IF(OR(Formulas!O109=0,Formulas!O109="",RIGHT(Formulas!P109)="0"),"",
HYPERLINK("["&amp;Archivo_Nombre&amp;"]Datos!"&amp;LEFT(SUBSTITUTE(ADDRESS(1,RIGHT(Formulas!P109)+2),"$",""))&amp;Formulas!N109+1,
IFERROR(INDEX(Datos!$A$2:$L$101,Formulas!N109,RIGHT(Formulas!P109)+2),"")))</f>
        <v/>
      </c>
      <c r="O112" s="107" t="str" cm="1">
        <f t="array" aca="1" ref="O112" ca="1">IF(OR(Formulas!P110=0,Formulas!P110=""),"",HYPERLINK("["&amp;Archivo_Nombre&amp;"]Datos!"&amp;LEFT(SUBSTITUTE(ADDRESS(1,Formulas!P110+2),"$",""))&amp;Formulas!O110+1,
IFERROR(INDEX(Datos!$A$2:$L$101,Formulas!O110,Formulas!P110+2),"")))</f>
        <v/>
      </c>
      <c r="P112" s="5"/>
      <c r="Q112" s="6"/>
      <c r="R112" s="24" t="str" cm="1">
        <f t="array" aca="1" ref="R112" ca="1">IF(OR(Formulas!T109=0,Formulas!T109="",RIGHT(Formulas!U109)="0"),"",
HYPERLINK("["&amp;Archivo_Nombre&amp;"]Datos!"&amp;LEFT(SUBSTITUTE(ADDRESS(1,IF(Formulas!T109=1,1,RIGHT(Formulas!U109)+2)),"$",""))&amp;Formulas!S109+1,
IFERROR(INDEX(Datos!$A$1:$L$1,1,RIGHT(Formulas!U109)+2)&amp;IF(Formulas!T109=1," "&amp;Formulas!S109,"")&amp;":","")))</f>
        <v>Duración:</v>
      </c>
      <c r="S112" s="107" t="str" cm="1">
        <f t="array" aca="1" ref="S112" ca="1">IF(OR(Formulas!T109=0,Formulas!T109="",RIGHT(Formulas!U109)="0"),"",
HYPERLINK("["&amp;Archivo_Nombre&amp;"]Datos!"&amp;LEFT(SUBSTITUTE(ADDRESS(1,RIGHT(Formulas!U109)+2),"$",""))&amp;Formulas!S109+1,
IFERROR(INDEX(Datos!$A$2:$L$101,Formulas!S109,RIGHT(Formulas!U109)+2),"")))</f>
        <v>3 días</v>
      </c>
      <c r="T112" s="107" t="e" cm="1">
        <f t="array" aca="1" ref="T112" ca="1">IF(OR(Formulas!U110=0,Formulas!U110=""),"",HYPERLINK("["&amp;Archivo_Nombre&amp;"]Datos!"&amp;LEFT(SUBSTITUTE(ADDRESS(1,Formulas!U110+2),"$",""))&amp;Formulas!T110+1,
IFERROR(INDEX(Datos!$A$2:$L$101,Formulas!T110,Formulas!U110+2),"")))</f>
        <v>#VALUE!</v>
      </c>
      <c r="U112" s="5"/>
      <c r="V112" s="6"/>
      <c r="W112" s="24" t="str" cm="1">
        <f t="array" aca="1" ref="W112" ca="1">IF(OR(Formulas!Y109=0,Formulas!Y109="",RIGHT(Formulas!Z109)="0"),"",
HYPERLINK("["&amp;Archivo_Nombre&amp;"]Datos!"&amp;LEFT(SUBSTITUTE(ADDRESS(1,IF(Formulas!Y109=1,1,RIGHT(Formulas!Z109)+2)),"$",""))&amp;Formulas!X109+1,
IFERROR(INDEX(Datos!$A$1:$L$1,1,RIGHT(Formulas!Z109)+2)&amp;IF(Formulas!Y109=1," "&amp;Formulas!X109,"")&amp;":","")))</f>
        <v/>
      </c>
      <c r="X112" s="107" t="str" cm="1">
        <f t="array" aca="1" ref="X112" ca="1">IF(OR(Formulas!Y109=0,Formulas!Y109="",RIGHT(Formulas!Z109)="0"),"",
HYPERLINK("["&amp;Archivo_Nombre&amp;"]Datos!"&amp;LEFT(SUBSTITUTE(ADDRESS(1,RIGHT(Formulas!Z109)+2),"$",""))&amp;Formulas!X109+1,
IFERROR(INDEX(Datos!$A$2:$L$101,Formulas!X109,RIGHT(Formulas!Z109)+2),"")))</f>
        <v/>
      </c>
      <c r="Y112" s="107" t="str" cm="1">
        <f t="array" aca="1" ref="Y112" ca="1">IF(OR(Formulas!Z110=0,Formulas!Z110=""),"",HYPERLINK("["&amp;Archivo_Nombre&amp;"]Datos!"&amp;LEFT(SUBSTITUTE(ADDRESS(1,Formulas!Z110+2),"$",""))&amp;Formulas!Y110+1,
IFERROR(INDEX(Datos!$A$2:$L$101,Formulas!Y110,Formulas!Z110+2),"")))</f>
        <v/>
      </c>
      <c r="Z112" s="13"/>
      <c r="AA112" s="6"/>
      <c r="AB112" s="24" t="str" cm="1">
        <f t="array" aca="1" ref="AB112" ca="1">IF(OR(Formulas!AD109=0,Formulas!AD109="",RIGHT(Formulas!AE109)="0"),"",
HYPERLINK("["&amp;Archivo_Nombre&amp;"]Datos!"&amp;LEFT(SUBSTITUTE(ADDRESS(1,IF(Formulas!AD109=1,1,RIGHT(Formulas!AE109)+2)),"$",""))&amp;Formulas!AC109+1,
IFERROR(INDEX(Datos!$A$1:$L$1,1,RIGHT(Formulas!AE109)+2)&amp;IF(Formulas!AD109=1," "&amp;Formulas!AC109,"")&amp;":","")))</f>
        <v/>
      </c>
      <c r="AC112" s="107" t="str" cm="1">
        <f t="array" aca="1" ref="AC112" ca="1">IF(OR(Formulas!AD109=0,Formulas!AD109="",RIGHT(Formulas!AE109)="0"),"",
HYPERLINK("["&amp;Archivo_Nombre&amp;"]Datos!"&amp;LEFT(SUBSTITUTE(ADDRESS(1,RIGHT(Formulas!AE109)+2),"$",""))&amp;Formulas!AC109+1,
IFERROR(INDEX(Datos!$A$2:$L$101,Formulas!AC109,RIGHT(Formulas!AE109)+2),"")))</f>
        <v/>
      </c>
      <c r="AD112" s="107" t="str" cm="1">
        <f t="array" aca="1" ref="AD112" ca="1">IF(OR(Formulas!AE110=0,Formulas!AE110=""),"",HYPERLINK("["&amp;Archivo_Nombre&amp;"]Datos!"&amp;LEFT(SUBSTITUTE(ADDRESS(1,Formulas!AE110+2),"$",""))&amp;Formulas!AD110+1,
IFERROR(INDEX(Datos!$A$2:$L$101,Formulas!AD110,Formulas!AE110+2),"")))</f>
        <v/>
      </c>
      <c r="AE112" s="13"/>
      <c r="AF112" s="6"/>
      <c r="AG112" s="24" t="str" cm="1">
        <f t="array" aca="1" ref="AG112" ca="1">IF(OR(Formulas!AI109=0,Formulas!AI109="",RIGHT(Formulas!AJ109)="0"),"",
HYPERLINK("["&amp;Archivo_Nombre&amp;"]Datos!"&amp;LEFT(SUBSTITUTE(ADDRESS(1,IF(Formulas!AI109=1,1,RIGHT(Formulas!AJ109)+2)),"$",""))&amp;Formulas!AH109+1,
IFERROR(INDEX(Datos!$A$1:$L$1,1,RIGHT(Formulas!AJ109)+2)&amp;IF(Formulas!AI109=1," "&amp;Formulas!AH109,"")&amp;":","")))</f>
        <v/>
      </c>
      <c r="AH112" s="107" t="str" cm="1">
        <f t="array" aca="1" ref="AH112" ca="1">IF(OR(Formulas!AI109=0,Formulas!AI109="",RIGHT(Formulas!AJ109)="0"),"",
HYPERLINK("["&amp;Archivo_Nombre&amp;"]Datos!"&amp;LEFT(SUBSTITUTE(ADDRESS(1,RIGHT(Formulas!AJ109)+2),"$",""))&amp;Formulas!AH109+1,
IFERROR(INDEX(Datos!$A$2:$L$101,Formulas!AH109,RIGHT(Formulas!AJ109)+2),"")))</f>
        <v/>
      </c>
      <c r="AI112" s="107" t="str" cm="1">
        <f t="array" aca="1" ref="AI112" ca="1">IF(OR(Formulas!AJ110=0,Formulas!AJ110=""),"",HYPERLINK("["&amp;Archivo_Nombre&amp;"]Datos!"&amp;LEFT(SUBSTITUTE(ADDRESS(1,Formulas!AJ110+2),"$",""))&amp;Formulas!AI110+1,
IFERROR(INDEX(Datos!$A$2:$L$101,Formulas!AI110,Formulas!AJ110+2),"")))</f>
        <v/>
      </c>
      <c r="AJ112" s="13"/>
      <c r="AK112" s="6"/>
      <c r="AL112" s="24" t="str" cm="1">
        <f t="array" aca="1" ref="AL112" ca="1">IF(OR(Formulas!AN109=0,Formulas!AN109="",RIGHT(Formulas!AO109)="0"),"",
HYPERLINK("["&amp;Archivo_Nombre&amp;"]Datos!"&amp;LEFT(SUBSTITUTE(ADDRESS(1,IF(Formulas!AN109=1,1,RIGHT(Formulas!AO109)+2)),"$",""))&amp;Formulas!AM109+1,
IFERROR(INDEX(Datos!$A$1:$L$1,1,RIGHT(Formulas!AO109)+2)&amp;IF(Formulas!AN109=1," "&amp;Formulas!AM109,"")&amp;":","")))</f>
        <v/>
      </c>
      <c r="AM112" s="107" t="str" cm="1">
        <f t="array" aca="1" ref="AM112" ca="1">IF(OR(Formulas!AN109=0,Formulas!AN109="",RIGHT(Formulas!AO109)="0"),"",
HYPERLINK("["&amp;Archivo_Nombre&amp;"]Datos!"&amp;LEFT(SUBSTITUTE(ADDRESS(1,RIGHT(Formulas!AO109)+2),"$",""))&amp;Formulas!AM109+1,
IFERROR(INDEX(Datos!$A$2:$L$101,Formulas!AM109,RIGHT(Formulas!AO109)+2),"")))</f>
        <v/>
      </c>
      <c r="AN112" s="107" t="str" cm="1">
        <f t="array" aca="1" ref="AN112" ca="1">IF(OR(Formulas!AO110=0,Formulas!AO110=""),"",HYPERLINK("["&amp;Archivo_Nombre&amp;"]Datos!"&amp;LEFT(SUBSTITUTE(ADDRESS(1,Formulas!AO110+2),"$",""))&amp;Formulas!AN110+1,
IFERROR(INDEX(Datos!$A$2:$L$101,Formulas!AN110,Formulas!AO110+2),"")))</f>
        <v/>
      </c>
      <c r="AO112" s="13"/>
      <c r="AP112" s="6"/>
      <c r="AQ112" s="24" t="str" cm="1">
        <f t="array" aca="1" ref="AQ112" ca="1">IF(OR(Formulas!AS109=0,Formulas!AS109="",RIGHT(Formulas!AT109)="0"),"",
HYPERLINK("["&amp;Archivo_Nombre&amp;"]Datos!"&amp;LEFT(SUBSTITUTE(ADDRESS(1,IF(Formulas!AS109=1,1,RIGHT(Formulas!AT109)+2)),"$",""))&amp;Formulas!AR109+1,
IFERROR(INDEX(Datos!$A$1:$L$1,1,RIGHT(Formulas!AT109)+2)&amp;IF(Formulas!AS109=1," "&amp;Formulas!AR109,"")&amp;":","")))</f>
        <v/>
      </c>
      <c r="AR112" s="107" t="str" cm="1">
        <f t="array" aca="1" ref="AR112" ca="1">IF(OR(Formulas!AS109=0,Formulas!AS109="",RIGHT(Formulas!AT109)="0"),"",
HYPERLINK("["&amp;Archivo_Nombre&amp;"]Datos!"&amp;LEFT(SUBSTITUTE(ADDRESS(1,RIGHT(Formulas!AT109)+2),"$",""))&amp;Formulas!AR109+1,
IFERROR(INDEX(Datos!$A$2:$L$101,Formulas!AR109,RIGHT(Formulas!AT109)+2),"")))</f>
        <v/>
      </c>
      <c r="AS112" s="107" t="str" cm="1">
        <f t="array" aca="1" ref="AS112" ca="1">IF(OR(Formulas!AT110=0,Formulas!AT110=""),"",HYPERLINK("["&amp;Archivo_Nombre&amp;"]Datos!"&amp;LEFT(SUBSTITUTE(ADDRESS(1,Formulas!AT110+2),"$",""))&amp;Formulas!AS110+1,
IFERROR(INDEX(Datos!$A$2:$L$101,Formulas!AS110,Formulas!AT110+2),"")))</f>
        <v/>
      </c>
      <c r="AT112" s="13"/>
      <c r="AU112" s="6"/>
      <c r="AV112" s="24" t="str" cm="1">
        <f t="array" aca="1" ref="AV112" ca="1">IF(OR(Formulas!AX109=0,Formulas!AX109="",RIGHT(Formulas!AY109)="0"),"",
HYPERLINK("["&amp;Archivo_Nombre&amp;"]Datos!"&amp;LEFT(SUBSTITUTE(ADDRESS(1,IF(Formulas!AX109=1,1,RIGHT(Formulas!AY109)+2)),"$",""))&amp;Formulas!AW109+1,
IFERROR(INDEX(Datos!$A$1:$L$1,1,RIGHT(Formulas!AY109)+2)&amp;IF(Formulas!AX109=1," "&amp;Formulas!AW109,"")&amp;":","")))</f>
        <v/>
      </c>
      <c r="AW112" s="107" t="str" cm="1">
        <f t="array" aca="1" ref="AW112" ca="1">IF(OR(Formulas!AX109=0,Formulas!AX109="",RIGHT(Formulas!AY109)="0"),"",
HYPERLINK("["&amp;Archivo_Nombre&amp;"]Datos!"&amp;LEFT(SUBSTITUTE(ADDRESS(1,RIGHT(Formulas!AY109)+2),"$",""))&amp;Formulas!AW109+1,
IFERROR(INDEX(Datos!$A$2:$L$101,Formulas!AW109,RIGHT(Formulas!AY109)+2),"")))</f>
        <v/>
      </c>
      <c r="AX112" s="107" t="str" cm="1">
        <f t="array" aca="1" ref="AX112" ca="1">IF(OR(Formulas!AY110=0,Formulas!AY110=""),"",HYPERLINK("["&amp;Archivo_Nombre&amp;"]Datos!"&amp;LEFT(SUBSTITUTE(ADDRESS(1,Formulas!AY110+2),"$",""))&amp;Formulas!AX110+1,
IFERROR(INDEX(Datos!$A$2:$L$101,Formulas!AX110,Formulas!AY110+2),"")))</f>
        <v/>
      </c>
      <c r="AY112" s="13"/>
    </row>
    <row r="113" spans="2:51" x14ac:dyDescent="0.25">
      <c r="B113" s="11"/>
      <c r="C113" s="24" t="str" cm="1">
        <f t="array" aca="1" ref="C113" ca="1">IF(OR(Formulas!E110=0,Formulas!E110="",RIGHT(Formulas!F110)="0"),"",
HYPERLINK("["&amp;Archivo_Nombre&amp;"]Datos!"&amp;LEFT(SUBSTITUTE(ADDRESS(1,IF(Formulas!E110=1,1,RIGHT(Formulas!F110)+2)),"$",""))&amp;Formulas!D110+1,
IFERROR(INDEX(Datos!$A$1:$L$1,1,RIGHT(Formulas!F110)+2)&amp;IF(Formulas!E110=1," "&amp;Formulas!D110,"")&amp;":","")))</f>
        <v/>
      </c>
      <c r="D113" s="107" t="str" cm="1">
        <f t="array" aca="1" ref="D113" ca="1">IF(OR(Formulas!E110=0,Formulas!E110="",RIGHT(Formulas!F110)="0"),"",
HYPERLINK("["&amp;Archivo_Nombre&amp;"]Datos!"&amp;LEFT(SUBSTITUTE(ADDRESS(1,RIGHT(Formulas!F110)+2),"$",""))&amp;Formulas!D110+1,
IFERROR(INDEX(Datos!$A$2:$L$101,Formulas!D110,RIGHT(Formulas!F110)+2),"")))</f>
        <v/>
      </c>
      <c r="E113" s="107" t="str" cm="1">
        <f t="array" aca="1" ref="E113" ca="1">IF(OR(Formulas!F111=0,Formulas!F111=""),"",HYPERLINK("["&amp;Archivo_Nombre&amp;"]Datos!"&amp;LEFT(SUBSTITUTE(ADDRESS(1,Formulas!F111+2),"$",""))&amp;Formulas!E111+1,
IFERROR(INDEX(Datos!$A$2:$L$101,Formulas!E111,Formulas!F111+2),"")))</f>
        <v/>
      </c>
      <c r="F113" s="5"/>
      <c r="G113" s="6"/>
      <c r="H113" s="24" t="str" cm="1">
        <f t="array" aca="1" ref="H113" ca="1">IF(OR(Formulas!J110=0,Formulas!J110="",RIGHT(Formulas!K110)="0"),"",
HYPERLINK("["&amp;Archivo_Nombre&amp;"]Datos!"&amp;LEFT(SUBSTITUTE(ADDRESS(1,IF(Formulas!J110=1,1,RIGHT(Formulas!K110)+2)),"$",""))&amp;Formulas!I110+1,
IFERROR(INDEX(Datos!$A$1:$L$1,1,RIGHT(Formulas!K110)+2)&amp;IF(Formulas!J110=1," "&amp;Formulas!I110,"")&amp;":","")))</f>
        <v/>
      </c>
      <c r="I113" s="107" t="str" cm="1">
        <f t="array" aca="1" ref="I113" ca="1">IF(OR(Formulas!J110=0,Formulas!J110="",RIGHT(Formulas!K110)="0"),"",
HYPERLINK("["&amp;Archivo_Nombre&amp;"]Datos!"&amp;LEFT(SUBSTITUTE(ADDRESS(1,RIGHT(Formulas!K110)+2),"$",""))&amp;Formulas!I110+1,
IFERROR(INDEX(Datos!$A$2:$L$101,Formulas!I110,RIGHT(Formulas!K110)+2),"")))</f>
        <v/>
      </c>
      <c r="J113" s="107" t="str" cm="1">
        <f t="array" aca="1" ref="J113" ca="1">IF(OR(Formulas!K111=0,Formulas!K111=""),"",HYPERLINK("["&amp;Archivo_Nombre&amp;"]Datos!"&amp;LEFT(SUBSTITUTE(ADDRESS(1,Formulas!K111+2),"$",""))&amp;Formulas!J111+1,
IFERROR(INDEX(Datos!$A$2:$L$101,Formulas!J111,Formulas!K111+2),"")))</f>
        <v/>
      </c>
      <c r="K113" s="5"/>
      <c r="L113" s="6"/>
      <c r="M113" s="24" t="str" cm="1">
        <f t="array" aca="1" ref="M113" ca="1">IF(OR(Formulas!O110=0,Formulas!O110="",RIGHT(Formulas!P110)="0"),"",
HYPERLINK("["&amp;Archivo_Nombre&amp;"]Datos!"&amp;LEFT(SUBSTITUTE(ADDRESS(1,IF(Formulas!O110=1,1,RIGHT(Formulas!P110)+2)),"$",""))&amp;Formulas!N110+1,
IFERROR(INDEX(Datos!$A$1:$L$1,1,RIGHT(Formulas!P110)+2)&amp;IF(Formulas!O110=1," "&amp;Formulas!N110,"")&amp;":","")))</f>
        <v/>
      </c>
      <c r="N113" s="107" t="str" cm="1">
        <f t="array" aca="1" ref="N113" ca="1">IF(OR(Formulas!O110=0,Formulas!O110="",RIGHT(Formulas!P110)="0"),"",
HYPERLINK("["&amp;Archivo_Nombre&amp;"]Datos!"&amp;LEFT(SUBSTITUTE(ADDRESS(1,RIGHT(Formulas!P110)+2),"$",""))&amp;Formulas!N110+1,
IFERROR(INDEX(Datos!$A$2:$L$101,Formulas!N110,RIGHT(Formulas!P110)+2),"")))</f>
        <v/>
      </c>
      <c r="O113" s="107" t="str" cm="1">
        <f t="array" aca="1" ref="O113" ca="1">IF(OR(Formulas!P111=0,Formulas!P111=""),"",HYPERLINK("["&amp;Archivo_Nombre&amp;"]Datos!"&amp;LEFT(SUBSTITUTE(ADDRESS(1,Formulas!P111+2),"$",""))&amp;Formulas!O111+1,
IFERROR(INDEX(Datos!$A$2:$L$101,Formulas!O111,Formulas!P111+2),"")))</f>
        <v/>
      </c>
      <c r="P113" s="5"/>
      <c r="Q113" s="6"/>
      <c r="R113" s="24" t="str" cm="1">
        <f t="array" aca="1" ref="R113" ca="1">IF(OR(Formulas!T110=0,Formulas!T110="",RIGHT(Formulas!U110)="0"),"",
HYPERLINK("["&amp;Archivo_Nombre&amp;"]Datos!"&amp;LEFT(SUBSTITUTE(ADDRESS(1,IF(Formulas!T110=1,1,RIGHT(Formulas!U110)+2)),"$",""))&amp;Formulas!S110+1,
IFERROR(INDEX(Datos!$A$1:$L$1,1,RIGHT(Formulas!U110)+2)&amp;IF(Formulas!T110=1," "&amp;Formulas!S110,"")&amp;":","")))</f>
        <v>Retraso:</v>
      </c>
      <c r="S113" s="107" t="str" cm="1">
        <f t="array" aca="1" ref="S113" ca="1">IF(OR(Formulas!T110=0,Formulas!T110="",RIGHT(Formulas!U110)="0"),"",
HYPERLINK("["&amp;Archivo_Nombre&amp;"]Datos!"&amp;LEFT(SUBSTITUTE(ADDRESS(1,RIGHT(Formulas!U110)+2),"$",""))&amp;Formulas!S110+1,
IFERROR(INDEX(Datos!$A$2:$L$101,Formulas!S110,RIGHT(Formulas!U110)+2),"")))</f>
        <v>0 días</v>
      </c>
      <c r="T113" s="107" t="e" cm="1">
        <f t="array" aca="1" ref="T113" ca="1">IF(OR(Formulas!U111=0,Formulas!U111=""),"",HYPERLINK("["&amp;Archivo_Nombre&amp;"]Datos!"&amp;LEFT(SUBSTITUTE(ADDRESS(1,Formulas!U111+2),"$",""))&amp;Formulas!T111+1,
IFERROR(INDEX(Datos!$A$2:$L$101,Formulas!T111,Formulas!U111+2),"")))</f>
        <v>#VALUE!</v>
      </c>
      <c r="U113" s="5"/>
      <c r="V113" s="6"/>
      <c r="W113" s="24" t="str" cm="1">
        <f t="array" aca="1" ref="W113" ca="1">IF(OR(Formulas!Y110=0,Formulas!Y110="",RIGHT(Formulas!Z110)="0"),"",
HYPERLINK("["&amp;Archivo_Nombre&amp;"]Datos!"&amp;LEFT(SUBSTITUTE(ADDRESS(1,IF(Formulas!Y110=1,1,RIGHT(Formulas!Z110)+2)),"$",""))&amp;Formulas!X110+1,
IFERROR(INDEX(Datos!$A$1:$L$1,1,RIGHT(Formulas!Z110)+2)&amp;IF(Formulas!Y110=1," "&amp;Formulas!X110,"")&amp;":","")))</f>
        <v/>
      </c>
      <c r="X113" s="107" t="str" cm="1">
        <f t="array" aca="1" ref="X113" ca="1">IF(OR(Formulas!Y110=0,Formulas!Y110="",RIGHT(Formulas!Z110)="0"),"",
HYPERLINK("["&amp;Archivo_Nombre&amp;"]Datos!"&amp;LEFT(SUBSTITUTE(ADDRESS(1,RIGHT(Formulas!Z110)+2),"$",""))&amp;Formulas!X110+1,
IFERROR(INDEX(Datos!$A$2:$L$101,Formulas!X110,RIGHT(Formulas!Z110)+2),"")))</f>
        <v/>
      </c>
      <c r="Y113" s="107" t="str" cm="1">
        <f t="array" aca="1" ref="Y113" ca="1">IF(OR(Formulas!Z111=0,Formulas!Z111=""),"",HYPERLINK("["&amp;Archivo_Nombre&amp;"]Datos!"&amp;LEFT(SUBSTITUTE(ADDRESS(1,Formulas!Z111+2),"$",""))&amp;Formulas!Y111+1,
IFERROR(INDEX(Datos!$A$2:$L$101,Formulas!Y111,Formulas!Z111+2),"")))</f>
        <v/>
      </c>
      <c r="Z113" s="13"/>
      <c r="AA113" s="6"/>
      <c r="AB113" s="24" t="str" cm="1">
        <f t="array" aca="1" ref="AB113" ca="1">IF(OR(Formulas!AD110=0,Formulas!AD110="",RIGHT(Formulas!AE110)="0"),"",
HYPERLINK("["&amp;Archivo_Nombre&amp;"]Datos!"&amp;LEFT(SUBSTITUTE(ADDRESS(1,IF(Formulas!AD110=1,1,RIGHT(Formulas!AE110)+2)),"$",""))&amp;Formulas!AC110+1,
IFERROR(INDEX(Datos!$A$1:$L$1,1,RIGHT(Formulas!AE110)+2)&amp;IF(Formulas!AD110=1," "&amp;Formulas!AC110,"")&amp;":","")))</f>
        <v/>
      </c>
      <c r="AC113" s="107" t="str" cm="1">
        <f t="array" aca="1" ref="AC113" ca="1">IF(OR(Formulas!AD110=0,Formulas!AD110="",RIGHT(Formulas!AE110)="0"),"",
HYPERLINK("["&amp;Archivo_Nombre&amp;"]Datos!"&amp;LEFT(SUBSTITUTE(ADDRESS(1,RIGHT(Formulas!AE110)+2),"$",""))&amp;Formulas!AC110+1,
IFERROR(INDEX(Datos!$A$2:$L$101,Formulas!AC110,RIGHT(Formulas!AE110)+2),"")))</f>
        <v/>
      </c>
      <c r="AD113" s="107" t="str" cm="1">
        <f t="array" aca="1" ref="AD113" ca="1">IF(OR(Formulas!AE111=0,Formulas!AE111=""),"",HYPERLINK("["&amp;Archivo_Nombre&amp;"]Datos!"&amp;LEFT(SUBSTITUTE(ADDRESS(1,Formulas!AE111+2),"$",""))&amp;Formulas!AD111+1,
IFERROR(INDEX(Datos!$A$2:$L$101,Formulas!AD111,Formulas!AE111+2),"")))</f>
        <v/>
      </c>
      <c r="AE113" s="13"/>
      <c r="AF113" s="6"/>
      <c r="AG113" s="24" t="str" cm="1">
        <f t="array" aca="1" ref="AG113" ca="1">IF(OR(Formulas!AI110=0,Formulas!AI110="",RIGHT(Formulas!AJ110)="0"),"",
HYPERLINK("["&amp;Archivo_Nombre&amp;"]Datos!"&amp;LEFT(SUBSTITUTE(ADDRESS(1,IF(Formulas!AI110=1,1,RIGHT(Formulas!AJ110)+2)),"$",""))&amp;Formulas!AH110+1,
IFERROR(INDEX(Datos!$A$1:$L$1,1,RIGHT(Formulas!AJ110)+2)&amp;IF(Formulas!AI110=1," "&amp;Formulas!AH110,"")&amp;":","")))</f>
        <v/>
      </c>
      <c r="AH113" s="107" t="str" cm="1">
        <f t="array" aca="1" ref="AH113" ca="1">IF(OR(Formulas!AI110=0,Formulas!AI110="",RIGHT(Formulas!AJ110)="0"),"",
HYPERLINK("["&amp;Archivo_Nombre&amp;"]Datos!"&amp;LEFT(SUBSTITUTE(ADDRESS(1,RIGHT(Formulas!AJ110)+2),"$",""))&amp;Formulas!AH110+1,
IFERROR(INDEX(Datos!$A$2:$L$101,Formulas!AH110,RIGHT(Formulas!AJ110)+2),"")))</f>
        <v/>
      </c>
      <c r="AI113" s="107" t="str" cm="1">
        <f t="array" aca="1" ref="AI113" ca="1">IF(OR(Formulas!AJ111=0,Formulas!AJ111=""),"",HYPERLINK("["&amp;Archivo_Nombre&amp;"]Datos!"&amp;LEFT(SUBSTITUTE(ADDRESS(1,Formulas!AJ111+2),"$",""))&amp;Formulas!AI111+1,
IFERROR(INDEX(Datos!$A$2:$L$101,Formulas!AI111,Formulas!AJ111+2),"")))</f>
        <v/>
      </c>
      <c r="AJ113" s="13"/>
      <c r="AK113" s="6"/>
      <c r="AL113" s="24" t="str" cm="1">
        <f t="array" aca="1" ref="AL113" ca="1">IF(OR(Formulas!AN110=0,Formulas!AN110="",RIGHT(Formulas!AO110)="0"),"",
HYPERLINK("["&amp;Archivo_Nombre&amp;"]Datos!"&amp;LEFT(SUBSTITUTE(ADDRESS(1,IF(Formulas!AN110=1,1,RIGHT(Formulas!AO110)+2)),"$",""))&amp;Formulas!AM110+1,
IFERROR(INDEX(Datos!$A$1:$L$1,1,RIGHT(Formulas!AO110)+2)&amp;IF(Formulas!AN110=1," "&amp;Formulas!AM110,"")&amp;":","")))</f>
        <v/>
      </c>
      <c r="AM113" s="107" t="str" cm="1">
        <f t="array" aca="1" ref="AM113" ca="1">IF(OR(Formulas!AN110=0,Formulas!AN110="",RIGHT(Formulas!AO110)="0"),"",
HYPERLINK("["&amp;Archivo_Nombre&amp;"]Datos!"&amp;LEFT(SUBSTITUTE(ADDRESS(1,RIGHT(Formulas!AO110)+2),"$",""))&amp;Formulas!AM110+1,
IFERROR(INDEX(Datos!$A$2:$L$101,Formulas!AM110,RIGHT(Formulas!AO110)+2),"")))</f>
        <v/>
      </c>
      <c r="AN113" s="107" t="str" cm="1">
        <f t="array" aca="1" ref="AN113" ca="1">IF(OR(Formulas!AO111=0,Formulas!AO111=""),"",HYPERLINK("["&amp;Archivo_Nombre&amp;"]Datos!"&amp;LEFT(SUBSTITUTE(ADDRESS(1,Formulas!AO111+2),"$",""))&amp;Formulas!AN111+1,
IFERROR(INDEX(Datos!$A$2:$L$101,Formulas!AN111,Formulas!AO111+2),"")))</f>
        <v/>
      </c>
      <c r="AO113" s="13"/>
      <c r="AP113" s="6"/>
      <c r="AQ113" s="24" t="str" cm="1">
        <f t="array" aca="1" ref="AQ113" ca="1">IF(OR(Formulas!AS110=0,Formulas!AS110="",RIGHT(Formulas!AT110)="0"),"",
HYPERLINK("["&amp;Archivo_Nombre&amp;"]Datos!"&amp;LEFT(SUBSTITUTE(ADDRESS(1,IF(Formulas!AS110=1,1,RIGHT(Formulas!AT110)+2)),"$",""))&amp;Formulas!AR110+1,
IFERROR(INDEX(Datos!$A$1:$L$1,1,RIGHT(Formulas!AT110)+2)&amp;IF(Formulas!AS110=1," "&amp;Formulas!AR110,"")&amp;":","")))</f>
        <v/>
      </c>
      <c r="AR113" s="107" t="str" cm="1">
        <f t="array" aca="1" ref="AR113" ca="1">IF(OR(Formulas!AS110=0,Formulas!AS110="",RIGHT(Formulas!AT110)="0"),"",
HYPERLINK("["&amp;Archivo_Nombre&amp;"]Datos!"&amp;LEFT(SUBSTITUTE(ADDRESS(1,RIGHT(Formulas!AT110)+2),"$",""))&amp;Formulas!AR110+1,
IFERROR(INDEX(Datos!$A$2:$L$101,Formulas!AR110,RIGHT(Formulas!AT110)+2),"")))</f>
        <v/>
      </c>
      <c r="AS113" s="107" t="str" cm="1">
        <f t="array" aca="1" ref="AS113" ca="1">IF(OR(Formulas!AT111=0,Formulas!AT111=""),"",HYPERLINK("["&amp;Archivo_Nombre&amp;"]Datos!"&amp;LEFT(SUBSTITUTE(ADDRESS(1,Formulas!AT111+2),"$",""))&amp;Formulas!AS111+1,
IFERROR(INDEX(Datos!$A$2:$L$101,Formulas!AS111,Formulas!AT111+2),"")))</f>
        <v/>
      </c>
      <c r="AT113" s="13"/>
      <c r="AU113" s="6"/>
      <c r="AV113" s="24" t="str" cm="1">
        <f t="array" aca="1" ref="AV113" ca="1">IF(OR(Formulas!AX110=0,Formulas!AX110="",RIGHT(Formulas!AY110)="0"),"",
HYPERLINK("["&amp;Archivo_Nombre&amp;"]Datos!"&amp;LEFT(SUBSTITUTE(ADDRESS(1,IF(Formulas!AX110=1,1,RIGHT(Formulas!AY110)+2)),"$",""))&amp;Formulas!AW110+1,
IFERROR(INDEX(Datos!$A$1:$L$1,1,RIGHT(Formulas!AY110)+2)&amp;IF(Formulas!AX110=1," "&amp;Formulas!AW110,"")&amp;":","")))</f>
        <v/>
      </c>
      <c r="AW113" s="107" t="str" cm="1">
        <f t="array" aca="1" ref="AW113" ca="1">IF(OR(Formulas!AX110=0,Formulas!AX110="",RIGHT(Formulas!AY110)="0"),"",
HYPERLINK("["&amp;Archivo_Nombre&amp;"]Datos!"&amp;LEFT(SUBSTITUTE(ADDRESS(1,RIGHT(Formulas!AY110)+2),"$",""))&amp;Formulas!AW110+1,
IFERROR(INDEX(Datos!$A$2:$L$101,Formulas!AW110,RIGHT(Formulas!AY110)+2),"")))</f>
        <v/>
      </c>
      <c r="AX113" s="107" t="str" cm="1">
        <f t="array" aca="1" ref="AX113" ca="1">IF(OR(Formulas!AY111=0,Formulas!AY111=""),"",HYPERLINK("["&amp;Archivo_Nombre&amp;"]Datos!"&amp;LEFT(SUBSTITUTE(ADDRESS(1,Formulas!AY111+2),"$",""))&amp;Formulas!AX111+1,
IFERROR(INDEX(Datos!$A$2:$L$101,Formulas!AX111,Formulas!AY111+2),"")))</f>
        <v/>
      </c>
      <c r="AY113" s="13"/>
    </row>
    <row r="114" spans="2:51" x14ac:dyDescent="0.25">
      <c r="B114" s="11"/>
      <c r="C114" s="24" t="str" cm="1">
        <f t="array" aca="1" ref="C114" ca="1">IF(OR(Formulas!E111=0,Formulas!E111="",RIGHT(Formulas!F111)="0"),"",
HYPERLINK("["&amp;Archivo_Nombre&amp;"]Datos!"&amp;LEFT(SUBSTITUTE(ADDRESS(1,IF(Formulas!E111=1,1,RIGHT(Formulas!F111)+2)),"$",""))&amp;Formulas!D111+1,
IFERROR(INDEX(Datos!$A$1:$L$1,1,RIGHT(Formulas!F111)+2)&amp;IF(Formulas!E111=1," "&amp;Formulas!D111,"")&amp;":","")))</f>
        <v/>
      </c>
      <c r="D114" s="107" t="str" cm="1">
        <f t="array" aca="1" ref="D114" ca="1">IF(OR(Formulas!E111=0,Formulas!E111="",RIGHT(Formulas!F111)="0"),"",
HYPERLINK("["&amp;Archivo_Nombre&amp;"]Datos!"&amp;LEFT(SUBSTITUTE(ADDRESS(1,RIGHT(Formulas!F111)+2),"$",""))&amp;Formulas!D111+1,
IFERROR(INDEX(Datos!$A$2:$L$101,Formulas!D111,RIGHT(Formulas!F111)+2),"")))</f>
        <v/>
      </c>
      <c r="E114" s="107" t="str" cm="1">
        <f t="array" aca="1" ref="E114" ca="1">IF(OR(Formulas!F112=0,Formulas!F112=""),"",HYPERLINK("["&amp;Archivo_Nombre&amp;"]Datos!"&amp;LEFT(SUBSTITUTE(ADDRESS(1,Formulas!F112+2),"$",""))&amp;Formulas!E112+1,
IFERROR(INDEX(Datos!$A$2:$L$101,Formulas!E112,Formulas!F112+2),"")))</f>
        <v/>
      </c>
      <c r="F114" s="5"/>
      <c r="G114" s="6"/>
      <c r="H114" s="24" t="str" cm="1">
        <f t="array" aca="1" ref="H114" ca="1">IF(OR(Formulas!J111=0,Formulas!J111="",RIGHT(Formulas!K111)="0"),"",
HYPERLINK("["&amp;Archivo_Nombre&amp;"]Datos!"&amp;LEFT(SUBSTITUTE(ADDRESS(1,IF(Formulas!J111=1,1,RIGHT(Formulas!K111)+2)),"$",""))&amp;Formulas!I111+1,
IFERROR(INDEX(Datos!$A$1:$L$1,1,RIGHT(Formulas!K111)+2)&amp;IF(Formulas!J111=1," "&amp;Formulas!I111,"")&amp;":","")))</f>
        <v/>
      </c>
      <c r="I114" s="107" t="str" cm="1">
        <f t="array" aca="1" ref="I114" ca="1">IF(OR(Formulas!J111=0,Formulas!J111="",RIGHT(Formulas!K111)="0"),"",
HYPERLINK("["&amp;Archivo_Nombre&amp;"]Datos!"&amp;LEFT(SUBSTITUTE(ADDRESS(1,RIGHT(Formulas!K111)+2),"$",""))&amp;Formulas!I111+1,
IFERROR(INDEX(Datos!$A$2:$L$101,Formulas!I111,RIGHT(Formulas!K111)+2),"")))</f>
        <v/>
      </c>
      <c r="J114" s="107" t="str" cm="1">
        <f t="array" aca="1" ref="J114" ca="1">IF(OR(Formulas!K112=0,Formulas!K112=""),"",HYPERLINK("["&amp;Archivo_Nombre&amp;"]Datos!"&amp;LEFT(SUBSTITUTE(ADDRESS(1,Formulas!K112+2),"$",""))&amp;Formulas!J112+1,
IFERROR(INDEX(Datos!$A$2:$L$101,Formulas!J112,Formulas!K112+2),"")))</f>
        <v/>
      </c>
      <c r="K114" s="5"/>
      <c r="L114" s="6"/>
      <c r="M114" s="24" t="str" cm="1">
        <f t="array" aca="1" ref="M114" ca="1">IF(OR(Formulas!O111=0,Formulas!O111="",RIGHT(Formulas!P111)="0"),"",
HYPERLINK("["&amp;Archivo_Nombre&amp;"]Datos!"&amp;LEFT(SUBSTITUTE(ADDRESS(1,IF(Formulas!O111=1,1,RIGHT(Formulas!P111)+2)),"$",""))&amp;Formulas!N111+1,
IFERROR(INDEX(Datos!$A$1:$L$1,1,RIGHT(Formulas!P111)+2)&amp;IF(Formulas!O111=1," "&amp;Formulas!N111,"")&amp;":","")))</f>
        <v/>
      </c>
      <c r="N114" s="107" t="str" cm="1">
        <f t="array" aca="1" ref="N114" ca="1">IF(OR(Formulas!O111=0,Formulas!O111="",RIGHT(Formulas!P111)="0"),"",
HYPERLINK("["&amp;Archivo_Nombre&amp;"]Datos!"&amp;LEFT(SUBSTITUTE(ADDRESS(1,RIGHT(Formulas!P111)+2),"$",""))&amp;Formulas!N111+1,
IFERROR(INDEX(Datos!$A$2:$L$101,Formulas!N111,RIGHT(Formulas!P111)+2),"")))</f>
        <v/>
      </c>
      <c r="O114" s="107" t="str" cm="1">
        <f t="array" aca="1" ref="O114" ca="1">IF(OR(Formulas!P112=0,Formulas!P112=""),"",HYPERLINK("["&amp;Archivo_Nombre&amp;"]Datos!"&amp;LEFT(SUBSTITUTE(ADDRESS(1,Formulas!P112+2),"$",""))&amp;Formulas!O112+1,
IFERROR(INDEX(Datos!$A$2:$L$101,Formulas!O112,Formulas!P112+2),"")))</f>
        <v/>
      </c>
      <c r="P114" s="5"/>
      <c r="Q114" s="6"/>
      <c r="R114" s="24" t="str" cm="1">
        <f t="array" aca="1" ref="R114" ca="1">IF(OR(Formulas!T111=0,Formulas!T111="",RIGHT(Formulas!U111)="0"),"",
HYPERLINK("["&amp;Archivo_Nombre&amp;"]Datos!"&amp;LEFT(SUBSTITUTE(ADDRESS(1,IF(Formulas!T111=1,1,RIGHT(Formulas!U111)+2)),"$",""))&amp;Formulas!S111+1,
IFERROR(INDEX(Datos!$A$1:$L$1,1,RIGHT(Formulas!U111)+2)&amp;IF(Formulas!T111=1," "&amp;Formulas!S111,"")&amp;":","")))</f>
        <v/>
      </c>
      <c r="S114" s="107" t="str" cm="1">
        <f t="array" aca="1" ref="S114" ca="1">IF(OR(Formulas!T111=0,Formulas!T111="",RIGHT(Formulas!U111)="0"),"",
HYPERLINK("["&amp;Archivo_Nombre&amp;"]Datos!"&amp;LEFT(SUBSTITUTE(ADDRESS(1,RIGHT(Formulas!U111)+2),"$",""))&amp;Formulas!S111+1,
IFERROR(INDEX(Datos!$A$2:$L$101,Formulas!S111,RIGHT(Formulas!U111)+2),"")))</f>
        <v/>
      </c>
      <c r="T114" s="107" t="str" cm="1">
        <f t="array" aca="1" ref="T114" ca="1">IF(OR(Formulas!U112=0,Formulas!U112=""),"",HYPERLINK("["&amp;Archivo_Nombre&amp;"]Datos!"&amp;LEFT(SUBSTITUTE(ADDRESS(1,Formulas!U112+2),"$",""))&amp;Formulas!T112+1,
IFERROR(INDEX(Datos!$A$2:$L$101,Formulas!T112,Formulas!U112+2),"")))</f>
        <v/>
      </c>
      <c r="U114" s="5"/>
      <c r="V114" s="6"/>
      <c r="W114" s="24" t="str" cm="1">
        <f t="array" aca="1" ref="W114" ca="1">IF(OR(Formulas!Y111=0,Formulas!Y111="",RIGHT(Formulas!Z111)="0"),"",
HYPERLINK("["&amp;Archivo_Nombre&amp;"]Datos!"&amp;LEFT(SUBSTITUTE(ADDRESS(1,IF(Formulas!Y111=1,1,RIGHT(Formulas!Z111)+2)),"$",""))&amp;Formulas!X111+1,
IFERROR(INDEX(Datos!$A$1:$L$1,1,RIGHT(Formulas!Z111)+2)&amp;IF(Formulas!Y111=1," "&amp;Formulas!X111,"")&amp;":","")))</f>
        <v/>
      </c>
      <c r="X114" s="107" t="str" cm="1">
        <f t="array" aca="1" ref="X114" ca="1">IF(OR(Formulas!Y111=0,Formulas!Y111="",RIGHT(Formulas!Z111)="0"),"",
HYPERLINK("["&amp;Archivo_Nombre&amp;"]Datos!"&amp;LEFT(SUBSTITUTE(ADDRESS(1,RIGHT(Formulas!Z111)+2),"$",""))&amp;Formulas!X111+1,
IFERROR(INDEX(Datos!$A$2:$L$101,Formulas!X111,RIGHT(Formulas!Z111)+2),"")))</f>
        <v/>
      </c>
      <c r="Y114" s="107" t="str" cm="1">
        <f t="array" aca="1" ref="Y114" ca="1">IF(OR(Formulas!Z112=0,Formulas!Z112=""),"",HYPERLINK("["&amp;Archivo_Nombre&amp;"]Datos!"&amp;LEFT(SUBSTITUTE(ADDRESS(1,Formulas!Z112+2),"$",""))&amp;Formulas!Y112+1,
IFERROR(INDEX(Datos!$A$2:$L$101,Formulas!Y112,Formulas!Z112+2),"")))</f>
        <v/>
      </c>
      <c r="Z114" s="13"/>
      <c r="AA114" s="6"/>
      <c r="AB114" s="24" t="str" cm="1">
        <f t="array" aca="1" ref="AB114" ca="1">IF(OR(Formulas!AD111=0,Formulas!AD111="",RIGHT(Formulas!AE111)="0"),"",
HYPERLINK("["&amp;Archivo_Nombre&amp;"]Datos!"&amp;LEFT(SUBSTITUTE(ADDRESS(1,IF(Formulas!AD111=1,1,RIGHT(Formulas!AE111)+2)),"$",""))&amp;Formulas!AC111+1,
IFERROR(INDEX(Datos!$A$1:$L$1,1,RIGHT(Formulas!AE111)+2)&amp;IF(Formulas!AD111=1," "&amp;Formulas!AC111,"")&amp;":","")))</f>
        <v/>
      </c>
      <c r="AC114" s="107" t="str" cm="1">
        <f t="array" aca="1" ref="AC114" ca="1">IF(OR(Formulas!AD111=0,Formulas!AD111="",RIGHT(Formulas!AE111)="0"),"",
HYPERLINK("["&amp;Archivo_Nombre&amp;"]Datos!"&amp;LEFT(SUBSTITUTE(ADDRESS(1,RIGHT(Formulas!AE111)+2),"$",""))&amp;Formulas!AC111+1,
IFERROR(INDEX(Datos!$A$2:$L$101,Formulas!AC111,RIGHT(Formulas!AE111)+2),"")))</f>
        <v/>
      </c>
      <c r="AD114" s="107" t="str" cm="1">
        <f t="array" aca="1" ref="AD114" ca="1">IF(OR(Formulas!AE112=0,Formulas!AE112=""),"",HYPERLINK("["&amp;Archivo_Nombre&amp;"]Datos!"&amp;LEFT(SUBSTITUTE(ADDRESS(1,Formulas!AE112+2),"$",""))&amp;Formulas!AD112+1,
IFERROR(INDEX(Datos!$A$2:$L$101,Formulas!AD112,Formulas!AE112+2),"")))</f>
        <v/>
      </c>
      <c r="AE114" s="13"/>
      <c r="AF114" s="6"/>
      <c r="AG114" s="24" t="str" cm="1">
        <f t="array" aca="1" ref="AG114" ca="1">IF(OR(Formulas!AI111=0,Formulas!AI111="",RIGHT(Formulas!AJ111)="0"),"",
HYPERLINK("["&amp;Archivo_Nombre&amp;"]Datos!"&amp;LEFT(SUBSTITUTE(ADDRESS(1,IF(Formulas!AI111=1,1,RIGHT(Formulas!AJ111)+2)),"$",""))&amp;Formulas!AH111+1,
IFERROR(INDEX(Datos!$A$1:$L$1,1,RIGHT(Formulas!AJ111)+2)&amp;IF(Formulas!AI111=1," "&amp;Formulas!AH111,"")&amp;":","")))</f>
        <v/>
      </c>
      <c r="AH114" s="107" t="str" cm="1">
        <f t="array" aca="1" ref="AH114" ca="1">IF(OR(Formulas!AI111=0,Formulas!AI111="",RIGHT(Formulas!AJ111)="0"),"",
HYPERLINK("["&amp;Archivo_Nombre&amp;"]Datos!"&amp;LEFT(SUBSTITUTE(ADDRESS(1,RIGHT(Formulas!AJ111)+2),"$",""))&amp;Formulas!AH111+1,
IFERROR(INDEX(Datos!$A$2:$L$101,Formulas!AH111,RIGHT(Formulas!AJ111)+2),"")))</f>
        <v/>
      </c>
      <c r="AI114" s="107" t="str" cm="1">
        <f t="array" aca="1" ref="AI114" ca="1">IF(OR(Formulas!AJ112=0,Formulas!AJ112=""),"",HYPERLINK("["&amp;Archivo_Nombre&amp;"]Datos!"&amp;LEFT(SUBSTITUTE(ADDRESS(1,Formulas!AJ112+2),"$",""))&amp;Formulas!AI112+1,
IFERROR(INDEX(Datos!$A$2:$L$101,Formulas!AI112,Formulas!AJ112+2),"")))</f>
        <v/>
      </c>
      <c r="AJ114" s="13"/>
      <c r="AK114" s="6"/>
      <c r="AL114" s="24" t="str" cm="1">
        <f t="array" aca="1" ref="AL114" ca="1">IF(OR(Formulas!AN111=0,Formulas!AN111="",RIGHT(Formulas!AO111)="0"),"",
HYPERLINK("["&amp;Archivo_Nombre&amp;"]Datos!"&amp;LEFT(SUBSTITUTE(ADDRESS(1,IF(Formulas!AN111=1,1,RIGHT(Formulas!AO111)+2)),"$",""))&amp;Formulas!AM111+1,
IFERROR(INDEX(Datos!$A$1:$L$1,1,RIGHT(Formulas!AO111)+2)&amp;IF(Formulas!AN111=1," "&amp;Formulas!AM111,"")&amp;":","")))</f>
        <v/>
      </c>
      <c r="AM114" s="107" t="str" cm="1">
        <f t="array" aca="1" ref="AM114" ca="1">IF(OR(Formulas!AN111=0,Formulas!AN111="",RIGHT(Formulas!AO111)="0"),"",
HYPERLINK("["&amp;Archivo_Nombre&amp;"]Datos!"&amp;LEFT(SUBSTITUTE(ADDRESS(1,RIGHT(Formulas!AO111)+2),"$",""))&amp;Formulas!AM111+1,
IFERROR(INDEX(Datos!$A$2:$L$101,Formulas!AM111,RIGHT(Formulas!AO111)+2),"")))</f>
        <v/>
      </c>
      <c r="AN114" s="107" t="str" cm="1">
        <f t="array" aca="1" ref="AN114" ca="1">IF(OR(Formulas!AO112=0,Formulas!AO112=""),"",HYPERLINK("["&amp;Archivo_Nombre&amp;"]Datos!"&amp;LEFT(SUBSTITUTE(ADDRESS(1,Formulas!AO112+2),"$",""))&amp;Formulas!AN112+1,
IFERROR(INDEX(Datos!$A$2:$L$101,Formulas!AN112,Formulas!AO112+2),"")))</f>
        <v/>
      </c>
      <c r="AO114" s="13"/>
      <c r="AP114" s="6"/>
      <c r="AQ114" s="24" t="str" cm="1">
        <f t="array" aca="1" ref="AQ114" ca="1">IF(OR(Formulas!AS111=0,Formulas!AS111="",RIGHT(Formulas!AT111)="0"),"",
HYPERLINK("["&amp;Archivo_Nombre&amp;"]Datos!"&amp;LEFT(SUBSTITUTE(ADDRESS(1,IF(Formulas!AS111=1,1,RIGHT(Formulas!AT111)+2)),"$",""))&amp;Formulas!AR111+1,
IFERROR(INDEX(Datos!$A$1:$L$1,1,RIGHT(Formulas!AT111)+2)&amp;IF(Formulas!AS111=1," "&amp;Formulas!AR111,"")&amp;":","")))</f>
        <v/>
      </c>
      <c r="AR114" s="107" t="str" cm="1">
        <f t="array" aca="1" ref="AR114" ca="1">IF(OR(Formulas!AS111=0,Formulas!AS111="",RIGHT(Formulas!AT111)="0"),"",
HYPERLINK("["&amp;Archivo_Nombre&amp;"]Datos!"&amp;LEFT(SUBSTITUTE(ADDRESS(1,RIGHT(Formulas!AT111)+2),"$",""))&amp;Formulas!AR111+1,
IFERROR(INDEX(Datos!$A$2:$L$101,Formulas!AR111,RIGHT(Formulas!AT111)+2),"")))</f>
        <v/>
      </c>
      <c r="AS114" s="107" t="str" cm="1">
        <f t="array" aca="1" ref="AS114" ca="1">IF(OR(Formulas!AT112=0,Formulas!AT112=""),"",HYPERLINK("["&amp;Archivo_Nombre&amp;"]Datos!"&amp;LEFT(SUBSTITUTE(ADDRESS(1,Formulas!AT112+2),"$",""))&amp;Formulas!AS112+1,
IFERROR(INDEX(Datos!$A$2:$L$101,Formulas!AS112,Formulas!AT112+2),"")))</f>
        <v/>
      </c>
      <c r="AT114" s="13"/>
      <c r="AU114" s="6"/>
      <c r="AV114" s="24" t="str" cm="1">
        <f t="array" aca="1" ref="AV114" ca="1">IF(OR(Formulas!AX111=0,Formulas!AX111="",RIGHT(Formulas!AY111)="0"),"",
HYPERLINK("["&amp;Archivo_Nombre&amp;"]Datos!"&amp;LEFT(SUBSTITUTE(ADDRESS(1,IF(Formulas!AX111=1,1,RIGHT(Formulas!AY111)+2)),"$",""))&amp;Formulas!AW111+1,
IFERROR(INDEX(Datos!$A$1:$L$1,1,RIGHT(Formulas!AY111)+2)&amp;IF(Formulas!AX111=1," "&amp;Formulas!AW111,"")&amp;":","")))</f>
        <v/>
      </c>
      <c r="AW114" s="107" t="str" cm="1">
        <f t="array" aca="1" ref="AW114" ca="1">IF(OR(Formulas!AX111=0,Formulas!AX111="",RIGHT(Formulas!AY111)="0"),"",
HYPERLINK("["&amp;Archivo_Nombre&amp;"]Datos!"&amp;LEFT(SUBSTITUTE(ADDRESS(1,RIGHT(Formulas!AY111)+2),"$",""))&amp;Formulas!AW111+1,
IFERROR(INDEX(Datos!$A$2:$L$101,Formulas!AW111,RIGHT(Formulas!AY111)+2),"")))</f>
        <v/>
      </c>
      <c r="AX114" s="107" t="str" cm="1">
        <f t="array" aca="1" ref="AX114" ca="1">IF(OR(Formulas!AY112=0,Formulas!AY112=""),"",HYPERLINK("["&amp;Archivo_Nombre&amp;"]Datos!"&amp;LEFT(SUBSTITUTE(ADDRESS(1,Formulas!AY112+2),"$",""))&amp;Formulas!AX112+1,
IFERROR(INDEX(Datos!$A$2:$L$101,Formulas!AX112,Formulas!AY112+2),"")))</f>
        <v/>
      </c>
      <c r="AY114" s="13"/>
    </row>
    <row r="115" spans="2:51" x14ac:dyDescent="0.25">
      <c r="B115" s="11"/>
      <c r="C115" s="24" t="str" cm="1">
        <f t="array" aca="1" ref="C115" ca="1">IF(OR(Formulas!E112=0,Formulas!E112="",RIGHT(Formulas!F112)="0"),"",
HYPERLINK("["&amp;Archivo_Nombre&amp;"]Datos!"&amp;LEFT(SUBSTITUTE(ADDRESS(1,IF(Formulas!E112=1,1,RIGHT(Formulas!F112)+2)),"$",""))&amp;Formulas!D112+1,
IFERROR(INDEX(Datos!$A$1:$L$1,1,RIGHT(Formulas!F112)+2)&amp;IF(Formulas!E112=1," "&amp;Formulas!D112,"")&amp;":","")))</f>
        <v/>
      </c>
      <c r="D115" s="107" t="str" cm="1">
        <f t="array" aca="1" ref="D115" ca="1">IF(OR(Formulas!E112=0,Formulas!E112="",RIGHT(Formulas!F112)="0"),"",
HYPERLINK("["&amp;Archivo_Nombre&amp;"]Datos!"&amp;LEFT(SUBSTITUTE(ADDRESS(1,RIGHT(Formulas!F112)+2),"$",""))&amp;Formulas!D112+1,
IFERROR(INDEX(Datos!$A$2:$L$101,Formulas!D112,RIGHT(Formulas!F112)+2),"")))</f>
        <v/>
      </c>
      <c r="E115" s="107" t="str" cm="1">
        <f t="array" aca="1" ref="E115" ca="1">IF(OR(Formulas!F113=0,Formulas!F113=""),"",HYPERLINK("["&amp;Archivo_Nombre&amp;"]Datos!"&amp;LEFT(SUBSTITUTE(ADDRESS(1,Formulas!F113+2),"$",""))&amp;Formulas!E113+1,
IFERROR(INDEX(Datos!$A$2:$L$101,Formulas!E113,Formulas!F113+2),"")))</f>
        <v/>
      </c>
      <c r="F115" s="5"/>
      <c r="G115" s="6"/>
      <c r="H115" s="24" t="str" cm="1">
        <f t="array" aca="1" ref="H115" ca="1">IF(OR(Formulas!J112=0,Formulas!J112="",RIGHT(Formulas!K112)="0"),"",
HYPERLINK("["&amp;Archivo_Nombre&amp;"]Datos!"&amp;LEFT(SUBSTITUTE(ADDRESS(1,IF(Formulas!J112=1,1,RIGHT(Formulas!K112)+2)),"$",""))&amp;Formulas!I112+1,
IFERROR(INDEX(Datos!$A$1:$L$1,1,RIGHT(Formulas!K112)+2)&amp;IF(Formulas!J112=1," "&amp;Formulas!I112,"")&amp;":","")))</f>
        <v/>
      </c>
      <c r="I115" s="107" t="str" cm="1">
        <f t="array" aca="1" ref="I115" ca="1">IF(OR(Formulas!J112=0,Formulas!J112="",RIGHT(Formulas!K112)="0"),"",
HYPERLINK("["&amp;Archivo_Nombre&amp;"]Datos!"&amp;LEFT(SUBSTITUTE(ADDRESS(1,RIGHT(Formulas!K112)+2),"$",""))&amp;Formulas!I112+1,
IFERROR(INDEX(Datos!$A$2:$L$101,Formulas!I112,RIGHT(Formulas!K112)+2),"")))</f>
        <v/>
      </c>
      <c r="J115" s="107" t="str" cm="1">
        <f t="array" aca="1" ref="J115" ca="1">IF(OR(Formulas!K113=0,Formulas!K113=""),"",HYPERLINK("["&amp;Archivo_Nombre&amp;"]Datos!"&amp;LEFT(SUBSTITUTE(ADDRESS(1,Formulas!K113+2),"$",""))&amp;Formulas!J113+1,
IFERROR(INDEX(Datos!$A$2:$L$101,Formulas!J113,Formulas!K113+2),"")))</f>
        <v/>
      </c>
      <c r="K115" s="5"/>
      <c r="L115" s="6"/>
      <c r="M115" s="24" t="str" cm="1">
        <f t="array" aca="1" ref="M115" ca="1">IF(OR(Formulas!O112=0,Formulas!O112="",RIGHT(Formulas!P112)="0"),"",
HYPERLINK("["&amp;Archivo_Nombre&amp;"]Datos!"&amp;LEFT(SUBSTITUTE(ADDRESS(1,IF(Formulas!O112=1,1,RIGHT(Formulas!P112)+2)),"$",""))&amp;Formulas!N112+1,
IFERROR(INDEX(Datos!$A$1:$L$1,1,RIGHT(Formulas!P112)+2)&amp;IF(Formulas!O112=1," "&amp;Formulas!N112,"")&amp;":","")))</f>
        <v/>
      </c>
      <c r="N115" s="107" t="str" cm="1">
        <f t="array" aca="1" ref="N115" ca="1">IF(OR(Formulas!O112=0,Formulas!O112="",RIGHT(Formulas!P112)="0"),"",
HYPERLINK("["&amp;Archivo_Nombre&amp;"]Datos!"&amp;LEFT(SUBSTITUTE(ADDRESS(1,RIGHT(Formulas!P112)+2),"$",""))&amp;Formulas!N112+1,
IFERROR(INDEX(Datos!$A$2:$L$101,Formulas!N112,RIGHT(Formulas!P112)+2),"")))</f>
        <v/>
      </c>
      <c r="O115" s="107" t="str" cm="1">
        <f t="array" aca="1" ref="O115" ca="1">IF(OR(Formulas!P113=0,Formulas!P113=""),"",HYPERLINK("["&amp;Archivo_Nombre&amp;"]Datos!"&amp;LEFT(SUBSTITUTE(ADDRESS(1,Formulas!P113+2),"$",""))&amp;Formulas!O113+1,
IFERROR(INDEX(Datos!$A$2:$L$101,Formulas!O113,Formulas!P113+2),"")))</f>
        <v/>
      </c>
      <c r="P115" s="5"/>
      <c r="Q115" s="6"/>
      <c r="R115" s="24" t="str" cm="1">
        <f t="array" aca="1" ref="R115" ca="1">IF(OR(Formulas!T112=0,Formulas!T112="",RIGHT(Formulas!U112)="0"),"",
HYPERLINK("["&amp;Archivo_Nombre&amp;"]Datos!"&amp;LEFT(SUBSTITUTE(ADDRESS(1,IF(Formulas!T112=1,1,RIGHT(Formulas!U112)+2)),"$",""))&amp;Formulas!S112+1,
IFERROR(INDEX(Datos!$A$1:$L$1,1,RIGHT(Formulas!U112)+2)&amp;IF(Formulas!T112=1," "&amp;Formulas!S112,"")&amp;":","")))</f>
        <v/>
      </c>
      <c r="S115" s="107" t="str" cm="1">
        <f t="array" aca="1" ref="S115" ca="1">IF(OR(Formulas!T112=0,Formulas!T112="",RIGHT(Formulas!U112)="0"),"",
HYPERLINK("["&amp;Archivo_Nombre&amp;"]Datos!"&amp;LEFT(SUBSTITUTE(ADDRESS(1,RIGHT(Formulas!U112)+2),"$",""))&amp;Formulas!S112+1,
IFERROR(INDEX(Datos!$A$2:$L$101,Formulas!S112,RIGHT(Formulas!U112)+2),"")))</f>
        <v/>
      </c>
      <c r="T115" s="107" t="e" cm="1">
        <f t="array" aca="1" ref="T115" ca="1">IF(OR(Formulas!U113=0,Formulas!U113=""),"",HYPERLINK("["&amp;Archivo_Nombre&amp;"]Datos!"&amp;LEFT(SUBSTITUTE(ADDRESS(1,Formulas!U113+2),"$",""))&amp;Formulas!T113+1,
IFERROR(INDEX(Datos!$A$2:$L$101,Formulas!T113,Formulas!U113+2),"")))</f>
        <v>#VALUE!</v>
      </c>
      <c r="U115" s="5"/>
      <c r="V115" s="6"/>
      <c r="W115" s="24" t="str" cm="1">
        <f t="array" aca="1" ref="W115" ca="1">IF(OR(Formulas!Y112=0,Formulas!Y112="",RIGHT(Formulas!Z112)="0"),"",
HYPERLINK("["&amp;Archivo_Nombre&amp;"]Datos!"&amp;LEFT(SUBSTITUTE(ADDRESS(1,IF(Formulas!Y112=1,1,RIGHT(Formulas!Z112)+2)),"$",""))&amp;Formulas!X112+1,
IFERROR(INDEX(Datos!$A$1:$L$1,1,RIGHT(Formulas!Z112)+2)&amp;IF(Formulas!Y112=1," "&amp;Formulas!X112,"")&amp;":","")))</f>
        <v/>
      </c>
      <c r="X115" s="107" t="str" cm="1">
        <f t="array" aca="1" ref="X115" ca="1">IF(OR(Formulas!Y112=0,Formulas!Y112="",RIGHT(Formulas!Z112)="0"),"",
HYPERLINK("["&amp;Archivo_Nombre&amp;"]Datos!"&amp;LEFT(SUBSTITUTE(ADDRESS(1,RIGHT(Formulas!Z112)+2),"$",""))&amp;Formulas!X112+1,
IFERROR(INDEX(Datos!$A$2:$L$101,Formulas!X112,RIGHT(Formulas!Z112)+2),"")))</f>
        <v/>
      </c>
      <c r="Y115" s="107" t="str" cm="1">
        <f t="array" aca="1" ref="Y115" ca="1">IF(OR(Formulas!Z113=0,Formulas!Z113=""),"",HYPERLINK("["&amp;Archivo_Nombre&amp;"]Datos!"&amp;LEFT(SUBSTITUTE(ADDRESS(1,Formulas!Z113+2),"$",""))&amp;Formulas!Y113+1,
IFERROR(INDEX(Datos!$A$2:$L$101,Formulas!Y113,Formulas!Z113+2),"")))</f>
        <v/>
      </c>
      <c r="Z115" s="13"/>
      <c r="AA115" s="6"/>
      <c r="AB115" s="24" t="str" cm="1">
        <f t="array" aca="1" ref="AB115" ca="1">IF(OR(Formulas!AD112=0,Formulas!AD112="",RIGHT(Formulas!AE112)="0"),"",
HYPERLINK("["&amp;Archivo_Nombre&amp;"]Datos!"&amp;LEFT(SUBSTITUTE(ADDRESS(1,IF(Formulas!AD112=1,1,RIGHT(Formulas!AE112)+2)),"$",""))&amp;Formulas!AC112+1,
IFERROR(INDEX(Datos!$A$1:$L$1,1,RIGHT(Formulas!AE112)+2)&amp;IF(Formulas!AD112=1," "&amp;Formulas!AC112,"")&amp;":","")))</f>
        <v/>
      </c>
      <c r="AC115" s="107" t="str" cm="1">
        <f t="array" aca="1" ref="AC115" ca="1">IF(OR(Formulas!AD112=0,Formulas!AD112="",RIGHT(Formulas!AE112)="0"),"",
HYPERLINK("["&amp;Archivo_Nombre&amp;"]Datos!"&amp;LEFT(SUBSTITUTE(ADDRESS(1,RIGHT(Formulas!AE112)+2),"$",""))&amp;Formulas!AC112+1,
IFERROR(INDEX(Datos!$A$2:$L$101,Formulas!AC112,RIGHT(Formulas!AE112)+2),"")))</f>
        <v/>
      </c>
      <c r="AD115" s="107" t="str" cm="1">
        <f t="array" aca="1" ref="AD115" ca="1">IF(OR(Formulas!AE113=0,Formulas!AE113=""),"",HYPERLINK("["&amp;Archivo_Nombre&amp;"]Datos!"&amp;LEFT(SUBSTITUTE(ADDRESS(1,Formulas!AE113+2),"$",""))&amp;Formulas!AD113+1,
IFERROR(INDEX(Datos!$A$2:$L$101,Formulas!AD113,Formulas!AE113+2),"")))</f>
        <v/>
      </c>
      <c r="AE115" s="13"/>
      <c r="AF115" s="6"/>
      <c r="AG115" s="24" t="str" cm="1">
        <f t="array" aca="1" ref="AG115" ca="1">IF(OR(Formulas!AI112=0,Formulas!AI112="",RIGHT(Formulas!AJ112)="0"),"",
HYPERLINK("["&amp;Archivo_Nombre&amp;"]Datos!"&amp;LEFT(SUBSTITUTE(ADDRESS(1,IF(Formulas!AI112=1,1,RIGHT(Formulas!AJ112)+2)),"$",""))&amp;Formulas!AH112+1,
IFERROR(INDEX(Datos!$A$1:$L$1,1,RIGHT(Formulas!AJ112)+2)&amp;IF(Formulas!AI112=1," "&amp;Formulas!AH112,"")&amp;":","")))</f>
        <v/>
      </c>
      <c r="AH115" s="107" t="str" cm="1">
        <f t="array" aca="1" ref="AH115" ca="1">IF(OR(Formulas!AI112=0,Formulas!AI112="",RIGHT(Formulas!AJ112)="0"),"",
HYPERLINK("["&amp;Archivo_Nombre&amp;"]Datos!"&amp;LEFT(SUBSTITUTE(ADDRESS(1,RIGHT(Formulas!AJ112)+2),"$",""))&amp;Formulas!AH112+1,
IFERROR(INDEX(Datos!$A$2:$L$101,Formulas!AH112,RIGHT(Formulas!AJ112)+2),"")))</f>
        <v/>
      </c>
      <c r="AI115" s="107" t="str" cm="1">
        <f t="array" aca="1" ref="AI115" ca="1">IF(OR(Formulas!AJ113=0,Formulas!AJ113=""),"",HYPERLINK("["&amp;Archivo_Nombre&amp;"]Datos!"&amp;LEFT(SUBSTITUTE(ADDRESS(1,Formulas!AJ113+2),"$",""))&amp;Formulas!AI113+1,
IFERROR(INDEX(Datos!$A$2:$L$101,Formulas!AI113,Formulas!AJ113+2),"")))</f>
        <v/>
      </c>
      <c r="AJ115" s="13"/>
      <c r="AK115" s="6"/>
      <c r="AL115" s="24" t="str" cm="1">
        <f t="array" aca="1" ref="AL115" ca="1">IF(OR(Formulas!AN112=0,Formulas!AN112="",RIGHT(Formulas!AO112)="0"),"",
HYPERLINK("["&amp;Archivo_Nombre&amp;"]Datos!"&amp;LEFT(SUBSTITUTE(ADDRESS(1,IF(Formulas!AN112=1,1,RIGHT(Formulas!AO112)+2)),"$",""))&amp;Formulas!AM112+1,
IFERROR(INDEX(Datos!$A$1:$L$1,1,RIGHT(Formulas!AO112)+2)&amp;IF(Formulas!AN112=1," "&amp;Formulas!AM112,"")&amp;":","")))</f>
        <v/>
      </c>
      <c r="AM115" s="107" t="str" cm="1">
        <f t="array" aca="1" ref="AM115" ca="1">IF(OR(Formulas!AN112=0,Formulas!AN112="",RIGHT(Formulas!AO112)="0"),"",
HYPERLINK("["&amp;Archivo_Nombre&amp;"]Datos!"&amp;LEFT(SUBSTITUTE(ADDRESS(1,RIGHT(Formulas!AO112)+2),"$",""))&amp;Formulas!AM112+1,
IFERROR(INDEX(Datos!$A$2:$L$101,Formulas!AM112,RIGHT(Formulas!AO112)+2),"")))</f>
        <v/>
      </c>
      <c r="AN115" s="107" t="str" cm="1">
        <f t="array" aca="1" ref="AN115" ca="1">IF(OR(Formulas!AO113=0,Formulas!AO113=""),"",HYPERLINK("["&amp;Archivo_Nombre&amp;"]Datos!"&amp;LEFT(SUBSTITUTE(ADDRESS(1,Formulas!AO113+2),"$",""))&amp;Formulas!AN113+1,
IFERROR(INDEX(Datos!$A$2:$L$101,Formulas!AN113,Formulas!AO113+2),"")))</f>
        <v/>
      </c>
      <c r="AO115" s="13"/>
      <c r="AP115" s="6"/>
      <c r="AQ115" s="24" t="str" cm="1">
        <f t="array" aca="1" ref="AQ115" ca="1">IF(OR(Formulas!AS112=0,Formulas!AS112="",RIGHT(Formulas!AT112)="0"),"",
HYPERLINK("["&amp;Archivo_Nombre&amp;"]Datos!"&amp;LEFT(SUBSTITUTE(ADDRESS(1,IF(Formulas!AS112=1,1,RIGHT(Formulas!AT112)+2)),"$",""))&amp;Formulas!AR112+1,
IFERROR(INDEX(Datos!$A$1:$L$1,1,RIGHT(Formulas!AT112)+2)&amp;IF(Formulas!AS112=1," "&amp;Formulas!AR112,"")&amp;":","")))</f>
        <v/>
      </c>
      <c r="AR115" s="107" t="str" cm="1">
        <f t="array" aca="1" ref="AR115" ca="1">IF(OR(Formulas!AS112=0,Formulas!AS112="",RIGHT(Formulas!AT112)="0"),"",
HYPERLINK("["&amp;Archivo_Nombre&amp;"]Datos!"&amp;LEFT(SUBSTITUTE(ADDRESS(1,RIGHT(Formulas!AT112)+2),"$",""))&amp;Formulas!AR112+1,
IFERROR(INDEX(Datos!$A$2:$L$101,Formulas!AR112,RIGHT(Formulas!AT112)+2),"")))</f>
        <v/>
      </c>
      <c r="AS115" s="107" t="str" cm="1">
        <f t="array" aca="1" ref="AS115" ca="1">IF(OR(Formulas!AT113=0,Formulas!AT113=""),"",HYPERLINK("["&amp;Archivo_Nombre&amp;"]Datos!"&amp;LEFT(SUBSTITUTE(ADDRESS(1,Formulas!AT113+2),"$",""))&amp;Formulas!AS113+1,
IFERROR(INDEX(Datos!$A$2:$L$101,Formulas!AS113,Formulas!AT113+2),"")))</f>
        <v/>
      </c>
      <c r="AT115" s="13"/>
      <c r="AU115" s="6"/>
      <c r="AV115" s="24" t="str" cm="1">
        <f t="array" aca="1" ref="AV115" ca="1">IF(OR(Formulas!AX112=0,Formulas!AX112="",RIGHT(Formulas!AY112)="0"),"",
HYPERLINK("["&amp;Archivo_Nombre&amp;"]Datos!"&amp;LEFT(SUBSTITUTE(ADDRESS(1,IF(Formulas!AX112=1,1,RIGHT(Formulas!AY112)+2)),"$",""))&amp;Formulas!AW112+1,
IFERROR(INDEX(Datos!$A$1:$L$1,1,RIGHT(Formulas!AY112)+2)&amp;IF(Formulas!AX112=1," "&amp;Formulas!AW112,"")&amp;":","")))</f>
        <v/>
      </c>
      <c r="AW115" s="107" t="str" cm="1">
        <f t="array" aca="1" ref="AW115" ca="1">IF(OR(Formulas!AX112=0,Formulas!AX112="",RIGHT(Formulas!AY112)="0"),"",
HYPERLINK("["&amp;Archivo_Nombre&amp;"]Datos!"&amp;LEFT(SUBSTITUTE(ADDRESS(1,RIGHT(Formulas!AY112)+2),"$",""))&amp;Formulas!AW112+1,
IFERROR(INDEX(Datos!$A$2:$L$101,Formulas!AW112,RIGHT(Formulas!AY112)+2),"")))</f>
        <v/>
      </c>
      <c r="AX115" s="107" t="str" cm="1">
        <f t="array" aca="1" ref="AX115" ca="1">IF(OR(Formulas!AY113=0,Formulas!AY113=""),"",HYPERLINK("["&amp;Archivo_Nombre&amp;"]Datos!"&amp;LEFT(SUBSTITUTE(ADDRESS(1,Formulas!AY113+2),"$",""))&amp;Formulas!AX113+1,
IFERROR(INDEX(Datos!$A$2:$L$101,Formulas!AX113,Formulas!AY113+2),"")))</f>
        <v/>
      </c>
      <c r="AY115" s="13"/>
    </row>
    <row r="116" spans="2:51" x14ac:dyDescent="0.25">
      <c r="B116" s="11"/>
      <c r="C116" s="24" t="str" cm="1">
        <f t="array" aca="1" ref="C116" ca="1">IF(OR(Formulas!E113=0,Formulas!E113="",RIGHT(Formulas!F113)="0"),"",
HYPERLINK("["&amp;Archivo_Nombre&amp;"]Datos!"&amp;LEFT(SUBSTITUTE(ADDRESS(1,IF(Formulas!E113=1,1,RIGHT(Formulas!F113)+2)),"$",""))&amp;Formulas!D113+1,
IFERROR(INDEX(Datos!$A$1:$L$1,1,RIGHT(Formulas!F113)+2)&amp;IF(Formulas!E113=1," "&amp;Formulas!D113,"")&amp;":","")))</f>
        <v/>
      </c>
      <c r="D116" s="107" t="str" cm="1">
        <f t="array" aca="1" ref="D116" ca="1">IF(OR(Formulas!E113=0,Formulas!E113="",RIGHT(Formulas!F113)="0"),"",
HYPERLINK("["&amp;Archivo_Nombre&amp;"]Datos!"&amp;LEFT(SUBSTITUTE(ADDRESS(1,RIGHT(Formulas!F113)+2),"$",""))&amp;Formulas!D113+1,
IFERROR(INDEX(Datos!$A$2:$L$101,Formulas!D113,RIGHT(Formulas!F113)+2),"")))</f>
        <v/>
      </c>
      <c r="E116" s="107" t="str" cm="1">
        <f t="array" aca="1" ref="E116" ca="1">IF(OR(Formulas!F114=0,Formulas!F114=""),"",HYPERLINK("["&amp;Archivo_Nombre&amp;"]Datos!"&amp;LEFT(SUBSTITUTE(ADDRESS(1,Formulas!F114+2),"$",""))&amp;Formulas!E114+1,
IFERROR(INDEX(Datos!$A$2:$L$101,Formulas!E114,Formulas!F114+2),"")))</f>
        <v/>
      </c>
      <c r="F116" s="5"/>
      <c r="G116" s="6"/>
      <c r="H116" s="24" t="str" cm="1">
        <f t="array" aca="1" ref="H116" ca="1">IF(OR(Formulas!J113=0,Formulas!J113="",RIGHT(Formulas!K113)="0"),"",
HYPERLINK("["&amp;Archivo_Nombre&amp;"]Datos!"&amp;LEFT(SUBSTITUTE(ADDRESS(1,IF(Formulas!J113=1,1,RIGHT(Formulas!K113)+2)),"$",""))&amp;Formulas!I113+1,
IFERROR(INDEX(Datos!$A$1:$L$1,1,RIGHT(Formulas!K113)+2)&amp;IF(Formulas!J113=1," "&amp;Formulas!I113,"")&amp;":","")))</f>
        <v/>
      </c>
      <c r="I116" s="107" t="str" cm="1">
        <f t="array" aca="1" ref="I116" ca="1">IF(OR(Formulas!J113=0,Formulas!J113="",RIGHT(Formulas!K113)="0"),"",
HYPERLINK("["&amp;Archivo_Nombre&amp;"]Datos!"&amp;LEFT(SUBSTITUTE(ADDRESS(1,RIGHT(Formulas!K113)+2),"$",""))&amp;Formulas!I113+1,
IFERROR(INDEX(Datos!$A$2:$L$101,Formulas!I113,RIGHT(Formulas!K113)+2),"")))</f>
        <v/>
      </c>
      <c r="J116" s="107" t="str" cm="1">
        <f t="array" aca="1" ref="J116" ca="1">IF(OR(Formulas!K114=0,Formulas!K114=""),"",HYPERLINK("["&amp;Archivo_Nombre&amp;"]Datos!"&amp;LEFT(SUBSTITUTE(ADDRESS(1,Formulas!K114+2),"$",""))&amp;Formulas!J114+1,
IFERROR(INDEX(Datos!$A$2:$L$101,Formulas!J114,Formulas!K114+2),"")))</f>
        <v/>
      </c>
      <c r="K116" s="5"/>
      <c r="L116" s="6"/>
      <c r="M116" s="24" t="str" cm="1">
        <f t="array" aca="1" ref="M116" ca="1">IF(OR(Formulas!O113=0,Formulas!O113="",RIGHT(Formulas!P113)="0"),"",
HYPERLINK("["&amp;Archivo_Nombre&amp;"]Datos!"&amp;LEFT(SUBSTITUTE(ADDRESS(1,IF(Formulas!O113=1,1,RIGHT(Formulas!P113)+2)),"$",""))&amp;Formulas!N113+1,
IFERROR(INDEX(Datos!$A$1:$L$1,1,RIGHT(Formulas!P113)+2)&amp;IF(Formulas!O113=1," "&amp;Formulas!N113,"")&amp;":","")))</f>
        <v/>
      </c>
      <c r="N116" s="107" t="str" cm="1">
        <f t="array" aca="1" ref="N116" ca="1">IF(OR(Formulas!O113=0,Formulas!O113="",RIGHT(Formulas!P113)="0"),"",
HYPERLINK("["&amp;Archivo_Nombre&amp;"]Datos!"&amp;LEFT(SUBSTITUTE(ADDRESS(1,RIGHT(Formulas!P113)+2),"$",""))&amp;Formulas!N113+1,
IFERROR(INDEX(Datos!$A$2:$L$101,Formulas!N113,RIGHT(Formulas!P113)+2),"")))</f>
        <v/>
      </c>
      <c r="O116" s="107" t="str" cm="1">
        <f t="array" aca="1" ref="O116" ca="1">IF(OR(Formulas!P114=0,Formulas!P114=""),"",HYPERLINK("["&amp;Archivo_Nombre&amp;"]Datos!"&amp;LEFT(SUBSTITUTE(ADDRESS(1,Formulas!P114+2),"$",""))&amp;Formulas!O114+1,
IFERROR(INDEX(Datos!$A$2:$L$101,Formulas!O114,Formulas!P114+2),"")))</f>
        <v/>
      </c>
      <c r="P116" s="5"/>
      <c r="Q116" s="6"/>
      <c r="R116" s="24" t="str" cm="1">
        <f t="array" aca="1" ref="R116" ca="1">IF(OR(Formulas!T113=0,Formulas!T113="",RIGHT(Formulas!U113)="0"),"",
HYPERLINK("["&amp;Archivo_Nombre&amp;"]Datos!"&amp;LEFT(SUBSTITUTE(ADDRESS(1,IF(Formulas!T113=1,1,RIGHT(Formulas!U113)+2)),"$",""))&amp;Formulas!S113+1,
IFERROR(INDEX(Datos!$A$1:$L$1,1,RIGHT(Formulas!U113)+2)&amp;IF(Formulas!T113=1," "&amp;Formulas!S113,"")&amp;":","")))</f>
        <v>ORDEN PCRONOLOGICO 18:</v>
      </c>
      <c r="S116" s="107" cm="1">
        <f t="array" aca="1" ref="S116" ca="1">IF(OR(Formulas!T113=0,Formulas!T113="",RIGHT(Formulas!U113)="0"),"",
HYPERLINK("["&amp;Archivo_Nombre&amp;"]Datos!"&amp;LEFT(SUBSTITUTE(ADDRESS(1,RIGHT(Formulas!U113)+2),"$",""))&amp;Formulas!S113+1,
IFERROR(INDEX(Datos!$A$2:$L$101,Formulas!S113,RIGHT(Formulas!U113)+2),"")))</f>
        <v>18</v>
      </c>
      <c r="T116" s="107" t="e" cm="1">
        <f t="array" aca="1" ref="T116" ca="1">IF(OR(Formulas!U114=0,Formulas!U114=""),"",HYPERLINK("["&amp;Archivo_Nombre&amp;"]Datos!"&amp;LEFT(SUBSTITUTE(ADDRESS(1,Formulas!U114+2),"$",""))&amp;Formulas!T114+1,
IFERROR(INDEX(Datos!$A$2:$L$101,Formulas!T114,Formulas!U114+2),"")))</f>
        <v>#VALUE!</v>
      </c>
      <c r="U116" s="5"/>
      <c r="V116" s="6"/>
      <c r="W116" s="24" t="str" cm="1">
        <f t="array" aca="1" ref="W116" ca="1">IF(OR(Formulas!Y113=0,Formulas!Y113="",RIGHT(Formulas!Z113)="0"),"",
HYPERLINK("["&amp;Archivo_Nombre&amp;"]Datos!"&amp;LEFT(SUBSTITUTE(ADDRESS(1,IF(Formulas!Y113=1,1,RIGHT(Formulas!Z113)+2)),"$",""))&amp;Formulas!X113+1,
IFERROR(INDEX(Datos!$A$1:$L$1,1,RIGHT(Formulas!Z113)+2)&amp;IF(Formulas!Y113=1," "&amp;Formulas!X113,"")&amp;":","")))</f>
        <v/>
      </c>
      <c r="X116" s="107" t="str" cm="1">
        <f t="array" aca="1" ref="X116" ca="1">IF(OR(Formulas!Y113=0,Formulas!Y113="",RIGHT(Formulas!Z113)="0"),"",
HYPERLINK("["&amp;Archivo_Nombre&amp;"]Datos!"&amp;LEFT(SUBSTITUTE(ADDRESS(1,RIGHT(Formulas!Z113)+2),"$",""))&amp;Formulas!X113+1,
IFERROR(INDEX(Datos!$A$2:$L$101,Formulas!X113,RIGHT(Formulas!Z113)+2),"")))</f>
        <v/>
      </c>
      <c r="Y116" s="107" t="str" cm="1">
        <f t="array" aca="1" ref="Y116" ca="1">IF(OR(Formulas!Z114=0,Formulas!Z114=""),"",HYPERLINK("["&amp;Archivo_Nombre&amp;"]Datos!"&amp;LEFT(SUBSTITUTE(ADDRESS(1,Formulas!Z114+2),"$",""))&amp;Formulas!Y114+1,
IFERROR(INDEX(Datos!$A$2:$L$101,Formulas!Y114,Formulas!Z114+2),"")))</f>
        <v/>
      </c>
      <c r="Z116" s="13"/>
      <c r="AA116" s="6"/>
      <c r="AB116" s="24" t="str" cm="1">
        <f t="array" aca="1" ref="AB116" ca="1">IF(OR(Formulas!AD113=0,Formulas!AD113="",RIGHT(Formulas!AE113)="0"),"",
HYPERLINK("["&amp;Archivo_Nombre&amp;"]Datos!"&amp;LEFT(SUBSTITUTE(ADDRESS(1,IF(Formulas!AD113=1,1,RIGHT(Formulas!AE113)+2)),"$",""))&amp;Formulas!AC113+1,
IFERROR(INDEX(Datos!$A$1:$L$1,1,RIGHT(Formulas!AE113)+2)&amp;IF(Formulas!AD113=1," "&amp;Formulas!AC113,"")&amp;":","")))</f>
        <v/>
      </c>
      <c r="AC116" s="107" t="str" cm="1">
        <f t="array" aca="1" ref="AC116" ca="1">IF(OR(Formulas!AD113=0,Formulas!AD113="",RIGHT(Formulas!AE113)="0"),"",
HYPERLINK("["&amp;Archivo_Nombre&amp;"]Datos!"&amp;LEFT(SUBSTITUTE(ADDRESS(1,RIGHT(Formulas!AE113)+2),"$",""))&amp;Formulas!AC113+1,
IFERROR(INDEX(Datos!$A$2:$L$101,Formulas!AC113,RIGHT(Formulas!AE113)+2),"")))</f>
        <v/>
      </c>
      <c r="AD116" s="107" t="str" cm="1">
        <f t="array" aca="1" ref="AD116" ca="1">IF(OR(Formulas!AE114=0,Formulas!AE114=""),"",HYPERLINK("["&amp;Archivo_Nombre&amp;"]Datos!"&amp;LEFT(SUBSTITUTE(ADDRESS(1,Formulas!AE114+2),"$",""))&amp;Formulas!AD114+1,
IFERROR(INDEX(Datos!$A$2:$L$101,Formulas!AD114,Formulas!AE114+2),"")))</f>
        <v/>
      </c>
      <c r="AE116" s="13"/>
      <c r="AF116" s="6"/>
      <c r="AG116" s="24" t="str" cm="1">
        <f t="array" aca="1" ref="AG116" ca="1">IF(OR(Formulas!AI113=0,Formulas!AI113="",RIGHT(Formulas!AJ113)="0"),"",
HYPERLINK("["&amp;Archivo_Nombre&amp;"]Datos!"&amp;LEFT(SUBSTITUTE(ADDRESS(1,IF(Formulas!AI113=1,1,RIGHT(Formulas!AJ113)+2)),"$",""))&amp;Formulas!AH113+1,
IFERROR(INDEX(Datos!$A$1:$L$1,1,RIGHT(Formulas!AJ113)+2)&amp;IF(Formulas!AI113=1," "&amp;Formulas!AH113,"")&amp;":","")))</f>
        <v/>
      </c>
      <c r="AH116" s="107" t="str" cm="1">
        <f t="array" aca="1" ref="AH116" ca="1">IF(OR(Formulas!AI113=0,Formulas!AI113="",RIGHT(Formulas!AJ113)="0"),"",
HYPERLINK("["&amp;Archivo_Nombre&amp;"]Datos!"&amp;LEFT(SUBSTITUTE(ADDRESS(1,RIGHT(Formulas!AJ113)+2),"$",""))&amp;Formulas!AH113+1,
IFERROR(INDEX(Datos!$A$2:$L$101,Formulas!AH113,RIGHT(Formulas!AJ113)+2),"")))</f>
        <v/>
      </c>
      <c r="AI116" s="107" t="str" cm="1">
        <f t="array" aca="1" ref="AI116" ca="1">IF(OR(Formulas!AJ114=0,Formulas!AJ114=""),"",HYPERLINK("["&amp;Archivo_Nombre&amp;"]Datos!"&amp;LEFT(SUBSTITUTE(ADDRESS(1,Formulas!AJ114+2),"$",""))&amp;Formulas!AI114+1,
IFERROR(INDEX(Datos!$A$2:$L$101,Formulas!AI114,Formulas!AJ114+2),"")))</f>
        <v/>
      </c>
      <c r="AJ116" s="13"/>
      <c r="AK116" s="6"/>
      <c r="AL116" s="24" t="str" cm="1">
        <f t="array" aca="1" ref="AL116" ca="1">IF(OR(Formulas!AN113=0,Formulas!AN113="",RIGHT(Formulas!AO113)="0"),"",
HYPERLINK("["&amp;Archivo_Nombre&amp;"]Datos!"&amp;LEFT(SUBSTITUTE(ADDRESS(1,IF(Formulas!AN113=1,1,RIGHT(Formulas!AO113)+2)),"$",""))&amp;Formulas!AM113+1,
IFERROR(INDEX(Datos!$A$1:$L$1,1,RIGHT(Formulas!AO113)+2)&amp;IF(Formulas!AN113=1," "&amp;Formulas!AM113,"")&amp;":","")))</f>
        <v/>
      </c>
      <c r="AM116" s="107" t="str" cm="1">
        <f t="array" aca="1" ref="AM116" ca="1">IF(OR(Formulas!AN113=0,Formulas!AN113="",RIGHT(Formulas!AO113)="0"),"",
HYPERLINK("["&amp;Archivo_Nombre&amp;"]Datos!"&amp;LEFT(SUBSTITUTE(ADDRESS(1,RIGHT(Formulas!AO113)+2),"$",""))&amp;Formulas!AM113+1,
IFERROR(INDEX(Datos!$A$2:$L$101,Formulas!AM113,RIGHT(Formulas!AO113)+2),"")))</f>
        <v/>
      </c>
      <c r="AN116" s="107" t="str" cm="1">
        <f t="array" aca="1" ref="AN116" ca="1">IF(OR(Formulas!AO114=0,Formulas!AO114=""),"",HYPERLINK("["&amp;Archivo_Nombre&amp;"]Datos!"&amp;LEFT(SUBSTITUTE(ADDRESS(1,Formulas!AO114+2),"$",""))&amp;Formulas!AN114+1,
IFERROR(INDEX(Datos!$A$2:$L$101,Formulas!AN114,Formulas!AO114+2),"")))</f>
        <v/>
      </c>
      <c r="AO116" s="13"/>
      <c r="AP116" s="6"/>
      <c r="AQ116" s="24" t="str" cm="1">
        <f t="array" aca="1" ref="AQ116" ca="1">IF(OR(Formulas!AS113=0,Formulas!AS113="",RIGHT(Formulas!AT113)="0"),"",
HYPERLINK("["&amp;Archivo_Nombre&amp;"]Datos!"&amp;LEFT(SUBSTITUTE(ADDRESS(1,IF(Formulas!AS113=1,1,RIGHT(Formulas!AT113)+2)),"$",""))&amp;Formulas!AR113+1,
IFERROR(INDEX(Datos!$A$1:$L$1,1,RIGHT(Formulas!AT113)+2)&amp;IF(Formulas!AS113=1," "&amp;Formulas!AR113,"")&amp;":","")))</f>
        <v/>
      </c>
      <c r="AR116" s="107" t="str" cm="1">
        <f t="array" aca="1" ref="AR116" ca="1">IF(OR(Formulas!AS113=0,Formulas!AS113="",RIGHT(Formulas!AT113)="0"),"",
HYPERLINK("["&amp;Archivo_Nombre&amp;"]Datos!"&amp;LEFT(SUBSTITUTE(ADDRESS(1,RIGHT(Formulas!AT113)+2),"$",""))&amp;Formulas!AR113+1,
IFERROR(INDEX(Datos!$A$2:$L$101,Formulas!AR113,RIGHT(Formulas!AT113)+2),"")))</f>
        <v/>
      </c>
      <c r="AS116" s="107" t="str" cm="1">
        <f t="array" aca="1" ref="AS116" ca="1">IF(OR(Formulas!AT114=0,Formulas!AT114=""),"",HYPERLINK("["&amp;Archivo_Nombre&amp;"]Datos!"&amp;LEFT(SUBSTITUTE(ADDRESS(1,Formulas!AT114+2),"$",""))&amp;Formulas!AS114+1,
IFERROR(INDEX(Datos!$A$2:$L$101,Formulas!AS114,Formulas!AT114+2),"")))</f>
        <v/>
      </c>
      <c r="AT116" s="13"/>
      <c r="AU116" s="6"/>
      <c r="AV116" s="24" t="str" cm="1">
        <f t="array" aca="1" ref="AV116" ca="1">IF(OR(Formulas!AX113=0,Formulas!AX113="",RIGHT(Formulas!AY113)="0"),"",
HYPERLINK("["&amp;Archivo_Nombre&amp;"]Datos!"&amp;LEFT(SUBSTITUTE(ADDRESS(1,IF(Formulas!AX113=1,1,RIGHT(Formulas!AY113)+2)),"$",""))&amp;Formulas!AW113+1,
IFERROR(INDEX(Datos!$A$1:$L$1,1,RIGHT(Formulas!AY113)+2)&amp;IF(Formulas!AX113=1," "&amp;Formulas!AW113,"")&amp;":","")))</f>
        <v/>
      </c>
      <c r="AW116" s="107" t="str" cm="1">
        <f t="array" aca="1" ref="AW116" ca="1">IF(OR(Formulas!AX113=0,Formulas!AX113="",RIGHT(Formulas!AY113)="0"),"",
HYPERLINK("["&amp;Archivo_Nombre&amp;"]Datos!"&amp;LEFT(SUBSTITUTE(ADDRESS(1,RIGHT(Formulas!AY113)+2),"$",""))&amp;Formulas!AW113+1,
IFERROR(INDEX(Datos!$A$2:$L$101,Formulas!AW113,RIGHT(Formulas!AY113)+2),"")))</f>
        <v/>
      </c>
      <c r="AX116" s="107" t="str" cm="1">
        <f t="array" aca="1" ref="AX116" ca="1">IF(OR(Formulas!AY114=0,Formulas!AY114=""),"",HYPERLINK("["&amp;Archivo_Nombre&amp;"]Datos!"&amp;LEFT(SUBSTITUTE(ADDRESS(1,Formulas!AY114+2),"$",""))&amp;Formulas!AX114+1,
IFERROR(INDEX(Datos!$A$2:$L$101,Formulas!AX114,Formulas!AY114+2),"")))</f>
        <v/>
      </c>
      <c r="AY116" s="13"/>
    </row>
    <row r="117" spans="2:51" x14ac:dyDescent="0.25">
      <c r="B117" s="11"/>
      <c r="C117" s="24" t="str" cm="1">
        <f t="array" aca="1" ref="C117" ca="1">IF(OR(Formulas!E114=0,Formulas!E114="",RIGHT(Formulas!F114)="0"),"",
HYPERLINK("["&amp;Archivo_Nombre&amp;"]Datos!"&amp;LEFT(SUBSTITUTE(ADDRESS(1,IF(Formulas!E114=1,1,RIGHT(Formulas!F114)+2)),"$",""))&amp;Formulas!D114+1,
IFERROR(INDEX(Datos!$A$1:$L$1,1,RIGHT(Formulas!F114)+2)&amp;IF(Formulas!E114=1," "&amp;Formulas!D114,"")&amp;":","")))</f>
        <v/>
      </c>
      <c r="D117" s="107" t="str" cm="1">
        <f t="array" aca="1" ref="D117" ca="1">IF(OR(Formulas!E114=0,Formulas!E114="",RIGHT(Formulas!F114)="0"),"",
HYPERLINK("["&amp;Archivo_Nombre&amp;"]Datos!"&amp;LEFT(SUBSTITUTE(ADDRESS(1,RIGHT(Formulas!F114)+2),"$",""))&amp;Formulas!D114+1,
IFERROR(INDEX(Datos!$A$2:$L$101,Formulas!D114,RIGHT(Formulas!F114)+2),"")))</f>
        <v/>
      </c>
      <c r="E117" s="107" t="str" cm="1">
        <f t="array" aca="1" ref="E117" ca="1">IF(OR(Formulas!F115=0,Formulas!F115=""),"",HYPERLINK("["&amp;Archivo_Nombre&amp;"]Datos!"&amp;LEFT(SUBSTITUTE(ADDRESS(1,Formulas!F115+2),"$",""))&amp;Formulas!E115+1,
IFERROR(INDEX(Datos!$A$2:$L$101,Formulas!E115,Formulas!F115+2),"")))</f>
        <v/>
      </c>
      <c r="F117" s="5"/>
      <c r="G117" s="6"/>
      <c r="H117" s="24" t="str" cm="1">
        <f t="array" aca="1" ref="H117" ca="1">IF(OR(Formulas!J114=0,Formulas!J114="",RIGHT(Formulas!K114)="0"),"",
HYPERLINK("["&amp;Archivo_Nombre&amp;"]Datos!"&amp;LEFT(SUBSTITUTE(ADDRESS(1,IF(Formulas!J114=1,1,RIGHT(Formulas!K114)+2)),"$",""))&amp;Formulas!I114+1,
IFERROR(INDEX(Datos!$A$1:$L$1,1,RIGHT(Formulas!K114)+2)&amp;IF(Formulas!J114=1," "&amp;Formulas!I114,"")&amp;":","")))</f>
        <v/>
      </c>
      <c r="I117" s="107" t="str" cm="1">
        <f t="array" aca="1" ref="I117" ca="1">IF(OR(Formulas!J114=0,Formulas!J114="",RIGHT(Formulas!K114)="0"),"",
HYPERLINK("["&amp;Archivo_Nombre&amp;"]Datos!"&amp;LEFT(SUBSTITUTE(ADDRESS(1,RIGHT(Formulas!K114)+2),"$",""))&amp;Formulas!I114+1,
IFERROR(INDEX(Datos!$A$2:$L$101,Formulas!I114,RIGHT(Formulas!K114)+2),"")))</f>
        <v/>
      </c>
      <c r="J117" s="107" t="str" cm="1">
        <f t="array" aca="1" ref="J117" ca="1">IF(OR(Formulas!K115=0,Formulas!K115=""),"",HYPERLINK("["&amp;Archivo_Nombre&amp;"]Datos!"&amp;LEFT(SUBSTITUTE(ADDRESS(1,Formulas!K115+2),"$",""))&amp;Formulas!J115+1,
IFERROR(INDEX(Datos!$A$2:$L$101,Formulas!J115,Formulas!K115+2),"")))</f>
        <v/>
      </c>
      <c r="K117" s="5"/>
      <c r="L117" s="6"/>
      <c r="M117" s="24" t="str" cm="1">
        <f t="array" aca="1" ref="M117" ca="1">IF(OR(Formulas!O114=0,Formulas!O114="",RIGHT(Formulas!P114)="0"),"",
HYPERLINK("["&amp;Archivo_Nombre&amp;"]Datos!"&amp;LEFT(SUBSTITUTE(ADDRESS(1,IF(Formulas!O114=1,1,RIGHT(Formulas!P114)+2)),"$",""))&amp;Formulas!N114+1,
IFERROR(INDEX(Datos!$A$1:$L$1,1,RIGHT(Formulas!P114)+2)&amp;IF(Formulas!O114=1," "&amp;Formulas!N114,"")&amp;":","")))</f>
        <v/>
      </c>
      <c r="N117" s="107" t="str" cm="1">
        <f t="array" aca="1" ref="N117" ca="1">IF(OR(Formulas!O114=0,Formulas!O114="",RIGHT(Formulas!P114)="0"),"",
HYPERLINK("["&amp;Archivo_Nombre&amp;"]Datos!"&amp;LEFT(SUBSTITUTE(ADDRESS(1,RIGHT(Formulas!P114)+2),"$",""))&amp;Formulas!N114+1,
IFERROR(INDEX(Datos!$A$2:$L$101,Formulas!N114,RIGHT(Formulas!P114)+2),"")))</f>
        <v/>
      </c>
      <c r="O117" s="107" t="str" cm="1">
        <f t="array" aca="1" ref="O117" ca="1">IF(OR(Formulas!P115=0,Formulas!P115=""),"",HYPERLINK("["&amp;Archivo_Nombre&amp;"]Datos!"&amp;LEFT(SUBSTITUTE(ADDRESS(1,Formulas!P115+2),"$",""))&amp;Formulas!O115+1,
IFERROR(INDEX(Datos!$A$2:$L$101,Formulas!O115,Formulas!P115+2),"")))</f>
        <v/>
      </c>
      <c r="P117" s="5"/>
      <c r="Q117" s="6"/>
      <c r="R117" s="24" t="str" cm="1">
        <f t="array" aca="1" ref="R117" ca="1">IF(OR(Formulas!T114=0,Formulas!T114="",RIGHT(Formulas!U114)="0"),"",
HYPERLINK("["&amp;Archivo_Nombre&amp;"]Datos!"&amp;LEFT(SUBSTITUTE(ADDRESS(1,IF(Formulas!T114=1,1,RIGHT(Formulas!U114)+2)),"$",""))&amp;Formulas!S114+1,
IFERROR(INDEX(Datos!$A$1:$L$1,1,RIGHT(Formulas!U114)+2)&amp;IF(Formulas!T114=1," "&amp;Formulas!S114,"")&amp;":","")))</f>
        <v>Tarea:</v>
      </c>
      <c r="S117" s="107" t="str" cm="1">
        <f t="array" aca="1" ref="S117" ca="1">IF(OR(Formulas!T114=0,Formulas!T114="",RIGHT(Formulas!U114)="0"),"",
HYPERLINK("["&amp;Archivo_Nombre&amp;"]Datos!"&amp;LEFT(SUBSTITUTE(ADDRESS(1,RIGHT(Formulas!U114)+2),"$",""))&amp;Formulas!S114+1,
IFERROR(INDEX(Datos!$A$2:$L$101,Formulas!S114,RIGHT(Formulas!U114)+2),"")))</f>
        <v>REQ001 Seguridad al ingreso</v>
      </c>
      <c r="T117" s="107" t="e" cm="1">
        <f t="array" aca="1" ref="T117" ca="1">IF(OR(Formulas!U115=0,Formulas!U115=""),"",HYPERLINK("["&amp;Archivo_Nombre&amp;"]Datos!"&amp;LEFT(SUBSTITUTE(ADDRESS(1,Formulas!U115+2),"$",""))&amp;Formulas!T115+1,
IFERROR(INDEX(Datos!$A$2:$L$101,Formulas!T115,Formulas!U115+2),"")))</f>
        <v>#VALUE!</v>
      </c>
      <c r="U117" s="5"/>
      <c r="V117" s="6"/>
      <c r="W117" s="24" t="str" cm="1">
        <f t="array" aca="1" ref="W117" ca="1">IF(OR(Formulas!Y114=0,Formulas!Y114="",RIGHT(Formulas!Z114)="0"),"",
HYPERLINK("["&amp;Archivo_Nombre&amp;"]Datos!"&amp;LEFT(SUBSTITUTE(ADDRESS(1,IF(Formulas!Y114=1,1,RIGHT(Formulas!Z114)+2)),"$",""))&amp;Formulas!X114+1,
IFERROR(INDEX(Datos!$A$1:$L$1,1,RIGHT(Formulas!Z114)+2)&amp;IF(Formulas!Y114=1," "&amp;Formulas!X114,"")&amp;":","")))</f>
        <v/>
      </c>
      <c r="X117" s="107" t="str" cm="1">
        <f t="array" aca="1" ref="X117" ca="1">IF(OR(Formulas!Y114=0,Formulas!Y114="",RIGHT(Formulas!Z114)="0"),"",
HYPERLINK("["&amp;Archivo_Nombre&amp;"]Datos!"&amp;LEFT(SUBSTITUTE(ADDRESS(1,RIGHT(Formulas!Z114)+2),"$",""))&amp;Formulas!X114+1,
IFERROR(INDEX(Datos!$A$2:$L$101,Formulas!X114,RIGHT(Formulas!Z114)+2),"")))</f>
        <v/>
      </c>
      <c r="Y117" s="107" t="str" cm="1">
        <f t="array" aca="1" ref="Y117" ca="1">IF(OR(Formulas!Z115=0,Formulas!Z115=""),"",HYPERLINK("["&amp;Archivo_Nombre&amp;"]Datos!"&amp;LEFT(SUBSTITUTE(ADDRESS(1,Formulas!Z115+2),"$",""))&amp;Formulas!Y115+1,
IFERROR(INDEX(Datos!$A$2:$L$101,Formulas!Y115,Formulas!Z115+2),"")))</f>
        <v/>
      </c>
      <c r="Z117" s="13"/>
      <c r="AA117" s="6"/>
      <c r="AB117" s="24" t="str" cm="1">
        <f t="array" aca="1" ref="AB117" ca="1">IF(OR(Formulas!AD114=0,Formulas!AD114="",RIGHT(Formulas!AE114)="0"),"",
HYPERLINK("["&amp;Archivo_Nombre&amp;"]Datos!"&amp;LEFT(SUBSTITUTE(ADDRESS(1,IF(Formulas!AD114=1,1,RIGHT(Formulas!AE114)+2)),"$",""))&amp;Formulas!AC114+1,
IFERROR(INDEX(Datos!$A$1:$L$1,1,RIGHT(Formulas!AE114)+2)&amp;IF(Formulas!AD114=1," "&amp;Formulas!AC114,"")&amp;":","")))</f>
        <v/>
      </c>
      <c r="AC117" s="107" t="str" cm="1">
        <f t="array" aca="1" ref="AC117" ca="1">IF(OR(Formulas!AD114=0,Formulas!AD114="",RIGHT(Formulas!AE114)="0"),"",
HYPERLINK("["&amp;Archivo_Nombre&amp;"]Datos!"&amp;LEFT(SUBSTITUTE(ADDRESS(1,RIGHT(Formulas!AE114)+2),"$",""))&amp;Formulas!AC114+1,
IFERROR(INDEX(Datos!$A$2:$L$101,Formulas!AC114,RIGHT(Formulas!AE114)+2),"")))</f>
        <v/>
      </c>
      <c r="AD117" s="107" t="str" cm="1">
        <f t="array" aca="1" ref="AD117" ca="1">IF(OR(Formulas!AE115=0,Formulas!AE115=""),"",HYPERLINK("["&amp;Archivo_Nombre&amp;"]Datos!"&amp;LEFT(SUBSTITUTE(ADDRESS(1,Formulas!AE115+2),"$",""))&amp;Formulas!AD115+1,
IFERROR(INDEX(Datos!$A$2:$L$101,Formulas!AD115,Formulas!AE115+2),"")))</f>
        <v/>
      </c>
      <c r="AE117" s="13"/>
      <c r="AF117" s="6"/>
      <c r="AG117" s="24" t="str" cm="1">
        <f t="array" aca="1" ref="AG117" ca="1">IF(OR(Formulas!AI114=0,Formulas!AI114="",RIGHT(Formulas!AJ114)="0"),"",
HYPERLINK("["&amp;Archivo_Nombre&amp;"]Datos!"&amp;LEFT(SUBSTITUTE(ADDRESS(1,IF(Formulas!AI114=1,1,RIGHT(Formulas!AJ114)+2)),"$",""))&amp;Formulas!AH114+1,
IFERROR(INDEX(Datos!$A$1:$L$1,1,RIGHT(Formulas!AJ114)+2)&amp;IF(Formulas!AI114=1," "&amp;Formulas!AH114,"")&amp;":","")))</f>
        <v/>
      </c>
      <c r="AH117" s="107" t="str" cm="1">
        <f t="array" aca="1" ref="AH117" ca="1">IF(OR(Formulas!AI114=0,Formulas!AI114="",RIGHT(Formulas!AJ114)="0"),"",
HYPERLINK("["&amp;Archivo_Nombre&amp;"]Datos!"&amp;LEFT(SUBSTITUTE(ADDRESS(1,RIGHT(Formulas!AJ114)+2),"$",""))&amp;Formulas!AH114+1,
IFERROR(INDEX(Datos!$A$2:$L$101,Formulas!AH114,RIGHT(Formulas!AJ114)+2),"")))</f>
        <v/>
      </c>
      <c r="AI117" s="107" t="str" cm="1">
        <f t="array" aca="1" ref="AI117" ca="1">IF(OR(Formulas!AJ115=0,Formulas!AJ115=""),"",HYPERLINK("["&amp;Archivo_Nombre&amp;"]Datos!"&amp;LEFT(SUBSTITUTE(ADDRESS(1,Formulas!AJ115+2),"$",""))&amp;Formulas!AI115+1,
IFERROR(INDEX(Datos!$A$2:$L$101,Formulas!AI115,Formulas!AJ115+2),"")))</f>
        <v/>
      </c>
      <c r="AJ117" s="13"/>
      <c r="AK117" s="6"/>
      <c r="AL117" s="24" t="str" cm="1">
        <f t="array" aca="1" ref="AL117" ca="1">IF(OR(Formulas!AN114=0,Formulas!AN114="",RIGHT(Formulas!AO114)="0"),"",
HYPERLINK("["&amp;Archivo_Nombre&amp;"]Datos!"&amp;LEFT(SUBSTITUTE(ADDRESS(1,IF(Formulas!AN114=1,1,RIGHT(Formulas!AO114)+2)),"$",""))&amp;Formulas!AM114+1,
IFERROR(INDEX(Datos!$A$1:$L$1,1,RIGHT(Formulas!AO114)+2)&amp;IF(Formulas!AN114=1," "&amp;Formulas!AM114,"")&amp;":","")))</f>
        <v/>
      </c>
      <c r="AM117" s="107" t="str" cm="1">
        <f t="array" aca="1" ref="AM117" ca="1">IF(OR(Formulas!AN114=0,Formulas!AN114="",RIGHT(Formulas!AO114)="0"),"",
HYPERLINK("["&amp;Archivo_Nombre&amp;"]Datos!"&amp;LEFT(SUBSTITUTE(ADDRESS(1,RIGHT(Formulas!AO114)+2),"$",""))&amp;Formulas!AM114+1,
IFERROR(INDEX(Datos!$A$2:$L$101,Formulas!AM114,RIGHT(Formulas!AO114)+2),"")))</f>
        <v/>
      </c>
      <c r="AN117" s="107" t="str" cm="1">
        <f t="array" aca="1" ref="AN117" ca="1">IF(OR(Formulas!AO115=0,Formulas!AO115=""),"",HYPERLINK("["&amp;Archivo_Nombre&amp;"]Datos!"&amp;LEFT(SUBSTITUTE(ADDRESS(1,Formulas!AO115+2),"$",""))&amp;Formulas!AN115+1,
IFERROR(INDEX(Datos!$A$2:$L$101,Formulas!AN115,Formulas!AO115+2),"")))</f>
        <v/>
      </c>
      <c r="AO117" s="13"/>
      <c r="AP117" s="6"/>
      <c r="AQ117" s="24" t="str" cm="1">
        <f t="array" aca="1" ref="AQ117" ca="1">IF(OR(Formulas!AS114=0,Formulas!AS114="",RIGHT(Formulas!AT114)="0"),"",
HYPERLINK("["&amp;Archivo_Nombre&amp;"]Datos!"&amp;LEFT(SUBSTITUTE(ADDRESS(1,IF(Formulas!AS114=1,1,RIGHT(Formulas!AT114)+2)),"$",""))&amp;Formulas!AR114+1,
IFERROR(INDEX(Datos!$A$1:$L$1,1,RIGHT(Formulas!AT114)+2)&amp;IF(Formulas!AS114=1," "&amp;Formulas!AR114,"")&amp;":","")))</f>
        <v/>
      </c>
      <c r="AR117" s="107" t="str" cm="1">
        <f t="array" aca="1" ref="AR117" ca="1">IF(OR(Formulas!AS114=0,Formulas!AS114="",RIGHT(Formulas!AT114)="0"),"",
HYPERLINK("["&amp;Archivo_Nombre&amp;"]Datos!"&amp;LEFT(SUBSTITUTE(ADDRESS(1,RIGHT(Formulas!AT114)+2),"$",""))&amp;Formulas!AR114+1,
IFERROR(INDEX(Datos!$A$2:$L$101,Formulas!AR114,RIGHT(Formulas!AT114)+2),"")))</f>
        <v/>
      </c>
      <c r="AS117" s="107" t="str" cm="1">
        <f t="array" aca="1" ref="AS117" ca="1">IF(OR(Formulas!AT115=0,Formulas!AT115=""),"",HYPERLINK("["&amp;Archivo_Nombre&amp;"]Datos!"&amp;LEFT(SUBSTITUTE(ADDRESS(1,Formulas!AT115+2),"$",""))&amp;Formulas!AS115+1,
IFERROR(INDEX(Datos!$A$2:$L$101,Formulas!AS115,Formulas!AT115+2),"")))</f>
        <v/>
      </c>
      <c r="AT117" s="13"/>
      <c r="AU117" s="6"/>
      <c r="AV117" s="24" t="str" cm="1">
        <f t="array" aca="1" ref="AV117" ca="1">IF(OR(Formulas!AX114=0,Formulas!AX114="",RIGHT(Formulas!AY114)="0"),"",
HYPERLINK("["&amp;Archivo_Nombre&amp;"]Datos!"&amp;LEFT(SUBSTITUTE(ADDRESS(1,IF(Formulas!AX114=1,1,RIGHT(Formulas!AY114)+2)),"$",""))&amp;Formulas!AW114+1,
IFERROR(INDEX(Datos!$A$1:$L$1,1,RIGHT(Formulas!AY114)+2)&amp;IF(Formulas!AX114=1," "&amp;Formulas!AW114,"")&amp;":","")))</f>
        <v/>
      </c>
      <c r="AW117" s="107" t="str" cm="1">
        <f t="array" aca="1" ref="AW117" ca="1">IF(OR(Formulas!AX114=0,Formulas!AX114="",RIGHT(Formulas!AY114)="0"),"",
HYPERLINK("["&amp;Archivo_Nombre&amp;"]Datos!"&amp;LEFT(SUBSTITUTE(ADDRESS(1,RIGHT(Formulas!AY114)+2),"$",""))&amp;Formulas!AW114+1,
IFERROR(INDEX(Datos!$A$2:$L$101,Formulas!AW114,RIGHT(Formulas!AY114)+2),"")))</f>
        <v/>
      </c>
      <c r="AX117" s="107" t="str" cm="1">
        <f t="array" aca="1" ref="AX117" ca="1">IF(OR(Formulas!AY115=0,Formulas!AY115=""),"",HYPERLINK("["&amp;Archivo_Nombre&amp;"]Datos!"&amp;LEFT(SUBSTITUTE(ADDRESS(1,Formulas!AY115+2),"$",""))&amp;Formulas!AX115+1,
IFERROR(INDEX(Datos!$A$2:$L$101,Formulas!AX115,Formulas!AY115+2),"")))</f>
        <v/>
      </c>
      <c r="AY117" s="13"/>
    </row>
    <row r="118" spans="2:51" x14ac:dyDescent="0.25">
      <c r="B118" s="11"/>
      <c r="C118" s="24" t="str" cm="1">
        <f t="array" aca="1" ref="C118" ca="1">IF(OR(Formulas!E115=0,Formulas!E115="",RIGHT(Formulas!F115)="0"),"",
HYPERLINK("["&amp;Archivo_Nombre&amp;"]Datos!"&amp;LEFT(SUBSTITUTE(ADDRESS(1,IF(Formulas!E115=1,1,RIGHT(Formulas!F115)+2)),"$",""))&amp;Formulas!D115+1,
IFERROR(INDEX(Datos!$A$1:$L$1,1,RIGHT(Formulas!F115)+2)&amp;IF(Formulas!E115=1," "&amp;Formulas!D115,"")&amp;":","")))</f>
        <v/>
      </c>
      <c r="D118" s="107" t="str" cm="1">
        <f t="array" aca="1" ref="D118" ca="1">IF(OR(Formulas!E115=0,Formulas!E115="",RIGHT(Formulas!F115)="0"),"",
HYPERLINK("["&amp;Archivo_Nombre&amp;"]Datos!"&amp;LEFT(SUBSTITUTE(ADDRESS(1,RIGHT(Formulas!F115)+2),"$",""))&amp;Formulas!D115+1,
IFERROR(INDEX(Datos!$A$2:$L$101,Formulas!D115,RIGHT(Formulas!F115)+2),"")))</f>
        <v/>
      </c>
      <c r="E118" s="107" t="str" cm="1">
        <f t="array" aca="1" ref="E118" ca="1">IF(OR(Formulas!F116=0,Formulas!F116=""),"",HYPERLINK("["&amp;Archivo_Nombre&amp;"]Datos!"&amp;LEFT(SUBSTITUTE(ADDRESS(1,Formulas!F116+2),"$",""))&amp;Formulas!E116+1,
IFERROR(INDEX(Datos!$A$2:$L$101,Formulas!E116,Formulas!F116+2),"")))</f>
        <v/>
      </c>
      <c r="F118" s="5"/>
      <c r="G118" s="6"/>
      <c r="H118" s="24" t="str" cm="1">
        <f t="array" aca="1" ref="H118" ca="1">IF(OR(Formulas!J115=0,Formulas!J115="",RIGHT(Formulas!K115)="0"),"",
HYPERLINK("["&amp;Archivo_Nombre&amp;"]Datos!"&amp;LEFT(SUBSTITUTE(ADDRESS(1,IF(Formulas!J115=1,1,RIGHT(Formulas!K115)+2)),"$",""))&amp;Formulas!I115+1,
IFERROR(INDEX(Datos!$A$1:$L$1,1,RIGHT(Formulas!K115)+2)&amp;IF(Formulas!J115=1," "&amp;Formulas!I115,"")&amp;":","")))</f>
        <v/>
      </c>
      <c r="I118" s="107" t="str" cm="1">
        <f t="array" aca="1" ref="I118" ca="1">IF(OR(Formulas!J115=0,Formulas!J115="",RIGHT(Formulas!K115)="0"),"",
HYPERLINK("["&amp;Archivo_Nombre&amp;"]Datos!"&amp;LEFT(SUBSTITUTE(ADDRESS(1,RIGHT(Formulas!K115)+2),"$",""))&amp;Formulas!I115+1,
IFERROR(INDEX(Datos!$A$2:$L$101,Formulas!I115,RIGHT(Formulas!K115)+2),"")))</f>
        <v/>
      </c>
      <c r="J118" s="107" t="str" cm="1">
        <f t="array" aca="1" ref="J118" ca="1">IF(OR(Formulas!K116=0,Formulas!K116=""),"",HYPERLINK("["&amp;Archivo_Nombre&amp;"]Datos!"&amp;LEFT(SUBSTITUTE(ADDRESS(1,Formulas!K116+2),"$",""))&amp;Formulas!J116+1,
IFERROR(INDEX(Datos!$A$2:$L$101,Formulas!J116,Formulas!K116+2),"")))</f>
        <v/>
      </c>
      <c r="K118" s="5"/>
      <c r="L118" s="6"/>
      <c r="M118" s="24" t="str" cm="1">
        <f t="array" aca="1" ref="M118" ca="1">IF(OR(Formulas!O115=0,Formulas!O115="",RIGHT(Formulas!P115)="0"),"",
HYPERLINK("["&amp;Archivo_Nombre&amp;"]Datos!"&amp;LEFT(SUBSTITUTE(ADDRESS(1,IF(Formulas!O115=1,1,RIGHT(Formulas!P115)+2)),"$",""))&amp;Formulas!N115+1,
IFERROR(INDEX(Datos!$A$1:$L$1,1,RIGHT(Formulas!P115)+2)&amp;IF(Formulas!O115=1," "&amp;Formulas!N115,"")&amp;":","")))</f>
        <v/>
      </c>
      <c r="N118" s="107" t="str" cm="1">
        <f t="array" aca="1" ref="N118" ca="1">IF(OR(Formulas!O115=0,Formulas!O115="",RIGHT(Formulas!P115)="0"),"",
HYPERLINK("["&amp;Archivo_Nombre&amp;"]Datos!"&amp;LEFT(SUBSTITUTE(ADDRESS(1,RIGHT(Formulas!P115)+2),"$",""))&amp;Formulas!N115+1,
IFERROR(INDEX(Datos!$A$2:$L$101,Formulas!N115,RIGHT(Formulas!P115)+2),"")))</f>
        <v/>
      </c>
      <c r="O118" s="107" t="str" cm="1">
        <f t="array" aca="1" ref="O118" ca="1">IF(OR(Formulas!P116=0,Formulas!P116=""),"",HYPERLINK("["&amp;Archivo_Nombre&amp;"]Datos!"&amp;LEFT(SUBSTITUTE(ADDRESS(1,Formulas!P116+2),"$",""))&amp;Formulas!O116+1,
IFERROR(INDEX(Datos!$A$2:$L$101,Formulas!O116,Formulas!P116+2),"")))</f>
        <v/>
      </c>
      <c r="P118" s="5"/>
      <c r="Q118" s="6"/>
      <c r="R118" s="24" t="str" cm="1">
        <f t="array" aca="1" ref="R118" ca="1">IF(OR(Formulas!T115=0,Formulas!T115="",RIGHT(Formulas!U115)="0"),"",
HYPERLINK("["&amp;Archivo_Nombre&amp;"]Datos!"&amp;LEFT(SUBSTITUTE(ADDRESS(1,IF(Formulas!T115=1,1,RIGHT(Formulas!U115)+2)),"$",""))&amp;Formulas!S115+1,
IFERROR(INDEX(Datos!$A$1:$L$1,1,RIGHT(Formulas!U115)+2)&amp;IF(Formulas!T115=1," "&amp;Formulas!S115,"")&amp;":","")))</f>
        <v>Descripción:</v>
      </c>
      <c r="S118" s="107" t="str" cm="1">
        <f t="array" aca="1" ref="S118" ca="1">IF(OR(Formulas!T115=0,Formulas!T115="",RIGHT(Formulas!U115)="0"),"",
HYPERLINK("["&amp;Archivo_Nombre&amp;"]Datos!"&amp;LEFT(SUBSTITUTE(ADDRESS(1,RIGHT(Formulas!U115)+2),"$",""))&amp;Formulas!S115+1,
IFERROR(INDEX(Datos!$A$2:$L$101,Formulas!S115,RIGHT(Formulas!U115)+2),"")))</f>
        <v>REQ001 Seguridad al ingreso</v>
      </c>
      <c r="T118" s="107" t="e" cm="1">
        <f t="array" aca="1" ref="T118" ca="1">IF(OR(Formulas!U116=0,Formulas!U116=""),"",HYPERLINK("["&amp;Archivo_Nombre&amp;"]Datos!"&amp;LEFT(SUBSTITUTE(ADDRESS(1,Formulas!U116+2),"$",""))&amp;Formulas!T116+1,
IFERROR(INDEX(Datos!$A$2:$L$101,Formulas!T116,Formulas!U116+2),"")))</f>
        <v>#VALUE!</v>
      </c>
      <c r="U118" s="5"/>
      <c r="V118" s="6"/>
      <c r="W118" s="24" t="str" cm="1">
        <f t="array" aca="1" ref="W118" ca="1">IF(OR(Formulas!Y115=0,Formulas!Y115="",RIGHT(Formulas!Z115)="0"),"",
HYPERLINK("["&amp;Archivo_Nombre&amp;"]Datos!"&amp;LEFT(SUBSTITUTE(ADDRESS(1,IF(Formulas!Y115=1,1,RIGHT(Formulas!Z115)+2)),"$",""))&amp;Formulas!X115+1,
IFERROR(INDEX(Datos!$A$1:$L$1,1,RIGHT(Formulas!Z115)+2)&amp;IF(Formulas!Y115=1," "&amp;Formulas!X115,"")&amp;":","")))</f>
        <v/>
      </c>
      <c r="X118" s="107" t="str" cm="1">
        <f t="array" aca="1" ref="X118" ca="1">IF(OR(Formulas!Y115=0,Formulas!Y115="",RIGHT(Formulas!Z115)="0"),"",
HYPERLINK("["&amp;Archivo_Nombre&amp;"]Datos!"&amp;LEFT(SUBSTITUTE(ADDRESS(1,RIGHT(Formulas!Z115)+2),"$",""))&amp;Formulas!X115+1,
IFERROR(INDEX(Datos!$A$2:$L$101,Formulas!X115,RIGHT(Formulas!Z115)+2),"")))</f>
        <v/>
      </c>
      <c r="Y118" s="107" t="str" cm="1">
        <f t="array" aca="1" ref="Y118" ca="1">IF(OR(Formulas!Z116=0,Formulas!Z116=""),"",HYPERLINK("["&amp;Archivo_Nombre&amp;"]Datos!"&amp;LEFT(SUBSTITUTE(ADDRESS(1,Formulas!Z116+2),"$",""))&amp;Formulas!Y116+1,
IFERROR(INDEX(Datos!$A$2:$L$101,Formulas!Y116,Formulas!Z116+2),"")))</f>
        <v/>
      </c>
      <c r="Z118" s="13"/>
      <c r="AA118" s="6"/>
      <c r="AB118" s="24" t="str" cm="1">
        <f t="array" aca="1" ref="AB118" ca="1">IF(OR(Formulas!AD115=0,Formulas!AD115="",RIGHT(Formulas!AE115)="0"),"",
HYPERLINK("["&amp;Archivo_Nombre&amp;"]Datos!"&amp;LEFT(SUBSTITUTE(ADDRESS(1,IF(Formulas!AD115=1,1,RIGHT(Formulas!AE115)+2)),"$",""))&amp;Formulas!AC115+1,
IFERROR(INDEX(Datos!$A$1:$L$1,1,RIGHT(Formulas!AE115)+2)&amp;IF(Formulas!AD115=1," "&amp;Formulas!AC115,"")&amp;":","")))</f>
        <v/>
      </c>
      <c r="AC118" s="107" t="str" cm="1">
        <f t="array" aca="1" ref="AC118" ca="1">IF(OR(Formulas!AD115=0,Formulas!AD115="",RIGHT(Formulas!AE115)="0"),"",
HYPERLINK("["&amp;Archivo_Nombre&amp;"]Datos!"&amp;LEFT(SUBSTITUTE(ADDRESS(1,RIGHT(Formulas!AE115)+2),"$",""))&amp;Formulas!AC115+1,
IFERROR(INDEX(Datos!$A$2:$L$101,Formulas!AC115,RIGHT(Formulas!AE115)+2),"")))</f>
        <v/>
      </c>
      <c r="AD118" s="107" t="str" cm="1">
        <f t="array" aca="1" ref="AD118" ca="1">IF(OR(Formulas!AE116=0,Formulas!AE116=""),"",HYPERLINK("["&amp;Archivo_Nombre&amp;"]Datos!"&amp;LEFT(SUBSTITUTE(ADDRESS(1,Formulas!AE116+2),"$",""))&amp;Formulas!AD116+1,
IFERROR(INDEX(Datos!$A$2:$L$101,Formulas!AD116,Formulas!AE116+2),"")))</f>
        <v/>
      </c>
      <c r="AE118" s="13"/>
      <c r="AF118" s="6"/>
      <c r="AG118" s="24" t="str" cm="1">
        <f t="array" aca="1" ref="AG118" ca="1">IF(OR(Formulas!AI115=0,Formulas!AI115="",RIGHT(Formulas!AJ115)="0"),"",
HYPERLINK("["&amp;Archivo_Nombre&amp;"]Datos!"&amp;LEFT(SUBSTITUTE(ADDRESS(1,IF(Formulas!AI115=1,1,RIGHT(Formulas!AJ115)+2)),"$",""))&amp;Formulas!AH115+1,
IFERROR(INDEX(Datos!$A$1:$L$1,1,RIGHT(Formulas!AJ115)+2)&amp;IF(Formulas!AI115=1," "&amp;Formulas!AH115,"")&amp;":","")))</f>
        <v/>
      </c>
      <c r="AH118" s="107" t="str" cm="1">
        <f t="array" aca="1" ref="AH118" ca="1">IF(OR(Formulas!AI115=0,Formulas!AI115="",RIGHT(Formulas!AJ115)="0"),"",
HYPERLINK("["&amp;Archivo_Nombre&amp;"]Datos!"&amp;LEFT(SUBSTITUTE(ADDRESS(1,RIGHT(Formulas!AJ115)+2),"$",""))&amp;Formulas!AH115+1,
IFERROR(INDEX(Datos!$A$2:$L$101,Formulas!AH115,RIGHT(Formulas!AJ115)+2),"")))</f>
        <v/>
      </c>
      <c r="AI118" s="107" t="str" cm="1">
        <f t="array" aca="1" ref="AI118" ca="1">IF(OR(Formulas!AJ116=0,Formulas!AJ116=""),"",HYPERLINK("["&amp;Archivo_Nombre&amp;"]Datos!"&amp;LEFT(SUBSTITUTE(ADDRESS(1,Formulas!AJ116+2),"$",""))&amp;Formulas!AI116+1,
IFERROR(INDEX(Datos!$A$2:$L$101,Formulas!AI116,Formulas!AJ116+2),"")))</f>
        <v/>
      </c>
      <c r="AJ118" s="13"/>
      <c r="AK118" s="6"/>
      <c r="AL118" s="24" t="str" cm="1">
        <f t="array" aca="1" ref="AL118" ca="1">IF(OR(Formulas!AN115=0,Formulas!AN115="",RIGHT(Formulas!AO115)="0"),"",
HYPERLINK("["&amp;Archivo_Nombre&amp;"]Datos!"&amp;LEFT(SUBSTITUTE(ADDRESS(1,IF(Formulas!AN115=1,1,RIGHT(Formulas!AO115)+2)),"$",""))&amp;Formulas!AM115+1,
IFERROR(INDEX(Datos!$A$1:$L$1,1,RIGHT(Formulas!AO115)+2)&amp;IF(Formulas!AN115=1," "&amp;Formulas!AM115,"")&amp;":","")))</f>
        <v/>
      </c>
      <c r="AM118" s="107" t="str" cm="1">
        <f t="array" aca="1" ref="AM118" ca="1">IF(OR(Formulas!AN115=0,Formulas!AN115="",RIGHT(Formulas!AO115)="0"),"",
HYPERLINK("["&amp;Archivo_Nombre&amp;"]Datos!"&amp;LEFT(SUBSTITUTE(ADDRESS(1,RIGHT(Formulas!AO115)+2),"$",""))&amp;Formulas!AM115+1,
IFERROR(INDEX(Datos!$A$2:$L$101,Formulas!AM115,RIGHT(Formulas!AO115)+2),"")))</f>
        <v/>
      </c>
      <c r="AN118" s="107" t="str" cm="1">
        <f t="array" aca="1" ref="AN118" ca="1">IF(OR(Formulas!AO116=0,Formulas!AO116=""),"",HYPERLINK("["&amp;Archivo_Nombre&amp;"]Datos!"&amp;LEFT(SUBSTITUTE(ADDRESS(1,Formulas!AO116+2),"$",""))&amp;Formulas!AN116+1,
IFERROR(INDEX(Datos!$A$2:$L$101,Formulas!AN116,Formulas!AO116+2),"")))</f>
        <v/>
      </c>
      <c r="AO118" s="13"/>
      <c r="AP118" s="6"/>
      <c r="AQ118" s="24" t="str" cm="1">
        <f t="array" aca="1" ref="AQ118" ca="1">IF(OR(Formulas!AS115=0,Formulas!AS115="",RIGHT(Formulas!AT115)="0"),"",
HYPERLINK("["&amp;Archivo_Nombre&amp;"]Datos!"&amp;LEFT(SUBSTITUTE(ADDRESS(1,IF(Formulas!AS115=1,1,RIGHT(Formulas!AT115)+2)),"$",""))&amp;Formulas!AR115+1,
IFERROR(INDEX(Datos!$A$1:$L$1,1,RIGHT(Formulas!AT115)+2)&amp;IF(Formulas!AS115=1," "&amp;Formulas!AR115,"")&amp;":","")))</f>
        <v/>
      </c>
      <c r="AR118" s="107" t="str" cm="1">
        <f t="array" aca="1" ref="AR118" ca="1">IF(OR(Formulas!AS115=0,Formulas!AS115="",RIGHT(Formulas!AT115)="0"),"",
HYPERLINK("["&amp;Archivo_Nombre&amp;"]Datos!"&amp;LEFT(SUBSTITUTE(ADDRESS(1,RIGHT(Formulas!AT115)+2),"$",""))&amp;Formulas!AR115+1,
IFERROR(INDEX(Datos!$A$2:$L$101,Formulas!AR115,RIGHT(Formulas!AT115)+2),"")))</f>
        <v/>
      </c>
      <c r="AS118" s="107" t="str" cm="1">
        <f t="array" aca="1" ref="AS118" ca="1">IF(OR(Formulas!AT116=0,Formulas!AT116=""),"",HYPERLINK("["&amp;Archivo_Nombre&amp;"]Datos!"&amp;LEFT(SUBSTITUTE(ADDRESS(1,Formulas!AT116+2),"$",""))&amp;Formulas!AS116+1,
IFERROR(INDEX(Datos!$A$2:$L$101,Formulas!AS116,Formulas!AT116+2),"")))</f>
        <v/>
      </c>
      <c r="AT118" s="13"/>
      <c r="AU118" s="6"/>
      <c r="AV118" s="24" t="str" cm="1">
        <f t="array" aca="1" ref="AV118" ca="1">IF(OR(Formulas!AX115=0,Formulas!AX115="",RIGHT(Formulas!AY115)="0"),"",
HYPERLINK("["&amp;Archivo_Nombre&amp;"]Datos!"&amp;LEFT(SUBSTITUTE(ADDRESS(1,IF(Formulas!AX115=1,1,RIGHT(Formulas!AY115)+2)),"$",""))&amp;Formulas!AW115+1,
IFERROR(INDEX(Datos!$A$1:$L$1,1,RIGHT(Formulas!AY115)+2)&amp;IF(Formulas!AX115=1," "&amp;Formulas!AW115,"")&amp;":","")))</f>
        <v/>
      </c>
      <c r="AW118" s="107" t="str" cm="1">
        <f t="array" aca="1" ref="AW118" ca="1">IF(OR(Formulas!AX115=0,Formulas!AX115="",RIGHT(Formulas!AY115)="0"),"",
HYPERLINK("["&amp;Archivo_Nombre&amp;"]Datos!"&amp;LEFT(SUBSTITUTE(ADDRESS(1,RIGHT(Formulas!AY115)+2),"$",""))&amp;Formulas!AW115+1,
IFERROR(INDEX(Datos!$A$2:$L$101,Formulas!AW115,RIGHT(Formulas!AY115)+2),"")))</f>
        <v/>
      </c>
      <c r="AX118" s="107" t="str" cm="1">
        <f t="array" aca="1" ref="AX118" ca="1">IF(OR(Formulas!AY116=0,Formulas!AY116=""),"",HYPERLINK("["&amp;Archivo_Nombre&amp;"]Datos!"&amp;LEFT(SUBSTITUTE(ADDRESS(1,Formulas!AY116+2),"$",""))&amp;Formulas!AX116+1,
IFERROR(INDEX(Datos!$A$2:$L$101,Formulas!AX116,Formulas!AY116+2),"")))</f>
        <v/>
      </c>
      <c r="AY118" s="13"/>
    </row>
    <row r="119" spans="2:51" x14ac:dyDescent="0.25">
      <c r="B119" s="11"/>
      <c r="C119" s="24" t="str" cm="1">
        <f t="array" aca="1" ref="C119" ca="1">IF(OR(Formulas!E116=0,Formulas!E116="",RIGHT(Formulas!F116)="0"),"",
HYPERLINK("["&amp;Archivo_Nombre&amp;"]Datos!"&amp;LEFT(SUBSTITUTE(ADDRESS(1,IF(Formulas!E116=1,1,RIGHT(Formulas!F116)+2)),"$",""))&amp;Formulas!D116+1,
IFERROR(INDEX(Datos!$A$1:$L$1,1,RIGHT(Formulas!F116)+2)&amp;IF(Formulas!E116=1," "&amp;Formulas!D116,"")&amp;":","")))</f>
        <v/>
      </c>
      <c r="D119" s="107" t="str" cm="1">
        <f t="array" aca="1" ref="D119" ca="1">IF(OR(Formulas!E116=0,Formulas!E116="",RIGHT(Formulas!F116)="0"),"",
HYPERLINK("["&amp;Archivo_Nombre&amp;"]Datos!"&amp;LEFT(SUBSTITUTE(ADDRESS(1,RIGHT(Formulas!F116)+2),"$",""))&amp;Formulas!D116+1,
IFERROR(INDEX(Datos!$A$2:$L$101,Formulas!D116,RIGHT(Formulas!F116)+2),"")))</f>
        <v/>
      </c>
      <c r="E119" s="107" t="str" cm="1">
        <f t="array" aca="1" ref="E119" ca="1">IF(OR(Formulas!F117=0,Formulas!F117=""),"",HYPERLINK("["&amp;Archivo_Nombre&amp;"]Datos!"&amp;LEFT(SUBSTITUTE(ADDRESS(1,Formulas!F117+2),"$",""))&amp;Formulas!E117+1,
IFERROR(INDEX(Datos!$A$2:$L$101,Formulas!E117,Formulas!F117+2),"")))</f>
        <v/>
      </c>
      <c r="F119" s="5"/>
      <c r="G119" s="6"/>
      <c r="H119" s="24" t="str" cm="1">
        <f t="array" aca="1" ref="H119" ca="1">IF(OR(Formulas!J116=0,Formulas!J116="",RIGHT(Formulas!K116)="0"),"",
HYPERLINK("["&amp;Archivo_Nombre&amp;"]Datos!"&amp;LEFT(SUBSTITUTE(ADDRESS(1,IF(Formulas!J116=1,1,RIGHT(Formulas!K116)+2)),"$",""))&amp;Formulas!I116+1,
IFERROR(INDEX(Datos!$A$1:$L$1,1,RIGHT(Formulas!K116)+2)&amp;IF(Formulas!J116=1," "&amp;Formulas!I116,"")&amp;":","")))</f>
        <v/>
      </c>
      <c r="I119" s="107" t="str" cm="1">
        <f t="array" aca="1" ref="I119" ca="1">IF(OR(Formulas!J116=0,Formulas!J116="",RIGHT(Formulas!K116)="0"),"",
HYPERLINK("["&amp;Archivo_Nombre&amp;"]Datos!"&amp;LEFT(SUBSTITUTE(ADDRESS(1,RIGHT(Formulas!K116)+2),"$",""))&amp;Formulas!I116+1,
IFERROR(INDEX(Datos!$A$2:$L$101,Formulas!I116,RIGHT(Formulas!K116)+2),"")))</f>
        <v/>
      </c>
      <c r="J119" s="107" t="str" cm="1">
        <f t="array" aca="1" ref="J119" ca="1">IF(OR(Formulas!K117=0,Formulas!K117=""),"",HYPERLINK("["&amp;Archivo_Nombre&amp;"]Datos!"&amp;LEFT(SUBSTITUTE(ADDRESS(1,Formulas!K117+2),"$",""))&amp;Formulas!J117+1,
IFERROR(INDEX(Datos!$A$2:$L$101,Formulas!J117,Formulas!K117+2),"")))</f>
        <v/>
      </c>
      <c r="K119" s="5"/>
      <c r="L119" s="6"/>
      <c r="M119" s="24" t="str" cm="1">
        <f t="array" aca="1" ref="M119" ca="1">IF(OR(Formulas!O116=0,Formulas!O116="",RIGHT(Formulas!P116)="0"),"",
HYPERLINK("["&amp;Archivo_Nombre&amp;"]Datos!"&amp;LEFT(SUBSTITUTE(ADDRESS(1,IF(Formulas!O116=1,1,RIGHT(Formulas!P116)+2)),"$",""))&amp;Formulas!N116+1,
IFERROR(INDEX(Datos!$A$1:$L$1,1,RIGHT(Formulas!P116)+2)&amp;IF(Formulas!O116=1," "&amp;Formulas!N116,"")&amp;":","")))</f>
        <v/>
      </c>
      <c r="N119" s="107" t="str" cm="1">
        <f t="array" aca="1" ref="N119" ca="1">IF(OR(Formulas!O116=0,Formulas!O116="",RIGHT(Formulas!P116)="0"),"",
HYPERLINK("["&amp;Archivo_Nombre&amp;"]Datos!"&amp;LEFT(SUBSTITUTE(ADDRESS(1,RIGHT(Formulas!P116)+2),"$",""))&amp;Formulas!N116+1,
IFERROR(INDEX(Datos!$A$2:$L$101,Formulas!N116,RIGHT(Formulas!P116)+2),"")))</f>
        <v/>
      </c>
      <c r="O119" s="107" t="str" cm="1">
        <f t="array" aca="1" ref="O119" ca="1">IF(OR(Formulas!P117=0,Formulas!P117=""),"",HYPERLINK("["&amp;Archivo_Nombre&amp;"]Datos!"&amp;LEFT(SUBSTITUTE(ADDRESS(1,Formulas!P117+2),"$",""))&amp;Formulas!O117+1,
IFERROR(INDEX(Datos!$A$2:$L$101,Formulas!O117,Formulas!P117+2),"")))</f>
        <v/>
      </c>
      <c r="P119" s="5"/>
      <c r="Q119" s="6"/>
      <c r="R119" s="24" t="str" cm="1">
        <f t="array" aca="1" ref="R119" ca="1">IF(OR(Formulas!T116=0,Formulas!T116="",RIGHT(Formulas!U116)="0"),"",
HYPERLINK("["&amp;Archivo_Nombre&amp;"]Datos!"&amp;LEFT(SUBSTITUTE(ADDRESS(1,IF(Formulas!T116=1,1,RIGHT(Formulas!U116)+2)),"$",""))&amp;Formulas!S116+1,
IFERROR(INDEX(Datos!$A$1:$L$1,1,RIGHT(Formulas!U116)+2)&amp;IF(Formulas!T116=1," "&amp;Formulas!S116,"")&amp;":","")))</f>
        <v>Inicio:</v>
      </c>
      <c r="S119" s="107" cm="1">
        <f t="array" aca="1" ref="S119" ca="1">IF(OR(Formulas!T116=0,Formulas!T116="",RIGHT(Formulas!U116)="0"),"",
HYPERLINK("["&amp;Archivo_Nombre&amp;"]Datos!"&amp;LEFT(SUBSTITUTE(ADDRESS(1,RIGHT(Formulas!U116)+2),"$",""))&amp;Formulas!S116+1,
IFERROR(INDEX(Datos!$A$2:$L$101,Formulas!S116,RIGHT(Formulas!U116)+2),"")))</f>
        <v>45798</v>
      </c>
      <c r="T119" s="107" t="e" cm="1">
        <f t="array" aca="1" ref="T119" ca="1">IF(OR(Formulas!U117=0,Formulas!U117=""),"",HYPERLINK("["&amp;Archivo_Nombre&amp;"]Datos!"&amp;LEFT(SUBSTITUTE(ADDRESS(1,Formulas!U117+2),"$",""))&amp;Formulas!T117+1,
IFERROR(INDEX(Datos!$A$2:$L$101,Formulas!T117,Formulas!U117+2),"")))</f>
        <v>#VALUE!</v>
      </c>
      <c r="U119" s="5"/>
      <c r="V119" s="6"/>
      <c r="W119" s="24" t="str" cm="1">
        <f t="array" aca="1" ref="W119" ca="1">IF(OR(Formulas!Y116=0,Formulas!Y116="",RIGHT(Formulas!Z116)="0"),"",
HYPERLINK("["&amp;Archivo_Nombre&amp;"]Datos!"&amp;LEFT(SUBSTITUTE(ADDRESS(1,IF(Formulas!Y116=1,1,RIGHT(Formulas!Z116)+2)),"$",""))&amp;Formulas!X116+1,
IFERROR(INDEX(Datos!$A$1:$L$1,1,RIGHT(Formulas!Z116)+2)&amp;IF(Formulas!Y116=1," "&amp;Formulas!X116,"")&amp;":","")))</f>
        <v/>
      </c>
      <c r="X119" s="107" t="str" cm="1">
        <f t="array" aca="1" ref="X119" ca="1">IF(OR(Formulas!Y116=0,Formulas!Y116="",RIGHT(Formulas!Z116)="0"),"",
HYPERLINK("["&amp;Archivo_Nombre&amp;"]Datos!"&amp;LEFT(SUBSTITUTE(ADDRESS(1,RIGHT(Formulas!Z116)+2),"$",""))&amp;Formulas!X116+1,
IFERROR(INDEX(Datos!$A$2:$L$101,Formulas!X116,RIGHT(Formulas!Z116)+2),"")))</f>
        <v/>
      </c>
      <c r="Y119" s="107" t="str" cm="1">
        <f t="array" aca="1" ref="Y119" ca="1">IF(OR(Formulas!Z117=0,Formulas!Z117=""),"",HYPERLINK("["&amp;Archivo_Nombre&amp;"]Datos!"&amp;LEFT(SUBSTITUTE(ADDRESS(1,Formulas!Z117+2),"$",""))&amp;Formulas!Y117+1,
IFERROR(INDEX(Datos!$A$2:$L$101,Formulas!Y117,Formulas!Z117+2),"")))</f>
        <v/>
      </c>
      <c r="Z119" s="13"/>
      <c r="AA119" s="6"/>
      <c r="AB119" s="24" t="str" cm="1">
        <f t="array" aca="1" ref="AB119" ca="1">IF(OR(Formulas!AD116=0,Formulas!AD116="",RIGHT(Formulas!AE116)="0"),"",
HYPERLINK("["&amp;Archivo_Nombre&amp;"]Datos!"&amp;LEFT(SUBSTITUTE(ADDRESS(1,IF(Formulas!AD116=1,1,RIGHT(Formulas!AE116)+2)),"$",""))&amp;Formulas!AC116+1,
IFERROR(INDEX(Datos!$A$1:$L$1,1,RIGHT(Formulas!AE116)+2)&amp;IF(Formulas!AD116=1," "&amp;Formulas!AC116,"")&amp;":","")))</f>
        <v/>
      </c>
      <c r="AC119" s="107" t="str" cm="1">
        <f t="array" aca="1" ref="AC119" ca="1">IF(OR(Formulas!AD116=0,Formulas!AD116="",RIGHT(Formulas!AE116)="0"),"",
HYPERLINK("["&amp;Archivo_Nombre&amp;"]Datos!"&amp;LEFT(SUBSTITUTE(ADDRESS(1,RIGHT(Formulas!AE116)+2),"$",""))&amp;Formulas!AC116+1,
IFERROR(INDEX(Datos!$A$2:$L$101,Formulas!AC116,RIGHT(Formulas!AE116)+2),"")))</f>
        <v/>
      </c>
      <c r="AD119" s="107" t="str" cm="1">
        <f t="array" aca="1" ref="AD119" ca="1">IF(OR(Formulas!AE117=0,Formulas!AE117=""),"",HYPERLINK("["&amp;Archivo_Nombre&amp;"]Datos!"&amp;LEFT(SUBSTITUTE(ADDRESS(1,Formulas!AE117+2),"$",""))&amp;Formulas!AD117+1,
IFERROR(INDEX(Datos!$A$2:$L$101,Formulas!AD117,Formulas!AE117+2),"")))</f>
        <v/>
      </c>
      <c r="AE119" s="13"/>
      <c r="AF119" s="6"/>
      <c r="AG119" s="24" t="str" cm="1">
        <f t="array" aca="1" ref="AG119" ca="1">IF(OR(Formulas!AI116=0,Formulas!AI116="",RIGHT(Formulas!AJ116)="0"),"",
HYPERLINK("["&amp;Archivo_Nombre&amp;"]Datos!"&amp;LEFT(SUBSTITUTE(ADDRESS(1,IF(Formulas!AI116=1,1,RIGHT(Formulas!AJ116)+2)),"$",""))&amp;Formulas!AH116+1,
IFERROR(INDEX(Datos!$A$1:$L$1,1,RIGHT(Formulas!AJ116)+2)&amp;IF(Formulas!AI116=1," "&amp;Formulas!AH116,"")&amp;":","")))</f>
        <v/>
      </c>
      <c r="AH119" s="107" t="str" cm="1">
        <f t="array" aca="1" ref="AH119" ca="1">IF(OR(Formulas!AI116=0,Formulas!AI116="",RIGHT(Formulas!AJ116)="0"),"",
HYPERLINK("["&amp;Archivo_Nombre&amp;"]Datos!"&amp;LEFT(SUBSTITUTE(ADDRESS(1,RIGHT(Formulas!AJ116)+2),"$",""))&amp;Formulas!AH116+1,
IFERROR(INDEX(Datos!$A$2:$L$101,Formulas!AH116,RIGHT(Formulas!AJ116)+2),"")))</f>
        <v/>
      </c>
      <c r="AI119" s="107" t="str" cm="1">
        <f t="array" aca="1" ref="AI119" ca="1">IF(OR(Formulas!AJ117=0,Formulas!AJ117=""),"",HYPERLINK("["&amp;Archivo_Nombre&amp;"]Datos!"&amp;LEFT(SUBSTITUTE(ADDRESS(1,Formulas!AJ117+2),"$",""))&amp;Formulas!AI117+1,
IFERROR(INDEX(Datos!$A$2:$L$101,Formulas!AI117,Formulas!AJ117+2),"")))</f>
        <v/>
      </c>
      <c r="AJ119" s="13"/>
      <c r="AK119" s="6"/>
      <c r="AL119" s="24" t="str" cm="1">
        <f t="array" aca="1" ref="AL119" ca="1">IF(OR(Formulas!AN116=0,Formulas!AN116="",RIGHT(Formulas!AO116)="0"),"",
HYPERLINK("["&amp;Archivo_Nombre&amp;"]Datos!"&amp;LEFT(SUBSTITUTE(ADDRESS(1,IF(Formulas!AN116=1,1,RIGHT(Formulas!AO116)+2)),"$",""))&amp;Formulas!AM116+1,
IFERROR(INDEX(Datos!$A$1:$L$1,1,RIGHT(Formulas!AO116)+2)&amp;IF(Formulas!AN116=1," "&amp;Formulas!AM116,"")&amp;":","")))</f>
        <v/>
      </c>
      <c r="AM119" s="107" t="str" cm="1">
        <f t="array" aca="1" ref="AM119" ca="1">IF(OR(Formulas!AN116=0,Formulas!AN116="",RIGHT(Formulas!AO116)="0"),"",
HYPERLINK("["&amp;Archivo_Nombre&amp;"]Datos!"&amp;LEFT(SUBSTITUTE(ADDRESS(1,RIGHT(Formulas!AO116)+2),"$",""))&amp;Formulas!AM116+1,
IFERROR(INDEX(Datos!$A$2:$L$101,Formulas!AM116,RIGHT(Formulas!AO116)+2),"")))</f>
        <v/>
      </c>
      <c r="AN119" s="107" t="str" cm="1">
        <f t="array" aca="1" ref="AN119" ca="1">IF(OR(Formulas!AO117=0,Formulas!AO117=""),"",HYPERLINK("["&amp;Archivo_Nombre&amp;"]Datos!"&amp;LEFT(SUBSTITUTE(ADDRESS(1,Formulas!AO117+2),"$",""))&amp;Formulas!AN117+1,
IFERROR(INDEX(Datos!$A$2:$L$101,Formulas!AN117,Formulas!AO117+2),"")))</f>
        <v/>
      </c>
      <c r="AO119" s="13"/>
      <c r="AP119" s="6"/>
      <c r="AQ119" s="24" t="str" cm="1">
        <f t="array" aca="1" ref="AQ119" ca="1">IF(OR(Formulas!AS116=0,Formulas!AS116="",RIGHT(Formulas!AT116)="0"),"",
HYPERLINK("["&amp;Archivo_Nombre&amp;"]Datos!"&amp;LEFT(SUBSTITUTE(ADDRESS(1,IF(Formulas!AS116=1,1,RIGHT(Formulas!AT116)+2)),"$",""))&amp;Formulas!AR116+1,
IFERROR(INDEX(Datos!$A$1:$L$1,1,RIGHT(Formulas!AT116)+2)&amp;IF(Formulas!AS116=1," "&amp;Formulas!AR116,"")&amp;":","")))</f>
        <v/>
      </c>
      <c r="AR119" s="107" t="str" cm="1">
        <f t="array" aca="1" ref="AR119" ca="1">IF(OR(Formulas!AS116=0,Formulas!AS116="",RIGHT(Formulas!AT116)="0"),"",
HYPERLINK("["&amp;Archivo_Nombre&amp;"]Datos!"&amp;LEFT(SUBSTITUTE(ADDRESS(1,RIGHT(Formulas!AT116)+2),"$",""))&amp;Formulas!AR116+1,
IFERROR(INDEX(Datos!$A$2:$L$101,Formulas!AR116,RIGHT(Formulas!AT116)+2),"")))</f>
        <v/>
      </c>
      <c r="AS119" s="107" t="str" cm="1">
        <f t="array" aca="1" ref="AS119" ca="1">IF(OR(Formulas!AT117=0,Formulas!AT117=""),"",HYPERLINK("["&amp;Archivo_Nombre&amp;"]Datos!"&amp;LEFT(SUBSTITUTE(ADDRESS(1,Formulas!AT117+2),"$",""))&amp;Formulas!AS117+1,
IFERROR(INDEX(Datos!$A$2:$L$101,Formulas!AS117,Formulas!AT117+2),"")))</f>
        <v/>
      </c>
      <c r="AT119" s="13"/>
      <c r="AU119" s="6"/>
      <c r="AV119" s="24" t="str" cm="1">
        <f t="array" aca="1" ref="AV119" ca="1">IF(OR(Formulas!AX116=0,Formulas!AX116="",RIGHT(Formulas!AY116)="0"),"",
HYPERLINK("["&amp;Archivo_Nombre&amp;"]Datos!"&amp;LEFT(SUBSTITUTE(ADDRESS(1,IF(Formulas!AX116=1,1,RIGHT(Formulas!AY116)+2)),"$",""))&amp;Formulas!AW116+1,
IFERROR(INDEX(Datos!$A$1:$L$1,1,RIGHT(Formulas!AY116)+2)&amp;IF(Formulas!AX116=1," "&amp;Formulas!AW116,"")&amp;":","")))</f>
        <v/>
      </c>
      <c r="AW119" s="107" t="str" cm="1">
        <f t="array" aca="1" ref="AW119" ca="1">IF(OR(Formulas!AX116=0,Formulas!AX116="",RIGHT(Formulas!AY116)="0"),"",
HYPERLINK("["&amp;Archivo_Nombre&amp;"]Datos!"&amp;LEFT(SUBSTITUTE(ADDRESS(1,RIGHT(Formulas!AY116)+2),"$",""))&amp;Formulas!AW116+1,
IFERROR(INDEX(Datos!$A$2:$L$101,Formulas!AW116,RIGHT(Formulas!AY116)+2),"")))</f>
        <v/>
      </c>
      <c r="AX119" s="107" t="str" cm="1">
        <f t="array" aca="1" ref="AX119" ca="1">IF(OR(Formulas!AY117=0,Formulas!AY117=""),"",HYPERLINK("["&amp;Archivo_Nombre&amp;"]Datos!"&amp;LEFT(SUBSTITUTE(ADDRESS(1,Formulas!AY117+2),"$",""))&amp;Formulas!AX117+1,
IFERROR(INDEX(Datos!$A$2:$L$101,Formulas!AX117,Formulas!AY117+2),"")))</f>
        <v/>
      </c>
      <c r="AY119" s="13"/>
    </row>
    <row r="120" spans="2:51" x14ac:dyDescent="0.25">
      <c r="B120" s="11"/>
      <c r="C120" s="24" t="str" cm="1">
        <f t="array" aca="1" ref="C120" ca="1">IF(OR(Formulas!E117=0,Formulas!E117="",RIGHT(Formulas!F117)="0"),"",
HYPERLINK("["&amp;Archivo_Nombre&amp;"]Datos!"&amp;LEFT(SUBSTITUTE(ADDRESS(1,IF(Formulas!E117=1,1,RIGHT(Formulas!F117)+2)),"$",""))&amp;Formulas!D117+1,
IFERROR(INDEX(Datos!$A$1:$L$1,1,RIGHT(Formulas!F117)+2)&amp;IF(Formulas!E117=1," "&amp;Formulas!D117,"")&amp;":","")))</f>
        <v/>
      </c>
      <c r="D120" s="107" t="str" cm="1">
        <f t="array" aca="1" ref="D120" ca="1">IF(OR(Formulas!E117=0,Formulas!E117="",RIGHT(Formulas!F117)="0"),"",
HYPERLINK("["&amp;Archivo_Nombre&amp;"]Datos!"&amp;LEFT(SUBSTITUTE(ADDRESS(1,RIGHT(Formulas!F117)+2),"$",""))&amp;Formulas!D117+1,
IFERROR(INDEX(Datos!$A$2:$L$101,Formulas!D117,RIGHT(Formulas!F117)+2),"")))</f>
        <v/>
      </c>
      <c r="E120" s="107" t="str" cm="1">
        <f t="array" aca="1" ref="E120" ca="1">IF(OR(Formulas!F118=0,Formulas!F118=""),"",HYPERLINK("["&amp;Archivo_Nombre&amp;"]Datos!"&amp;LEFT(SUBSTITUTE(ADDRESS(1,Formulas!F118+2),"$",""))&amp;Formulas!E118+1,
IFERROR(INDEX(Datos!$A$2:$L$101,Formulas!E118,Formulas!F118+2),"")))</f>
        <v/>
      </c>
      <c r="F120" s="5"/>
      <c r="G120" s="6"/>
      <c r="H120" s="24" t="str" cm="1">
        <f t="array" aca="1" ref="H120" ca="1">IF(OR(Formulas!J117=0,Formulas!J117="",RIGHT(Formulas!K117)="0"),"",
HYPERLINK("["&amp;Archivo_Nombre&amp;"]Datos!"&amp;LEFT(SUBSTITUTE(ADDRESS(1,IF(Formulas!J117=1,1,RIGHT(Formulas!K117)+2)),"$",""))&amp;Formulas!I117+1,
IFERROR(INDEX(Datos!$A$1:$L$1,1,RIGHT(Formulas!K117)+2)&amp;IF(Formulas!J117=1," "&amp;Formulas!I117,"")&amp;":","")))</f>
        <v/>
      </c>
      <c r="I120" s="107" t="str" cm="1">
        <f t="array" aca="1" ref="I120" ca="1">IF(OR(Formulas!J117=0,Formulas!J117="",RIGHT(Formulas!K117)="0"),"",
HYPERLINK("["&amp;Archivo_Nombre&amp;"]Datos!"&amp;LEFT(SUBSTITUTE(ADDRESS(1,RIGHT(Formulas!K117)+2),"$",""))&amp;Formulas!I117+1,
IFERROR(INDEX(Datos!$A$2:$L$101,Formulas!I117,RIGHT(Formulas!K117)+2),"")))</f>
        <v/>
      </c>
      <c r="J120" s="107" t="str" cm="1">
        <f t="array" aca="1" ref="J120" ca="1">IF(OR(Formulas!K118=0,Formulas!K118=""),"",HYPERLINK("["&amp;Archivo_Nombre&amp;"]Datos!"&amp;LEFT(SUBSTITUTE(ADDRESS(1,Formulas!K118+2),"$",""))&amp;Formulas!J118+1,
IFERROR(INDEX(Datos!$A$2:$L$101,Formulas!J118,Formulas!K118+2),"")))</f>
        <v/>
      </c>
      <c r="K120" s="5"/>
      <c r="L120" s="6"/>
      <c r="M120" s="24" t="str" cm="1">
        <f t="array" aca="1" ref="M120" ca="1">IF(OR(Formulas!O117=0,Formulas!O117="",RIGHT(Formulas!P117)="0"),"",
HYPERLINK("["&amp;Archivo_Nombre&amp;"]Datos!"&amp;LEFT(SUBSTITUTE(ADDRESS(1,IF(Formulas!O117=1,1,RIGHT(Formulas!P117)+2)),"$",""))&amp;Formulas!N117+1,
IFERROR(INDEX(Datos!$A$1:$L$1,1,RIGHT(Formulas!P117)+2)&amp;IF(Formulas!O117=1," "&amp;Formulas!N117,"")&amp;":","")))</f>
        <v/>
      </c>
      <c r="N120" s="107" t="str" cm="1">
        <f t="array" aca="1" ref="N120" ca="1">IF(OR(Formulas!O117=0,Formulas!O117="",RIGHT(Formulas!P117)="0"),"",
HYPERLINK("["&amp;Archivo_Nombre&amp;"]Datos!"&amp;LEFT(SUBSTITUTE(ADDRESS(1,RIGHT(Formulas!P117)+2),"$",""))&amp;Formulas!N117+1,
IFERROR(INDEX(Datos!$A$2:$L$101,Formulas!N117,RIGHT(Formulas!P117)+2),"")))</f>
        <v/>
      </c>
      <c r="O120" s="107" t="str" cm="1">
        <f t="array" aca="1" ref="O120" ca="1">IF(OR(Formulas!P118=0,Formulas!P118=""),"",HYPERLINK("["&amp;Archivo_Nombre&amp;"]Datos!"&amp;LEFT(SUBSTITUTE(ADDRESS(1,Formulas!P118+2),"$",""))&amp;Formulas!O118+1,
IFERROR(INDEX(Datos!$A$2:$L$101,Formulas!O118,Formulas!P118+2),"")))</f>
        <v/>
      </c>
      <c r="P120" s="5"/>
      <c r="Q120" s="6"/>
      <c r="R120" s="24" t="str" cm="1">
        <f t="array" aca="1" ref="R120" ca="1">IF(OR(Formulas!T117=0,Formulas!T117="",RIGHT(Formulas!U117)="0"),"",
HYPERLINK("["&amp;Archivo_Nombre&amp;"]Datos!"&amp;LEFT(SUBSTITUTE(ADDRESS(1,IF(Formulas!T117=1,1,RIGHT(Formulas!U117)+2)),"$",""))&amp;Formulas!S117+1,
IFERROR(INDEX(Datos!$A$1:$L$1,1,RIGHT(Formulas!U117)+2)&amp;IF(Formulas!T117=1," "&amp;Formulas!S117,"")&amp;":","")))</f>
        <v>Previsto:</v>
      </c>
      <c r="S120" s="107" cm="1">
        <f t="array" aca="1" ref="S120" ca="1">IF(OR(Formulas!T117=0,Formulas!T117="",RIGHT(Formulas!U117)="0"),"",
HYPERLINK("["&amp;Archivo_Nombre&amp;"]Datos!"&amp;LEFT(SUBSTITUTE(ADDRESS(1,RIGHT(Formulas!U117)+2),"$",""))&amp;Formulas!S117+1,
IFERROR(INDEX(Datos!$A$2:$L$101,Formulas!S117,RIGHT(Formulas!U117)+2),"")))</f>
        <v>45800</v>
      </c>
      <c r="T120" s="107" t="e" cm="1">
        <f t="array" aca="1" ref="T120" ca="1">IF(OR(Formulas!U118=0,Formulas!U118=""),"",HYPERLINK("["&amp;Archivo_Nombre&amp;"]Datos!"&amp;LEFT(SUBSTITUTE(ADDRESS(1,Formulas!U118+2),"$",""))&amp;Formulas!T118+1,
IFERROR(INDEX(Datos!$A$2:$L$101,Formulas!T118,Formulas!U118+2),"")))</f>
        <v>#VALUE!</v>
      </c>
      <c r="U120" s="5"/>
      <c r="V120" s="6"/>
      <c r="W120" s="24" t="str" cm="1">
        <f t="array" aca="1" ref="W120" ca="1">IF(OR(Formulas!Y117=0,Formulas!Y117="",RIGHT(Formulas!Z117)="0"),"",
HYPERLINK("["&amp;Archivo_Nombre&amp;"]Datos!"&amp;LEFT(SUBSTITUTE(ADDRESS(1,IF(Formulas!Y117=1,1,RIGHT(Formulas!Z117)+2)),"$",""))&amp;Formulas!X117+1,
IFERROR(INDEX(Datos!$A$1:$L$1,1,RIGHT(Formulas!Z117)+2)&amp;IF(Formulas!Y117=1," "&amp;Formulas!X117,"")&amp;":","")))</f>
        <v/>
      </c>
      <c r="X120" s="107" t="str" cm="1">
        <f t="array" aca="1" ref="X120" ca="1">IF(OR(Formulas!Y117=0,Formulas!Y117="",RIGHT(Formulas!Z117)="0"),"",
HYPERLINK("["&amp;Archivo_Nombre&amp;"]Datos!"&amp;LEFT(SUBSTITUTE(ADDRESS(1,RIGHT(Formulas!Z117)+2),"$",""))&amp;Formulas!X117+1,
IFERROR(INDEX(Datos!$A$2:$L$101,Formulas!X117,RIGHT(Formulas!Z117)+2),"")))</f>
        <v/>
      </c>
      <c r="Y120" s="107" t="str" cm="1">
        <f t="array" aca="1" ref="Y120" ca="1">IF(OR(Formulas!Z118=0,Formulas!Z118=""),"",HYPERLINK("["&amp;Archivo_Nombre&amp;"]Datos!"&amp;LEFT(SUBSTITUTE(ADDRESS(1,Formulas!Z118+2),"$",""))&amp;Formulas!Y118+1,
IFERROR(INDEX(Datos!$A$2:$L$101,Formulas!Y118,Formulas!Z118+2),"")))</f>
        <v/>
      </c>
      <c r="Z120" s="13"/>
      <c r="AA120" s="6"/>
      <c r="AB120" s="24" t="str" cm="1">
        <f t="array" aca="1" ref="AB120" ca="1">IF(OR(Formulas!AD117=0,Formulas!AD117="",RIGHT(Formulas!AE117)="0"),"",
HYPERLINK("["&amp;Archivo_Nombre&amp;"]Datos!"&amp;LEFT(SUBSTITUTE(ADDRESS(1,IF(Formulas!AD117=1,1,RIGHT(Formulas!AE117)+2)),"$",""))&amp;Formulas!AC117+1,
IFERROR(INDEX(Datos!$A$1:$L$1,1,RIGHT(Formulas!AE117)+2)&amp;IF(Formulas!AD117=1," "&amp;Formulas!AC117,"")&amp;":","")))</f>
        <v/>
      </c>
      <c r="AC120" s="107" t="str" cm="1">
        <f t="array" aca="1" ref="AC120" ca="1">IF(OR(Formulas!AD117=0,Formulas!AD117="",RIGHT(Formulas!AE117)="0"),"",
HYPERLINK("["&amp;Archivo_Nombre&amp;"]Datos!"&amp;LEFT(SUBSTITUTE(ADDRESS(1,RIGHT(Formulas!AE117)+2),"$",""))&amp;Formulas!AC117+1,
IFERROR(INDEX(Datos!$A$2:$L$101,Formulas!AC117,RIGHT(Formulas!AE117)+2),"")))</f>
        <v/>
      </c>
      <c r="AD120" s="107" t="str" cm="1">
        <f t="array" aca="1" ref="AD120" ca="1">IF(OR(Formulas!AE118=0,Formulas!AE118=""),"",HYPERLINK("["&amp;Archivo_Nombre&amp;"]Datos!"&amp;LEFT(SUBSTITUTE(ADDRESS(1,Formulas!AE118+2),"$",""))&amp;Formulas!AD118+1,
IFERROR(INDEX(Datos!$A$2:$L$101,Formulas!AD118,Formulas!AE118+2),"")))</f>
        <v/>
      </c>
      <c r="AE120" s="13"/>
      <c r="AF120" s="6"/>
      <c r="AG120" s="24" t="str" cm="1">
        <f t="array" aca="1" ref="AG120" ca="1">IF(OR(Formulas!AI117=0,Formulas!AI117="",RIGHT(Formulas!AJ117)="0"),"",
HYPERLINK("["&amp;Archivo_Nombre&amp;"]Datos!"&amp;LEFT(SUBSTITUTE(ADDRESS(1,IF(Formulas!AI117=1,1,RIGHT(Formulas!AJ117)+2)),"$",""))&amp;Formulas!AH117+1,
IFERROR(INDEX(Datos!$A$1:$L$1,1,RIGHT(Formulas!AJ117)+2)&amp;IF(Formulas!AI117=1," "&amp;Formulas!AH117,"")&amp;":","")))</f>
        <v/>
      </c>
      <c r="AH120" s="107" t="str" cm="1">
        <f t="array" aca="1" ref="AH120" ca="1">IF(OR(Formulas!AI117=0,Formulas!AI117="",RIGHT(Formulas!AJ117)="0"),"",
HYPERLINK("["&amp;Archivo_Nombre&amp;"]Datos!"&amp;LEFT(SUBSTITUTE(ADDRESS(1,RIGHT(Formulas!AJ117)+2),"$",""))&amp;Formulas!AH117+1,
IFERROR(INDEX(Datos!$A$2:$L$101,Formulas!AH117,RIGHT(Formulas!AJ117)+2),"")))</f>
        <v/>
      </c>
      <c r="AI120" s="107" t="str" cm="1">
        <f t="array" aca="1" ref="AI120" ca="1">IF(OR(Formulas!AJ118=0,Formulas!AJ118=""),"",HYPERLINK("["&amp;Archivo_Nombre&amp;"]Datos!"&amp;LEFT(SUBSTITUTE(ADDRESS(1,Formulas!AJ118+2),"$",""))&amp;Formulas!AI118+1,
IFERROR(INDEX(Datos!$A$2:$L$101,Formulas!AI118,Formulas!AJ118+2),"")))</f>
        <v/>
      </c>
      <c r="AJ120" s="13"/>
      <c r="AK120" s="6"/>
      <c r="AL120" s="24" t="str" cm="1">
        <f t="array" aca="1" ref="AL120" ca="1">IF(OR(Formulas!AN117=0,Formulas!AN117="",RIGHT(Formulas!AO117)="0"),"",
HYPERLINK("["&amp;Archivo_Nombre&amp;"]Datos!"&amp;LEFT(SUBSTITUTE(ADDRESS(1,IF(Formulas!AN117=1,1,RIGHT(Formulas!AO117)+2)),"$",""))&amp;Formulas!AM117+1,
IFERROR(INDEX(Datos!$A$1:$L$1,1,RIGHT(Formulas!AO117)+2)&amp;IF(Formulas!AN117=1," "&amp;Formulas!AM117,"")&amp;":","")))</f>
        <v/>
      </c>
      <c r="AM120" s="107" t="str" cm="1">
        <f t="array" aca="1" ref="AM120" ca="1">IF(OR(Formulas!AN117=0,Formulas!AN117="",RIGHT(Formulas!AO117)="0"),"",
HYPERLINK("["&amp;Archivo_Nombre&amp;"]Datos!"&amp;LEFT(SUBSTITUTE(ADDRESS(1,RIGHT(Formulas!AO117)+2),"$",""))&amp;Formulas!AM117+1,
IFERROR(INDEX(Datos!$A$2:$L$101,Formulas!AM117,RIGHT(Formulas!AO117)+2),"")))</f>
        <v/>
      </c>
      <c r="AN120" s="107" t="str" cm="1">
        <f t="array" aca="1" ref="AN120" ca="1">IF(OR(Formulas!AO118=0,Formulas!AO118=""),"",HYPERLINK("["&amp;Archivo_Nombre&amp;"]Datos!"&amp;LEFT(SUBSTITUTE(ADDRESS(1,Formulas!AO118+2),"$",""))&amp;Formulas!AN118+1,
IFERROR(INDEX(Datos!$A$2:$L$101,Formulas!AN118,Formulas!AO118+2),"")))</f>
        <v/>
      </c>
      <c r="AO120" s="13"/>
      <c r="AP120" s="6"/>
      <c r="AQ120" s="24" t="str" cm="1">
        <f t="array" aca="1" ref="AQ120" ca="1">IF(OR(Formulas!AS117=0,Formulas!AS117="",RIGHT(Formulas!AT117)="0"),"",
HYPERLINK("["&amp;Archivo_Nombre&amp;"]Datos!"&amp;LEFT(SUBSTITUTE(ADDRESS(1,IF(Formulas!AS117=1,1,RIGHT(Formulas!AT117)+2)),"$",""))&amp;Formulas!AR117+1,
IFERROR(INDEX(Datos!$A$1:$L$1,1,RIGHT(Formulas!AT117)+2)&amp;IF(Formulas!AS117=1," "&amp;Formulas!AR117,"")&amp;":","")))</f>
        <v/>
      </c>
      <c r="AR120" s="107" t="str" cm="1">
        <f t="array" aca="1" ref="AR120" ca="1">IF(OR(Formulas!AS117=0,Formulas!AS117="",RIGHT(Formulas!AT117)="0"),"",
HYPERLINK("["&amp;Archivo_Nombre&amp;"]Datos!"&amp;LEFT(SUBSTITUTE(ADDRESS(1,RIGHT(Formulas!AT117)+2),"$",""))&amp;Formulas!AR117+1,
IFERROR(INDEX(Datos!$A$2:$L$101,Formulas!AR117,RIGHT(Formulas!AT117)+2),"")))</f>
        <v/>
      </c>
      <c r="AS120" s="107" t="str" cm="1">
        <f t="array" aca="1" ref="AS120" ca="1">IF(OR(Formulas!AT118=0,Formulas!AT118=""),"",HYPERLINK("["&amp;Archivo_Nombre&amp;"]Datos!"&amp;LEFT(SUBSTITUTE(ADDRESS(1,Formulas!AT118+2),"$",""))&amp;Formulas!AS118+1,
IFERROR(INDEX(Datos!$A$2:$L$101,Formulas!AS118,Formulas!AT118+2),"")))</f>
        <v/>
      </c>
      <c r="AT120" s="13"/>
      <c r="AU120" s="6"/>
      <c r="AV120" s="24" t="str" cm="1">
        <f t="array" aca="1" ref="AV120" ca="1">IF(OR(Formulas!AX117=0,Formulas!AX117="",RIGHT(Formulas!AY117)="0"),"",
HYPERLINK("["&amp;Archivo_Nombre&amp;"]Datos!"&amp;LEFT(SUBSTITUTE(ADDRESS(1,IF(Formulas!AX117=1,1,RIGHT(Formulas!AY117)+2)),"$",""))&amp;Formulas!AW117+1,
IFERROR(INDEX(Datos!$A$1:$L$1,1,RIGHT(Formulas!AY117)+2)&amp;IF(Formulas!AX117=1," "&amp;Formulas!AW117,"")&amp;":","")))</f>
        <v/>
      </c>
      <c r="AW120" s="107" t="str" cm="1">
        <f t="array" aca="1" ref="AW120" ca="1">IF(OR(Formulas!AX117=0,Formulas!AX117="",RIGHT(Formulas!AY117)="0"),"",
HYPERLINK("["&amp;Archivo_Nombre&amp;"]Datos!"&amp;LEFT(SUBSTITUTE(ADDRESS(1,RIGHT(Formulas!AY117)+2),"$",""))&amp;Formulas!AW117+1,
IFERROR(INDEX(Datos!$A$2:$L$101,Formulas!AW117,RIGHT(Formulas!AY117)+2),"")))</f>
        <v/>
      </c>
      <c r="AX120" s="107" t="str" cm="1">
        <f t="array" aca="1" ref="AX120" ca="1">IF(OR(Formulas!AY118=0,Formulas!AY118=""),"",HYPERLINK("["&amp;Archivo_Nombre&amp;"]Datos!"&amp;LEFT(SUBSTITUTE(ADDRESS(1,Formulas!AY118+2),"$",""))&amp;Formulas!AX118+1,
IFERROR(INDEX(Datos!$A$2:$L$101,Formulas!AX118,Formulas!AY118+2),"")))</f>
        <v/>
      </c>
      <c r="AY120" s="13"/>
    </row>
    <row r="121" spans="2:51" x14ac:dyDescent="0.25">
      <c r="B121" s="11"/>
      <c r="C121" s="24" t="str" cm="1">
        <f t="array" aca="1" ref="C121" ca="1">IF(OR(Formulas!E118=0,Formulas!E118="",RIGHT(Formulas!F118)="0"),"",
HYPERLINK("["&amp;Archivo_Nombre&amp;"]Datos!"&amp;LEFT(SUBSTITUTE(ADDRESS(1,IF(Formulas!E118=1,1,RIGHT(Formulas!F118)+2)),"$",""))&amp;Formulas!D118+1,
IFERROR(INDEX(Datos!$A$1:$L$1,1,RIGHT(Formulas!F118)+2)&amp;IF(Formulas!E118=1," "&amp;Formulas!D118,"")&amp;":","")))</f>
        <v/>
      </c>
      <c r="D121" s="107" t="str" cm="1">
        <f t="array" aca="1" ref="D121" ca="1">IF(OR(Formulas!E118=0,Formulas!E118="",RIGHT(Formulas!F118)="0"),"",
HYPERLINK("["&amp;Archivo_Nombre&amp;"]Datos!"&amp;LEFT(SUBSTITUTE(ADDRESS(1,RIGHT(Formulas!F118)+2),"$",""))&amp;Formulas!D118+1,
IFERROR(INDEX(Datos!$A$2:$L$101,Formulas!D118,RIGHT(Formulas!F118)+2),"")))</f>
        <v/>
      </c>
      <c r="E121" s="107" t="str" cm="1">
        <f t="array" aca="1" ref="E121" ca="1">IF(OR(Formulas!F119=0,Formulas!F119=""),"",HYPERLINK("["&amp;Archivo_Nombre&amp;"]Datos!"&amp;LEFT(SUBSTITUTE(ADDRESS(1,Formulas!F119+2),"$",""))&amp;Formulas!E119+1,
IFERROR(INDEX(Datos!$A$2:$L$101,Formulas!E119,Formulas!F119+2),"")))</f>
        <v/>
      </c>
      <c r="F121" s="5"/>
      <c r="G121" s="6"/>
      <c r="H121" s="24" t="str" cm="1">
        <f t="array" aca="1" ref="H121" ca="1">IF(OR(Formulas!J118=0,Formulas!J118="",RIGHT(Formulas!K118)="0"),"",
HYPERLINK("["&amp;Archivo_Nombre&amp;"]Datos!"&amp;LEFT(SUBSTITUTE(ADDRESS(1,IF(Formulas!J118=1,1,RIGHT(Formulas!K118)+2)),"$",""))&amp;Formulas!I118+1,
IFERROR(INDEX(Datos!$A$1:$L$1,1,RIGHT(Formulas!K118)+2)&amp;IF(Formulas!J118=1," "&amp;Formulas!I118,"")&amp;":","")))</f>
        <v/>
      </c>
      <c r="I121" s="107" t="str" cm="1">
        <f t="array" aca="1" ref="I121" ca="1">IF(OR(Formulas!J118=0,Formulas!J118="",RIGHT(Formulas!K118)="0"),"",
HYPERLINK("["&amp;Archivo_Nombre&amp;"]Datos!"&amp;LEFT(SUBSTITUTE(ADDRESS(1,RIGHT(Formulas!K118)+2),"$",""))&amp;Formulas!I118+1,
IFERROR(INDEX(Datos!$A$2:$L$101,Formulas!I118,RIGHT(Formulas!K118)+2),"")))</f>
        <v/>
      </c>
      <c r="J121" s="107" t="str" cm="1">
        <f t="array" aca="1" ref="J121" ca="1">IF(OR(Formulas!K119=0,Formulas!K119=""),"",HYPERLINK("["&amp;Archivo_Nombre&amp;"]Datos!"&amp;LEFT(SUBSTITUTE(ADDRESS(1,Formulas!K119+2),"$",""))&amp;Formulas!J119+1,
IFERROR(INDEX(Datos!$A$2:$L$101,Formulas!J119,Formulas!K119+2),"")))</f>
        <v/>
      </c>
      <c r="K121" s="5"/>
      <c r="L121" s="6"/>
      <c r="M121" s="24" t="str" cm="1">
        <f t="array" aca="1" ref="M121" ca="1">IF(OR(Formulas!O118=0,Formulas!O118="",RIGHT(Formulas!P118)="0"),"",
HYPERLINK("["&amp;Archivo_Nombre&amp;"]Datos!"&amp;LEFT(SUBSTITUTE(ADDRESS(1,IF(Formulas!O118=1,1,RIGHT(Formulas!P118)+2)),"$",""))&amp;Formulas!N118+1,
IFERROR(INDEX(Datos!$A$1:$L$1,1,RIGHT(Formulas!P118)+2)&amp;IF(Formulas!O118=1," "&amp;Formulas!N118,"")&amp;":","")))</f>
        <v/>
      </c>
      <c r="N121" s="107" t="str" cm="1">
        <f t="array" aca="1" ref="N121" ca="1">IF(OR(Formulas!O118=0,Formulas!O118="",RIGHT(Formulas!P118)="0"),"",
HYPERLINK("["&amp;Archivo_Nombre&amp;"]Datos!"&amp;LEFT(SUBSTITUTE(ADDRESS(1,RIGHT(Formulas!P118)+2),"$",""))&amp;Formulas!N118+1,
IFERROR(INDEX(Datos!$A$2:$L$101,Formulas!N118,RIGHT(Formulas!P118)+2),"")))</f>
        <v/>
      </c>
      <c r="O121" s="107" t="str" cm="1">
        <f t="array" aca="1" ref="O121" ca="1">IF(OR(Formulas!P119=0,Formulas!P119=""),"",HYPERLINK("["&amp;Archivo_Nombre&amp;"]Datos!"&amp;LEFT(SUBSTITUTE(ADDRESS(1,Formulas!P119+2),"$",""))&amp;Formulas!O119+1,
IFERROR(INDEX(Datos!$A$2:$L$101,Formulas!O119,Formulas!P119+2),"")))</f>
        <v/>
      </c>
      <c r="P121" s="5"/>
      <c r="Q121" s="6"/>
      <c r="R121" s="24" t="str" cm="1">
        <f t="array" aca="1" ref="R121" ca="1">IF(OR(Formulas!T118=0,Formulas!T118="",RIGHT(Formulas!U118)="0"),"",
HYPERLINK("["&amp;Archivo_Nombre&amp;"]Datos!"&amp;LEFT(SUBSTITUTE(ADDRESS(1,IF(Formulas!T118=1,1,RIGHT(Formulas!U118)+2)),"$",""))&amp;Formulas!S118+1,
IFERROR(INDEX(Datos!$A$1:$L$1,1,RIGHT(Formulas!U118)+2)&amp;IF(Formulas!T118=1," "&amp;Formulas!S118,"")&amp;":","")))</f>
        <v>Final:</v>
      </c>
      <c r="S121" s="107" cm="1">
        <f t="array" aca="1" ref="S121" ca="1">IF(OR(Formulas!T118=0,Formulas!T118="",RIGHT(Formulas!U118)="0"),"",
HYPERLINK("["&amp;Archivo_Nombre&amp;"]Datos!"&amp;LEFT(SUBSTITUTE(ADDRESS(1,RIGHT(Formulas!U118)+2),"$",""))&amp;Formulas!S118+1,
IFERROR(INDEX(Datos!$A$2:$L$101,Formulas!S118,RIGHT(Formulas!U118)+2),"")))</f>
        <v>45800</v>
      </c>
      <c r="T121" s="107" t="e" cm="1">
        <f t="array" aca="1" ref="T121" ca="1">IF(OR(Formulas!U119=0,Formulas!U119=""),"",HYPERLINK("["&amp;Archivo_Nombre&amp;"]Datos!"&amp;LEFT(SUBSTITUTE(ADDRESS(1,Formulas!U119+2),"$",""))&amp;Formulas!T119+1,
IFERROR(INDEX(Datos!$A$2:$L$101,Formulas!T119,Formulas!U119+2),"")))</f>
        <v>#VALUE!</v>
      </c>
      <c r="U121" s="5"/>
      <c r="V121" s="6"/>
      <c r="W121" s="24" t="str" cm="1">
        <f t="array" aca="1" ref="W121" ca="1">IF(OR(Formulas!Y118=0,Formulas!Y118="",RIGHT(Formulas!Z118)="0"),"",
HYPERLINK("["&amp;Archivo_Nombre&amp;"]Datos!"&amp;LEFT(SUBSTITUTE(ADDRESS(1,IF(Formulas!Y118=1,1,RIGHT(Formulas!Z118)+2)),"$",""))&amp;Formulas!X118+1,
IFERROR(INDEX(Datos!$A$1:$L$1,1,RIGHT(Formulas!Z118)+2)&amp;IF(Formulas!Y118=1," "&amp;Formulas!X118,"")&amp;":","")))</f>
        <v/>
      </c>
      <c r="X121" s="107" t="str" cm="1">
        <f t="array" aca="1" ref="X121" ca="1">IF(OR(Formulas!Y118=0,Formulas!Y118="",RIGHT(Formulas!Z118)="0"),"",
HYPERLINK("["&amp;Archivo_Nombre&amp;"]Datos!"&amp;LEFT(SUBSTITUTE(ADDRESS(1,RIGHT(Formulas!Z118)+2),"$",""))&amp;Formulas!X118+1,
IFERROR(INDEX(Datos!$A$2:$L$101,Formulas!X118,RIGHT(Formulas!Z118)+2),"")))</f>
        <v/>
      </c>
      <c r="Y121" s="107" t="str" cm="1">
        <f t="array" aca="1" ref="Y121" ca="1">IF(OR(Formulas!Z119=0,Formulas!Z119=""),"",HYPERLINK("["&amp;Archivo_Nombre&amp;"]Datos!"&amp;LEFT(SUBSTITUTE(ADDRESS(1,Formulas!Z119+2),"$",""))&amp;Formulas!Y119+1,
IFERROR(INDEX(Datos!$A$2:$L$101,Formulas!Y119,Formulas!Z119+2),"")))</f>
        <v/>
      </c>
      <c r="Z121" s="13"/>
      <c r="AA121" s="6"/>
      <c r="AB121" s="24" t="str" cm="1">
        <f t="array" aca="1" ref="AB121" ca="1">IF(OR(Formulas!AD118=0,Formulas!AD118="",RIGHT(Formulas!AE118)="0"),"",
HYPERLINK("["&amp;Archivo_Nombre&amp;"]Datos!"&amp;LEFT(SUBSTITUTE(ADDRESS(1,IF(Formulas!AD118=1,1,RIGHT(Formulas!AE118)+2)),"$",""))&amp;Formulas!AC118+1,
IFERROR(INDEX(Datos!$A$1:$L$1,1,RIGHT(Formulas!AE118)+2)&amp;IF(Formulas!AD118=1," "&amp;Formulas!AC118,"")&amp;":","")))</f>
        <v/>
      </c>
      <c r="AC121" s="107" t="str" cm="1">
        <f t="array" aca="1" ref="AC121" ca="1">IF(OR(Formulas!AD118=0,Formulas!AD118="",RIGHT(Formulas!AE118)="0"),"",
HYPERLINK("["&amp;Archivo_Nombre&amp;"]Datos!"&amp;LEFT(SUBSTITUTE(ADDRESS(1,RIGHT(Formulas!AE118)+2),"$",""))&amp;Formulas!AC118+1,
IFERROR(INDEX(Datos!$A$2:$L$101,Formulas!AC118,RIGHT(Formulas!AE118)+2),"")))</f>
        <v/>
      </c>
      <c r="AD121" s="107" t="str" cm="1">
        <f t="array" aca="1" ref="AD121" ca="1">IF(OR(Formulas!AE119=0,Formulas!AE119=""),"",HYPERLINK("["&amp;Archivo_Nombre&amp;"]Datos!"&amp;LEFT(SUBSTITUTE(ADDRESS(1,Formulas!AE119+2),"$",""))&amp;Formulas!AD119+1,
IFERROR(INDEX(Datos!$A$2:$L$101,Formulas!AD119,Formulas!AE119+2),"")))</f>
        <v/>
      </c>
      <c r="AE121" s="13"/>
      <c r="AF121" s="6"/>
      <c r="AG121" s="24" t="str" cm="1">
        <f t="array" aca="1" ref="AG121" ca="1">IF(OR(Formulas!AI118=0,Formulas!AI118="",RIGHT(Formulas!AJ118)="0"),"",
HYPERLINK("["&amp;Archivo_Nombre&amp;"]Datos!"&amp;LEFT(SUBSTITUTE(ADDRESS(1,IF(Formulas!AI118=1,1,RIGHT(Formulas!AJ118)+2)),"$",""))&amp;Formulas!AH118+1,
IFERROR(INDEX(Datos!$A$1:$L$1,1,RIGHT(Formulas!AJ118)+2)&amp;IF(Formulas!AI118=1," "&amp;Formulas!AH118,"")&amp;":","")))</f>
        <v/>
      </c>
      <c r="AH121" s="107" t="str" cm="1">
        <f t="array" aca="1" ref="AH121" ca="1">IF(OR(Formulas!AI118=0,Formulas!AI118="",RIGHT(Formulas!AJ118)="0"),"",
HYPERLINK("["&amp;Archivo_Nombre&amp;"]Datos!"&amp;LEFT(SUBSTITUTE(ADDRESS(1,RIGHT(Formulas!AJ118)+2),"$",""))&amp;Formulas!AH118+1,
IFERROR(INDEX(Datos!$A$2:$L$101,Formulas!AH118,RIGHT(Formulas!AJ118)+2),"")))</f>
        <v/>
      </c>
      <c r="AI121" s="107" t="str" cm="1">
        <f t="array" aca="1" ref="AI121" ca="1">IF(OR(Formulas!AJ119=0,Formulas!AJ119=""),"",HYPERLINK("["&amp;Archivo_Nombre&amp;"]Datos!"&amp;LEFT(SUBSTITUTE(ADDRESS(1,Formulas!AJ119+2),"$",""))&amp;Formulas!AI119+1,
IFERROR(INDEX(Datos!$A$2:$L$101,Formulas!AI119,Formulas!AJ119+2),"")))</f>
        <v/>
      </c>
      <c r="AJ121" s="13"/>
      <c r="AK121" s="6"/>
      <c r="AL121" s="24" t="str" cm="1">
        <f t="array" aca="1" ref="AL121" ca="1">IF(OR(Formulas!AN118=0,Formulas!AN118="",RIGHT(Formulas!AO118)="0"),"",
HYPERLINK("["&amp;Archivo_Nombre&amp;"]Datos!"&amp;LEFT(SUBSTITUTE(ADDRESS(1,IF(Formulas!AN118=1,1,RIGHT(Formulas!AO118)+2)),"$",""))&amp;Formulas!AM118+1,
IFERROR(INDEX(Datos!$A$1:$L$1,1,RIGHT(Formulas!AO118)+2)&amp;IF(Formulas!AN118=1," "&amp;Formulas!AM118,"")&amp;":","")))</f>
        <v/>
      </c>
      <c r="AM121" s="107" t="str" cm="1">
        <f t="array" aca="1" ref="AM121" ca="1">IF(OR(Formulas!AN118=0,Formulas!AN118="",RIGHT(Formulas!AO118)="0"),"",
HYPERLINK("["&amp;Archivo_Nombre&amp;"]Datos!"&amp;LEFT(SUBSTITUTE(ADDRESS(1,RIGHT(Formulas!AO118)+2),"$",""))&amp;Formulas!AM118+1,
IFERROR(INDEX(Datos!$A$2:$L$101,Formulas!AM118,RIGHT(Formulas!AO118)+2),"")))</f>
        <v/>
      </c>
      <c r="AN121" s="107" t="str" cm="1">
        <f t="array" aca="1" ref="AN121" ca="1">IF(OR(Formulas!AO119=0,Formulas!AO119=""),"",HYPERLINK("["&amp;Archivo_Nombre&amp;"]Datos!"&amp;LEFT(SUBSTITUTE(ADDRESS(1,Formulas!AO119+2),"$",""))&amp;Formulas!AN119+1,
IFERROR(INDEX(Datos!$A$2:$L$101,Formulas!AN119,Formulas!AO119+2),"")))</f>
        <v/>
      </c>
      <c r="AO121" s="13"/>
      <c r="AP121" s="6"/>
      <c r="AQ121" s="24" t="str" cm="1">
        <f t="array" aca="1" ref="AQ121" ca="1">IF(OR(Formulas!AS118=0,Formulas!AS118="",RIGHT(Formulas!AT118)="0"),"",
HYPERLINK("["&amp;Archivo_Nombre&amp;"]Datos!"&amp;LEFT(SUBSTITUTE(ADDRESS(1,IF(Formulas!AS118=1,1,RIGHT(Formulas!AT118)+2)),"$",""))&amp;Formulas!AR118+1,
IFERROR(INDEX(Datos!$A$1:$L$1,1,RIGHT(Formulas!AT118)+2)&amp;IF(Formulas!AS118=1," "&amp;Formulas!AR118,"")&amp;":","")))</f>
        <v/>
      </c>
      <c r="AR121" s="107" t="str" cm="1">
        <f t="array" aca="1" ref="AR121" ca="1">IF(OR(Formulas!AS118=0,Formulas!AS118="",RIGHT(Formulas!AT118)="0"),"",
HYPERLINK("["&amp;Archivo_Nombre&amp;"]Datos!"&amp;LEFT(SUBSTITUTE(ADDRESS(1,RIGHT(Formulas!AT118)+2),"$",""))&amp;Formulas!AR118+1,
IFERROR(INDEX(Datos!$A$2:$L$101,Formulas!AR118,RIGHT(Formulas!AT118)+2),"")))</f>
        <v/>
      </c>
      <c r="AS121" s="107" t="str" cm="1">
        <f t="array" aca="1" ref="AS121" ca="1">IF(OR(Formulas!AT119=0,Formulas!AT119=""),"",HYPERLINK("["&amp;Archivo_Nombre&amp;"]Datos!"&amp;LEFT(SUBSTITUTE(ADDRESS(1,Formulas!AT119+2),"$",""))&amp;Formulas!AS119+1,
IFERROR(INDEX(Datos!$A$2:$L$101,Formulas!AS119,Formulas!AT119+2),"")))</f>
        <v/>
      </c>
      <c r="AT121" s="13"/>
      <c r="AU121" s="6"/>
      <c r="AV121" s="24" t="str" cm="1">
        <f t="array" aca="1" ref="AV121" ca="1">IF(OR(Formulas!AX118=0,Formulas!AX118="",RIGHT(Formulas!AY118)="0"),"",
HYPERLINK("["&amp;Archivo_Nombre&amp;"]Datos!"&amp;LEFT(SUBSTITUTE(ADDRESS(1,IF(Formulas!AX118=1,1,RIGHT(Formulas!AY118)+2)),"$",""))&amp;Formulas!AW118+1,
IFERROR(INDEX(Datos!$A$1:$L$1,1,RIGHT(Formulas!AY118)+2)&amp;IF(Formulas!AX118=1," "&amp;Formulas!AW118,"")&amp;":","")))</f>
        <v/>
      </c>
      <c r="AW121" s="107" t="str" cm="1">
        <f t="array" aca="1" ref="AW121" ca="1">IF(OR(Formulas!AX118=0,Formulas!AX118="",RIGHT(Formulas!AY118)="0"),"",
HYPERLINK("["&amp;Archivo_Nombre&amp;"]Datos!"&amp;LEFT(SUBSTITUTE(ADDRESS(1,RIGHT(Formulas!AY118)+2),"$",""))&amp;Formulas!AW118+1,
IFERROR(INDEX(Datos!$A$2:$L$101,Formulas!AW118,RIGHT(Formulas!AY118)+2),"")))</f>
        <v/>
      </c>
      <c r="AX121" s="107" t="str" cm="1">
        <f t="array" aca="1" ref="AX121" ca="1">IF(OR(Formulas!AY119=0,Formulas!AY119=""),"",HYPERLINK("["&amp;Archivo_Nombre&amp;"]Datos!"&amp;LEFT(SUBSTITUTE(ADDRESS(1,Formulas!AY119+2),"$",""))&amp;Formulas!AX119+1,
IFERROR(INDEX(Datos!$A$2:$L$101,Formulas!AX119,Formulas!AY119+2),"")))</f>
        <v/>
      </c>
      <c r="AY121" s="13"/>
    </row>
    <row r="122" spans="2:51" x14ac:dyDescent="0.25">
      <c r="B122" s="11"/>
      <c r="C122" s="24" t="str" cm="1">
        <f t="array" aca="1" ref="C122" ca="1">IF(OR(Formulas!E119=0,Formulas!E119="",RIGHT(Formulas!F119)="0"),"",
HYPERLINK("["&amp;Archivo_Nombre&amp;"]Datos!"&amp;LEFT(SUBSTITUTE(ADDRESS(1,IF(Formulas!E119=1,1,RIGHT(Formulas!F119)+2)),"$",""))&amp;Formulas!D119+1,
IFERROR(INDEX(Datos!$A$1:$L$1,1,RIGHT(Formulas!F119)+2)&amp;IF(Formulas!E119=1," "&amp;Formulas!D119,"")&amp;":","")))</f>
        <v/>
      </c>
      <c r="D122" s="107" t="str" cm="1">
        <f t="array" aca="1" ref="D122" ca="1">IF(OR(Formulas!E119=0,Formulas!E119="",RIGHT(Formulas!F119)="0"),"",
HYPERLINK("["&amp;Archivo_Nombre&amp;"]Datos!"&amp;LEFT(SUBSTITUTE(ADDRESS(1,RIGHT(Formulas!F119)+2),"$",""))&amp;Formulas!D119+1,
IFERROR(INDEX(Datos!$A$2:$L$101,Formulas!D119,RIGHT(Formulas!F119)+2),"")))</f>
        <v/>
      </c>
      <c r="E122" s="107" t="str" cm="1">
        <f t="array" aca="1" ref="E122" ca="1">IF(OR(Formulas!F120=0,Formulas!F120=""),"",HYPERLINK("["&amp;Archivo_Nombre&amp;"]Datos!"&amp;LEFT(SUBSTITUTE(ADDRESS(1,Formulas!F120+2),"$",""))&amp;Formulas!E120+1,
IFERROR(INDEX(Datos!$A$2:$L$101,Formulas!E120,Formulas!F120+2),"")))</f>
        <v/>
      </c>
      <c r="F122" s="5"/>
      <c r="G122" s="6"/>
      <c r="H122" s="24" t="str" cm="1">
        <f t="array" aca="1" ref="H122" ca="1">IF(OR(Formulas!J119=0,Formulas!J119="",RIGHT(Formulas!K119)="0"),"",
HYPERLINK("["&amp;Archivo_Nombre&amp;"]Datos!"&amp;LEFT(SUBSTITUTE(ADDRESS(1,IF(Formulas!J119=1,1,RIGHT(Formulas!K119)+2)),"$",""))&amp;Formulas!I119+1,
IFERROR(INDEX(Datos!$A$1:$L$1,1,RIGHT(Formulas!K119)+2)&amp;IF(Formulas!J119=1," "&amp;Formulas!I119,"")&amp;":","")))</f>
        <v/>
      </c>
      <c r="I122" s="107" t="str" cm="1">
        <f t="array" aca="1" ref="I122" ca="1">IF(OR(Formulas!J119=0,Formulas!J119="",RIGHT(Formulas!K119)="0"),"",
HYPERLINK("["&amp;Archivo_Nombre&amp;"]Datos!"&amp;LEFT(SUBSTITUTE(ADDRESS(1,RIGHT(Formulas!K119)+2),"$",""))&amp;Formulas!I119+1,
IFERROR(INDEX(Datos!$A$2:$L$101,Formulas!I119,RIGHT(Formulas!K119)+2),"")))</f>
        <v/>
      </c>
      <c r="J122" s="107" t="str" cm="1">
        <f t="array" aca="1" ref="J122" ca="1">IF(OR(Formulas!K120=0,Formulas!K120=""),"",HYPERLINK("["&amp;Archivo_Nombre&amp;"]Datos!"&amp;LEFT(SUBSTITUTE(ADDRESS(1,Formulas!K120+2),"$",""))&amp;Formulas!J120+1,
IFERROR(INDEX(Datos!$A$2:$L$101,Formulas!J120,Formulas!K120+2),"")))</f>
        <v/>
      </c>
      <c r="K122" s="5"/>
      <c r="L122" s="6"/>
      <c r="M122" s="24" t="str" cm="1">
        <f t="array" aca="1" ref="M122" ca="1">IF(OR(Formulas!O119=0,Formulas!O119="",RIGHT(Formulas!P119)="0"),"",
HYPERLINK("["&amp;Archivo_Nombre&amp;"]Datos!"&amp;LEFT(SUBSTITUTE(ADDRESS(1,IF(Formulas!O119=1,1,RIGHT(Formulas!P119)+2)),"$",""))&amp;Formulas!N119+1,
IFERROR(INDEX(Datos!$A$1:$L$1,1,RIGHT(Formulas!P119)+2)&amp;IF(Formulas!O119=1," "&amp;Formulas!N119,"")&amp;":","")))</f>
        <v/>
      </c>
      <c r="N122" s="107" t="str" cm="1">
        <f t="array" aca="1" ref="N122" ca="1">IF(OR(Formulas!O119=0,Formulas!O119="",RIGHT(Formulas!P119)="0"),"",
HYPERLINK("["&amp;Archivo_Nombre&amp;"]Datos!"&amp;LEFT(SUBSTITUTE(ADDRESS(1,RIGHT(Formulas!P119)+2),"$",""))&amp;Formulas!N119+1,
IFERROR(INDEX(Datos!$A$2:$L$101,Formulas!N119,RIGHT(Formulas!P119)+2),"")))</f>
        <v/>
      </c>
      <c r="O122" s="107" t="str" cm="1">
        <f t="array" aca="1" ref="O122" ca="1">IF(OR(Formulas!P120=0,Formulas!P120=""),"",HYPERLINK("["&amp;Archivo_Nombre&amp;"]Datos!"&amp;LEFT(SUBSTITUTE(ADDRESS(1,Formulas!P120+2),"$",""))&amp;Formulas!O120+1,
IFERROR(INDEX(Datos!$A$2:$L$101,Formulas!O120,Formulas!P120+2),"")))</f>
        <v/>
      </c>
      <c r="P122" s="5"/>
      <c r="Q122" s="6"/>
      <c r="R122" s="24" t="str" cm="1">
        <f t="array" aca="1" ref="R122" ca="1">IF(OR(Formulas!T119=0,Formulas!T119="",RIGHT(Formulas!U119)="0"),"",
HYPERLINK("["&amp;Archivo_Nombre&amp;"]Datos!"&amp;LEFT(SUBSTITUTE(ADDRESS(1,IF(Formulas!T119=1,1,RIGHT(Formulas!U119)+2)),"$",""))&amp;Formulas!S119+1,
IFERROR(INDEX(Datos!$A$1:$L$1,1,RIGHT(Formulas!U119)+2)&amp;IF(Formulas!T119=1," "&amp;Formulas!S119,"")&amp;":","")))</f>
        <v>Duración:</v>
      </c>
      <c r="S122" s="107" t="str" cm="1">
        <f t="array" aca="1" ref="S122" ca="1">IF(OR(Formulas!T119=0,Formulas!T119="",RIGHT(Formulas!U119)="0"),"",
HYPERLINK("["&amp;Archivo_Nombre&amp;"]Datos!"&amp;LEFT(SUBSTITUTE(ADDRESS(1,RIGHT(Formulas!U119)+2),"$",""))&amp;Formulas!S119+1,
IFERROR(INDEX(Datos!$A$2:$L$101,Formulas!S119,RIGHT(Formulas!U119)+2),"")))</f>
        <v>2 días</v>
      </c>
      <c r="T122" s="107" t="e" cm="1">
        <f t="array" aca="1" ref="T122" ca="1">IF(OR(Formulas!U120=0,Formulas!U120=""),"",HYPERLINK("["&amp;Archivo_Nombre&amp;"]Datos!"&amp;LEFT(SUBSTITUTE(ADDRESS(1,Formulas!U120+2),"$",""))&amp;Formulas!T120+1,
IFERROR(INDEX(Datos!$A$2:$L$101,Formulas!T120,Formulas!U120+2),"")))</f>
        <v>#VALUE!</v>
      </c>
      <c r="U122" s="5"/>
      <c r="V122" s="6"/>
      <c r="W122" s="24" t="str" cm="1">
        <f t="array" aca="1" ref="W122" ca="1">IF(OR(Formulas!Y119=0,Formulas!Y119="",RIGHT(Formulas!Z119)="0"),"",
HYPERLINK("["&amp;Archivo_Nombre&amp;"]Datos!"&amp;LEFT(SUBSTITUTE(ADDRESS(1,IF(Formulas!Y119=1,1,RIGHT(Formulas!Z119)+2)),"$",""))&amp;Formulas!X119+1,
IFERROR(INDEX(Datos!$A$1:$L$1,1,RIGHT(Formulas!Z119)+2)&amp;IF(Formulas!Y119=1," "&amp;Formulas!X119,"")&amp;":","")))</f>
        <v/>
      </c>
      <c r="X122" s="107" t="str" cm="1">
        <f t="array" aca="1" ref="X122" ca="1">IF(OR(Formulas!Y119=0,Formulas!Y119="",RIGHT(Formulas!Z119)="0"),"",
HYPERLINK("["&amp;Archivo_Nombre&amp;"]Datos!"&amp;LEFT(SUBSTITUTE(ADDRESS(1,RIGHT(Formulas!Z119)+2),"$",""))&amp;Formulas!X119+1,
IFERROR(INDEX(Datos!$A$2:$L$101,Formulas!X119,RIGHT(Formulas!Z119)+2),"")))</f>
        <v/>
      </c>
      <c r="Y122" s="107" t="str" cm="1">
        <f t="array" aca="1" ref="Y122" ca="1">IF(OR(Formulas!Z120=0,Formulas!Z120=""),"",HYPERLINK("["&amp;Archivo_Nombre&amp;"]Datos!"&amp;LEFT(SUBSTITUTE(ADDRESS(1,Formulas!Z120+2),"$",""))&amp;Formulas!Y120+1,
IFERROR(INDEX(Datos!$A$2:$L$101,Formulas!Y120,Formulas!Z120+2),"")))</f>
        <v/>
      </c>
      <c r="Z122" s="13"/>
      <c r="AA122" s="6"/>
      <c r="AB122" s="24" t="str" cm="1">
        <f t="array" aca="1" ref="AB122" ca="1">IF(OR(Formulas!AD119=0,Formulas!AD119="",RIGHT(Formulas!AE119)="0"),"",
HYPERLINK("["&amp;Archivo_Nombre&amp;"]Datos!"&amp;LEFT(SUBSTITUTE(ADDRESS(1,IF(Formulas!AD119=1,1,RIGHT(Formulas!AE119)+2)),"$",""))&amp;Formulas!AC119+1,
IFERROR(INDEX(Datos!$A$1:$L$1,1,RIGHT(Formulas!AE119)+2)&amp;IF(Formulas!AD119=1," "&amp;Formulas!AC119,"")&amp;":","")))</f>
        <v/>
      </c>
      <c r="AC122" s="107" t="str" cm="1">
        <f t="array" aca="1" ref="AC122" ca="1">IF(OR(Formulas!AD119=0,Formulas!AD119="",RIGHT(Formulas!AE119)="0"),"",
HYPERLINK("["&amp;Archivo_Nombre&amp;"]Datos!"&amp;LEFT(SUBSTITUTE(ADDRESS(1,RIGHT(Formulas!AE119)+2),"$",""))&amp;Formulas!AC119+1,
IFERROR(INDEX(Datos!$A$2:$L$101,Formulas!AC119,RIGHT(Formulas!AE119)+2),"")))</f>
        <v/>
      </c>
      <c r="AD122" s="107" t="str" cm="1">
        <f t="array" aca="1" ref="AD122" ca="1">IF(OR(Formulas!AE120=0,Formulas!AE120=""),"",HYPERLINK("["&amp;Archivo_Nombre&amp;"]Datos!"&amp;LEFT(SUBSTITUTE(ADDRESS(1,Formulas!AE120+2),"$",""))&amp;Formulas!AD120+1,
IFERROR(INDEX(Datos!$A$2:$L$101,Formulas!AD120,Formulas!AE120+2),"")))</f>
        <v/>
      </c>
      <c r="AE122" s="13"/>
      <c r="AF122" s="6"/>
      <c r="AG122" s="24" t="str" cm="1">
        <f t="array" aca="1" ref="AG122" ca="1">IF(OR(Formulas!AI119=0,Formulas!AI119="",RIGHT(Formulas!AJ119)="0"),"",
HYPERLINK("["&amp;Archivo_Nombre&amp;"]Datos!"&amp;LEFT(SUBSTITUTE(ADDRESS(1,IF(Formulas!AI119=1,1,RIGHT(Formulas!AJ119)+2)),"$",""))&amp;Formulas!AH119+1,
IFERROR(INDEX(Datos!$A$1:$L$1,1,RIGHT(Formulas!AJ119)+2)&amp;IF(Formulas!AI119=1," "&amp;Formulas!AH119,"")&amp;":","")))</f>
        <v/>
      </c>
      <c r="AH122" s="107" t="str" cm="1">
        <f t="array" aca="1" ref="AH122" ca="1">IF(OR(Formulas!AI119=0,Formulas!AI119="",RIGHT(Formulas!AJ119)="0"),"",
HYPERLINK("["&amp;Archivo_Nombre&amp;"]Datos!"&amp;LEFT(SUBSTITUTE(ADDRESS(1,RIGHT(Formulas!AJ119)+2),"$",""))&amp;Formulas!AH119+1,
IFERROR(INDEX(Datos!$A$2:$L$101,Formulas!AH119,RIGHT(Formulas!AJ119)+2),"")))</f>
        <v/>
      </c>
      <c r="AI122" s="107" t="str" cm="1">
        <f t="array" aca="1" ref="AI122" ca="1">IF(OR(Formulas!AJ120=0,Formulas!AJ120=""),"",HYPERLINK("["&amp;Archivo_Nombre&amp;"]Datos!"&amp;LEFT(SUBSTITUTE(ADDRESS(1,Formulas!AJ120+2),"$",""))&amp;Formulas!AI120+1,
IFERROR(INDEX(Datos!$A$2:$L$101,Formulas!AI120,Formulas!AJ120+2),"")))</f>
        <v/>
      </c>
      <c r="AJ122" s="13"/>
      <c r="AK122" s="6"/>
      <c r="AL122" s="24" t="str" cm="1">
        <f t="array" aca="1" ref="AL122" ca="1">IF(OR(Formulas!AN119=0,Formulas!AN119="",RIGHT(Formulas!AO119)="0"),"",
HYPERLINK("["&amp;Archivo_Nombre&amp;"]Datos!"&amp;LEFT(SUBSTITUTE(ADDRESS(1,IF(Formulas!AN119=1,1,RIGHT(Formulas!AO119)+2)),"$",""))&amp;Formulas!AM119+1,
IFERROR(INDEX(Datos!$A$1:$L$1,1,RIGHT(Formulas!AO119)+2)&amp;IF(Formulas!AN119=1," "&amp;Formulas!AM119,"")&amp;":","")))</f>
        <v/>
      </c>
      <c r="AM122" s="107" t="str" cm="1">
        <f t="array" aca="1" ref="AM122" ca="1">IF(OR(Formulas!AN119=0,Formulas!AN119="",RIGHT(Formulas!AO119)="0"),"",
HYPERLINK("["&amp;Archivo_Nombre&amp;"]Datos!"&amp;LEFT(SUBSTITUTE(ADDRESS(1,RIGHT(Formulas!AO119)+2),"$",""))&amp;Formulas!AM119+1,
IFERROR(INDEX(Datos!$A$2:$L$101,Formulas!AM119,RIGHT(Formulas!AO119)+2),"")))</f>
        <v/>
      </c>
      <c r="AN122" s="107" t="str" cm="1">
        <f t="array" aca="1" ref="AN122" ca="1">IF(OR(Formulas!AO120=0,Formulas!AO120=""),"",HYPERLINK("["&amp;Archivo_Nombre&amp;"]Datos!"&amp;LEFT(SUBSTITUTE(ADDRESS(1,Formulas!AO120+2),"$",""))&amp;Formulas!AN120+1,
IFERROR(INDEX(Datos!$A$2:$L$101,Formulas!AN120,Formulas!AO120+2),"")))</f>
        <v/>
      </c>
      <c r="AO122" s="13"/>
      <c r="AP122" s="6"/>
      <c r="AQ122" s="24" t="str" cm="1">
        <f t="array" aca="1" ref="AQ122" ca="1">IF(OR(Formulas!AS119=0,Formulas!AS119="",RIGHT(Formulas!AT119)="0"),"",
HYPERLINK("["&amp;Archivo_Nombre&amp;"]Datos!"&amp;LEFT(SUBSTITUTE(ADDRESS(1,IF(Formulas!AS119=1,1,RIGHT(Formulas!AT119)+2)),"$",""))&amp;Formulas!AR119+1,
IFERROR(INDEX(Datos!$A$1:$L$1,1,RIGHT(Formulas!AT119)+2)&amp;IF(Formulas!AS119=1," "&amp;Formulas!AR119,"")&amp;":","")))</f>
        <v/>
      </c>
      <c r="AR122" s="107" t="str" cm="1">
        <f t="array" aca="1" ref="AR122" ca="1">IF(OR(Formulas!AS119=0,Formulas!AS119="",RIGHT(Formulas!AT119)="0"),"",
HYPERLINK("["&amp;Archivo_Nombre&amp;"]Datos!"&amp;LEFT(SUBSTITUTE(ADDRESS(1,RIGHT(Formulas!AT119)+2),"$",""))&amp;Formulas!AR119+1,
IFERROR(INDEX(Datos!$A$2:$L$101,Formulas!AR119,RIGHT(Formulas!AT119)+2),"")))</f>
        <v/>
      </c>
      <c r="AS122" s="107" t="str" cm="1">
        <f t="array" aca="1" ref="AS122" ca="1">IF(OR(Formulas!AT120=0,Formulas!AT120=""),"",HYPERLINK("["&amp;Archivo_Nombre&amp;"]Datos!"&amp;LEFT(SUBSTITUTE(ADDRESS(1,Formulas!AT120+2),"$",""))&amp;Formulas!AS120+1,
IFERROR(INDEX(Datos!$A$2:$L$101,Formulas!AS120,Formulas!AT120+2),"")))</f>
        <v/>
      </c>
      <c r="AT122" s="13"/>
      <c r="AU122" s="6"/>
      <c r="AV122" s="24" t="str" cm="1">
        <f t="array" aca="1" ref="AV122" ca="1">IF(OR(Formulas!AX119=0,Formulas!AX119="",RIGHT(Formulas!AY119)="0"),"",
HYPERLINK("["&amp;Archivo_Nombre&amp;"]Datos!"&amp;LEFT(SUBSTITUTE(ADDRESS(1,IF(Formulas!AX119=1,1,RIGHT(Formulas!AY119)+2)),"$",""))&amp;Formulas!AW119+1,
IFERROR(INDEX(Datos!$A$1:$L$1,1,RIGHT(Formulas!AY119)+2)&amp;IF(Formulas!AX119=1," "&amp;Formulas!AW119,"")&amp;":","")))</f>
        <v/>
      </c>
      <c r="AW122" s="107" t="str" cm="1">
        <f t="array" aca="1" ref="AW122" ca="1">IF(OR(Formulas!AX119=0,Formulas!AX119="",RIGHT(Formulas!AY119)="0"),"",
HYPERLINK("["&amp;Archivo_Nombre&amp;"]Datos!"&amp;LEFT(SUBSTITUTE(ADDRESS(1,RIGHT(Formulas!AY119)+2),"$",""))&amp;Formulas!AW119+1,
IFERROR(INDEX(Datos!$A$2:$L$101,Formulas!AW119,RIGHT(Formulas!AY119)+2),"")))</f>
        <v/>
      </c>
      <c r="AX122" s="107" t="str" cm="1">
        <f t="array" aca="1" ref="AX122" ca="1">IF(OR(Formulas!AY120=0,Formulas!AY120=""),"",HYPERLINK("["&amp;Archivo_Nombre&amp;"]Datos!"&amp;LEFT(SUBSTITUTE(ADDRESS(1,Formulas!AY120+2),"$",""))&amp;Formulas!AX120+1,
IFERROR(INDEX(Datos!$A$2:$L$101,Formulas!AX120,Formulas!AY120+2),"")))</f>
        <v/>
      </c>
      <c r="AY122" s="13"/>
    </row>
    <row r="123" spans="2:51" x14ac:dyDescent="0.25">
      <c r="B123" s="11"/>
      <c r="C123" s="24" t="str" cm="1">
        <f t="array" aca="1" ref="C123" ca="1">IF(OR(Formulas!E120=0,Formulas!E120="",RIGHT(Formulas!F120)="0"),"",
HYPERLINK("["&amp;Archivo_Nombre&amp;"]Datos!"&amp;LEFT(SUBSTITUTE(ADDRESS(1,IF(Formulas!E120=1,1,RIGHT(Formulas!F120)+2)),"$",""))&amp;Formulas!D120+1,
IFERROR(INDEX(Datos!$A$1:$L$1,1,RIGHT(Formulas!F120)+2)&amp;IF(Formulas!E120=1," "&amp;Formulas!D120,"")&amp;":","")))</f>
        <v/>
      </c>
      <c r="D123" s="107" t="str" cm="1">
        <f t="array" aca="1" ref="D123" ca="1">IF(OR(Formulas!E120=0,Formulas!E120="",RIGHT(Formulas!F120)="0"),"",
HYPERLINK("["&amp;Archivo_Nombre&amp;"]Datos!"&amp;LEFT(SUBSTITUTE(ADDRESS(1,RIGHT(Formulas!F120)+2),"$",""))&amp;Formulas!D120+1,
IFERROR(INDEX(Datos!$A$2:$L$101,Formulas!D120,RIGHT(Formulas!F120)+2),"")))</f>
        <v/>
      </c>
      <c r="E123" s="107" t="str" cm="1">
        <f t="array" aca="1" ref="E123" ca="1">IF(OR(Formulas!F121=0,Formulas!F121=""),"",HYPERLINK("["&amp;Archivo_Nombre&amp;"]Datos!"&amp;LEFT(SUBSTITUTE(ADDRESS(1,Formulas!F121+2),"$",""))&amp;Formulas!E121+1,
IFERROR(INDEX(Datos!$A$2:$L$101,Formulas!E121,Formulas!F121+2),"")))</f>
        <v/>
      </c>
      <c r="F123" s="5"/>
      <c r="G123" s="6"/>
      <c r="H123" s="24" t="str" cm="1">
        <f t="array" aca="1" ref="H123" ca="1">IF(OR(Formulas!J120=0,Formulas!J120="",RIGHT(Formulas!K120)="0"),"",
HYPERLINK("["&amp;Archivo_Nombre&amp;"]Datos!"&amp;LEFT(SUBSTITUTE(ADDRESS(1,IF(Formulas!J120=1,1,RIGHT(Formulas!K120)+2)),"$",""))&amp;Formulas!I120+1,
IFERROR(INDEX(Datos!$A$1:$L$1,1,RIGHT(Formulas!K120)+2)&amp;IF(Formulas!J120=1," "&amp;Formulas!I120,"")&amp;":","")))</f>
        <v/>
      </c>
      <c r="I123" s="107" t="str" cm="1">
        <f t="array" aca="1" ref="I123" ca="1">IF(OR(Formulas!J120=0,Formulas!J120="",RIGHT(Formulas!K120)="0"),"",
HYPERLINK("["&amp;Archivo_Nombre&amp;"]Datos!"&amp;LEFT(SUBSTITUTE(ADDRESS(1,RIGHT(Formulas!K120)+2),"$",""))&amp;Formulas!I120+1,
IFERROR(INDEX(Datos!$A$2:$L$101,Formulas!I120,RIGHT(Formulas!K120)+2),"")))</f>
        <v/>
      </c>
      <c r="J123" s="107" t="str" cm="1">
        <f t="array" aca="1" ref="J123" ca="1">IF(OR(Formulas!K121=0,Formulas!K121=""),"",HYPERLINK("["&amp;Archivo_Nombre&amp;"]Datos!"&amp;LEFT(SUBSTITUTE(ADDRESS(1,Formulas!K121+2),"$",""))&amp;Formulas!J121+1,
IFERROR(INDEX(Datos!$A$2:$L$101,Formulas!J121,Formulas!K121+2),"")))</f>
        <v/>
      </c>
      <c r="K123" s="5"/>
      <c r="L123" s="6"/>
      <c r="M123" s="24" t="str" cm="1">
        <f t="array" aca="1" ref="M123" ca="1">IF(OR(Formulas!O120=0,Formulas!O120="",RIGHT(Formulas!P120)="0"),"",
HYPERLINK("["&amp;Archivo_Nombre&amp;"]Datos!"&amp;LEFT(SUBSTITUTE(ADDRESS(1,IF(Formulas!O120=1,1,RIGHT(Formulas!P120)+2)),"$",""))&amp;Formulas!N120+1,
IFERROR(INDEX(Datos!$A$1:$L$1,1,RIGHT(Formulas!P120)+2)&amp;IF(Formulas!O120=1," "&amp;Formulas!N120,"")&amp;":","")))</f>
        <v/>
      </c>
      <c r="N123" s="107" t="str" cm="1">
        <f t="array" aca="1" ref="N123" ca="1">IF(OR(Formulas!O120=0,Formulas!O120="",RIGHT(Formulas!P120)="0"),"",
HYPERLINK("["&amp;Archivo_Nombre&amp;"]Datos!"&amp;LEFT(SUBSTITUTE(ADDRESS(1,RIGHT(Formulas!P120)+2),"$",""))&amp;Formulas!N120+1,
IFERROR(INDEX(Datos!$A$2:$L$101,Formulas!N120,RIGHT(Formulas!P120)+2),"")))</f>
        <v/>
      </c>
      <c r="O123" s="107" t="str" cm="1">
        <f t="array" aca="1" ref="O123" ca="1">IF(OR(Formulas!P121=0,Formulas!P121=""),"",HYPERLINK("["&amp;Archivo_Nombre&amp;"]Datos!"&amp;LEFT(SUBSTITUTE(ADDRESS(1,Formulas!P121+2),"$",""))&amp;Formulas!O121+1,
IFERROR(INDEX(Datos!$A$2:$L$101,Formulas!O121,Formulas!P121+2),"")))</f>
        <v/>
      </c>
      <c r="P123" s="5"/>
      <c r="Q123" s="6"/>
      <c r="R123" s="24" t="str" cm="1">
        <f t="array" aca="1" ref="R123" ca="1">IF(OR(Formulas!T120=0,Formulas!T120="",RIGHT(Formulas!U120)="0"),"",
HYPERLINK("["&amp;Archivo_Nombre&amp;"]Datos!"&amp;LEFT(SUBSTITUTE(ADDRESS(1,IF(Formulas!T120=1,1,RIGHT(Formulas!U120)+2)),"$",""))&amp;Formulas!S120+1,
IFERROR(INDEX(Datos!$A$1:$L$1,1,RIGHT(Formulas!U120)+2)&amp;IF(Formulas!T120=1," "&amp;Formulas!S120,"")&amp;":","")))</f>
        <v>Retraso:</v>
      </c>
      <c r="S123" s="107" t="str" cm="1">
        <f t="array" aca="1" ref="S123" ca="1">IF(OR(Formulas!T120=0,Formulas!T120="",RIGHT(Formulas!U120)="0"),"",
HYPERLINK("["&amp;Archivo_Nombre&amp;"]Datos!"&amp;LEFT(SUBSTITUTE(ADDRESS(1,RIGHT(Formulas!U120)+2),"$",""))&amp;Formulas!S120+1,
IFERROR(INDEX(Datos!$A$2:$L$101,Formulas!S120,RIGHT(Formulas!U120)+2),"")))</f>
        <v>0 días</v>
      </c>
      <c r="T123" s="107" t="e" cm="1">
        <f t="array" aca="1" ref="T123" ca="1">IF(OR(Formulas!U121=0,Formulas!U121=""),"",HYPERLINK("["&amp;Archivo_Nombre&amp;"]Datos!"&amp;LEFT(SUBSTITUTE(ADDRESS(1,Formulas!U121+2),"$",""))&amp;Formulas!T121+1,
IFERROR(INDEX(Datos!$A$2:$L$101,Formulas!T121,Formulas!U121+2),"")))</f>
        <v>#VALUE!</v>
      </c>
      <c r="U123" s="5"/>
      <c r="V123" s="6"/>
      <c r="W123" s="24" t="str" cm="1">
        <f t="array" aca="1" ref="W123" ca="1">IF(OR(Formulas!Y120=0,Formulas!Y120="",RIGHT(Formulas!Z120)="0"),"",
HYPERLINK("["&amp;Archivo_Nombre&amp;"]Datos!"&amp;LEFT(SUBSTITUTE(ADDRESS(1,IF(Formulas!Y120=1,1,RIGHT(Formulas!Z120)+2)),"$",""))&amp;Formulas!X120+1,
IFERROR(INDEX(Datos!$A$1:$L$1,1,RIGHT(Formulas!Z120)+2)&amp;IF(Formulas!Y120=1," "&amp;Formulas!X120,"")&amp;":","")))</f>
        <v/>
      </c>
      <c r="X123" s="107" t="str" cm="1">
        <f t="array" aca="1" ref="X123" ca="1">IF(OR(Formulas!Y120=0,Formulas!Y120="",RIGHT(Formulas!Z120)="0"),"",
HYPERLINK("["&amp;Archivo_Nombre&amp;"]Datos!"&amp;LEFT(SUBSTITUTE(ADDRESS(1,RIGHT(Formulas!Z120)+2),"$",""))&amp;Formulas!X120+1,
IFERROR(INDEX(Datos!$A$2:$L$101,Formulas!X120,RIGHT(Formulas!Z120)+2),"")))</f>
        <v/>
      </c>
      <c r="Y123" s="107" t="str" cm="1">
        <f t="array" aca="1" ref="Y123" ca="1">IF(OR(Formulas!Z121=0,Formulas!Z121=""),"",HYPERLINK("["&amp;Archivo_Nombre&amp;"]Datos!"&amp;LEFT(SUBSTITUTE(ADDRESS(1,Formulas!Z121+2),"$",""))&amp;Formulas!Y121+1,
IFERROR(INDEX(Datos!$A$2:$L$101,Formulas!Y121,Formulas!Z121+2),"")))</f>
        <v/>
      </c>
      <c r="Z123" s="13"/>
      <c r="AA123" s="6"/>
      <c r="AB123" s="24" t="str" cm="1">
        <f t="array" aca="1" ref="AB123" ca="1">IF(OR(Formulas!AD120=0,Formulas!AD120="",RIGHT(Formulas!AE120)="0"),"",
HYPERLINK("["&amp;Archivo_Nombre&amp;"]Datos!"&amp;LEFT(SUBSTITUTE(ADDRESS(1,IF(Formulas!AD120=1,1,RIGHT(Formulas!AE120)+2)),"$",""))&amp;Formulas!AC120+1,
IFERROR(INDEX(Datos!$A$1:$L$1,1,RIGHT(Formulas!AE120)+2)&amp;IF(Formulas!AD120=1," "&amp;Formulas!AC120,"")&amp;":","")))</f>
        <v/>
      </c>
      <c r="AC123" s="107" t="str" cm="1">
        <f t="array" aca="1" ref="AC123" ca="1">IF(OR(Formulas!AD120=0,Formulas!AD120="",RIGHT(Formulas!AE120)="0"),"",
HYPERLINK("["&amp;Archivo_Nombre&amp;"]Datos!"&amp;LEFT(SUBSTITUTE(ADDRESS(1,RIGHT(Formulas!AE120)+2),"$",""))&amp;Formulas!AC120+1,
IFERROR(INDEX(Datos!$A$2:$L$101,Formulas!AC120,RIGHT(Formulas!AE120)+2),"")))</f>
        <v/>
      </c>
      <c r="AD123" s="107" t="str" cm="1">
        <f t="array" aca="1" ref="AD123" ca="1">IF(OR(Formulas!AE121=0,Formulas!AE121=""),"",HYPERLINK("["&amp;Archivo_Nombre&amp;"]Datos!"&amp;LEFT(SUBSTITUTE(ADDRESS(1,Formulas!AE121+2),"$",""))&amp;Formulas!AD121+1,
IFERROR(INDEX(Datos!$A$2:$L$101,Formulas!AD121,Formulas!AE121+2),"")))</f>
        <v/>
      </c>
      <c r="AE123" s="13"/>
      <c r="AF123" s="6"/>
      <c r="AG123" s="24" t="str" cm="1">
        <f t="array" aca="1" ref="AG123" ca="1">IF(OR(Formulas!AI120=0,Formulas!AI120="",RIGHT(Formulas!AJ120)="0"),"",
HYPERLINK("["&amp;Archivo_Nombre&amp;"]Datos!"&amp;LEFT(SUBSTITUTE(ADDRESS(1,IF(Formulas!AI120=1,1,RIGHT(Formulas!AJ120)+2)),"$",""))&amp;Formulas!AH120+1,
IFERROR(INDEX(Datos!$A$1:$L$1,1,RIGHT(Formulas!AJ120)+2)&amp;IF(Formulas!AI120=1," "&amp;Formulas!AH120,"")&amp;":","")))</f>
        <v/>
      </c>
      <c r="AH123" s="107" t="str" cm="1">
        <f t="array" aca="1" ref="AH123" ca="1">IF(OR(Formulas!AI120=0,Formulas!AI120="",RIGHT(Formulas!AJ120)="0"),"",
HYPERLINK("["&amp;Archivo_Nombre&amp;"]Datos!"&amp;LEFT(SUBSTITUTE(ADDRESS(1,RIGHT(Formulas!AJ120)+2),"$",""))&amp;Formulas!AH120+1,
IFERROR(INDEX(Datos!$A$2:$L$101,Formulas!AH120,RIGHT(Formulas!AJ120)+2),"")))</f>
        <v/>
      </c>
      <c r="AI123" s="107" t="str" cm="1">
        <f t="array" aca="1" ref="AI123" ca="1">IF(OR(Formulas!AJ121=0,Formulas!AJ121=""),"",HYPERLINK("["&amp;Archivo_Nombre&amp;"]Datos!"&amp;LEFT(SUBSTITUTE(ADDRESS(1,Formulas!AJ121+2),"$",""))&amp;Formulas!AI121+1,
IFERROR(INDEX(Datos!$A$2:$L$101,Formulas!AI121,Formulas!AJ121+2),"")))</f>
        <v/>
      </c>
      <c r="AJ123" s="13"/>
      <c r="AK123" s="6"/>
      <c r="AL123" s="24" t="str" cm="1">
        <f t="array" aca="1" ref="AL123" ca="1">IF(OR(Formulas!AN120=0,Formulas!AN120="",RIGHT(Formulas!AO120)="0"),"",
HYPERLINK("["&amp;Archivo_Nombre&amp;"]Datos!"&amp;LEFT(SUBSTITUTE(ADDRESS(1,IF(Formulas!AN120=1,1,RIGHT(Formulas!AO120)+2)),"$",""))&amp;Formulas!AM120+1,
IFERROR(INDEX(Datos!$A$1:$L$1,1,RIGHT(Formulas!AO120)+2)&amp;IF(Formulas!AN120=1," "&amp;Formulas!AM120,"")&amp;":","")))</f>
        <v/>
      </c>
      <c r="AM123" s="107" t="str" cm="1">
        <f t="array" aca="1" ref="AM123" ca="1">IF(OR(Formulas!AN120=0,Formulas!AN120="",RIGHT(Formulas!AO120)="0"),"",
HYPERLINK("["&amp;Archivo_Nombre&amp;"]Datos!"&amp;LEFT(SUBSTITUTE(ADDRESS(1,RIGHT(Formulas!AO120)+2),"$",""))&amp;Formulas!AM120+1,
IFERROR(INDEX(Datos!$A$2:$L$101,Formulas!AM120,RIGHT(Formulas!AO120)+2),"")))</f>
        <v/>
      </c>
      <c r="AN123" s="107" t="str" cm="1">
        <f t="array" aca="1" ref="AN123" ca="1">IF(OR(Formulas!AO121=0,Formulas!AO121=""),"",HYPERLINK("["&amp;Archivo_Nombre&amp;"]Datos!"&amp;LEFT(SUBSTITUTE(ADDRESS(1,Formulas!AO121+2),"$",""))&amp;Formulas!AN121+1,
IFERROR(INDEX(Datos!$A$2:$L$101,Formulas!AN121,Formulas!AO121+2),"")))</f>
        <v/>
      </c>
      <c r="AO123" s="13"/>
      <c r="AP123" s="6"/>
      <c r="AQ123" s="24" t="str" cm="1">
        <f t="array" aca="1" ref="AQ123" ca="1">IF(OR(Formulas!AS120=0,Formulas!AS120="",RIGHT(Formulas!AT120)="0"),"",
HYPERLINK("["&amp;Archivo_Nombre&amp;"]Datos!"&amp;LEFT(SUBSTITUTE(ADDRESS(1,IF(Formulas!AS120=1,1,RIGHT(Formulas!AT120)+2)),"$",""))&amp;Formulas!AR120+1,
IFERROR(INDEX(Datos!$A$1:$L$1,1,RIGHT(Formulas!AT120)+2)&amp;IF(Formulas!AS120=1," "&amp;Formulas!AR120,"")&amp;":","")))</f>
        <v/>
      </c>
      <c r="AR123" s="107" t="str" cm="1">
        <f t="array" aca="1" ref="AR123" ca="1">IF(OR(Formulas!AS120=0,Formulas!AS120="",RIGHT(Formulas!AT120)="0"),"",
HYPERLINK("["&amp;Archivo_Nombre&amp;"]Datos!"&amp;LEFT(SUBSTITUTE(ADDRESS(1,RIGHT(Formulas!AT120)+2),"$",""))&amp;Formulas!AR120+1,
IFERROR(INDEX(Datos!$A$2:$L$101,Formulas!AR120,RIGHT(Formulas!AT120)+2),"")))</f>
        <v/>
      </c>
      <c r="AS123" s="107" t="str" cm="1">
        <f t="array" aca="1" ref="AS123" ca="1">IF(OR(Formulas!AT121=0,Formulas!AT121=""),"",HYPERLINK("["&amp;Archivo_Nombre&amp;"]Datos!"&amp;LEFT(SUBSTITUTE(ADDRESS(1,Formulas!AT121+2),"$",""))&amp;Formulas!AS121+1,
IFERROR(INDEX(Datos!$A$2:$L$101,Formulas!AS121,Formulas!AT121+2),"")))</f>
        <v/>
      </c>
      <c r="AT123" s="13"/>
      <c r="AU123" s="6"/>
      <c r="AV123" s="24" t="str" cm="1">
        <f t="array" aca="1" ref="AV123" ca="1">IF(OR(Formulas!AX120=0,Formulas!AX120="",RIGHT(Formulas!AY120)="0"),"",
HYPERLINK("["&amp;Archivo_Nombre&amp;"]Datos!"&amp;LEFT(SUBSTITUTE(ADDRESS(1,IF(Formulas!AX120=1,1,RIGHT(Formulas!AY120)+2)),"$",""))&amp;Formulas!AW120+1,
IFERROR(INDEX(Datos!$A$1:$L$1,1,RIGHT(Formulas!AY120)+2)&amp;IF(Formulas!AX120=1," "&amp;Formulas!AW120,"")&amp;":","")))</f>
        <v/>
      </c>
      <c r="AW123" s="107" t="str" cm="1">
        <f t="array" aca="1" ref="AW123" ca="1">IF(OR(Formulas!AX120=0,Formulas!AX120="",RIGHT(Formulas!AY120)="0"),"",
HYPERLINK("["&amp;Archivo_Nombre&amp;"]Datos!"&amp;LEFT(SUBSTITUTE(ADDRESS(1,RIGHT(Formulas!AY120)+2),"$",""))&amp;Formulas!AW120+1,
IFERROR(INDEX(Datos!$A$2:$L$101,Formulas!AW120,RIGHT(Formulas!AY120)+2),"")))</f>
        <v/>
      </c>
      <c r="AX123" s="107" t="str" cm="1">
        <f t="array" aca="1" ref="AX123" ca="1">IF(OR(Formulas!AY121=0,Formulas!AY121=""),"",HYPERLINK("["&amp;Archivo_Nombre&amp;"]Datos!"&amp;LEFT(SUBSTITUTE(ADDRESS(1,Formulas!AY121+2),"$",""))&amp;Formulas!AX121+1,
IFERROR(INDEX(Datos!$A$2:$L$101,Formulas!AX121,Formulas!AY121+2),"")))</f>
        <v/>
      </c>
      <c r="AY123" s="13"/>
    </row>
    <row r="124" spans="2:51" x14ac:dyDescent="0.25">
      <c r="B124" s="11"/>
      <c r="C124" s="24" t="str" cm="1">
        <f t="array" aca="1" ref="C124" ca="1">IF(OR(Formulas!E121=0,Formulas!E121="",RIGHT(Formulas!F121)="0"),"",
HYPERLINK("["&amp;Archivo_Nombre&amp;"]Datos!"&amp;LEFT(SUBSTITUTE(ADDRESS(1,IF(Formulas!E121=1,1,RIGHT(Formulas!F121)+2)),"$",""))&amp;Formulas!D121+1,
IFERROR(INDEX(Datos!$A$1:$L$1,1,RIGHT(Formulas!F121)+2)&amp;IF(Formulas!E121=1," "&amp;Formulas!D121,"")&amp;":","")))</f>
        <v/>
      </c>
      <c r="D124" s="107" t="str" cm="1">
        <f t="array" aca="1" ref="D124" ca="1">IF(OR(Formulas!E121=0,Formulas!E121="",RIGHT(Formulas!F121)="0"),"",
HYPERLINK("["&amp;Archivo_Nombre&amp;"]Datos!"&amp;LEFT(SUBSTITUTE(ADDRESS(1,RIGHT(Formulas!F121)+2),"$",""))&amp;Formulas!D121+1,
IFERROR(INDEX(Datos!$A$2:$L$101,Formulas!D121,RIGHT(Formulas!F121)+2),"")))</f>
        <v/>
      </c>
      <c r="E124" s="107" t="str" cm="1">
        <f t="array" aca="1" ref="E124" ca="1">IF(OR(Formulas!F122=0,Formulas!F122=""),"",HYPERLINK("["&amp;Archivo_Nombre&amp;"]Datos!"&amp;LEFT(SUBSTITUTE(ADDRESS(1,Formulas!F122+2),"$",""))&amp;Formulas!E122+1,
IFERROR(INDEX(Datos!$A$2:$L$101,Formulas!E122,Formulas!F122+2),"")))</f>
        <v/>
      </c>
      <c r="F124" s="5"/>
      <c r="G124" s="6"/>
      <c r="H124" s="24" t="str" cm="1">
        <f t="array" aca="1" ref="H124" ca="1">IF(OR(Formulas!J121=0,Formulas!J121="",RIGHT(Formulas!K121)="0"),"",
HYPERLINK("["&amp;Archivo_Nombre&amp;"]Datos!"&amp;LEFT(SUBSTITUTE(ADDRESS(1,IF(Formulas!J121=1,1,RIGHT(Formulas!K121)+2)),"$",""))&amp;Formulas!I121+1,
IFERROR(INDEX(Datos!$A$1:$L$1,1,RIGHT(Formulas!K121)+2)&amp;IF(Formulas!J121=1," "&amp;Formulas!I121,"")&amp;":","")))</f>
        <v/>
      </c>
      <c r="I124" s="107" t="str" cm="1">
        <f t="array" aca="1" ref="I124" ca="1">IF(OR(Formulas!J121=0,Formulas!J121="",RIGHT(Formulas!K121)="0"),"",
HYPERLINK("["&amp;Archivo_Nombre&amp;"]Datos!"&amp;LEFT(SUBSTITUTE(ADDRESS(1,RIGHT(Formulas!K121)+2),"$",""))&amp;Formulas!I121+1,
IFERROR(INDEX(Datos!$A$2:$L$101,Formulas!I121,RIGHT(Formulas!K121)+2),"")))</f>
        <v/>
      </c>
      <c r="J124" s="107" t="str" cm="1">
        <f t="array" aca="1" ref="J124" ca="1">IF(OR(Formulas!K122=0,Formulas!K122=""),"",HYPERLINK("["&amp;Archivo_Nombre&amp;"]Datos!"&amp;LEFT(SUBSTITUTE(ADDRESS(1,Formulas!K122+2),"$",""))&amp;Formulas!J122+1,
IFERROR(INDEX(Datos!$A$2:$L$101,Formulas!J122,Formulas!K122+2),"")))</f>
        <v/>
      </c>
      <c r="K124" s="5"/>
      <c r="L124" s="6"/>
      <c r="M124" s="24" t="str" cm="1">
        <f t="array" aca="1" ref="M124" ca="1">IF(OR(Formulas!O121=0,Formulas!O121="",RIGHT(Formulas!P121)="0"),"",
HYPERLINK("["&amp;Archivo_Nombre&amp;"]Datos!"&amp;LEFT(SUBSTITUTE(ADDRESS(1,IF(Formulas!O121=1,1,RIGHT(Formulas!P121)+2)),"$",""))&amp;Formulas!N121+1,
IFERROR(INDEX(Datos!$A$1:$L$1,1,RIGHT(Formulas!P121)+2)&amp;IF(Formulas!O121=1," "&amp;Formulas!N121,"")&amp;":","")))</f>
        <v/>
      </c>
      <c r="N124" s="107" t="str" cm="1">
        <f t="array" aca="1" ref="N124" ca="1">IF(OR(Formulas!O121=0,Formulas!O121="",RIGHT(Formulas!P121)="0"),"",
HYPERLINK("["&amp;Archivo_Nombre&amp;"]Datos!"&amp;LEFT(SUBSTITUTE(ADDRESS(1,RIGHT(Formulas!P121)+2),"$",""))&amp;Formulas!N121+1,
IFERROR(INDEX(Datos!$A$2:$L$101,Formulas!N121,RIGHT(Formulas!P121)+2),"")))</f>
        <v/>
      </c>
      <c r="O124" s="107" t="str" cm="1">
        <f t="array" aca="1" ref="O124" ca="1">IF(OR(Formulas!P122=0,Formulas!P122=""),"",HYPERLINK("["&amp;Archivo_Nombre&amp;"]Datos!"&amp;LEFT(SUBSTITUTE(ADDRESS(1,Formulas!P122+2),"$",""))&amp;Formulas!O122+1,
IFERROR(INDEX(Datos!$A$2:$L$101,Formulas!O122,Formulas!P122+2),"")))</f>
        <v/>
      </c>
      <c r="P124" s="5"/>
      <c r="Q124" s="6"/>
      <c r="R124" s="24" t="str" cm="1">
        <f t="array" aca="1" ref="R124" ca="1">IF(OR(Formulas!T121=0,Formulas!T121="",RIGHT(Formulas!U121)="0"),"",
HYPERLINK("["&amp;Archivo_Nombre&amp;"]Datos!"&amp;LEFT(SUBSTITUTE(ADDRESS(1,IF(Formulas!T121=1,1,RIGHT(Formulas!U121)+2)),"$",""))&amp;Formulas!S121+1,
IFERROR(INDEX(Datos!$A$1:$L$1,1,RIGHT(Formulas!U121)+2)&amp;IF(Formulas!T121=1," "&amp;Formulas!S121,"")&amp;":","")))</f>
        <v/>
      </c>
      <c r="S124" s="107" t="str" cm="1">
        <f t="array" aca="1" ref="S124" ca="1">IF(OR(Formulas!T121=0,Formulas!T121="",RIGHT(Formulas!U121)="0"),"",
HYPERLINK("["&amp;Archivo_Nombre&amp;"]Datos!"&amp;LEFT(SUBSTITUTE(ADDRESS(1,RIGHT(Formulas!U121)+2),"$",""))&amp;Formulas!S121+1,
IFERROR(INDEX(Datos!$A$2:$L$101,Formulas!S121,RIGHT(Formulas!U121)+2),"")))</f>
        <v/>
      </c>
      <c r="T124" s="107" t="str" cm="1">
        <f t="array" aca="1" ref="T124" ca="1">IF(OR(Formulas!U122=0,Formulas!U122=""),"",HYPERLINK("["&amp;Archivo_Nombre&amp;"]Datos!"&amp;LEFT(SUBSTITUTE(ADDRESS(1,Formulas!U122+2),"$",""))&amp;Formulas!T122+1,
IFERROR(INDEX(Datos!$A$2:$L$101,Formulas!T122,Formulas!U122+2),"")))</f>
        <v/>
      </c>
      <c r="U124" s="5"/>
      <c r="V124" s="6"/>
      <c r="W124" s="24" t="str" cm="1">
        <f t="array" aca="1" ref="W124" ca="1">IF(OR(Formulas!Y121=0,Formulas!Y121="",RIGHT(Formulas!Z121)="0"),"",
HYPERLINK("["&amp;Archivo_Nombre&amp;"]Datos!"&amp;LEFT(SUBSTITUTE(ADDRESS(1,IF(Formulas!Y121=1,1,RIGHT(Formulas!Z121)+2)),"$",""))&amp;Formulas!X121+1,
IFERROR(INDEX(Datos!$A$1:$L$1,1,RIGHT(Formulas!Z121)+2)&amp;IF(Formulas!Y121=1," "&amp;Formulas!X121,"")&amp;":","")))</f>
        <v/>
      </c>
      <c r="X124" s="107" t="str" cm="1">
        <f t="array" aca="1" ref="X124" ca="1">IF(OR(Formulas!Y121=0,Formulas!Y121="",RIGHT(Formulas!Z121)="0"),"",
HYPERLINK("["&amp;Archivo_Nombre&amp;"]Datos!"&amp;LEFT(SUBSTITUTE(ADDRESS(1,RIGHT(Formulas!Z121)+2),"$",""))&amp;Formulas!X121+1,
IFERROR(INDEX(Datos!$A$2:$L$101,Formulas!X121,RIGHT(Formulas!Z121)+2),"")))</f>
        <v/>
      </c>
      <c r="Y124" s="107" t="str" cm="1">
        <f t="array" aca="1" ref="Y124" ca="1">IF(OR(Formulas!Z122=0,Formulas!Z122=""),"",HYPERLINK("["&amp;Archivo_Nombre&amp;"]Datos!"&amp;LEFT(SUBSTITUTE(ADDRESS(1,Formulas!Z122+2),"$",""))&amp;Formulas!Y122+1,
IFERROR(INDEX(Datos!$A$2:$L$101,Formulas!Y122,Formulas!Z122+2),"")))</f>
        <v/>
      </c>
      <c r="Z124" s="13"/>
      <c r="AA124" s="6"/>
      <c r="AB124" s="24" t="str" cm="1">
        <f t="array" aca="1" ref="AB124" ca="1">IF(OR(Formulas!AD121=0,Formulas!AD121="",RIGHT(Formulas!AE121)="0"),"",
HYPERLINK("["&amp;Archivo_Nombre&amp;"]Datos!"&amp;LEFT(SUBSTITUTE(ADDRESS(1,IF(Formulas!AD121=1,1,RIGHT(Formulas!AE121)+2)),"$",""))&amp;Formulas!AC121+1,
IFERROR(INDEX(Datos!$A$1:$L$1,1,RIGHT(Formulas!AE121)+2)&amp;IF(Formulas!AD121=1," "&amp;Formulas!AC121,"")&amp;":","")))</f>
        <v/>
      </c>
      <c r="AC124" s="107" t="str" cm="1">
        <f t="array" aca="1" ref="AC124" ca="1">IF(OR(Formulas!AD121=0,Formulas!AD121="",RIGHT(Formulas!AE121)="0"),"",
HYPERLINK("["&amp;Archivo_Nombre&amp;"]Datos!"&amp;LEFT(SUBSTITUTE(ADDRESS(1,RIGHT(Formulas!AE121)+2),"$",""))&amp;Formulas!AC121+1,
IFERROR(INDEX(Datos!$A$2:$L$101,Formulas!AC121,RIGHT(Formulas!AE121)+2),"")))</f>
        <v/>
      </c>
      <c r="AD124" s="107" t="str" cm="1">
        <f t="array" aca="1" ref="AD124" ca="1">IF(OR(Formulas!AE122=0,Formulas!AE122=""),"",HYPERLINK("["&amp;Archivo_Nombre&amp;"]Datos!"&amp;LEFT(SUBSTITUTE(ADDRESS(1,Formulas!AE122+2),"$",""))&amp;Formulas!AD122+1,
IFERROR(INDEX(Datos!$A$2:$L$101,Formulas!AD122,Formulas!AE122+2),"")))</f>
        <v/>
      </c>
      <c r="AE124" s="13"/>
      <c r="AF124" s="6"/>
      <c r="AG124" s="24" t="str" cm="1">
        <f t="array" aca="1" ref="AG124" ca="1">IF(OR(Formulas!AI121=0,Formulas!AI121="",RIGHT(Formulas!AJ121)="0"),"",
HYPERLINK("["&amp;Archivo_Nombre&amp;"]Datos!"&amp;LEFT(SUBSTITUTE(ADDRESS(1,IF(Formulas!AI121=1,1,RIGHT(Formulas!AJ121)+2)),"$",""))&amp;Formulas!AH121+1,
IFERROR(INDEX(Datos!$A$1:$L$1,1,RIGHT(Formulas!AJ121)+2)&amp;IF(Formulas!AI121=1," "&amp;Formulas!AH121,"")&amp;":","")))</f>
        <v/>
      </c>
      <c r="AH124" s="107" t="str" cm="1">
        <f t="array" aca="1" ref="AH124" ca="1">IF(OR(Formulas!AI121=0,Formulas!AI121="",RIGHT(Formulas!AJ121)="0"),"",
HYPERLINK("["&amp;Archivo_Nombre&amp;"]Datos!"&amp;LEFT(SUBSTITUTE(ADDRESS(1,RIGHT(Formulas!AJ121)+2),"$",""))&amp;Formulas!AH121+1,
IFERROR(INDEX(Datos!$A$2:$L$101,Formulas!AH121,RIGHT(Formulas!AJ121)+2),"")))</f>
        <v/>
      </c>
      <c r="AI124" s="107" t="str" cm="1">
        <f t="array" aca="1" ref="AI124" ca="1">IF(OR(Formulas!AJ122=0,Formulas!AJ122=""),"",HYPERLINK("["&amp;Archivo_Nombre&amp;"]Datos!"&amp;LEFT(SUBSTITUTE(ADDRESS(1,Formulas!AJ122+2),"$",""))&amp;Formulas!AI122+1,
IFERROR(INDEX(Datos!$A$2:$L$101,Formulas!AI122,Formulas!AJ122+2),"")))</f>
        <v/>
      </c>
      <c r="AJ124" s="13"/>
      <c r="AK124" s="6"/>
      <c r="AL124" s="24" t="str" cm="1">
        <f t="array" aca="1" ref="AL124" ca="1">IF(OR(Formulas!AN121=0,Formulas!AN121="",RIGHT(Formulas!AO121)="0"),"",
HYPERLINK("["&amp;Archivo_Nombre&amp;"]Datos!"&amp;LEFT(SUBSTITUTE(ADDRESS(1,IF(Formulas!AN121=1,1,RIGHT(Formulas!AO121)+2)),"$",""))&amp;Formulas!AM121+1,
IFERROR(INDEX(Datos!$A$1:$L$1,1,RIGHT(Formulas!AO121)+2)&amp;IF(Formulas!AN121=1," "&amp;Formulas!AM121,"")&amp;":","")))</f>
        <v/>
      </c>
      <c r="AM124" s="107" t="str" cm="1">
        <f t="array" aca="1" ref="AM124" ca="1">IF(OR(Formulas!AN121=0,Formulas!AN121="",RIGHT(Formulas!AO121)="0"),"",
HYPERLINK("["&amp;Archivo_Nombre&amp;"]Datos!"&amp;LEFT(SUBSTITUTE(ADDRESS(1,RIGHT(Formulas!AO121)+2),"$",""))&amp;Formulas!AM121+1,
IFERROR(INDEX(Datos!$A$2:$L$101,Formulas!AM121,RIGHT(Formulas!AO121)+2),"")))</f>
        <v/>
      </c>
      <c r="AN124" s="107" t="str" cm="1">
        <f t="array" aca="1" ref="AN124" ca="1">IF(OR(Formulas!AO122=0,Formulas!AO122=""),"",HYPERLINK("["&amp;Archivo_Nombre&amp;"]Datos!"&amp;LEFT(SUBSTITUTE(ADDRESS(1,Formulas!AO122+2),"$",""))&amp;Formulas!AN122+1,
IFERROR(INDEX(Datos!$A$2:$L$101,Formulas!AN122,Formulas!AO122+2),"")))</f>
        <v/>
      </c>
      <c r="AO124" s="13"/>
      <c r="AP124" s="6"/>
      <c r="AQ124" s="24" t="str" cm="1">
        <f t="array" aca="1" ref="AQ124" ca="1">IF(OR(Formulas!AS121=0,Formulas!AS121="",RIGHT(Formulas!AT121)="0"),"",
HYPERLINK("["&amp;Archivo_Nombre&amp;"]Datos!"&amp;LEFT(SUBSTITUTE(ADDRESS(1,IF(Formulas!AS121=1,1,RIGHT(Formulas!AT121)+2)),"$",""))&amp;Formulas!AR121+1,
IFERROR(INDEX(Datos!$A$1:$L$1,1,RIGHT(Formulas!AT121)+2)&amp;IF(Formulas!AS121=1," "&amp;Formulas!AR121,"")&amp;":","")))</f>
        <v/>
      </c>
      <c r="AR124" s="107" t="str" cm="1">
        <f t="array" aca="1" ref="AR124" ca="1">IF(OR(Formulas!AS121=0,Formulas!AS121="",RIGHT(Formulas!AT121)="0"),"",
HYPERLINK("["&amp;Archivo_Nombre&amp;"]Datos!"&amp;LEFT(SUBSTITUTE(ADDRESS(1,RIGHT(Formulas!AT121)+2),"$",""))&amp;Formulas!AR121+1,
IFERROR(INDEX(Datos!$A$2:$L$101,Formulas!AR121,RIGHT(Formulas!AT121)+2),"")))</f>
        <v/>
      </c>
      <c r="AS124" s="107" t="str" cm="1">
        <f t="array" aca="1" ref="AS124" ca="1">IF(OR(Formulas!AT122=0,Formulas!AT122=""),"",HYPERLINK("["&amp;Archivo_Nombre&amp;"]Datos!"&amp;LEFT(SUBSTITUTE(ADDRESS(1,Formulas!AT122+2),"$",""))&amp;Formulas!AS122+1,
IFERROR(INDEX(Datos!$A$2:$L$101,Formulas!AS122,Formulas!AT122+2),"")))</f>
        <v/>
      </c>
      <c r="AT124" s="13"/>
      <c r="AU124" s="6"/>
      <c r="AV124" s="24" t="str" cm="1">
        <f t="array" aca="1" ref="AV124" ca="1">IF(OR(Formulas!AX121=0,Formulas!AX121="",RIGHT(Formulas!AY121)="0"),"",
HYPERLINK("["&amp;Archivo_Nombre&amp;"]Datos!"&amp;LEFT(SUBSTITUTE(ADDRESS(1,IF(Formulas!AX121=1,1,RIGHT(Formulas!AY121)+2)),"$",""))&amp;Formulas!AW121+1,
IFERROR(INDEX(Datos!$A$1:$L$1,1,RIGHT(Formulas!AY121)+2)&amp;IF(Formulas!AX121=1," "&amp;Formulas!AW121,"")&amp;":","")))</f>
        <v/>
      </c>
      <c r="AW124" s="107" t="str" cm="1">
        <f t="array" aca="1" ref="AW124" ca="1">IF(OR(Formulas!AX121=0,Formulas!AX121="",RIGHT(Formulas!AY121)="0"),"",
HYPERLINK("["&amp;Archivo_Nombre&amp;"]Datos!"&amp;LEFT(SUBSTITUTE(ADDRESS(1,RIGHT(Formulas!AY121)+2),"$",""))&amp;Formulas!AW121+1,
IFERROR(INDEX(Datos!$A$2:$L$101,Formulas!AW121,RIGHT(Formulas!AY121)+2),"")))</f>
        <v/>
      </c>
      <c r="AX124" s="107" t="str" cm="1">
        <f t="array" aca="1" ref="AX124" ca="1">IF(OR(Formulas!AY122=0,Formulas!AY122=""),"",HYPERLINK("["&amp;Archivo_Nombre&amp;"]Datos!"&amp;LEFT(SUBSTITUTE(ADDRESS(1,Formulas!AY122+2),"$",""))&amp;Formulas!AX122+1,
IFERROR(INDEX(Datos!$A$2:$L$101,Formulas!AX122,Formulas!AY122+2),"")))</f>
        <v/>
      </c>
      <c r="AY124" s="13"/>
    </row>
    <row r="125" spans="2:51" x14ac:dyDescent="0.25">
      <c r="B125" s="11"/>
      <c r="C125" s="24" t="str" cm="1">
        <f t="array" aca="1" ref="C125" ca="1">IF(OR(Formulas!E122=0,Formulas!E122="",RIGHT(Formulas!F122)="0"),"",
HYPERLINK("["&amp;Archivo_Nombre&amp;"]Datos!"&amp;LEFT(SUBSTITUTE(ADDRESS(1,IF(Formulas!E122=1,1,RIGHT(Formulas!F122)+2)),"$",""))&amp;Formulas!D122+1,
IFERROR(INDEX(Datos!$A$1:$L$1,1,RIGHT(Formulas!F122)+2)&amp;IF(Formulas!E122=1," "&amp;Formulas!D122,"")&amp;":","")))</f>
        <v/>
      </c>
      <c r="D125" s="107" t="str" cm="1">
        <f t="array" aca="1" ref="D125" ca="1">IF(OR(Formulas!E122=0,Formulas!E122="",RIGHT(Formulas!F122)="0"),"",
HYPERLINK("["&amp;Archivo_Nombre&amp;"]Datos!"&amp;LEFT(SUBSTITUTE(ADDRESS(1,RIGHT(Formulas!F122)+2),"$",""))&amp;Formulas!D122+1,
IFERROR(INDEX(Datos!$A$2:$L$101,Formulas!D122,RIGHT(Formulas!F122)+2),"")))</f>
        <v/>
      </c>
      <c r="E125" s="107" t="str" cm="1">
        <f t="array" aca="1" ref="E125" ca="1">IF(OR(Formulas!F123=0,Formulas!F123=""),"",HYPERLINK("["&amp;Archivo_Nombre&amp;"]Datos!"&amp;LEFT(SUBSTITUTE(ADDRESS(1,Formulas!F123+2),"$",""))&amp;Formulas!E123+1,
IFERROR(INDEX(Datos!$A$2:$L$101,Formulas!E123,Formulas!F123+2),"")))</f>
        <v/>
      </c>
      <c r="F125" s="5"/>
      <c r="G125" s="6"/>
      <c r="H125" s="24" t="str" cm="1">
        <f t="array" aca="1" ref="H125" ca="1">IF(OR(Formulas!J122=0,Formulas!J122="",RIGHT(Formulas!K122)="0"),"",
HYPERLINK("["&amp;Archivo_Nombre&amp;"]Datos!"&amp;LEFT(SUBSTITUTE(ADDRESS(1,IF(Formulas!J122=1,1,RIGHT(Formulas!K122)+2)),"$",""))&amp;Formulas!I122+1,
IFERROR(INDEX(Datos!$A$1:$L$1,1,RIGHT(Formulas!K122)+2)&amp;IF(Formulas!J122=1," "&amp;Formulas!I122,"")&amp;":","")))</f>
        <v/>
      </c>
      <c r="I125" s="107" t="str" cm="1">
        <f t="array" aca="1" ref="I125" ca="1">IF(OR(Formulas!J122=0,Formulas!J122="",RIGHT(Formulas!K122)="0"),"",
HYPERLINK("["&amp;Archivo_Nombre&amp;"]Datos!"&amp;LEFT(SUBSTITUTE(ADDRESS(1,RIGHT(Formulas!K122)+2),"$",""))&amp;Formulas!I122+1,
IFERROR(INDEX(Datos!$A$2:$L$101,Formulas!I122,RIGHT(Formulas!K122)+2),"")))</f>
        <v/>
      </c>
      <c r="J125" s="107" t="str" cm="1">
        <f t="array" aca="1" ref="J125" ca="1">IF(OR(Formulas!K123=0,Formulas!K123=""),"",HYPERLINK("["&amp;Archivo_Nombre&amp;"]Datos!"&amp;LEFT(SUBSTITUTE(ADDRESS(1,Formulas!K123+2),"$",""))&amp;Formulas!J123+1,
IFERROR(INDEX(Datos!$A$2:$L$101,Formulas!J123,Formulas!K123+2),"")))</f>
        <v/>
      </c>
      <c r="K125" s="5"/>
      <c r="L125" s="6"/>
      <c r="M125" s="24" t="str" cm="1">
        <f t="array" aca="1" ref="M125" ca="1">IF(OR(Formulas!O122=0,Formulas!O122="",RIGHT(Formulas!P122)="0"),"",
HYPERLINK("["&amp;Archivo_Nombre&amp;"]Datos!"&amp;LEFT(SUBSTITUTE(ADDRESS(1,IF(Formulas!O122=1,1,RIGHT(Formulas!P122)+2)),"$",""))&amp;Formulas!N122+1,
IFERROR(INDEX(Datos!$A$1:$L$1,1,RIGHT(Formulas!P122)+2)&amp;IF(Formulas!O122=1," "&amp;Formulas!N122,"")&amp;":","")))</f>
        <v/>
      </c>
      <c r="N125" s="107" t="str" cm="1">
        <f t="array" aca="1" ref="N125" ca="1">IF(OR(Formulas!O122=0,Formulas!O122="",RIGHT(Formulas!P122)="0"),"",
HYPERLINK("["&amp;Archivo_Nombre&amp;"]Datos!"&amp;LEFT(SUBSTITUTE(ADDRESS(1,RIGHT(Formulas!P122)+2),"$",""))&amp;Formulas!N122+1,
IFERROR(INDEX(Datos!$A$2:$L$101,Formulas!N122,RIGHT(Formulas!P122)+2),"")))</f>
        <v/>
      </c>
      <c r="O125" s="107" t="str" cm="1">
        <f t="array" aca="1" ref="O125" ca="1">IF(OR(Formulas!P123=0,Formulas!P123=""),"",HYPERLINK("["&amp;Archivo_Nombre&amp;"]Datos!"&amp;LEFT(SUBSTITUTE(ADDRESS(1,Formulas!P123+2),"$",""))&amp;Formulas!O123+1,
IFERROR(INDEX(Datos!$A$2:$L$101,Formulas!O123,Formulas!P123+2),"")))</f>
        <v/>
      </c>
      <c r="P125" s="5"/>
      <c r="Q125" s="6"/>
      <c r="R125" s="24" t="str" cm="1">
        <f t="array" aca="1" ref="R125" ca="1">IF(OR(Formulas!T122=0,Formulas!T122="",RIGHT(Formulas!U122)="0"),"",
HYPERLINK("["&amp;Archivo_Nombre&amp;"]Datos!"&amp;LEFT(SUBSTITUTE(ADDRESS(1,IF(Formulas!T122=1,1,RIGHT(Formulas!U122)+2)),"$",""))&amp;Formulas!S122+1,
IFERROR(INDEX(Datos!$A$1:$L$1,1,RIGHT(Formulas!U122)+2)&amp;IF(Formulas!T122=1," "&amp;Formulas!S122,"")&amp;":","")))</f>
        <v/>
      </c>
      <c r="S125" s="107" t="str" cm="1">
        <f t="array" aca="1" ref="S125" ca="1">IF(OR(Formulas!T122=0,Formulas!T122="",RIGHT(Formulas!U122)="0"),"",
HYPERLINK("["&amp;Archivo_Nombre&amp;"]Datos!"&amp;LEFT(SUBSTITUTE(ADDRESS(1,RIGHT(Formulas!U122)+2),"$",""))&amp;Formulas!S122+1,
IFERROR(INDEX(Datos!$A$2:$L$101,Formulas!S122,RIGHT(Formulas!U122)+2),"")))</f>
        <v/>
      </c>
      <c r="T125" s="107" t="e" cm="1">
        <f t="array" aca="1" ref="T125" ca="1">IF(OR(Formulas!U123=0,Formulas!U123=""),"",HYPERLINK("["&amp;Archivo_Nombre&amp;"]Datos!"&amp;LEFT(SUBSTITUTE(ADDRESS(1,Formulas!U123+2),"$",""))&amp;Formulas!T123+1,
IFERROR(INDEX(Datos!$A$2:$L$101,Formulas!T123,Formulas!U123+2),"")))</f>
        <v>#VALUE!</v>
      </c>
      <c r="U125" s="5"/>
      <c r="V125" s="6"/>
      <c r="W125" s="24" t="str" cm="1">
        <f t="array" aca="1" ref="W125" ca="1">IF(OR(Formulas!Y122=0,Formulas!Y122="",RIGHT(Formulas!Z122)="0"),"",
HYPERLINK("["&amp;Archivo_Nombre&amp;"]Datos!"&amp;LEFT(SUBSTITUTE(ADDRESS(1,IF(Formulas!Y122=1,1,RIGHT(Formulas!Z122)+2)),"$",""))&amp;Formulas!X122+1,
IFERROR(INDEX(Datos!$A$1:$L$1,1,RIGHT(Formulas!Z122)+2)&amp;IF(Formulas!Y122=1," "&amp;Formulas!X122,"")&amp;":","")))</f>
        <v/>
      </c>
      <c r="X125" s="107" t="str" cm="1">
        <f t="array" aca="1" ref="X125" ca="1">IF(OR(Formulas!Y122=0,Formulas!Y122="",RIGHT(Formulas!Z122)="0"),"",
HYPERLINK("["&amp;Archivo_Nombre&amp;"]Datos!"&amp;LEFT(SUBSTITUTE(ADDRESS(1,RIGHT(Formulas!Z122)+2),"$",""))&amp;Formulas!X122+1,
IFERROR(INDEX(Datos!$A$2:$L$101,Formulas!X122,RIGHT(Formulas!Z122)+2),"")))</f>
        <v/>
      </c>
      <c r="Y125" s="107" t="str" cm="1">
        <f t="array" aca="1" ref="Y125" ca="1">IF(OR(Formulas!Z123=0,Formulas!Z123=""),"",HYPERLINK("["&amp;Archivo_Nombre&amp;"]Datos!"&amp;LEFT(SUBSTITUTE(ADDRESS(1,Formulas!Z123+2),"$",""))&amp;Formulas!Y123+1,
IFERROR(INDEX(Datos!$A$2:$L$101,Formulas!Y123,Formulas!Z123+2),"")))</f>
        <v/>
      </c>
      <c r="Z125" s="13"/>
      <c r="AA125" s="6"/>
      <c r="AB125" s="24" t="str" cm="1">
        <f t="array" aca="1" ref="AB125" ca="1">IF(OR(Formulas!AD122=0,Formulas!AD122="",RIGHT(Formulas!AE122)="0"),"",
HYPERLINK("["&amp;Archivo_Nombre&amp;"]Datos!"&amp;LEFT(SUBSTITUTE(ADDRESS(1,IF(Formulas!AD122=1,1,RIGHT(Formulas!AE122)+2)),"$",""))&amp;Formulas!AC122+1,
IFERROR(INDEX(Datos!$A$1:$L$1,1,RIGHT(Formulas!AE122)+2)&amp;IF(Formulas!AD122=1," "&amp;Formulas!AC122,"")&amp;":","")))</f>
        <v/>
      </c>
      <c r="AC125" s="107" t="str" cm="1">
        <f t="array" aca="1" ref="AC125" ca="1">IF(OR(Formulas!AD122=0,Formulas!AD122="",RIGHT(Formulas!AE122)="0"),"",
HYPERLINK("["&amp;Archivo_Nombre&amp;"]Datos!"&amp;LEFT(SUBSTITUTE(ADDRESS(1,RIGHT(Formulas!AE122)+2),"$",""))&amp;Formulas!AC122+1,
IFERROR(INDEX(Datos!$A$2:$L$101,Formulas!AC122,RIGHT(Formulas!AE122)+2),"")))</f>
        <v/>
      </c>
      <c r="AD125" s="107" t="str" cm="1">
        <f t="array" aca="1" ref="AD125" ca="1">IF(OR(Formulas!AE123=0,Formulas!AE123=""),"",HYPERLINK("["&amp;Archivo_Nombre&amp;"]Datos!"&amp;LEFT(SUBSTITUTE(ADDRESS(1,Formulas!AE123+2),"$",""))&amp;Formulas!AD123+1,
IFERROR(INDEX(Datos!$A$2:$L$101,Formulas!AD123,Formulas!AE123+2),"")))</f>
        <v/>
      </c>
      <c r="AE125" s="13"/>
      <c r="AF125" s="6"/>
      <c r="AG125" s="24" t="str" cm="1">
        <f t="array" aca="1" ref="AG125" ca="1">IF(OR(Formulas!AI122=0,Formulas!AI122="",RIGHT(Formulas!AJ122)="0"),"",
HYPERLINK("["&amp;Archivo_Nombre&amp;"]Datos!"&amp;LEFT(SUBSTITUTE(ADDRESS(1,IF(Formulas!AI122=1,1,RIGHT(Formulas!AJ122)+2)),"$",""))&amp;Formulas!AH122+1,
IFERROR(INDEX(Datos!$A$1:$L$1,1,RIGHT(Formulas!AJ122)+2)&amp;IF(Formulas!AI122=1," "&amp;Formulas!AH122,"")&amp;":","")))</f>
        <v/>
      </c>
      <c r="AH125" s="107" t="str" cm="1">
        <f t="array" aca="1" ref="AH125" ca="1">IF(OR(Formulas!AI122=0,Formulas!AI122="",RIGHT(Formulas!AJ122)="0"),"",
HYPERLINK("["&amp;Archivo_Nombre&amp;"]Datos!"&amp;LEFT(SUBSTITUTE(ADDRESS(1,RIGHT(Formulas!AJ122)+2),"$",""))&amp;Formulas!AH122+1,
IFERROR(INDEX(Datos!$A$2:$L$101,Formulas!AH122,RIGHT(Formulas!AJ122)+2),"")))</f>
        <v/>
      </c>
      <c r="AI125" s="107" t="str" cm="1">
        <f t="array" aca="1" ref="AI125" ca="1">IF(OR(Formulas!AJ123=0,Formulas!AJ123=""),"",HYPERLINK("["&amp;Archivo_Nombre&amp;"]Datos!"&amp;LEFT(SUBSTITUTE(ADDRESS(1,Formulas!AJ123+2),"$",""))&amp;Formulas!AI123+1,
IFERROR(INDEX(Datos!$A$2:$L$101,Formulas!AI123,Formulas!AJ123+2),"")))</f>
        <v/>
      </c>
      <c r="AJ125" s="13"/>
      <c r="AK125" s="6"/>
      <c r="AL125" s="24" t="str" cm="1">
        <f t="array" aca="1" ref="AL125" ca="1">IF(OR(Formulas!AN122=0,Formulas!AN122="",RIGHT(Formulas!AO122)="0"),"",
HYPERLINK("["&amp;Archivo_Nombre&amp;"]Datos!"&amp;LEFT(SUBSTITUTE(ADDRESS(1,IF(Formulas!AN122=1,1,RIGHT(Formulas!AO122)+2)),"$",""))&amp;Formulas!AM122+1,
IFERROR(INDEX(Datos!$A$1:$L$1,1,RIGHT(Formulas!AO122)+2)&amp;IF(Formulas!AN122=1," "&amp;Formulas!AM122,"")&amp;":","")))</f>
        <v/>
      </c>
      <c r="AM125" s="107" t="str" cm="1">
        <f t="array" aca="1" ref="AM125" ca="1">IF(OR(Formulas!AN122=0,Formulas!AN122="",RIGHT(Formulas!AO122)="0"),"",
HYPERLINK("["&amp;Archivo_Nombre&amp;"]Datos!"&amp;LEFT(SUBSTITUTE(ADDRESS(1,RIGHT(Formulas!AO122)+2),"$",""))&amp;Formulas!AM122+1,
IFERROR(INDEX(Datos!$A$2:$L$101,Formulas!AM122,RIGHT(Formulas!AO122)+2),"")))</f>
        <v/>
      </c>
      <c r="AN125" s="107" t="str" cm="1">
        <f t="array" aca="1" ref="AN125" ca="1">IF(OR(Formulas!AO123=0,Formulas!AO123=""),"",HYPERLINK("["&amp;Archivo_Nombre&amp;"]Datos!"&amp;LEFT(SUBSTITUTE(ADDRESS(1,Formulas!AO123+2),"$",""))&amp;Formulas!AN123+1,
IFERROR(INDEX(Datos!$A$2:$L$101,Formulas!AN123,Formulas!AO123+2),"")))</f>
        <v/>
      </c>
      <c r="AO125" s="13"/>
      <c r="AP125" s="6"/>
      <c r="AQ125" s="24" t="str" cm="1">
        <f t="array" aca="1" ref="AQ125" ca="1">IF(OR(Formulas!AS122=0,Formulas!AS122="",RIGHT(Formulas!AT122)="0"),"",
HYPERLINK("["&amp;Archivo_Nombre&amp;"]Datos!"&amp;LEFT(SUBSTITUTE(ADDRESS(1,IF(Formulas!AS122=1,1,RIGHT(Formulas!AT122)+2)),"$",""))&amp;Formulas!AR122+1,
IFERROR(INDEX(Datos!$A$1:$L$1,1,RIGHT(Formulas!AT122)+2)&amp;IF(Formulas!AS122=1," "&amp;Formulas!AR122,"")&amp;":","")))</f>
        <v/>
      </c>
      <c r="AR125" s="107" t="str" cm="1">
        <f t="array" aca="1" ref="AR125" ca="1">IF(OR(Formulas!AS122=0,Formulas!AS122="",RIGHT(Formulas!AT122)="0"),"",
HYPERLINK("["&amp;Archivo_Nombre&amp;"]Datos!"&amp;LEFT(SUBSTITUTE(ADDRESS(1,RIGHT(Formulas!AT122)+2),"$",""))&amp;Formulas!AR122+1,
IFERROR(INDEX(Datos!$A$2:$L$101,Formulas!AR122,RIGHT(Formulas!AT122)+2),"")))</f>
        <v/>
      </c>
      <c r="AS125" s="107" t="str" cm="1">
        <f t="array" aca="1" ref="AS125" ca="1">IF(OR(Formulas!AT123=0,Formulas!AT123=""),"",HYPERLINK("["&amp;Archivo_Nombre&amp;"]Datos!"&amp;LEFT(SUBSTITUTE(ADDRESS(1,Formulas!AT123+2),"$",""))&amp;Formulas!AS123+1,
IFERROR(INDEX(Datos!$A$2:$L$101,Formulas!AS123,Formulas!AT123+2),"")))</f>
        <v/>
      </c>
      <c r="AT125" s="13"/>
      <c r="AU125" s="6"/>
      <c r="AV125" s="24" t="str" cm="1">
        <f t="array" aca="1" ref="AV125" ca="1">IF(OR(Formulas!AX122=0,Formulas!AX122="",RIGHT(Formulas!AY122)="0"),"",
HYPERLINK("["&amp;Archivo_Nombre&amp;"]Datos!"&amp;LEFT(SUBSTITUTE(ADDRESS(1,IF(Formulas!AX122=1,1,RIGHT(Formulas!AY122)+2)),"$",""))&amp;Formulas!AW122+1,
IFERROR(INDEX(Datos!$A$1:$L$1,1,RIGHT(Formulas!AY122)+2)&amp;IF(Formulas!AX122=1," "&amp;Formulas!AW122,"")&amp;":","")))</f>
        <v/>
      </c>
      <c r="AW125" s="107" t="str" cm="1">
        <f t="array" aca="1" ref="AW125" ca="1">IF(OR(Formulas!AX122=0,Formulas!AX122="",RIGHT(Formulas!AY122)="0"),"",
HYPERLINK("["&amp;Archivo_Nombre&amp;"]Datos!"&amp;LEFT(SUBSTITUTE(ADDRESS(1,RIGHT(Formulas!AY122)+2),"$",""))&amp;Formulas!AW122+1,
IFERROR(INDEX(Datos!$A$2:$L$101,Formulas!AW122,RIGHT(Formulas!AY122)+2),"")))</f>
        <v/>
      </c>
      <c r="AX125" s="107" t="str" cm="1">
        <f t="array" aca="1" ref="AX125" ca="1">IF(OR(Formulas!AY123=0,Formulas!AY123=""),"",HYPERLINK("["&amp;Archivo_Nombre&amp;"]Datos!"&amp;LEFT(SUBSTITUTE(ADDRESS(1,Formulas!AY123+2),"$",""))&amp;Formulas!AX123+1,
IFERROR(INDEX(Datos!$A$2:$L$101,Formulas!AX123,Formulas!AY123+2),"")))</f>
        <v/>
      </c>
      <c r="AY125" s="13"/>
    </row>
    <row r="126" spans="2:51" x14ac:dyDescent="0.25">
      <c r="B126" s="11"/>
      <c r="C126" s="24" t="str" cm="1">
        <f t="array" aca="1" ref="C126" ca="1">IF(OR(Formulas!E123=0,Formulas!E123="",RIGHT(Formulas!F123)="0"),"",
HYPERLINK("["&amp;Archivo_Nombre&amp;"]Datos!"&amp;LEFT(SUBSTITUTE(ADDRESS(1,IF(Formulas!E123=1,1,RIGHT(Formulas!F123)+2)),"$",""))&amp;Formulas!D123+1,
IFERROR(INDEX(Datos!$A$1:$L$1,1,RIGHT(Formulas!F123)+2)&amp;IF(Formulas!E123=1," "&amp;Formulas!D123,"")&amp;":","")))</f>
        <v/>
      </c>
      <c r="D126" s="107" t="str" cm="1">
        <f t="array" aca="1" ref="D126" ca="1">IF(OR(Formulas!E123=0,Formulas!E123="",RIGHT(Formulas!F123)="0"),"",
HYPERLINK("["&amp;Archivo_Nombre&amp;"]Datos!"&amp;LEFT(SUBSTITUTE(ADDRESS(1,RIGHT(Formulas!F123)+2),"$",""))&amp;Formulas!D123+1,
IFERROR(INDEX(Datos!$A$2:$L$101,Formulas!D123,RIGHT(Formulas!F123)+2),"")))</f>
        <v/>
      </c>
      <c r="E126" s="107" t="str" cm="1">
        <f t="array" aca="1" ref="E126" ca="1">IF(OR(Formulas!F124=0,Formulas!F124=""),"",HYPERLINK("["&amp;Archivo_Nombre&amp;"]Datos!"&amp;LEFT(SUBSTITUTE(ADDRESS(1,Formulas!F124+2),"$",""))&amp;Formulas!E124+1,
IFERROR(INDEX(Datos!$A$2:$L$101,Formulas!E124,Formulas!F124+2),"")))</f>
        <v/>
      </c>
      <c r="F126" s="5"/>
      <c r="G126" s="6"/>
      <c r="H126" s="24" t="str" cm="1">
        <f t="array" aca="1" ref="H126" ca="1">IF(OR(Formulas!J123=0,Formulas!J123="",RIGHT(Formulas!K123)="0"),"",
HYPERLINK("["&amp;Archivo_Nombre&amp;"]Datos!"&amp;LEFT(SUBSTITUTE(ADDRESS(1,IF(Formulas!J123=1,1,RIGHT(Formulas!K123)+2)),"$",""))&amp;Formulas!I123+1,
IFERROR(INDEX(Datos!$A$1:$L$1,1,RIGHT(Formulas!K123)+2)&amp;IF(Formulas!J123=1," "&amp;Formulas!I123,"")&amp;":","")))</f>
        <v/>
      </c>
      <c r="I126" s="107" t="str" cm="1">
        <f t="array" aca="1" ref="I126" ca="1">IF(OR(Formulas!J123=0,Formulas!J123="",RIGHT(Formulas!K123)="0"),"",
HYPERLINK("["&amp;Archivo_Nombre&amp;"]Datos!"&amp;LEFT(SUBSTITUTE(ADDRESS(1,RIGHT(Formulas!K123)+2),"$",""))&amp;Formulas!I123+1,
IFERROR(INDEX(Datos!$A$2:$L$101,Formulas!I123,RIGHT(Formulas!K123)+2),"")))</f>
        <v/>
      </c>
      <c r="J126" s="107" t="str" cm="1">
        <f t="array" aca="1" ref="J126" ca="1">IF(OR(Formulas!K124=0,Formulas!K124=""),"",HYPERLINK("["&amp;Archivo_Nombre&amp;"]Datos!"&amp;LEFT(SUBSTITUTE(ADDRESS(1,Formulas!K124+2),"$",""))&amp;Formulas!J124+1,
IFERROR(INDEX(Datos!$A$2:$L$101,Formulas!J124,Formulas!K124+2),"")))</f>
        <v/>
      </c>
      <c r="K126" s="5"/>
      <c r="L126" s="6"/>
      <c r="M126" s="24" t="str" cm="1">
        <f t="array" aca="1" ref="M126" ca="1">IF(OR(Formulas!O123=0,Formulas!O123="",RIGHT(Formulas!P123)="0"),"",
HYPERLINK("["&amp;Archivo_Nombre&amp;"]Datos!"&amp;LEFT(SUBSTITUTE(ADDRESS(1,IF(Formulas!O123=1,1,RIGHT(Formulas!P123)+2)),"$",""))&amp;Formulas!N123+1,
IFERROR(INDEX(Datos!$A$1:$L$1,1,RIGHT(Formulas!P123)+2)&amp;IF(Formulas!O123=1," "&amp;Formulas!N123,"")&amp;":","")))</f>
        <v/>
      </c>
      <c r="N126" s="107" t="str" cm="1">
        <f t="array" aca="1" ref="N126" ca="1">IF(OR(Formulas!O123=0,Formulas!O123="",RIGHT(Formulas!P123)="0"),"",
HYPERLINK("["&amp;Archivo_Nombre&amp;"]Datos!"&amp;LEFT(SUBSTITUTE(ADDRESS(1,RIGHT(Formulas!P123)+2),"$",""))&amp;Formulas!N123+1,
IFERROR(INDEX(Datos!$A$2:$L$101,Formulas!N123,RIGHT(Formulas!P123)+2),"")))</f>
        <v/>
      </c>
      <c r="O126" s="107" t="str" cm="1">
        <f t="array" aca="1" ref="O126" ca="1">IF(OR(Formulas!P124=0,Formulas!P124=""),"",HYPERLINK("["&amp;Archivo_Nombre&amp;"]Datos!"&amp;LEFT(SUBSTITUTE(ADDRESS(1,Formulas!P124+2),"$",""))&amp;Formulas!O124+1,
IFERROR(INDEX(Datos!$A$2:$L$101,Formulas!O124,Formulas!P124+2),"")))</f>
        <v/>
      </c>
      <c r="P126" s="5"/>
      <c r="Q126" s="6"/>
      <c r="R126" s="24" t="str" cm="1">
        <f t="array" aca="1" ref="R126" ca="1">IF(OR(Formulas!T123=0,Formulas!T123="",RIGHT(Formulas!U123)="0"),"",
HYPERLINK("["&amp;Archivo_Nombre&amp;"]Datos!"&amp;LEFT(SUBSTITUTE(ADDRESS(1,IF(Formulas!T123=1,1,RIGHT(Formulas!U123)+2)),"$",""))&amp;Formulas!S123+1,
IFERROR(INDEX(Datos!$A$1:$L$1,1,RIGHT(Formulas!U123)+2)&amp;IF(Formulas!T123=1," "&amp;Formulas!S123,"")&amp;":","")))</f>
        <v>ORDEN PCRONOLOGICO 17:</v>
      </c>
      <c r="S126" s="107" cm="1">
        <f t="array" aca="1" ref="S126" ca="1">IF(OR(Formulas!T123=0,Formulas!T123="",RIGHT(Formulas!U123)="0"),"",
HYPERLINK("["&amp;Archivo_Nombre&amp;"]Datos!"&amp;LEFT(SUBSTITUTE(ADDRESS(1,RIGHT(Formulas!U123)+2),"$",""))&amp;Formulas!S123+1,
IFERROR(INDEX(Datos!$A$2:$L$101,Formulas!S123,RIGHT(Formulas!U123)+2),"")))</f>
        <v>17</v>
      </c>
      <c r="T126" s="107" t="e" cm="1">
        <f t="array" aca="1" ref="T126" ca="1">IF(OR(Formulas!U124=0,Formulas!U124=""),"",HYPERLINK("["&amp;Archivo_Nombre&amp;"]Datos!"&amp;LEFT(SUBSTITUTE(ADDRESS(1,Formulas!U124+2),"$",""))&amp;Formulas!T124+1,
IFERROR(INDEX(Datos!$A$2:$L$101,Formulas!T124,Formulas!U124+2),"")))</f>
        <v>#VALUE!</v>
      </c>
      <c r="U126" s="5"/>
      <c r="V126" s="6"/>
      <c r="W126" s="24" t="str" cm="1">
        <f t="array" aca="1" ref="W126" ca="1">IF(OR(Formulas!Y123=0,Formulas!Y123="",RIGHT(Formulas!Z123)="0"),"",
HYPERLINK("["&amp;Archivo_Nombre&amp;"]Datos!"&amp;LEFT(SUBSTITUTE(ADDRESS(1,IF(Formulas!Y123=1,1,RIGHT(Formulas!Z123)+2)),"$",""))&amp;Formulas!X123+1,
IFERROR(INDEX(Datos!$A$1:$L$1,1,RIGHT(Formulas!Z123)+2)&amp;IF(Formulas!Y123=1," "&amp;Formulas!X123,"")&amp;":","")))</f>
        <v/>
      </c>
      <c r="X126" s="107" t="str" cm="1">
        <f t="array" aca="1" ref="X126" ca="1">IF(OR(Formulas!Y123=0,Formulas!Y123="",RIGHT(Formulas!Z123)="0"),"",
HYPERLINK("["&amp;Archivo_Nombre&amp;"]Datos!"&amp;LEFT(SUBSTITUTE(ADDRESS(1,RIGHT(Formulas!Z123)+2),"$",""))&amp;Formulas!X123+1,
IFERROR(INDEX(Datos!$A$2:$L$101,Formulas!X123,RIGHT(Formulas!Z123)+2),"")))</f>
        <v/>
      </c>
      <c r="Y126" s="107" t="str" cm="1">
        <f t="array" aca="1" ref="Y126" ca="1">IF(OR(Formulas!Z124=0,Formulas!Z124=""),"",HYPERLINK("["&amp;Archivo_Nombre&amp;"]Datos!"&amp;LEFT(SUBSTITUTE(ADDRESS(1,Formulas!Z124+2),"$",""))&amp;Formulas!Y124+1,
IFERROR(INDEX(Datos!$A$2:$L$101,Formulas!Y124,Formulas!Z124+2),"")))</f>
        <v/>
      </c>
      <c r="Z126" s="13"/>
      <c r="AA126" s="6"/>
      <c r="AB126" s="24" t="str" cm="1">
        <f t="array" aca="1" ref="AB126" ca="1">IF(OR(Formulas!AD123=0,Formulas!AD123="",RIGHT(Formulas!AE123)="0"),"",
HYPERLINK("["&amp;Archivo_Nombre&amp;"]Datos!"&amp;LEFT(SUBSTITUTE(ADDRESS(1,IF(Formulas!AD123=1,1,RIGHT(Formulas!AE123)+2)),"$",""))&amp;Formulas!AC123+1,
IFERROR(INDEX(Datos!$A$1:$L$1,1,RIGHT(Formulas!AE123)+2)&amp;IF(Formulas!AD123=1," "&amp;Formulas!AC123,"")&amp;":","")))</f>
        <v/>
      </c>
      <c r="AC126" s="107" t="str" cm="1">
        <f t="array" aca="1" ref="AC126" ca="1">IF(OR(Formulas!AD123=0,Formulas!AD123="",RIGHT(Formulas!AE123)="0"),"",
HYPERLINK("["&amp;Archivo_Nombre&amp;"]Datos!"&amp;LEFT(SUBSTITUTE(ADDRESS(1,RIGHT(Formulas!AE123)+2),"$",""))&amp;Formulas!AC123+1,
IFERROR(INDEX(Datos!$A$2:$L$101,Formulas!AC123,RIGHT(Formulas!AE123)+2),"")))</f>
        <v/>
      </c>
      <c r="AD126" s="107" t="str" cm="1">
        <f t="array" aca="1" ref="AD126" ca="1">IF(OR(Formulas!AE124=0,Formulas!AE124=""),"",HYPERLINK("["&amp;Archivo_Nombre&amp;"]Datos!"&amp;LEFT(SUBSTITUTE(ADDRESS(1,Formulas!AE124+2),"$",""))&amp;Formulas!AD124+1,
IFERROR(INDEX(Datos!$A$2:$L$101,Formulas!AD124,Formulas!AE124+2),"")))</f>
        <v/>
      </c>
      <c r="AE126" s="13"/>
      <c r="AF126" s="6"/>
      <c r="AG126" s="24" t="str" cm="1">
        <f t="array" aca="1" ref="AG126" ca="1">IF(OR(Formulas!AI123=0,Formulas!AI123="",RIGHT(Formulas!AJ123)="0"),"",
HYPERLINK("["&amp;Archivo_Nombre&amp;"]Datos!"&amp;LEFT(SUBSTITUTE(ADDRESS(1,IF(Formulas!AI123=1,1,RIGHT(Formulas!AJ123)+2)),"$",""))&amp;Formulas!AH123+1,
IFERROR(INDEX(Datos!$A$1:$L$1,1,RIGHT(Formulas!AJ123)+2)&amp;IF(Formulas!AI123=1," "&amp;Formulas!AH123,"")&amp;":","")))</f>
        <v/>
      </c>
      <c r="AH126" s="107" t="str" cm="1">
        <f t="array" aca="1" ref="AH126" ca="1">IF(OR(Formulas!AI123=0,Formulas!AI123="",RIGHT(Formulas!AJ123)="0"),"",
HYPERLINK("["&amp;Archivo_Nombre&amp;"]Datos!"&amp;LEFT(SUBSTITUTE(ADDRESS(1,RIGHT(Formulas!AJ123)+2),"$",""))&amp;Formulas!AH123+1,
IFERROR(INDEX(Datos!$A$2:$L$101,Formulas!AH123,RIGHT(Formulas!AJ123)+2),"")))</f>
        <v/>
      </c>
      <c r="AI126" s="107" t="str" cm="1">
        <f t="array" aca="1" ref="AI126" ca="1">IF(OR(Formulas!AJ124=0,Formulas!AJ124=""),"",HYPERLINK("["&amp;Archivo_Nombre&amp;"]Datos!"&amp;LEFT(SUBSTITUTE(ADDRESS(1,Formulas!AJ124+2),"$",""))&amp;Formulas!AI124+1,
IFERROR(INDEX(Datos!$A$2:$L$101,Formulas!AI124,Formulas!AJ124+2),"")))</f>
        <v/>
      </c>
      <c r="AJ126" s="13"/>
      <c r="AK126" s="6"/>
      <c r="AL126" s="24" t="str" cm="1">
        <f t="array" aca="1" ref="AL126" ca="1">IF(OR(Formulas!AN123=0,Formulas!AN123="",RIGHT(Formulas!AO123)="0"),"",
HYPERLINK("["&amp;Archivo_Nombre&amp;"]Datos!"&amp;LEFT(SUBSTITUTE(ADDRESS(1,IF(Formulas!AN123=1,1,RIGHT(Formulas!AO123)+2)),"$",""))&amp;Formulas!AM123+1,
IFERROR(INDEX(Datos!$A$1:$L$1,1,RIGHT(Formulas!AO123)+2)&amp;IF(Formulas!AN123=1," "&amp;Formulas!AM123,"")&amp;":","")))</f>
        <v/>
      </c>
      <c r="AM126" s="107" t="str" cm="1">
        <f t="array" aca="1" ref="AM126" ca="1">IF(OR(Formulas!AN123=0,Formulas!AN123="",RIGHT(Formulas!AO123)="0"),"",
HYPERLINK("["&amp;Archivo_Nombre&amp;"]Datos!"&amp;LEFT(SUBSTITUTE(ADDRESS(1,RIGHT(Formulas!AO123)+2),"$",""))&amp;Formulas!AM123+1,
IFERROR(INDEX(Datos!$A$2:$L$101,Formulas!AM123,RIGHT(Formulas!AO123)+2),"")))</f>
        <v/>
      </c>
      <c r="AN126" s="107" t="str" cm="1">
        <f t="array" aca="1" ref="AN126" ca="1">IF(OR(Formulas!AO124=0,Formulas!AO124=""),"",HYPERLINK("["&amp;Archivo_Nombre&amp;"]Datos!"&amp;LEFT(SUBSTITUTE(ADDRESS(1,Formulas!AO124+2),"$",""))&amp;Formulas!AN124+1,
IFERROR(INDEX(Datos!$A$2:$L$101,Formulas!AN124,Formulas!AO124+2),"")))</f>
        <v/>
      </c>
      <c r="AO126" s="13"/>
      <c r="AP126" s="6"/>
      <c r="AQ126" s="24" t="str" cm="1">
        <f t="array" aca="1" ref="AQ126" ca="1">IF(OR(Formulas!AS123=0,Formulas!AS123="",RIGHT(Formulas!AT123)="0"),"",
HYPERLINK("["&amp;Archivo_Nombre&amp;"]Datos!"&amp;LEFT(SUBSTITUTE(ADDRESS(1,IF(Formulas!AS123=1,1,RIGHT(Formulas!AT123)+2)),"$",""))&amp;Formulas!AR123+1,
IFERROR(INDEX(Datos!$A$1:$L$1,1,RIGHT(Formulas!AT123)+2)&amp;IF(Formulas!AS123=1," "&amp;Formulas!AR123,"")&amp;":","")))</f>
        <v/>
      </c>
      <c r="AR126" s="107" t="str" cm="1">
        <f t="array" aca="1" ref="AR126" ca="1">IF(OR(Formulas!AS123=0,Formulas!AS123="",RIGHT(Formulas!AT123)="0"),"",
HYPERLINK("["&amp;Archivo_Nombre&amp;"]Datos!"&amp;LEFT(SUBSTITUTE(ADDRESS(1,RIGHT(Formulas!AT123)+2),"$",""))&amp;Formulas!AR123+1,
IFERROR(INDEX(Datos!$A$2:$L$101,Formulas!AR123,RIGHT(Formulas!AT123)+2),"")))</f>
        <v/>
      </c>
      <c r="AS126" s="107" t="str" cm="1">
        <f t="array" aca="1" ref="AS126" ca="1">IF(OR(Formulas!AT124=0,Formulas!AT124=""),"",HYPERLINK("["&amp;Archivo_Nombre&amp;"]Datos!"&amp;LEFT(SUBSTITUTE(ADDRESS(1,Formulas!AT124+2),"$",""))&amp;Formulas!AS124+1,
IFERROR(INDEX(Datos!$A$2:$L$101,Formulas!AS124,Formulas!AT124+2),"")))</f>
        <v/>
      </c>
      <c r="AT126" s="13"/>
      <c r="AU126" s="6"/>
      <c r="AV126" s="24" t="str" cm="1">
        <f t="array" aca="1" ref="AV126" ca="1">IF(OR(Formulas!AX123=0,Formulas!AX123="",RIGHT(Formulas!AY123)="0"),"",
HYPERLINK("["&amp;Archivo_Nombre&amp;"]Datos!"&amp;LEFT(SUBSTITUTE(ADDRESS(1,IF(Formulas!AX123=1,1,RIGHT(Formulas!AY123)+2)),"$",""))&amp;Formulas!AW123+1,
IFERROR(INDEX(Datos!$A$1:$L$1,1,RIGHT(Formulas!AY123)+2)&amp;IF(Formulas!AX123=1," "&amp;Formulas!AW123,"")&amp;":","")))</f>
        <v/>
      </c>
      <c r="AW126" s="107" t="str" cm="1">
        <f t="array" aca="1" ref="AW126" ca="1">IF(OR(Formulas!AX123=0,Formulas!AX123="",RIGHT(Formulas!AY123)="0"),"",
HYPERLINK("["&amp;Archivo_Nombre&amp;"]Datos!"&amp;LEFT(SUBSTITUTE(ADDRESS(1,RIGHT(Formulas!AY123)+2),"$",""))&amp;Formulas!AW123+1,
IFERROR(INDEX(Datos!$A$2:$L$101,Formulas!AW123,RIGHT(Formulas!AY123)+2),"")))</f>
        <v/>
      </c>
      <c r="AX126" s="107" t="str" cm="1">
        <f t="array" aca="1" ref="AX126" ca="1">IF(OR(Formulas!AY124=0,Formulas!AY124=""),"",HYPERLINK("["&amp;Archivo_Nombre&amp;"]Datos!"&amp;LEFT(SUBSTITUTE(ADDRESS(1,Formulas!AY124+2),"$",""))&amp;Formulas!AX124+1,
IFERROR(INDEX(Datos!$A$2:$L$101,Formulas!AX124,Formulas!AY124+2),"")))</f>
        <v/>
      </c>
      <c r="AY126" s="13"/>
    </row>
    <row r="127" spans="2:51" x14ac:dyDescent="0.25">
      <c r="B127" s="11"/>
      <c r="C127" s="24" t="str" cm="1">
        <f t="array" aca="1" ref="C127" ca="1">IF(OR(Formulas!E124=0,Formulas!E124="",RIGHT(Formulas!F124)="0"),"",
HYPERLINK("["&amp;Archivo_Nombre&amp;"]Datos!"&amp;LEFT(SUBSTITUTE(ADDRESS(1,IF(Formulas!E124=1,1,RIGHT(Formulas!F124)+2)),"$",""))&amp;Formulas!D124+1,
IFERROR(INDEX(Datos!$A$1:$L$1,1,RIGHT(Formulas!F124)+2)&amp;IF(Formulas!E124=1," "&amp;Formulas!D124,"")&amp;":","")))</f>
        <v/>
      </c>
      <c r="D127" s="107" t="str" cm="1">
        <f t="array" aca="1" ref="D127" ca="1">IF(OR(Formulas!E124=0,Formulas!E124="",RIGHT(Formulas!F124)="0"),"",
HYPERLINK("["&amp;Archivo_Nombre&amp;"]Datos!"&amp;LEFT(SUBSTITUTE(ADDRESS(1,RIGHT(Formulas!F124)+2),"$",""))&amp;Formulas!D124+1,
IFERROR(INDEX(Datos!$A$2:$L$101,Formulas!D124,RIGHT(Formulas!F124)+2),"")))</f>
        <v/>
      </c>
      <c r="E127" s="107" t="str" cm="1">
        <f t="array" aca="1" ref="E127" ca="1">IF(OR(Formulas!F125=0,Formulas!F125=""),"",HYPERLINK("["&amp;Archivo_Nombre&amp;"]Datos!"&amp;LEFT(SUBSTITUTE(ADDRESS(1,Formulas!F125+2),"$",""))&amp;Formulas!E125+1,
IFERROR(INDEX(Datos!$A$2:$L$101,Formulas!E125,Formulas!F125+2),"")))</f>
        <v/>
      </c>
      <c r="F127" s="5"/>
      <c r="G127" s="6"/>
      <c r="H127" s="24" t="str" cm="1">
        <f t="array" aca="1" ref="H127" ca="1">IF(OR(Formulas!J124=0,Formulas!J124="",RIGHT(Formulas!K124)="0"),"",
HYPERLINK("["&amp;Archivo_Nombre&amp;"]Datos!"&amp;LEFT(SUBSTITUTE(ADDRESS(1,IF(Formulas!J124=1,1,RIGHT(Formulas!K124)+2)),"$",""))&amp;Formulas!I124+1,
IFERROR(INDEX(Datos!$A$1:$L$1,1,RIGHT(Formulas!K124)+2)&amp;IF(Formulas!J124=1," "&amp;Formulas!I124,"")&amp;":","")))</f>
        <v/>
      </c>
      <c r="I127" s="107" t="str" cm="1">
        <f t="array" aca="1" ref="I127" ca="1">IF(OR(Formulas!J124=0,Formulas!J124="",RIGHT(Formulas!K124)="0"),"",
HYPERLINK("["&amp;Archivo_Nombre&amp;"]Datos!"&amp;LEFT(SUBSTITUTE(ADDRESS(1,RIGHT(Formulas!K124)+2),"$",""))&amp;Formulas!I124+1,
IFERROR(INDEX(Datos!$A$2:$L$101,Formulas!I124,RIGHT(Formulas!K124)+2),"")))</f>
        <v/>
      </c>
      <c r="J127" s="107" t="str" cm="1">
        <f t="array" aca="1" ref="J127" ca="1">IF(OR(Formulas!K125=0,Formulas!K125=""),"",HYPERLINK("["&amp;Archivo_Nombre&amp;"]Datos!"&amp;LEFT(SUBSTITUTE(ADDRESS(1,Formulas!K125+2),"$",""))&amp;Formulas!J125+1,
IFERROR(INDEX(Datos!$A$2:$L$101,Formulas!J125,Formulas!K125+2),"")))</f>
        <v/>
      </c>
      <c r="K127" s="5"/>
      <c r="L127" s="6"/>
      <c r="M127" s="24" t="str" cm="1">
        <f t="array" aca="1" ref="M127" ca="1">IF(OR(Formulas!O124=0,Formulas!O124="",RIGHT(Formulas!P124)="0"),"",
HYPERLINK("["&amp;Archivo_Nombre&amp;"]Datos!"&amp;LEFT(SUBSTITUTE(ADDRESS(1,IF(Formulas!O124=1,1,RIGHT(Formulas!P124)+2)),"$",""))&amp;Formulas!N124+1,
IFERROR(INDEX(Datos!$A$1:$L$1,1,RIGHT(Formulas!P124)+2)&amp;IF(Formulas!O124=1," "&amp;Formulas!N124,"")&amp;":","")))</f>
        <v/>
      </c>
      <c r="N127" s="107" t="str" cm="1">
        <f t="array" aca="1" ref="N127" ca="1">IF(OR(Formulas!O124=0,Formulas!O124="",RIGHT(Formulas!P124)="0"),"",
HYPERLINK("["&amp;Archivo_Nombre&amp;"]Datos!"&amp;LEFT(SUBSTITUTE(ADDRESS(1,RIGHT(Formulas!P124)+2),"$",""))&amp;Formulas!N124+1,
IFERROR(INDEX(Datos!$A$2:$L$101,Formulas!N124,RIGHT(Formulas!P124)+2),"")))</f>
        <v/>
      </c>
      <c r="O127" s="107" t="str" cm="1">
        <f t="array" aca="1" ref="O127" ca="1">IF(OR(Formulas!P125=0,Formulas!P125=""),"",HYPERLINK("["&amp;Archivo_Nombre&amp;"]Datos!"&amp;LEFT(SUBSTITUTE(ADDRESS(1,Formulas!P125+2),"$",""))&amp;Formulas!O125+1,
IFERROR(INDEX(Datos!$A$2:$L$101,Formulas!O125,Formulas!P125+2),"")))</f>
        <v/>
      </c>
      <c r="P127" s="5"/>
      <c r="Q127" s="6"/>
      <c r="R127" s="24" t="str" cm="1">
        <f t="array" aca="1" ref="R127" ca="1">IF(OR(Formulas!T124=0,Formulas!T124="",RIGHT(Formulas!U124)="0"),"",
HYPERLINK("["&amp;Archivo_Nombre&amp;"]Datos!"&amp;LEFT(SUBSTITUTE(ADDRESS(1,IF(Formulas!T124=1,1,RIGHT(Formulas!U124)+2)),"$",""))&amp;Formulas!S124+1,
IFERROR(INDEX(Datos!$A$1:$L$1,1,RIGHT(Formulas!U124)+2)&amp;IF(Formulas!T124=1," "&amp;Formulas!S124,"")&amp;":","")))</f>
        <v>Tarea:</v>
      </c>
      <c r="S127" s="107" t="str" cm="1">
        <f t="array" aca="1" ref="S127" ca="1">IF(OR(Formulas!T124=0,Formulas!T124="",RIGHT(Formulas!U124)="0"),"",
HYPERLINK("["&amp;Archivo_Nombre&amp;"]Datos!"&amp;LEFT(SUBSTITUTE(ADDRESS(1,RIGHT(Formulas!U124)+2),"$",""))&amp;Formulas!S124+1,
IFERROR(INDEX(Datos!$A$2:$L$101,Formulas!S124,RIGHT(Formulas!U124)+2),"")))</f>
        <v>Creación de la lista de interesados</v>
      </c>
      <c r="T127" s="107" t="e" cm="1">
        <f t="array" aca="1" ref="T127" ca="1">IF(OR(Formulas!U125=0,Formulas!U125=""),"",HYPERLINK("["&amp;Archivo_Nombre&amp;"]Datos!"&amp;LEFT(SUBSTITUTE(ADDRESS(1,Formulas!U125+2),"$",""))&amp;Formulas!T125+1,
IFERROR(INDEX(Datos!$A$2:$L$101,Formulas!T125,Formulas!U125+2),"")))</f>
        <v>#VALUE!</v>
      </c>
      <c r="U127" s="5"/>
      <c r="V127" s="6"/>
      <c r="W127" s="24" t="str" cm="1">
        <f t="array" aca="1" ref="W127" ca="1">IF(OR(Formulas!Y124=0,Formulas!Y124="",RIGHT(Formulas!Z124)="0"),"",
HYPERLINK("["&amp;Archivo_Nombre&amp;"]Datos!"&amp;LEFT(SUBSTITUTE(ADDRESS(1,IF(Formulas!Y124=1,1,RIGHT(Formulas!Z124)+2)),"$",""))&amp;Formulas!X124+1,
IFERROR(INDEX(Datos!$A$1:$L$1,1,RIGHT(Formulas!Z124)+2)&amp;IF(Formulas!Y124=1," "&amp;Formulas!X124,"")&amp;":","")))</f>
        <v/>
      </c>
      <c r="X127" s="107" t="str" cm="1">
        <f t="array" aca="1" ref="X127" ca="1">IF(OR(Formulas!Y124=0,Formulas!Y124="",RIGHT(Formulas!Z124)="0"),"",
HYPERLINK("["&amp;Archivo_Nombre&amp;"]Datos!"&amp;LEFT(SUBSTITUTE(ADDRESS(1,RIGHT(Formulas!Z124)+2),"$",""))&amp;Formulas!X124+1,
IFERROR(INDEX(Datos!$A$2:$L$101,Formulas!X124,RIGHT(Formulas!Z124)+2),"")))</f>
        <v/>
      </c>
      <c r="Y127" s="107" t="str" cm="1">
        <f t="array" aca="1" ref="Y127" ca="1">IF(OR(Formulas!Z125=0,Formulas!Z125=""),"",HYPERLINK("["&amp;Archivo_Nombre&amp;"]Datos!"&amp;LEFT(SUBSTITUTE(ADDRESS(1,Formulas!Z125+2),"$",""))&amp;Formulas!Y125+1,
IFERROR(INDEX(Datos!$A$2:$L$101,Formulas!Y125,Formulas!Z125+2),"")))</f>
        <v/>
      </c>
      <c r="Z127" s="13"/>
      <c r="AA127" s="6"/>
      <c r="AB127" s="24" t="str" cm="1">
        <f t="array" aca="1" ref="AB127" ca="1">IF(OR(Formulas!AD124=0,Formulas!AD124="",RIGHT(Formulas!AE124)="0"),"",
HYPERLINK("["&amp;Archivo_Nombre&amp;"]Datos!"&amp;LEFT(SUBSTITUTE(ADDRESS(1,IF(Formulas!AD124=1,1,RIGHT(Formulas!AE124)+2)),"$",""))&amp;Formulas!AC124+1,
IFERROR(INDEX(Datos!$A$1:$L$1,1,RIGHT(Formulas!AE124)+2)&amp;IF(Formulas!AD124=1," "&amp;Formulas!AC124,"")&amp;":","")))</f>
        <v/>
      </c>
      <c r="AC127" s="107" t="str" cm="1">
        <f t="array" aca="1" ref="AC127" ca="1">IF(OR(Formulas!AD124=0,Formulas!AD124="",RIGHT(Formulas!AE124)="0"),"",
HYPERLINK("["&amp;Archivo_Nombre&amp;"]Datos!"&amp;LEFT(SUBSTITUTE(ADDRESS(1,RIGHT(Formulas!AE124)+2),"$",""))&amp;Formulas!AC124+1,
IFERROR(INDEX(Datos!$A$2:$L$101,Formulas!AC124,RIGHT(Formulas!AE124)+2),"")))</f>
        <v/>
      </c>
      <c r="AD127" s="107" t="str" cm="1">
        <f t="array" aca="1" ref="AD127" ca="1">IF(OR(Formulas!AE125=0,Formulas!AE125=""),"",HYPERLINK("["&amp;Archivo_Nombre&amp;"]Datos!"&amp;LEFT(SUBSTITUTE(ADDRESS(1,Formulas!AE125+2),"$",""))&amp;Formulas!AD125+1,
IFERROR(INDEX(Datos!$A$2:$L$101,Formulas!AD125,Formulas!AE125+2),"")))</f>
        <v/>
      </c>
      <c r="AE127" s="13"/>
      <c r="AF127" s="6"/>
      <c r="AG127" s="24" t="str" cm="1">
        <f t="array" aca="1" ref="AG127" ca="1">IF(OR(Formulas!AI124=0,Formulas!AI124="",RIGHT(Formulas!AJ124)="0"),"",
HYPERLINK("["&amp;Archivo_Nombre&amp;"]Datos!"&amp;LEFT(SUBSTITUTE(ADDRESS(1,IF(Formulas!AI124=1,1,RIGHT(Formulas!AJ124)+2)),"$",""))&amp;Formulas!AH124+1,
IFERROR(INDEX(Datos!$A$1:$L$1,1,RIGHT(Formulas!AJ124)+2)&amp;IF(Formulas!AI124=1," "&amp;Formulas!AH124,"")&amp;":","")))</f>
        <v/>
      </c>
      <c r="AH127" s="107" t="str" cm="1">
        <f t="array" aca="1" ref="AH127" ca="1">IF(OR(Formulas!AI124=0,Formulas!AI124="",RIGHT(Formulas!AJ124)="0"),"",
HYPERLINK("["&amp;Archivo_Nombre&amp;"]Datos!"&amp;LEFT(SUBSTITUTE(ADDRESS(1,RIGHT(Formulas!AJ124)+2),"$",""))&amp;Formulas!AH124+1,
IFERROR(INDEX(Datos!$A$2:$L$101,Formulas!AH124,RIGHT(Formulas!AJ124)+2),"")))</f>
        <v/>
      </c>
      <c r="AI127" s="107" t="str" cm="1">
        <f t="array" aca="1" ref="AI127" ca="1">IF(OR(Formulas!AJ125=0,Formulas!AJ125=""),"",HYPERLINK("["&amp;Archivo_Nombre&amp;"]Datos!"&amp;LEFT(SUBSTITUTE(ADDRESS(1,Formulas!AJ125+2),"$",""))&amp;Formulas!AI125+1,
IFERROR(INDEX(Datos!$A$2:$L$101,Formulas!AI125,Formulas!AJ125+2),"")))</f>
        <v/>
      </c>
      <c r="AJ127" s="13"/>
      <c r="AK127" s="6"/>
      <c r="AL127" s="24" t="str" cm="1">
        <f t="array" aca="1" ref="AL127" ca="1">IF(OR(Formulas!AN124=0,Formulas!AN124="",RIGHT(Formulas!AO124)="0"),"",
HYPERLINK("["&amp;Archivo_Nombre&amp;"]Datos!"&amp;LEFT(SUBSTITUTE(ADDRESS(1,IF(Formulas!AN124=1,1,RIGHT(Formulas!AO124)+2)),"$",""))&amp;Formulas!AM124+1,
IFERROR(INDEX(Datos!$A$1:$L$1,1,RIGHT(Formulas!AO124)+2)&amp;IF(Formulas!AN124=1," "&amp;Formulas!AM124,"")&amp;":","")))</f>
        <v/>
      </c>
      <c r="AM127" s="107" t="str" cm="1">
        <f t="array" aca="1" ref="AM127" ca="1">IF(OR(Formulas!AN124=0,Formulas!AN124="",RIGHT(Formulas!AO124)="0"),"",
HYPERLINK("["&amp;Archivo_Nombre&amp;"]Datos!"&amp;LEFT(SUBSTITUTE(ADDRESS(1,RIGHT(Formulas!AO124)+2),"$",""))&amp;Formulas!AM124+1,
IFERROR(INDEX(Datos!$A$2:$L$101,Formulas!AM124,RIGHT(Formulas!AO124)+2),"")))</f>
        <v/>
      </c>
      <c r="AN127" s="107" t="str" cm="1">
        <f t="array" aca="1" ref="AN127" ca="1">IF(OR(Formulas!AO125=0,Formulas!AO125=""),"",HYPERLINK("["&amp;Archivo_Nombre&amp;"]Datos!"&amp;LEFT(SUBSTITUTE(ADDRESS(1,Formulas!AO125+2),"$",""))&amp;Formulas!AN125+1,
IFERROR(INDEX(Datos!$A$2:$L$101,Formulas!AN125,Formulas!AO125+2),"")))</f>
        <v/>
      </c>
      <c r="AO127" s="13"/>
      <c r="AP127" s="6"/>
      <c r="AQ127" s="24" t="str" cm="1">
        <f t="array" aca="1" ref="AQ127" ca="1">IF(OR(Formulas!AS124=0,Formulas!AS124="",RIGHT(Formulas!AT124)="0"),"",
HYPERLINK("["&amp;Archivo_Nombre&amp;"]Datos!"&amp;LEFT(SUBSTITUTE(ADDRESS(1,IF(Formulas!AS124=1,1,RIGHT(Formulas!AT124)+2)),"$",""))&amp;Formulas!AR124+1,
IFERROR(INDEX(Datos!$A$1:$L$1,1,RIGHT(Formulas!AT124)+2)&amp;IF(Formulas!AS124=1," "&amp;Formulas!AR124,"")&amp;":","")))</f>
        <v/>
      </c>
      <c r="AR127" s="107" t="str" cm="1">
        <f t="array" aca="1" ref="AR127" ca="1">IF(OR(Formulas!AS124=0,Formulas!AS124="",RIGHT(Formulas!AT124)="0"),"",
HYPERLINK("["&amp;Archivo_Nombre&amp;"]Datos!"&amp;LEFT(SUBSTITUTE(ADDRESS(1,RIGHT(Formulas!AT124)+2),"$",""))&amp;Formulas!AR124+1,
IFERROR(INDEX(Datos!$A$2:$L$101,Formulas!AR124,RIGHT(Formulas!AT124)+2),"")))</f>
        <v/>
      </c>
      <c r="AS127" s="107" t="str" cm="1">
        <f t="array" aca="1" ref="AS127" ca="1">IF(OR(Formulas!AT125=0,Formulas!AT125=""),"",HYPERLINK("["&amp;Archivo_Nombre&amp;"]Datos!"&amp;LEFT(SUBSTITUTE(ADDRESS(1,Formulas!AT125+2),"$",""))&amp;Formulas!AS125+1,
IFERROR(INDEX(Datos!$A$2:$L$101,Formulas!AS125,Formulas!AT125+2),"")))</f>
        <v/>
      </c>
      <c r="AT127" s="13"/>
      <c r="AU127" s="6"/>
      <c r="AV127" s="24" t="str" cm="1">
        <f t="array" aca="1" ref="AV127" ca="1">IF(OR(Formulas!AX124=0,Formulas!AX124="",RIGHT(Formulas!AY124)="0"),"",
HYPERLINK("["&amp;Archivo_Nombre&amp;"]Datos!"&amp;LEFT(SUBSTITUTE(ADDRESS(1,IF(Formulas!AX124=1,1,RIGHT(Formulas!AY124)+2)),"$",""))&amp;Formulas!AW124+1,
IFERROR(INDEX(Datos!$A$1:$L$1,1,RIGHT(Formulas!AY124)+2)&amp;IF(Formulas!AX124=1," "&amp;Formulas!AW124,"")&amp;":","")))</f>
        <v/>
      </c>
      <c r="AW127" s="107" t="str" cm="1">
        <f t="array" aca="1" ref="AW127" ca="1">IF(OR(Formulas!AX124=0,Formulas!AX124="",RIGHT(Formulas!AY124)="0"),"",
HYPERLINK("["&amp;Archivo_Nombre&amp;"]Datos!"&amp;LEFT(SUBSTITUTE(ADDRESS(1,RIGHT(Formulas!AY124)+2),"$",""))&amp;Formulas!AW124+1,
IFERROR(INDEX(Datos!$A$2:$L$101,Formulas!AW124,RIGHT(Formulas!AY124)+2),"")))</f>
        <v/>
      </c>
      <c r="AX127" s="107" t="str" cm="1">
        <f t="array" aca="1" ref="AX127" ca="1">IF(OR(Formulas!AY125=0,Formulas!AY125=""),"",HYPERLINK("["&amp;Archivo_Nombre&amp;"]Datos!"&amp;LEFT(SUBSTITUTE(ADDRESS(1,Formulas!AY125+2),"$",""))&amp;Formulas!AX125+1,
IFERROR(INDEX(Datos!$A$2:$L$101,Formulas!AX125,Formulas!AY125+2),"")))</f>
        <v/>
      </c>
      <c r="AY127" s="13"/>
    </row>
    <row r="128" spans="2:51" x14ac:dyDescent="0.25">
      <c r="B128" s="11"/>
      <c r="C128" s="24" t="str" cm="1">
        <f t="array" aca="1" ref="C128" ca="1">IF(OR(Formulas!E125=0,Formulas!E125="",RIGHT(Formulas!F125)="0"),"",
HYPERLINK("["&amp;Archivo_Nombre&amp;"]Datos!"&amp;LEFT(SUBSTITUTE(ADDRESS(1,IF(Formulas!E125=1,1,RIGHT(Formulas!F125)+2)),"$",""))&amp;Formulas!D125+1,
IFERROR(INDEX(Datos!$A$1:$L$1,1,RIGHT(Formulas!F125)+2)&amp;IF(Formulas!E125=1," "&amp;Formulas!D125,"")&amp;":","")))</f>
        <v/>
      </c>
      <c r="D128" s="107" t="str" cm="1">
        <f t="array" aca="1" ref="D128" ca="1">IF(OR(Formulas!E125=0,Formulas!E125="",RIGHT(Formulas!F125)="0"),"",
HYPERLINK("["&amp;Archivo_Nombre&amp;"]Datos!"&amp;LEFT(SUBSTITUTE(ADDRESS(1,RIGHT(Formulas!F125)+2),"$",""))&amp;Formulas!D125+1,
IFERROR(INDEX(Datos!$A$2:$L$101,Formulas!D125,RIGHT(Formulas!F125)+2),"")))</f>
        <v/>
      </c>
      <c r="E128" s="107" t="str" cm="1">
        <f t="array" aca="1" ref="E128" ca="1">IF(OR(Formulas!F126=0,Formulas!F126=""),"",HYPERLINK("["&amp;Archivo_Nombre&amp;"]Datos!"&amp;LEFT(SUBSTITUTE(ADDRESS(1,Formulas!F126+2),"$",""))&amp;Formulas!E126+1,
IFERROR(INDEX(Datos!$A$2:$L$101,Formulas!E126,Formulas!F126+2),"")))</f>
        <v/>
      </c>
      <c r="F128" s="5"/>
      <c r="G128" s="6"/>
      <c r="H128" s="24" t="str" cm="1">
        <f t="array" aca="1" ref="H128" ca="1">IF(OR(Formulas!J125=0,Formulas!J125="",RIGHT(Formulas!K125)="0"),"",
HYPERLINK("["&amp;Archivo_Nombre&amp;"]Datos!"&amp;LEFT(SUBSTITUTE(ADDRESS(1,IF(Formulas!J125=1,1,RIGHT(Formulas!K125)+2)),"$",""))&amp;Formulas!I125+1,
IFERROR(INDEX(Datos!$A$1:$L$1,1,RIGHT(Formulas!K125)+2)&amp;IF(Formulas!J125=1," "&amp;Formulas!I125,"")&amp;":","")))</f>
        <v/>
      </c>
      <c r="I128" s="107" t="str" cm="1">
        <f t="array" aca="1" ref="I128" ca="1">IF(OR(Formulas!J125=0,Formulas!J125="",RIGHT(Formulas!K125)="0"),"",
HYPERLINK("["&amp;Archivo_Nombre&amp;"]Datos!"&amp;LEFT(SUBSTITUTE(ADDRESS(1,RIGHT(Formulas!K125)+2),"$",""))&amp;Formulas!I125+1,
IFERROR(INDEX(Datos!$A$2:$L$101,Formulas!I125,RIGHT(Formulas!K125)+2),"")))</f>
        <v/>
      </c>
      <c r="J128" s="107" t="str" cm="1">
        <f t="array" aca="1" ref="J128" ca="1">IF(OR(Formulas!K126=0,Formulas!K126=""),"",HYPERLINK("["&amp;Archivo_Nombre&amp;"]Datos!"&amp;LEFT(SUBSTITUTE(ADDRESS(1,Formulas!K126+2),"$",""))&amp;Formulas!J126+1,
IFERROR(INDEX(Datos!$A$2:$L$101,Formulas!J126,Formulas!K126+2),"")))</f>
        <v/>
      </c>
      <c r="K128" s="5"/>
      <c r="L128" s="6"/>
      <c r="M128" s="24" t="str" cm="1">
        <f t="array" aca="1" ref="M128" ca="1">IF(OR(Formulas!O125=0,Formulas!O125="",RIGHT(Formulas!P125)="0"),"",
HYPERLINK("["&amp;Archivo_Nombre&amp;"]Datos!"&amp;LEFT(SUBSTITUTE(ADDRESS(1,IF(Formulas!O125=1,1,RIGHT(Formulas!P125)+2)),"$",""))&amp;Formulas!N125+1,
IFERROR(INDEX(Datos!$A$1:$L$1,1,RIGHT(Formulas!P125)+2)&amp;IF(Formulas!O125=1," "&amp;Formulas!N125,"")&amp;":","")))</f>
        <v/>
      </c>
      <c r="N128" s="107" t="str" cm="1">
        <f t="array" aca="1" ref="N128" ca="1">IF(OR(Formulas!O125=0,Formulas!O125="",RIGHT(Formulas!P125)="0"),"",
HYPERLINK("["&amp;Archivo_Nombre&amp;"]Datos!"&amp;LEFT(SUBSTITUTE(ADDRESS(1,RIGHT(Formulas!P125)+2),"$",""))&amp;Formulas!N125+1,
IFERROR(INDEX(Datos!$A$2:$L$101,Formulas!N125,RIGHT(Formulas!P125)+2),"")))</f>
        <v/>
      </c>
      <c r="O128" s="107" t="str" cm="1">
        <f t="array" aca="1" ref="O128" ca="1">IF(OR(Formulas!P126=0,Formulas!P126=""),"",HYPERLINK("["&amp;Archivo_Nombre&amp;"]Datos!"&amp;LEFT(SUBSTITUTE(ADDRESS(1,Formulas!P126+2),"$",""))&amp;Formulas!O126+1,
IFERROR(INDEX(Datos!$A$2:$L$101,Formulas!O126,Formulas!P126+2),"")))</f>
        <v/>
      </c>
      <c r="P128" s="5"/>
      <c r="Q128" s="6"/>
      <c r="R128" s="24" t="str" cm="1">
        <f t="array" aca="1" ref="R128" ca="1">IF(OR(Formulas!T125=0,Formulas!T125="",RIGHT(Formulas!U125)="0"),"",
HYPERLINK("["&amp;Archivo_Nombre&amp;"]Datos!"&amp;LEFT(SUBSTITUTE(ADDRESS(1,IF(Formulas!T125=1,1,RIGHT(Formulas!U125)+2)),"$",""))&amp;Formulas!S125+1,
IFERROR(INDEX(Datos!$A$1:$L$1,1,RIGHT(Formulas!U125)+2)&amp;IF(Formulas!T125=1," "&amp;Formulas!S125,"")&amp;":","")))</f>
        <v>Descripción:</v>
      </c>
      <c r="S128" s="107" t="str" cm="1">
        <f t="array" aca="1" ref="S128" ca="1">IF(OR(Formulas!T125=0,Formulas!T125="",RIGHT(Formulas!U125)="0"),"",
HYPERLINK("["&amp;Archivo_Nombre&amp;"]Datos!"&amp;LEFT(SUBSTITUTE(ADDRESS(1,RIGHT(Formulas!U125)+2),"$",""))&amp;Formulas!S125+1,
IFERROR(INDEX(Datos!$A$2:$L$101,Formulas!S125,RIGHT(Formulas!U125)+2),"")))</f>
        <v>Creación de la lista de interesados</v>
      </c>
      <c r="T128" s="107" t="e" cm="1">
        <f t="array" aca="1" ref="T128" ca="1">IF(OR(Formulas!U126=0,Formulas!U126=""),"",HYPERLINK("["&amp;Archivo_Nombre&amp;"]Datos!"&amp;LEFT(SUBSTITUTE(ADDRESS(1,Formulas!U126+2),"$",""))&amp;Formulas!T126+1,
IFERROR(INDEX(Datos!$A$2:$L$101,Formulas!T126,Formulas!U126+2),"")))</f>
        <v>#VALUE!</v>
      </c>
      <c r="U128" s="5"/>
      <c r="V128" s="6"/>
      <c r="W128" s="24" t="str" cm="1">
        <f t="array" aca="1" ref="W128" ca="1">IF(OR(Formulas!Y125=0,Formulas!Y125="",RIGHT(Formulas!Z125)="0"),"",
HYPERLINK("["&amp;Archivo_Nombre&amp;"]Datos!"&amp;LEFT(SUBSTITUTE(ADDRESS(1,IF(Formulas!Y125=1,1,RIGHT(Formulas!Z125)+2)),"$",""))&amp;Formulas!X125+1,
IFERROR(INDEX(Datos!$A$1:$L$1,1,RIGHT(Formulas!Z125)+2)&amp;IF(Formulas!Y125=1," "&amp;Formulas!X125,"")&amp;":","")))</f>
        <v/>
      </c>
      <c r="X128" s="107" t="str" cm="1">
        <f t="array" aca="1" ref="X128" ca="1">IF(OR(Formulas!Y125=0,Formulas!Y125="",RIGHT(Formulas!Z125)="0"),"",
HYPERLINK("["&amp;Archivo_Nombre&amp;"]Datos!"&amp;LEFT(SUBSTITUTE(ADDRESS(1,RIGHT(Formulas!Z125)+2),"$",""))&amp;Formulas!X125+1,
IFERROR(INDEX(Datos!$A$2:$L$101,Formulas!X125,RIGHT(Formulas!Z125)+2),"")))</f>
        <v/>
      </c>
      <c r="Y128" s="107" t="str" cm="1">
        <f t="array" aca="1" ref="Y128" ca="1">IF(OR(Formulas!Z126=0,Formulas!Z126=""),"",HYPERLINK("["&amp;Archivo_Nombre&amp;"]Datos!"&amp;LEFT(SUBSTITUTE(ADDRESS(1,Formulas!Z126+2),"$",""))&amp;Formulas!Y126+1,
IFERROR(INDEX(Datos!$A$2:$L$101,Formulas!Y126,Formulas!Z126+2),"")))</f>
        <v/>
      </c>
      <c r="Z128" s="13"/>
      <c r="AA128" s="6"/>
      <c r="AB128" s="24" t="str" cm="1">
        <f t="array" aca="1" ref="AB128" ca="1">IF(OR(Formulas!AD125=0,Formulas!AD125="",RIGHT(Formulas!AE125)="0"),"",
HYPERLINK("["&amp;Archivo_Nombre&amp;"]Datos!"&amp;LEFT(SUBSTITUTE(ADDRESS(1,IF(Formulas!AD125=1,1,RIGHT(Formulas!AE125)+2)),"$",""))&amp;Formulas!AC125+1,
IFERROR(INDEX(Datos!$A$1:$L$1,1,RIGHT(Formulas!AE125)+2)&amp;IF(Formulas!AD125=1," "&amp;Formulas!AC125,"")&amp;":","")))</f>
        <v/>
      </c>
      <c r="AC128" s="107" t="str" cm="1">
        <f t="array" aca="1" ref="AC128" ca="1">IF(OR(Formulas!AD125=0,Formulas!AD125="",RIGHT(Formulas!AE125)="0"),"",
HYPERLINK("["&amp;Archivo_Nombre&amp;"]Datos!"&amp;LEFT(SUBSTITUTE(ADDRESS(1,RIGHT(Formulas!AE125)+2),"$",""))&amp;Formulas!AC125+1,
IFERROR(INDEX(Datos!$A$2:$L$101,Formulas!AC125,RIGHT(Formulas!AE125)+2),"")))</f>
        <v/>
      </c>
      <c r="AD128" s="107" t="str" cm="1">
        <f t="array" aca="1" ref="AD128" ca="1">IF(OR(Formulas!AE126=0,Formulas!AE126=""),"",HYPERLINK("["&amp;Archivo_Nombre&amp;"]Datos!"&amp;LEFT(SUBSTITUTE(ADDRESS(1,Formulas!AE126+2),"$",""))&amp;Formulas!AD126+1,
IFERROR(INDEX(Datos!$A$2:$L$101,Formulas!AD126,Formulas!AE126+2),"")))</f>
        <v/>
      </c>
      <c r="AE128" s="13"/>
      <c r="AF128" s="6"/>
      <c r="AG128" s="24" t="str" cm="1">
        <f t="array" aca="1" ref="AG128" ca="1">IF(OR(Formulas!AI125=0,Formulas!AI125="",RIGHT(Formulas!AJ125)="0"),"",
HYPERLINK("["&amp;Archivo_Nombre&amp;"]Datos!"&amp;LEFT(SUBSTITUTE(ADDRESS(1,IF(Formulas!AI125=1,1,RIGHT(Formulas!AJ125)+2)),"$",""))&amp;Formulas!AH125+1,
IFERROR(INDEX(Datos!$A$1:$L$1,1,RIGHT(Formulas!AJ125)+2)&amp;IF(Formulas!AI125=1," "&amp;Formulas!AH125,"")&amp;":","")))</f>
        <v/>
      </c>
      <c r="AH128" s="107" t="str" cm="1">
        <f t="array" aca="1" ref="AH128" ca="1">IF(OR(Formulas!AI125=0,Formulas!AI125="",RIGHT(Formulas!AJ125)="0"),"",
HYPERLINK("["&amp;Archivo_Nombre&amp;"]Datos!"&amp;LEFT(SUBSTITUTE(ADDRESS(1,RIGHT(Formulas!AJ125)+2),"$",""))&amp;Formulas!AH125+1,
IFERROR(INDEX(Datos!$A$2:$L$101,Formulas!AH125,RIGHT(Formulas!AJ125)+2),"")))</f>
        <v/>
      </c>
      <c r="AI128" s="107" t="str" cm="1">
        <f t="array" aca="1" ref="AI128" ca="1">IF(OR(Formulas!AJ126=0,Formulas!AJ126=""),"",HYPERLINK("["&amp;Archivo_Nombre&amp;"]Datos!"&amp;LEFT(SUBSTITUTE(ADDRESS(1,Formulas!AJ126+2),"$",""))&amp;Formulas!AI126+1,
IFERROR(INDEX(Datos!$A$2:$L$101,Formulas!AI126,Formulas!AJ126+2),"")))</f>
        <v/>
      </c>
      <c r="AJ128" s="13"/>
      <c r="AK128" s="6"/>
      <c r="AL128" s="24" t="str" cm="1">
        <f t="array" aca="1" ref="AL128" ca="1">IF(OR(Formulas!AN125=0,Formulas!AN125="",RIGHT(Formulas!AO125)="0"),"",
HYPERLINK("["&amp;Archivo_Nombre&amp;"]Datos!"&amp;LEFT(SUBSTITUTE(ADDRESS(1,IF(Formulas!AN125=1,1,RIGHT(Formulas!AO125)+2)),"$",""))&amp;Formulas!AM125+1,
IFERROR(INDEX(Datos!$A$1:$L$1,1,RIGHT(Formulas!AO125)+2)&amp;IF(Formulas!AN125=1," "&amp;Formulas!AM125,"")&amp;":","")))</f>
        <v/>
      </c>
      <c r="AM128" s="107" t="str" cm="1">
        <f t="array" aca="1" ref="AM128" ca="1">IF(OR(Formulas!AN125=0,Formulas!AN125="",RIGHT(Formulas!AO125)="0"),"",
HYPERLINK("["&amp;Archivo_Nombre&amp;"]Datos!"&amp;LEFT(SUBSTITUTE(ADDRESS(1,RIGHT(Formulas!AO125)+2),"$",""))&amp;Formulas!AM125+1,
IFERROR(INDEX(Datos!$A$2:$L$101,Formulas!AM125,RIGHT(Formulas!AO125)+2),"")))</f>
        <v/>
      </c>
      <c r="AN128" s="107" t="str" cm="1">
        <f t="array" aca="1" ref="AN128" ca="1">IF(OR(Formulas!AO126=0,Formulas!AO126=""),"",HYPERLINK("["&amp;Archivo_Nombre&amp;"]Datos!"&amp;LEFT(SUBSTITUTE(ADDRESS(1,Formulas!AO126+2),"$",""))&amp;Formulas!AN126+1,
IFERROR(INDEX(Datos!$A$2:$L$101,Formulas!AN126,Formulas!AO126+2),"")))</f>
        <v/>
      </c>
      <c r="AO128" s="13"/>
      <c r="AP128" s="6"/>
      <c r="AQ128" s="24" t="str" cm="1">
        <f t="array" aca="1" ref="AQ128" ca="1">IF(OR(Formulas!AS125=0,Formulas!AS125="",RIGHT(Formulas!AT125)="0"),"",
HYPERLINK("["&amp;Archivo_Nombre&amp;"]Datos!"&amp;LEFT(SUBSTITUTE(ADDRESS(1,IF(Formulas!AS125=1,1,RIGHT(Formulas!AT125)+2)),"$",""))&amp;Formulas!AR125+1,
IFERROR(INDEX(Datos!$A$1:$L$1,1,RIGHT(Formulas!AT125)+2)&amp;IF(Formulas!AS125=1," "&amp;Formulas!AR125,"")&amp;":","")))</f>
        <v/>
      </c>
      <c r="AR128" s="107" t="str" cm="1">
        <f t="array" aca="1" ref="AR128" ca="1">IF(OR(Formulas!AS125=0,Formulas!AS125="",RIGHT(Formulas!AT125)="0"),"",
HYPERLINK("["&amp;Archivo_Nombre&amp;"]Datos!"&amp;LEFT(SUBSTITUTE(ADDRESS(1,RIGHT(Formulas!AT125)+2),"$",""))&amp;Formulas!AR125+1,
IFERROR(INDEX(Datos!$A$2:$L$101,Formulas!AR125,RIGHT(Formulas!AT125)+2),"")))</f>
        <v/>
      </c>
      <c r="AS128" s="107" t="str" cm="1">
        <f t="array" aca="1" ref="AS128" ca="1">IF(OR(Formulas!AT126=0,Formulas!AT126=""),"",HYPERLINK("["&amp;Archivo_Nombre&amp;"]Datos!"&amp;LEFT(SUBSTITUTE(ADDRESS(1,Formulas!AT126+2),"$",""))&amp;Formulas!AS126+1,
IFERROR(INDEX(Datos!$A$2:$L$101,Formulas!AS126,Formulas!AT126+2),"")))</f>
        <v/>
      </c>
      <c r="AT128" s="13"/>
      <c r="AU128" s="6"/>
      <c r="AV128" s="24" t="str" cm="1">
        <f t="array" aca="1" ref="AV128" ca="1">IF(OR(Formulas!AX125=0,Formulas!AX125="",RIGHT(Formulas!AY125)="0"),"",
HYPERLINK("["&amp;Archivo_Nombre&amp;"]Datos!"&amp;LEFT(SUBSTITUTE(ADDRESS(1,IF(Formulas!AX125=1,1,RIGHT(Formulas!AY125)+2)),"$",""))&amp;Formulas!AW125+1,
IFERROR(INDEX(Datos!$A$1:$L$1,1,RIGHT(Formulas!AY125)+2)&amp;IF(Formulas!AX125=1," "&amp;Formulas!AW125,"")&amp;":","")))</f>
        <v/>
      </c>
      <c r="AW128" s="107" t="str" cm="1">
        <f t="array" aca="1" ref="AW128" ca="1">IF(OR(Formulas!AX125=0,Formulas!AX125="",RIGHT(Formulas!AY125)="0"),"",
HYPERLINK("["&amp;Archivo_Nombre&amp;"]Datos!"&amp;LEFT(SUBSTITUTE(ADDRESS(1,RIGHT(Formulas!AY125)+2),"$",""))&amp;Formulas!AW125+1,
IFERROR(INDEX(Datos!$A$2:$L$101,Formulas!AW125,RIGHT(Formulas!AY125)+2),"")))</f>
        <v/>
      </c>
      <c r="AX128" s="107" t="str" cm="1">
        <f t="array" aca="1" ref="AX128" ca="1">IF(OR(Formulas!AY126=0,Formulas!AY126=""),"",HYPERLINK("["&amp;Archivo_Nombre&amp;"]Datos!"&amp;LEFT(SUBSTITUTE(ADDRESS(1,Formulas!AY126+2),"$",""))&amp;Formulas!AX126+1,
IFERROR(INDEX(Datos!$A$2:$L$101,Formulas!AX126,Formulas!AY126+2),"")))</f>
        <v/>
      </c>
      <c r="AY128" s="13"/>
    </row>
    <row r="129" spans="2:51" x14ac:dyDescent="0.25">
      <c r="B129" s="11"/>
      <c r="C129" s="24" t="str" cm="1">
        <f t="array" aca="1" ref="C129" ca="1">IF(OR(Formulas!E126=0,Formulas!E126="",RIGHT(Formulas!F126)="0"),"",
HYPERLINK("["&amp;Archivo_Nombre&amp;"]Datos!"&amp;LEFT(SUBSTITUTE(ADDRESS(1,IF(Formulas!E126=1,1,RIGHT(Formulas!F126)+2)),"$",""))&amp;Formulas!D126+1,
IFERROR(INDEX(Datos!$A$1:$L$1,1,RIGHT(Formulas!F126)+2)&amp;IF(Formulas!E126=1," "&amp;Formulas!D126,"")&amp;":","")))</f>
        <v/>
      </c>
      <c r="D129" s="107" t="str" cm="1">
        <f t="array" aca="1" ref="D129" ca="1">IF(OR(Formulas!E126=0,Formulas!E126="",RIGHT(Formulas!F126)="0"),"",
HYPERLINK("["&amp;Archivo_Nombre&amp;"]Datos!"&amp;LEFT(SUBSTITUTE(ADDRESS(1,RIGHT(Formulas!F126)+2),"$",""))&amp;Formulas!D126+1,
IFERROR(INDEX(Datos!$A$2:$L$101,Formulas!D126,RIGHT(Formulas!F126)+2),"")))</f>
        <v/>
      </c>
      <c r="E129" s="107" t="str" cm="1">
        <f t="array" aca="1" ref="E129" ca="1">IF(OR(Formulas!F127=0,Formulas!F127=""),"",HYPERLINK("["&amp;Archivo_Nombre&amp;"]Datos!"&amp;LEFT(SUBSTITUTE(ADDRESS(1,Formulas!F127+2),"$",""))&amp;Formulas!E127+1,
IFERROR(INDEX(Datos!$A$2:$L$101,Formulas!E127,Formulas!F127+2),"")))</f>
        <v/>
      </c>
      <c r="F129" s="5"/>
      <c r="G129" s="6"/>
      <c r="H129" s="24" t="str" cm="1">
        <f t="array" aca="1" ref="H129" ca="1">IF(OR(Formulas!J126=0,Formulas!J126="",RIGHT(Formulas!K126)="0"),"",
HYPERLINK("["&amp;Archivo_Nombre&amp;"]Datos!"&amp;LEFT(SUBSTITUTE(ADDRESS(1,IF(Formulas!J126=1,1,RIGHT(Formulas!K126)+2)),"$",""))&amp;Formulas!I126+1,
IFERROR(INDEX(Datos!$A$1:$L$1,1,RIGHT(Formulas!K126)+2)&amp;IF(Formulas!J126=1," "&amp;Formulas!I126,"")&amp;":","")))</f>
        <v/>
      </c>
      <c r="I129" s="107" t="str" cm="1">
        <f t="array" aca="1" ref="I129" ca="1">IF(OR(Formulas!J126=0,Formulas!J126="",RIGHT(Formulas!K126)="0"),"",
HYPERLINK("["&amp;Archivo_Nombre&amp;"]Datos!"&amp;LEFT(SUBSTITUTE(ADDRESS(1,RIGHT(Formulas!K126)+2),"$",""))&amp;Formulas!I126+1,
IFERROR(INDEX(Datos!$A$2:$L$101,Formulas!I126,RIGHT(Formulas!K126)+2),"")))</f>
        <v/>
      </c>
      <c r="J129" s="107" t="str" cm="1">
        <f t="array" aca="1" ref="J129" ca="1">IF(OR(Formulas!K127=0,Formulas!K127=""),"",HYPERLINK("["&amp;Archivo_Nombre&amp;"]Datos!"&amp;LEFT(SUBSTITUTE(ADDRESS(1,Formulas!K127+2),"$",""))&amp;Formulas!J127+1,
IFERROR(INDEX(Datos!$A$2:$L$101,Formulas!J127,Formulas!K127+2),"")))</f>
        <v/>
      </c>
      <c r="K129" s="5"/>
      <c r="L129" s="6"/>
      <c r="M129" s="24" t="str" cm="1">
        <f t="array" aca="1" ref="M129" ca="1">IF(OR(Formulas!O126=0,Formulas!O126="",RIGHT(Formulas!P126)="0"),"",
HYPERLINK("["&amp;Archivo_Nombre&amp;"]Datos!"&amp;LEFT(SUBSTITUTE(ADDRESS(1,IF(Formulas!O126=1,1,RIGHT(Formulas!P126)+2)),"$",""))&amp;Formulas!N126+1,
IFERROR(INDEX(Datos!$A$1:$L$1,1,RIGHT(Formulas!P126)+2)&amp;IF(Formulas!O126=1," "&amp;Formulas!N126,"")&amp;":","")))</f>
        <v/>
      </c>
      <c r="N129" s="107" t="str" cm="1">
        <f t="array" aca="1" ref="N129" ca="1">IF(OR(Formulas!O126=0,Formulas!O126="",RIGHT(Formulas!P126)="0"),"",
HYPERLINK("["&amp;Archivo_Nombre&amp;"]Datos!"&amp;LEFT(SUBSTITUTE(ADDRESS(1,RIGHT(Formulas!P126)+2),"$",""))&amp;Formulas!N126+1,
IFERROR(INDEX(Datos!$A$2:$L$101,Formulas!N126,RIGHT(Formulas!P126)+2),"")))</f>
        <v/>
      </c>
      <c r="O129" s="107" t="str" cm="1">
        <f t="array" aca="1" ref="O129" ca="1">IF(OR(Formulas!P127=0,Formulas!P127=""),"",HYPERLINK("["&amp;Archivo_Nombre&amp;"]Datos!"&amp;LEFT(SUBSTITUTE(ADDRESS(1,Formulas!P127+2),"$",""))&amp;Formulas!O127+1,
IFERROR(INDEX(Datos!$A$2:$L$101,Formulas!O127,Formulas!P127+2),"")))</f>
        <v/>
      </c>
      <c r="P129" s="5"/>
      <c r="Q129" s="6"/>
      <c r="R129" s="24" t="str" cm="1">
        <f t="array" aca="1" ref="R129" ca="1">IF(OR(Formulas!T126=0,Formulas!T126="",RIGHT(Formulas!U126)="0"),"",
HYPERLINK("["&amp;Archivo_Nombre&amp;"]Datos!"&amp;LEFT(SUBSTITUTE(ADDRESS(1,IF(Formulas!T126=1,1,RIGHT(Formulas!U126)+2)),"$",""))&amp;Formulas!S126+1,
IFERROR(INDEX(Datos!$A$1:$L$1,1,RIGHT(Formulas!U126)+2)&amp;IF(Formulas!T126=1," "&amp;Formulas!S126,"")&amp;":","")))</f>
        <v>Inicio:</v>
      </c>
      <c r="S129" s="107" cm="1">
        <f t="array" aca="1" ref="S129" ca="1">IF(OR(Formulas!T126=0,Formulas!T126="",RIGHT(Formulas!U126)="0"),"",
HYPERLINK("["&amp;Archivo_Nombre&amp;"]Datos!"&amp;LEFT(SUBSTITUTE(ADDRESS(1,RIGHT(Formulas!U126)+2),"$",""))&amp;Formulas!S126+1,
IFERROR(INDEX(Datos!$A$2:$L$101,Formulas!S126,RIGHT(Formulas!U126)+2),"")))</f>
        <v>45792</v>
      </c>
      <c r="T129" s="107" t="e" cm="1">
        <f t="array" aca="1" ref="T129" ca="1">IF(OR(Formulas!U127=0,Formulas!U127=""),"",HYPERLINK("["&amp;Archivo_Nombre&amp;"]Datos!"&amp;LEFT(SUBSTITUTE(ADDRESS(1,Formulas!U127+2),"$",""))&amp;Formulas!T127+1,
IFERROR(INDEX(Datos!$A$2:$L$101,Formulas!T127,Formulas!U127+2),"")))</f>
        <v>#VALUE!</v>
      </c>
      <c r="U129" s="5"/>
      <c r="V129" s="6"/>
      <c r="W129" s="24" t="str" cm="1">
        <f t="array" aca="1" ref="W129" ca="1">IF(OR(Formulas!Y126=0,Formulas!Y126="",RIGHT(Formulas!Z126)="0"),"",
HYPERLINK("["&amp;Archivo_Nombre&amp;"]Datos!"&amp;LEFT(SUBSTITUTE(ADDRESS(1,IF(Formulas!Y126=1,1,RIGHT(Formulas!Z126)+2)),"$",""))&amp;Formulas!X126+1,
IFERROR(INDEX(Datos!$A$1:$L$1,1,RIGHT(Formulas!Z126)+2)&amp;IF(Formulas!Y126=1," "&amp;Formulas!X126,"")&amp;":","")))</f>
        <v/>
      </c>
      <c r="X129" s="107" t="str" cm="1">
        <f t="array" aca="1" ref="X129" ca="1">IF(OR(Formulas!Y126=0,Formulas!Y126="",RIGHT(Formulas!Z126)="0"),"",
HYPERLINK("["&amp;Archivo_Nombre&amp;"]Datos!"&amp;LEFT(SUBSTITUTE(ADDRESS(1,RIGHT(Formulas!Z126)+2),"$",""))&amp;Formulas!X126+1,
IFERROR(INDEX(Datos!$A$2:$L$101,Formulas!X126,RIGHT(Formulas!Z126)+2),"")))</f>
        <v/>
      </c>
      <c r="Y129" s="107" t="str" cm="1">
        <f t="array" aca="1" ref="Y129" ca="1">IF(OR(Formulas!Z127=0,Formulas!Z127=""),"",HYPERLINK("["&amp;Archivo_Nombre&amp;"]Datos!"&amp;LEFT(SUBSTITUTE(ADDRESS(1,Formulas!Z127+2),"$",""))&amp;Formulas!Y127+1,
IFERROR(INDEX(Datos!$A$2:$L$101,Formulas!Y127,Formulas!Z127+2),"")))</f>
        <v/>
      </c>
      <c r="Z129" s="13"/>
      <c r="AA129" s="6"/>
      <c r="AB129" s="24" t="str" cm="1">
        <f t="array" aca="1" ref="AB129" ca="1">IF(OR(Formulas!AD126=0,Formulas!AD126="",RIGHT(Formulas!AE126)="0"),"",
HYPERLINK("["&amp;Archivo_Nombre&amp;"]Datos!"&amp;LEFT(SUBSTITUTE(ADDRESS(1,IF(Formulas!AD126=1,1,RIGHT(Formulas!AE126)+2)),"$",""))&amp;Formulas!AC126+1,
IFERROR(INDEX(Datos!$A$1:$L$1,1,RIGHT(Formulas!AE126)+2)&amp;IF(Formulas!AD126=1," "&amp;Formulas!AC126,"")&amp;":","")))</f>
        <v/>
      </c>
      <c r="AC129" s="107" t="str" cm="1">
        <f t="array" aca="1" ref="AC129" ca="1">IF(OR(Formulas!AD126=0,Formulas!AD126="",RIGHT(Formulas!AE126)="0"),"",
HYPERLINK("["&amp;Archivo_Nombre&amp;"]Datos!"&amp;LEFT(SUBSTITUTE(ADDRESS(1,RIGHT(Formulas!AE126)+2),"$",""))&amp;Formulas!AC126+1,
IFERROR(INDEX(Datos!$A$2:$L$101,Formulas!AC126,RIGHT(Formulas!AE126)+2),"")))</f>
        <v/>
      </c>
      <c r="AD129" s="107" t="str" cm="1">
        <f t="array" aca="1" ref="AD129" ca="1">IF(OR(Formulas!AE127=0,Formulas!AE127=""),"",HYPERLINK("["&amp;Archivo_Nombre&amp;"]Datos!"&amp;LEFT(SUBSTITUTE(ADDRESS(1,Formulas!AE127+2),"$",""))&amp;Formulas!AD127+1,
IFERROR(INDEX(Datos!$A$2:$L$101,Formulas!AD127,Formulas!AE127+2),"")))</f>
        <v/>
      </c>
      <c r="AE129" s="13"/>
      <c r="AF129" s="6"/>
      <c r="AG129" s="24" t="str" cm="1">
        <f t="array" aca="1" ref="AG129" ca="1">IF(OR(Formulas!AI126=0,Formulas!AI126="",RIGHT(Formulas!AJ126)="0"),"",
HYPERLINK("["&amp;Archivo_Nombre&amp;"]Datos!"&amp;LEFT(SUBSTITUTE(ADDRESS(1,IF(Formulas!AI126=1,1,RIGHT(Formulas!AJ126)+2)),"$",""))&amp;Formulas!AH126+1,
IFERROR(INDEX(Datos!$A$1:$L$1,1,RIGHT(Formulas!AJ126)+2)&amp;IF(Formulas!AI126=1," "&amp;Formulas!AH126,"")&amp;":","")))</f>
        <v/>
      </c>
      <c r="AH129" s="107" t="str" cm="1">
        <f t="array" aca="1" ref="AH129" ca="1">IF(OR(Formulas!AI126=0,Formulas!AI126="",RIGHT(Formulas!AJ126)="0"),"",
HYPERLINK("["&amp;Archivo_Nombre&amp;"]Datos!"&amp;LEFT(SUBSTITUTE(ADDRESS(1,RIGHT(Formulas!AJ126)+2),"$",""))&amp;Formulas!AH126+1,
IFERROR(INDEX(Datos!$A$2:$L$101,Formulas!AH126,RIGHT(Formulas!AJ126)+2),"")))</f>
        <v/>
      </c>
      <c r="AI129" s="107" t="str" cm="1">
        <f t="array" aca="1" ref="AI129" ca="1">IF(OR(Formulas!AJ127=0,Formulas!AJ127=""),"",HYPERLINK("["&amp;Archivo_Nombre&amp;"]Datos!"&amp;LEFT(SUBSTITUTE(ADDRESS(1,Formulas!AJ127+2),"$",""))&amp;Formulas!AI127+1,
IFERROR(INDEX(Datos!$A$2:$L$101,Formulas!AI127,Formulas!AJ127+2),"")))</f>
        <v/>
      </c>
      <c r="AJ129" s="13"/>
      <c r="AK129" s="6"/>
      <c r="AL129" s="24" t="str" cm="1">
        <f t="array" aca="1" ref="AL129" ca="1">IF(OR(Formulas!AN126=0,Formulas!AN126="",RIGHT(Formulas!AO126)="0"),"",
HYPERLINK("["&amp;Archivo_Nombre&amp;"]Datos!"&amp;LEFT(SUBSTITUTE(ADDRESS(1,IF(Formulas!AN126=1,1,RIGHT(Formulas!AO126)+2)),"$",""))&amp;Formulas!AM126+1,
IFERROR(INDEX(Datos!$A$1:$L$1,1,RIGHT(Formulas!AO126)+2)&amp;IF(Formulas!AN126=1," "&amp;Formulas!AM126,"")&amp;":","")))</f>
        <v/>
      </c>
      <c r="AM129" s="107" t="str" cm="1">
        <f t="array" aca="1" ref="AM129" ca="1">IF(OR(Formulas!AN126=0,Formulas!AN126="",RIGHT(Formulas!AO126)="0"),"",
HYPERLINK("["&amp;Archivo_Nombre&amp;"]Datos!"&amp;LEFT(SUBSTITUTE(ADDRESS(1,RIGHT(Formulas!AO126)+2),"$",""))&amp;Formulas!AM126+1,
IFERROR(INDEX(Datos!$A$2:$L$101,Formulas!AM126,RIGHT(Formulas!AO126)+2),"")))</f>
        <v/>
      </c>
      <c r="AN129" s="107" t="str" cm="1">
        <f t="array" aca="1" ref="AN129" ca="1">IF(OR(Formulas!AO127=0,Formulas!AO127=""),"",HYPERLINK("["&amp;Archivo_Nombre&amp;"]Datos!"&amp;LEFT(SUBSTITUTE(ADDRESS(1,Formulas!AO127+2),"$",""))&amp;Formulas!AN127+1,
IFERROR(INDEX(Datos!$A$2:$L$101,Formulas!AN127,Formulas!AO127+2),"")))</f>
        <v/>
      </c>
      <c r="AO129" s="13"/>
      <c r="AP129" s="6"/>
      <c r="AQ129" s="24" t="str" cm="1">
        <f t="array" aca="1" ref="AQ129" ca="1">IF(OR(Formulas!AS126=0,Formulas!AS126="",RIGHT(Formulas!AT126)="0"),"",
HYPERLINK("["&amp;Archivo_Nombre&amp;"]Datos!"&amp;LEFT(SUBSTITUTE(ADDRESS(1,IF(Formulas!AS126=1,1,RIGHT(Formulas!AT126)+2)),"$",""))&amp;Formulas!AR126+1,
IFERROR(INDEX(Datos!$A$1:$L$1,1,RIGHT(Formulas!AT126)+2)&amp;IF(Formulas!AS126=1," "&amp;Formulas!AR126,"")&amp;":","")))</f>
        <v/>
      </c>
      <c r="AR129" s="107" t="str" cm="1">
        <f t="array" aca="1" ref="AR129" ca="1">IF(OR(Formulas!AS126=0,Formulas!AS126="",RIGHT(Formulas!AT126)="0"),"",
HYPERLINK("["&amp;Archivo_Nombre&amp;"]Datos!"&amp;LEFT(SUBSTITUTE(ADDRESS(1,RIGHT(Formulas!AT126)+2),"$",""))&amp;Formulas!AR126+1,
IFERROR(INDEX(Datos!$A$2:$L$101,Formulas!AR126,RIGHT(Formulas!AT126)+2),"")))</f>
        <v/>
      </c>
      <c r="AS129" s="107" t="str" cm="1">
        <f t="array" aca="1" ref="AS129" ca="1">IF(OR(Formulas!AT127=0,Formulas!AT127=""),"",HYPERLINK("["&amp;Archivo_Nombre&amp;"]Datos!"&amp;LEFT(SUBSTITUTE(ADDRESS(1,Formulas!AT127+2),"$",""))&amp;Formulas!AS127+1,
IFERROR(INDEX(Datos!$A$2:$L$101,Formulas!AS127,Formulas!AT127+2),"")))</f>
        <v/>
      </c>
      <c r="AT129" s="13"/>
      <c r="AU129" s="6"/>
      <c r="AV129" s="24" t="str" cm="1">
        <f t="array" aca="1" ref="AV129" ca="1">IF(OR(Formulas!AX126=0,Formulas!AX126="",RIGHT(Formulas!AY126)="0"),"",
HYPERLINK("["&amp;Archivo_Nombre&amp;"]Datos!"&amp;LEFT(SUBSTITUTE(ADDRESS(1,IF(Formulas!AX126=1,1,RIGHT(Formulas!AY126)+2)),"$",""))&amp;Formulas!AW126+1,
IFERROR(INDEX(Datos!$A$1:$L$1,1,RIGHT(Formulas!AY126)+2)&amp;IF(Formulas!AX126=1," "&amp;Formulas!AW126,"")&amp;":","")))</f>
        <v/>
      </c>
      <c r="AW129" s="107" t="str" cm="1">
        <f t="array" aca="1" ref="AW129" ca="1">IF(OR(Formulas!AX126=0,Formulas!AX126="",RIGHT(Formulas!AY126)="0"),"",
HYPERLINK("["&amp;Archivo_Nombre&amp;"]Datos!"&amp;LEFT(SUBSTITUTE(ADDRESS(1,RIGHT(Formulas!AY126)+2),"$",""))&amp;Formulas!AW126+1,
IFERROR(INDEX(Datos!$A$2:$L$101,Formulas!AW126,RIGHT(Formulas!AY126)+2),"")))</f>
        <v/>
      </c>
      <c r="AX129" s="107" t="str" cm="1">
        <f t="array" aca="1" ref="AX129" ca="1">IF(OR(Formulas!AY127=0,Formulas!AY127=""),"",HYPERLINK("["&amp;Archivo_Nombre&amp;"]Datos!"&amp;LEFT(SUBSTITUTE(ADDRESS(1,Formulas!AY127+2),"$",""))&amp;Formulas!AX127+1,
IFERROR(INDEX(Datos!$A$2:$L$101,Formulas!AX127,Formulas!AY127+2),"")))</f>
        <v/>
      </c>
      <c r="AY129" s="13"/>
    </row>
    <row r="130" spans="2:51" x14ac:dyDescent="0.25">
      <c r="B130" s="11"/>
      <c r="C130" s="24" t="str" cm="1">
        <f t="array" aca="1" ref="C130" ca="1">IF(OR(Formulas!E127=0,Formulas!E127="",RIGHT(Formulas!F127)="0"),"",
HYPERLINK("["&amp;Archivo_Nombre&amp;"]Datos!"&amp;LEFT(SUBSTITUTE(ADDRESS(1,IF(Formulas!E127=1,1,RIGHT(Formulas!F127)+2)),"$",""))&amp;Formulas!D127+1,
IFERROR(INDEX(Datos!$A$1:$L$1,1,RIGHT(Formulas!F127)+2)&amp;IF(Formulas!E127=1," "&amp;Formulas!D127,"")&amp;":","")))</f>
        <v/>
      </c>
      <c r="D130" s="107" t="str" cm="1">
        <f t="array" aca="1" ref="D130" ca="1">IF(OR(Formulas!E127=0,Formulas!E127="",RIGHT(Formulas!F127)="0"),"",
HYPERLINK("["&amp;Archivo_Nombre&amp;"]Datos!"&amp;LEFT(SUBSTITUTE(ADDRESS(1,RIGHT(Formulas!F127)+2),"$",""))&amp;Formulas!D127+1,
IFERROR(INDEX(Datos!$A$2:$L$101,Formulas!D127,RIGHT(Formulas!F127)+2),"")))</f>
        <v/>
      </c>
      <c r="E130" s="107" t="str" cm="1">
        <f t="array" aca="1" ref="E130" ca="1">IF(OR(Formulas!F128=0,Formulas!F128=""),"",HYPERLINK("["&amp;Archivo_Nombre&amp;"]Datos!"&amp;LEFT(SUBSTITUTE(ADDRESS(1,Formulas!F128+2),"$",""))&amp;Formulas!E128+1,
IFERROR(INDEX(Datos!$A$2:$L$101,Formulas!E128,Formulas!F128+2),"")))</f>
        <v/>
      </c>
      <c r="F130" s="5"/>
      <c r="G130" s="6"/>
      <c r="H130" s="24" t="str" cm="1">
        <f t="array" aca="1" ref="H130" ca="1">IF(OR(Formulas!J127=0,Formulas!J127="",RIGHT(Formulas!K127)="0"),"",
HYPERLINK("["&amp;Archivo_Nombre&amp;"]Datos!"&amp;LEFT(SUBSTITUTE(ADDRESS(1,IF(Formulas!J127=1,1,RIGHT(Formulas!K127)+2)),"$",""))&amp;Formulas!I127+1,
IFERROR(INDEX(Datos!$A$1:$L$1,1,RIGHT(Formulas!K127)+2)&amp;IF(Formulas!J127=1," "&amp;Formulas!I127,"")&amp;":","")))</f>
        <v/>
      </c>
      <c r="I130" s="107" t="str" cm="1">
        <f t="array" aca="1" ref="I130" ca="1">IF(OR(Formulas!J127=0,Formulas!J127="",RIGHT(Formulas!K127)="0"),"",
HYPERLINK("["&amp;Archivo_Nombre&amp;"]Datos!"&amp;LEFT(SUBSTITUTE(ADDRESS(1,RIGHT(Formulas!K127)+2),"$",""))&amp;Formulas!I127+1,
IFERROR(INDEX(Datos!$A$2:$L$101,Formulas!I127,RIGHT(Formulas!K127)+2),"")))</f>
        <v/>
      </c>
      <c r="J130" s="107" t="str" cm="1">
        <f t="array" aca="1" ref="J130" ca="1">IF(OR(Formulas!K128=0,Formulas!K128=""),"",HYPERLINK("["&amp;Archivo_Nombre&amp;"]Datos!"&amp;LEFT(SUBSTITUTE(ADDRESS(1,Formulas!K128+2),"$",""))&amp;Formulas!J128+1,
IFERROR(INDEX(Datos!$A$2:$L$101,Formulas!J128,Formulas!K128+2),"")))</f>
        <v/>
      </c>
      <c r="K130" s="5"/>
      <c r="L130" s="6"/>
      <c r="M130" s="24" t="str" cm="1">
        <f t="array" aca="1" ref="M130" ca="1">IF(OR(Formulas!O127=0,Formulas!O127="",RIGHT(Formulas!P127)="0"),"",
HYPERLINK("["&amp;Archivo_Nombre&amp;"]Datos!"&amp;LEFT(SUBSTITUTE(ADDRESS(1,IF(Formulas!O127=1,1,RIGHT(Formulas!P127)+2)),"$",""))&amp;Formulas!N127+1,
IFERROR(INDEX(Datos!$A$1:$L$1,1,RIGHT(Formulas!P127)+2)&amp;IF(Formulas!O127=1," "&amp;Formulas!N127,"")&amp;":","")))</f>
        <v/>
      </c>
      <c r="N130" s="107" t="str" cm="1">
        <f t="array" aca="1" ref="N130" ca="1">IF(OR(Formulas!O127=0,Formulas!O127="",RIGHT(Formulas!P127)="0"),"",
HYPERLINK("["&amp;Archivo_Nombre&amp;"]Datos!"&amp;LEFT(SUBSTITUTE(ADDRESS(1,RIGHT(Formulas!P127)+2),"$",""))&amp;Formulas!N127+1,
IFERROR(INDEX(Datos!$A$2:$L$101,Formulas!N127,RIGHT(Formulas!P127)+2),"")))</f>
        <v/>
      </c>
      <c r="O130" s="107" t="str" cm="1">
        <f t="array" aca="1" ref="O130" ca="1">IF(OR(Formulas!P128=0,Formulas!P128=""),"",HYPERLINK("["&amp;Archivo_Nombre&amp;"]Datos!"&amp;LEFT(SUBSTITUTE(ADDRESS(1,Formulas!P128+2),"$",""))&amp;Formulas!O128+1,
IFERROR(INDEX(Datos!$A$2:$L$101,Formulas!O128,Formulas!P128+2),"")))</f>
        <v/>
      </c>
      <c r="P130" s="5"/>
      <c r="Q130" s="6"/>
      <c r="R130" s="24" t="str" cm="1">
        <f t="array" aca="1" ref="R130" ca="1">IF(OR(Formulas!T127=0,Formulas!T127="",RIGHT(Formulas!U127)="0"),"",
HYPERLINK("["&amp;Archivo_Nombre&amp;"]Datos!"&amp;LEFT(SUBSTITUTE(ADDRESS(1,IF(Formulas!T127=1,1,RIGHT(Formulas!U127)+2)),"$",""))&amp;Formulas!S127+1,
IFERROR(INDEX(Datos!$A$1:$L$1,1,RIGHT(Formulas!U127)+2)&amp;IF(Formulas!T127=1," "&amp;Formulas!S127,"")&amp;":","")))</f>
        <v>Previsto:</v>
      </c>
      <c r="S130" s="107" cm="1">
        <f t="array" aca="1" ref="S130" ca="1">IF(OR(Formulas!T127=0,Formulas!T127="",RIGHT(Formulas!U127)="0"),"",
HYPERLINK("["&amp;Archivo_Nombre&amp;"]Datos!"&amp;LEFT(SUBSTITUTE(ADDRESS(1,RIGHT(Formulas!U127)+2),"$",""))&amp;Formulas!S127+1,
IFERROR(INDEX(Datos!$A$2:$L$101,Formulas!S127,RIGHT(Formulas!U127)+2),"")))</f>
        <v>45793</v>
      </c>
      <c r="T130" s="107" t="e" cm="1">
        <f t="array" aca="1" ref="T130" ca="1">IF(OR(Formulas!U128=0,Formulas!U128=""),"",HYPERLINK("["&amp;Archivo_Nombre&amp;"]Datos!"&amp;LEFT(SUBSTITUTE(ADDRESS(1,Formulas!U128+2),"$",""))&amp;Formulas!T128+1,
IFERROR(INDEX(Datos!$A$2:$L$101,Formulas!T128,Formulas!U128+2),"")))</f>
        <v>#VALUE!</v>
      </c>
      <c r="U130" s="5"/>
      <c r="V130" s="6"/>
      <c r="W130" s="24" t="str" cm="1">
        <f t="array" aca="1" ref="W130" ca="1">IF(OR(Formulas!Y127=0,Formulas!Y127="",RIGHT(Formulas!Z127)="0"),"",
HYPERLINK("["&amp;Archivo_Nombre&amp;"]Datos!"&amp;LEFT(SUBSTITUTE(ADDRESS(1,IF(Formulas!Y127=1,1,RIGHT(Formulas!Z127)+2)),"$",""))&amp;Formulas!X127+1,
IFERROR(INDEX(Datos!$A$1:$L$1,1,RIGHT(Formulas!Z127)+2)&amp;IF(Formulas!Y127=1," "&amp;Formulas!X127,"")&amp;":","")))</f>
        <v/>
      </c>
      <c r="X130" s="107" t="str" cm="1">
        <f t="array" aca="1" ref="X130" ca="1">IF(OR(Formulas!Y127=0,Formulas!Y127="",RIGHT(Formulas!Z127)="0"),"",
HYPERLINK("["&amp;Archivo_Nombre&amp;"]Datos!"&amp;LEFT(SUBSTITUTE(ADDRESS(1,RIGHT(Formulas!Z127)+2),"$",""))&amp;Formulas!X127+1,
IFERROR(INDEX(Datos!$A$2:$L$101,Formulas!X127,RIGHT(Formulas!Z127)+2),"")))</f>
        <v/>
      </c>
      <c r="Y130" s="107" t="str" cm="1">
        <f t="array" aca="1" ref="Y130" ca="1">IF(OR(Formulas!Z128=0,Formulas!Z128=""),"",HYPERLINK("["&amp;Archivo_Nombre&amp;"]Datos!"&amp;LEFT(SUBSTITUTE(ADDRESS(1,Formulas!Z128+2),"$",""))&amp;Formulas!Y128+1,
IFERROR(INDEX(Datos!$A$2:$L$101,Formulas!Y128,Formulas!Z128+2),"")))</f>
        <v/>
      </c>
      <c r="Z130" s="13"/>
      <c r="AA130" s="6"/>
      <c r="AB130" s="24" t="str" cm="1">
        <f t="array" aca="1" ref="AB130" ca="1">IF(OR(Formulas!AD127=0,Formulas!AD127="",RIGHT(Formulas!AE127)="0"),"",
HYPERLINK("["&amp;Archivo_Nombre&amp;"]Datos!"&amp;LEFT(SUBSTITUTE(ADDRESS(1,IF(Formulas!AD127=1,1,RIGHT(Formulas!AE127)+2)),"$",""))&amp;Formulas!AC127+1,
IFERROR(INDEX(Datos!$A$1:$L$1,1,RIGHT(Formulas!AE127)+2)&amp;IF(Formulas!AD127=1," "&amp;Formulas!AC127,"")&amp;":","")))</f>
        <v/>
      </c>
      <c r="AC130" s="107" t="str" cm="1">
        <f t="array" aca="1" ref="AC130" ca="1">IF(OR(Formulas!AD127=0,Formulas!AD127="",RIGHT(Formulas!AE127)="0"),"",
HYPERLINK("["&amp;Archivo_Nombre&amp;"]Datos!"&amp;LEFT(SUBSTITUTE(ADDRESS(1,RIGHT(Formulas!AE127)+2),"$",""))&amp;Formulas!AC127+1,
IFERROR(INDEX(Datos!$A$2:$L$101,Formulas!AC127,RIGHT(Formulas!AE127)+2),"")))</f>
        <v/>
      </c>
      <c r="AD130" s="107" t="str" cm="1">
        <f t="array" aca="1" ref="AD130" ca="1">IF(OR(Formulas!AE128=0,Formulas!AE128=""),"",HYPERLINK("["&amp;Archivo_Nombre&amp;"]Datos!"&amp;LEFT(SUBSTITUTE(ADDRESS(1,Formulas!AE128+2),"$",""))&amp;Formulas!AD128+1,
IFERROR(INDEX(Datos!$A$2:$L$101,Formulas!AD128,Formulas!AE128+2),"")))</f>
        <v/>
      </c>
      <c r="AE130" s="13"/>
      <c r="AF130" s="6"/>
      <c r="AG130" s="24" t="str" cm="1">
        <f t="array" aca="1" ref="AG130" ca="1">IF(OR(Formulas!AI127=0,Formulas!AI127="",RIGHT(Formulas!AJ127)="0"),"",
HYPERLINK("["&amp;Archivo_Nombre&amp;"]Datos!"&amp;LEFT(SUBSTITUTE(ADDRESS(1,IF(Formulas!AI127=1,1,RIGHT(Formulas!AJ127)+2)),"$",""))&amp;Formulas!AH127+1,
IFERROR(INDEX(Datos!$A$1:$L$1,1,RIGHT(Formulas!AJ127)+2)&amp;IF(Formulas!AI127=1," "&amp;Formulas!AH127,"")&amp;":","")))</f>
        <v/>
      </c>
      <c r="AH130" s="107" t="str" cm="1">
        <f t="array" aca="1" ref="AH130" ca="1">IF(OR(Formulas!AI127=0,Formulas!AI127="",RIGHT(Formulas!AJ127)="0"),"",
HYPERLINK("["&amp;Archivo_Nombre&amp;"]Datos!"&amp;LEFT(SUBSTITUTE(ADDRESS(1,RIGHT(Formulas!AJ127)+2),"$",""))&amp;Formulas!AH127+1,
IFERROR(INDEX(Datos!$A$2:$L$101,Formulas!AH127,RIGHT(Formulas!AJ127)+2),"")))</f>
        <v/>
      </c>
      <c r="AI130" s="107" t="str" cm="1">
        <f t="array" aca="1" ref="AI130" ca="1">IF(OR(Formulas!AJ128=0,Formulas!AJ128=""),"",HYPERLINK("["&amp;Archivo_Nombre&amp;"]Datos!"&amp;LEFT(SUBSTITUTE(ADDRESS(1,Formulas!AJ128+2),"$",""))&amp;Formulas!AI128+1,
IFERROR(INDEX(Datos!$A$2:$L$101,Formulas!AI128,Formulas!AJ128+2),"")))</f>
        <v/>
      </c>
      <c r="AJ130" s="13"/>
      <c r="AK130" s="6"/>
      <c r="AL130" s="24" t="str" cm="1">
        <f t="array" aca="1" ref="AL130" ca="1">IF(OR(Formulas!AN127=0,Formulas!AN127="",RIGHT(Formulas!AO127)="0"),"",
HYPERLINK("["&amp;Archivo_Nombre&amp;"]Datos!"&amp;LEFT(SUBSTITUTE(ADDRESS(1,IF(Formulas!AN127=1,1,RIGHT(Formulas!AO127)+2)),"$",""))&amp;Formulas!AM127+1,
IFERROR(INDEX(Datos!$A$1:$L$1,1,RIGHT(Formulas!AO127)+2)&amp;IF(Formulas!AN127=1," "&amp;Formulas!AM127,"")&amp;":","")))</f>
        <v/>
      </c>
      <c r="AM130" s="107" t="str" cm="1">
        <f t="array" aca="1" ref="AM130" ca="1">IF(OR(Formulas!AN127=0,Formulas!AN127="",RIGHT(Formulas!AO127)="0"),"",
HYPERLINK("["&amp;Archivo_Nombre&amp;"]Datos!"&amp;LEFT(SUBSTITUTE(ADDRESS(1,RIGHT(Formulas!AO127)+2),"$",""))&amp;Formulas!AM127+1,
IFERROR(INDEX(Datos!$A$2:$L$101,Formulas!AM127,RIGHT(Formulas!AO127)+2),"")))</f>
        <v/>
      </c>
      <c r="AN130" s="107" t="str" cm="1">
        <f t="array" aca="1" ref="AN130" ca="1">IF(OR(Formulas!AO128=0,Formulas!AO128=""),"",HYPERLINK("["&amp;Archivo_Nombre&amp;"]Datos!"&amp;LEFT(SUBSTITUTE(ADDRESS(1,Formulas!AO128+2),"$",""))&amp;Formulas!AN128+1,
IFERROR(INDEX(Datos!$A$2:$L$101,Formulas!AN128,Formulas!AO128+2),"")))</f>
        <v/>
      </c>
      <c r="AO130" s="13"/>
      <c r="AP130" s="6"/>
      <c r="AQ130" s="24" t="str" cm="1">
        <f t="array" aca="1" ref="AQ130" ca="1">IF(OR(Formulas!AS127=0,Formulas!AS127="",RIGHT(Formulas!AT127)="0"),"",
HYPERLINK("["&amp;Archivo_Nombre&amp;"]Datos!"&amp;LEFT(SUBSTITUTE(ADDRESS(1,IF(Formulas!AS127=1,1,RIGHT(Formulas!AT127)+2)),"$",""))&amp;Formulas!AR127+1,
IFERROR(INDEX(Datos!$A$1:$L$1,1,RIGHT(Formulas!AT127)+2)&amp;IF(Formulas!AS127=1," "&amp;Formulas!AR127,"")&amp;":","")))</f>
        <v/>
      </c>
      <c r="AR130" s="107" t="str" cm="1">
        <f t="array" aca="1" ref="AR130" ca="1">IF(OR(Formulas!AS127=0,Formulas!AS127="",RIGHT(Formulas!AT127)="0"),"",
HYPERLINK("["&amp;Archivo_Nombre&amp;"]Datos!"&amp;LEFT(SUBSTITUTE(ADDRESS(1,RIGHT(Formulas!AT127)+2),"$",""))&amp;Formulas!AR127+1,
IFERROR(INDEX(Datos!$A$2:$L$101,Formulas!AR127,RIGHT(Formulas!AT127)+2),"")))</f>
        <v/>
      </c>
      <c r="AS130" s="107" t="str" cm="1">
        <f t="array" aca="1" ref="AS130" ca="1">IF(OR(Formulas!AT128=0,Formulas!AT128=""),"",HYPERLINK("["&amp;Archivo_Nombre&amp;"]Datos!"&amp;LEFT(SUBSTITUTE(ADDRESS(1,Formulas!AT128+2),"$",""))&amp;Formulas!AS128+1,
IFERROR(INDEX(Datos!$A$2:$L$101,Formulas!AS128,Formulas!AT128+2),"")))</f>
        <v/>
      </c>
      <c r="AT130" s="13"/>
      <c r="AU130" s="6"/>
      <c r="AV130" s="24" t="str" cm="1">
        <f t="array" aca="1" ref="AV130" ca="1">IF(OR(Formulas!AX127=0,Formulas!AX127="",RIGHT(Formulas!AY127)="0"),"",
HYPERLINK("["&amp;Archivo_Nombre&amp;"]Datos!"&amp;LEFT(SUBSTITUTE(ADDRESS(1,IF(Formulas!AX127=1,1,RIGHT(Formulas!AY127)+2)),"$",""))&amp;Formulas!AW127+1,
IFERROR(INDEX(Datos!$A$1:$L$1,1,RIGHT(Formulas!AY127)+2)&amp;IF(Formulas!AX127=1," "&amp;Formulas!AW127,"")&amp;":","")))</f>
        <v/>
      </c>
      <c r="AW130" s="107" t="str" cm="1">
        <f t="array" aca="1" ref="AW130" ca="1">IF(OR(Formulas!AX127=0,Formulas!AX127="",RIGHT(Formulas!AY127)="0"),"",
HYPERLINK("["&amp;Archivo_Nombre&amp;"]Datos!"&amp;LEFT(SUBSTITUTE(ADDRESS(1,RIGHT(Formulas!AY127)+2),"$",""))&amp;Formulas!AW127+1,
IFERROR(INDEX(Datos!$A$2:$L$101,Formulas!AW127,RIGHT(Formulas!AY127)+2),"")))</f>
        <v/>
      </c>
      <c r="AX130" s="107" t="str" cm="1">
        <f t="array" aca="1" ref="AX130" ca="1">IF(OR(Formulas!AY128=0,Formulas!AY128=""),"",HYPERLINK("["&amp;Archivo_Nombre&amp;"]Datos!"&amp;LEFT(SUBSTITUTE(ADDRESS(1,Formulas!AY128+2),"$",""))&amp;Formulas!AX128+1,
IFERROR(INDEX(Datos!$A$2:$L$101,Formulas!AX128,Formulas!AY128+2),"")))</f>
        <v/>
      </c>
      <c r="AY130" s="13"/>
    </row>
    <row r="131" spans="2:51" x14ac:dyDescent="0.25">
      <c r="B131" s="11"/>
      <c r="C131" s="24" t="str" cm="1">
        <f t="array" aca="1" ref="C131" ca="1">IF(OR(Formulas!E128=0,Formulas!E128="",RIGHT(Formulas!F128)="0"),"",
HYPERLINK("["&amp;Archivo_Nombre&amp;"]Datos!"&amp;LEFT(SUBSTITUTE(ADDRESS(1,IF(Formulas!E128=1,1,RIGHT(Formulas!F128)+2)),"$",""))&amp;Formulas!D128+1,
IFERROR(INDEX(Datos!$A$1:$L$1,1,RIGHT(Formulas!F128)+2)&amp;IF(Formulas!E128=1," "&amp;Formulas!D128,"")&amp;":","")))</f>
        <v/>
      </c>
      <c r="D131" s="107" t="str" cm="1">
        <f t="array" aca="1" ref="D131" ca="1">IF(OR(Formulas!E128=0,Formulas!E128="",RIGHT(Formulas!F128)="0"),"",
HYPERLINK("["&amp;Archivo_Nombre&amp;"]Datos!"&amp;LEFT(SUBSTITUTE(ADDRESS(1,RIGHT(Formulas!F128)+2),"$",""))&amp;Formulas!D128+1,
IFERROR(INDEX(Datos!$A$2:$L$101,Formulas!D128,RIGHT(Formulas!F128)+2),"")))</f>
        <v/>
      </c>
      <c r="E131" s="107" t="str" cm="1">
        <f t="array" aca="1" ref="E131" ca="1">IF(OR(Formulas!F129=0,Formulas!F129=""),"",HYPERLINK("["&amp;Archivo_Nombre&amp;"]Datos!"&amp;LEFT(SUBSTITUTE(ADDRESS(1,Formulas!F129+2),"$",""))&amp;Formulas!E129+1,
IFERROR(INDEX(Datos!$A$2:$L$101,Formulas!E129,Formulas!F129+2),"")))</f>
        <v/>
      </c>
      <c r="F131" s="5"/>
      <c r="G131" s="6"/>
      <c r="H131" s="24" t="str" cm="1">
        <f t="array" aca="1" ref="H131" ca="1">IF(OR(Formulas!J128=0,Formulas!J128="",RIGHT(Formulas!K128)="0"),"",
HYPERLINK("["&amp;Archivo_Nombre&amp;"]Datos!"&amp;LEFT(SUBSTITUTE(ADDRESS(1,IF(Formulas!J128=1,1,RIGHT(Formulas!K128)+2)),"$",""))&amp;Formulas!I128+1,
IFERROR(INDEX(Datos!$A$1:$L$1,1,RIGHT(Formulas!K128)+2)&amp;IF(Formulas!J128=1," "&amp;Formulas!I128,"")&amp;":","")))</f>
        <v/>
      </c>
      <c r="I131" s="107" t="str" cm="1">
        <f t="array" aca="1" ref="I131" ca="1">IF(OR(Formulas!J128=0,Formulas!J128="",RIGHT(Formulas!K128)="0"),"",
HYPERLINK("["&amp;Archivo_Nombre&amp;"]Datos!"&amp;LEFT(SUBSTITUTE(ADDRESS(1,RIGHT(Formulas!K128)+2),"$",""))&amp;Formulas!I128+1,
IFERROR(INDEX(Datos!$A$2:$L$101,Formulas!I128,RIGHT(Formulas!K128)+2),"")))</f>
        <v/>
      </c>
      <c r="J131" s="107" t="str" cm="1">
        <f t="array" aca="1" ref="J131" ca="1">IF(OR(Formulas!K129=0,Formulas!K129=""),"",HYPERLINK("["&amp;Archivo_Nombre&amp;"]Datos!"&amp;LEFT(SUBSTITUTE(ADDRESS(1,Formulas!K129+2),"$",""))&amp;Formulas!J129+1,
IFERROR(INDEX(Datos!$A$2:$L$101,Formulas!J129,Formulas!K129+2),"")))</f>
        <v/>
      </c>
      <c r="K131" s="5"/>
      <c r="L131" s="6"/>
      <c r="M131" s="24" t="str" cm="1">
        <f t="array" aca="1" ref="M131" ca="1">IF(OR(Formulas!O128=0,Formulas!O128="",RIGHT(Formulas!P128)="0"),"",
HYPERLINK("["&amp;Archivo_Nombre&amp;"]Datos!"&amp;LEFT(SUBSTITUTE(ADDRESS(1,IF(Formulas!O128=1,1,RIGHT(Formulas!P128)+2)),"$",""))&amp;Formulas!N128+1,
IFERROR(INDEX(Datos!$A$1:$L$1,1,RIGHT(Formulas!P128)+2)&amp;IF(Formulas!O128=1," "&amp;Formulas!N128,"")&amp;":","")))</f>
        <v/>
      </c>
      <c r="N131" s="107" t="str" cm="1">
        <f t="array" aca="1" ref="N131" ca="1">IF(OR(Formulas!O128=0,Formulas!O128="",RIGHT(Formulas!P128)="0"),"",
HYPERLINK("["&amp;Archivo_Nombre&amp;"]Datos!"&amp;LEFT(SUBSTITUTE(ADDRESS(1,RIGHT(Formulas!P128)+2),"$",""))&amp;Formulas!N128+1,
IFERROR(INDEX(Datos!$A$2:$L$101,Formulas!N128,RIGHT(Formulas!P128)+2),"")))</f>
        <v/>
      </c>
      <c r="O131" s="107" t="str" cm="1">
        <f t="array" aca="1" ref="O131" ca="1">IF(OR(Formulas!P129=0,Formulas!P129=""),"",HYPERLINK("["&amp;Archivo_Nombre&amp;"]Datos!"&amp;LEFT(SUBSTITUTE(ADDRESS(1,Formulas!P129+2),"$",""))&amp;Formulas!O129+1,
IFERROR(INDEX(Datos!$A$2:$L$101,Formulas!O129,Formulas!P129+2),"")))</f>
        <v/>
      </c>
      <c r="P131" s="5"/>
      <c r="Q131" s="6"/>
      <c r="R131" s="24" t="str" cm="1">
        <f t="array" aca="1" ref="R131" ca="1">IF(OR(Formulas!T128=0,Formulas!T128="",RIGHT(Formulas!U128)="0"),"",
HYPERLINK("["&amp;Archivo_Nombre&amp;"]Datos!"&amp;LEFT(SUBSTITUTE(ADDRESS(1,IF(Formulas!T128=1,1,RIGHT(Formulas!U128)+2)),"$",""))&amp;Formulas!S128+1,
IFERROR(INDEX(Datos!$A$1:$L$1,1,RIGHT(Formulas!U128)+2)&amp;IF(Formulas!T128=1," "&amp;Formulas!S128,"")&amp;":","")))</f>
        <v>Final:</v>
      </c>
      <c r="S131" s="107" cm="1">
        <f t="array" aca="1" ref="S131" ca="1">IF(OR(Formulas!T128=0,Formulas!T128="",RIGHT(Formulas!U128)="0"),"",
HYPERLINK("["&amp;Archivo_Nombre&amp;"]Datos!"&amp;LEFT(SUBSTITUTE(ADDRESS(1,RIGHT(Formulas!U128)+2),"$",""))&amp;Formulas!S128+1,
IFERROR(INDEX(Datos!$A$2:$L$101,Formulas!S128,RIGHT(Formulas!U128)+2),"")))</f>
        <v>45793</v>
      </c>
      <c r="T131" s="107" t="e" cm="1">
        <f t="array" aca="1" ref="T131" ca="1">IF(OR(Formulas!U129=0,Formulas!U129=""),"",HYPERLINK("["&amp;Archivo_Nombre&amp;"]Datos!"&amp;LEFT(SUBSTITUTE(ADDRESS(1,Formulas!U129+2),"$",""))&amp;Formulas!T129+1,
IFERROR(INDEX(Datos!$A$2:$L$101,Formulas!T129,Formulas!U129+2),"")))</f>
        <v>#VALUE!</v>
      </c>
      <c r="U131" s="5"/>
      <c r="V131" s="6"/>
      <c r="W131" s="24" t="str" cm="1">
        <f t="array" aca="1" ref="W131" ca="1">IF(OR(Formulas!Y128=0,Formulas!Y128="",RIGHT(Formulas!Z128)="0"),"",
HYPERLINK("["&amp;Archivo_Nombre&amp;"]Datos!"&amp;LEFT(SUBSTITUTE(ADDRESS(1,IF(Formulas!Y128=1,1,RIGHT(Formulas!Z128)+2)),"$",""))&amp;Formulas!X128+1,
IFERROR(INDEX(Datos!$A$1:$L$1,1,RIGHT(Formulas!Z128)+2)&amp;IF(Formulas!Y128=1," "&amp;Formulas!X128,"")&amp;":","")))</f>
        <v/>
      </c>
      <c r="X131" s="107" t="str" cm="1">
        <f t="array" aca="1" ref="X131" ca="1">IF(OR(Formulas!Y128=0,Formulas!Y128="",RIGHT(Formulas!Z128)="0"),"",
HYPERLINK("["&amp;Archivo_Nombre&amp;"]Datos!"&amp;LEFT(SUBSTITUTE(ADDRESS(1,RIGHT(Formulas!Z128)+2),"$",""))&amp;Formulas!X128+1,
IFERROR(INDEX(Datos!$A$2:$L$101,Formulas!X128,RIGHT(Formulas!Z128)+2),"")))</f>
        <v/>
      </c>
      <c r="Y131" s="107" t="str" cm="1">
        <f t="array" aca="1" ref="Y131" ca="1">IF(OR(Formulas!Z129=0,Formulas!Z129=""),"",HYPERLINK("["&amp;Archivo_Nombre&amp;"]Datos!"&amp;LEFT(SUBSTITUTE(ADDRESS(1,Formulas!Z129+2),"$",""))&amp;Formulas!Y129+1,
IFERROR(INDEX(Datos!$A$2:$L$101,Formulas!Y129,Formulas!Z129+2),"")))</f>
        <v/>
      </c>
      <c r="Z131" s="13"/>
      <c r="AA131" s="6"/>
      <c r="AB131" s="24" t="str" cm="1">
        <f t="array" aca="1" ref="AB131" ca="1">IF(OR(Formulas!AD128=0,Formulas!AD128="",RIGHT(Formulas!AE128)="0"),"",
HYPERLINK("["&amp;Archivo_Nombre&amp;"]Datos!"&amp;LEFT(SUBSTITUTE(ADDRESS(1,IF(Formulas!AD128=1,1,RIGHT(Formulas!AE128)+2)),"$",""))&amp;Formulas!AC128+1,
IFERROR(INDEX(Datos!$A$1:$L$1,1,RIGHT(Formulas!AE128)+2)&amp;IF(Formulas!AD128=1," "&amp;Formulas!AC128,"")&amp;":","")))</f>
        <v/>
      </c>
      <c r="AC131" s="107" t="str" cm="1">
        <f t="array" aca="1" ref="AC131" ca="1">IF(OR(Formulas!AD128=0,Formulas!AD128="",RIGHT(Formulas!AE128)="0"),"",
HYPERLINK("["&amp;Archivo_Nombre&amp;"]Datos!"&amp;LEFT(SUBSTITUTE(ADDRESS(1,RIGHT(Formulas!AE128)+2),"$",""))&amp;Formulas!AC128+1,
IFERROR(INDEX(Datos!$A$2:$L$101,Formulas!AC128,RIGHT(Formulas!AE128)+2),"")))</f>
        <v/>
      </c>
      <c r="AD131" s="107" t="str" cm="1">
        <f t="array" aca="1" ref="AD131" ca="1">IF(OR(Formulas!AE129=0,Formulas!AE129=""),"",HYPERLINK("["&amp;Archivo_Nombre&amp;"]Datos!"&amp;LEFT(SUBSTITUTE(ADDRESS(1,Formulas!AE129+2),"$",""))&amp;Formulas!AD129+1,
IFERROR(INDEX(Datos!$A$2:$L$101,Formulas!AD129,Formulas!AE129+2),"")))</f>
        <v/>
      </c>
      <c r="AE131" s="13"/>
      <c r="AF131" s="6"/>
      <c r="AG131" s="24" t="str" cm="1">
        <f t="array" aca="1" ref="AG131" ca="1">IF(OR(Formulas!AI128=0,Formulas!AI128="",RIGHT(Formulas!AJ128)="0"),"",
HYPERLINK("["&amp;Archivo_Nombre&amp;"]Datos!"&amp;LEFT(SUBSTITUTE(ADDRESS(1,IF(Formulas!AI128=1,1,RIGHT(Formulas!AJ128)+2)),"$",""))&amp;Formulas!AH128+1,
IFERROR(INDEX(Datos!$A$1:$L$1,1,RIGHT(Formulas!AJ128)+2)&amp;IF(Formulas!AI128=1," "&amp;Formulas!AH128,"")&amp;":","")))</f>
        <v/>
      </c>
      <c r="AH131" s="107" t="str" cm="1">
        <f t="array" aca="1" ref="AH131" ca="1">IF(OR(Formulas!AI128=0,Formulas!AI128="",RIGHT(Formulas!AJ128)="0"),"",
HYPERLINK("["&amp;Archivo_Nombre&amp;"]Datos!"&amp;LEFT(SUBSTITUTE(ADDRESS(1,RIGHT(Formulas!AJ128)+2),"$",""))&amp;Formulas!AH128+1,
IFERROR(INDEX(Datos!$A$2:$L$101,Formulas!AH128,RIGHT(Formulas!AJ128)+2),"")))</f>
        <v/>
      </c>
      <c r="AI131" s="107" t="str" cm="1">
        <f t="array" aca="1" ref="AI131" ca="1">IF(OR(Formulas!AJ129=0,Formulas!AJ129=""),"",HYPERLINK("["&amp;Archivo_Nombre&amp;"]Datos!"&amp;LEFT(SUBSTITUTE(ADDRESS(1,Formulas!AJ129+2),"$",""))&amp;Formulas!AI129+1,
IFERROR(INDEX(Datos!$A$2:$L$101,Formulas!AI129,Formulas!AJ129+2),"")))</f>
        <v/>
      </c>
      <c r="AJ131" s="13"/>
      <c r="AK131" s="6"/>
      <c r="AL131" s="24" t="str" cm="1">
        <f t="array" aca="1" ref="AL131" ca="1">IF(OR(Formulas!AN128=0,Formulas!AN128="",RIGHT(Formulas!AO128)="0"),"",
HYPERLINK("["&amp;Archivo_Nombre&amp;"]Datos!"&amp;LEFT(SUBSTITUTE(ADDRESS(1,IF(Formulas!AN128=1,1,RIGHT(Formulas!AO128)+2)),"$",""))&amp;Formulas!AM128+1,
IFERROR(INDEX(Datos!$A$1:$L$1,1,RIGHT(Formulas!AO128)+2)&amp;IF(Formulas!AN128=1," "&amp;Formulas!AM128,"")&amp;":","")))</f>
        <v/>
      </c>
      <c r="AM131" s="107" t="str" cm="1">
        <f t="array" aca="1" ref="AM131" ca="1">IF(OR(Formulas!AN128=0,Formulas!AN128="",RIGHT(Formulas!AO128)="0"),"",
HYPERLINK("["&amp;Archivo_Nombre&amp;"]Datos!"&amp;LEFT(SUBSTITUTE(ADDRESS(1,RIGHT(Formulas!AO128)+2),"$",""))&amp;Formulas!AM128+1,
IFERROR(INDEX(Datos!$A$2:$L$101,Formulas!AM128,RIGHT(Formulas!AO128)+2),"")))</f>
        <v/>
      </c>
      <c r="AN131" s="107" t="str" cm="1">
        <f t="array" aca="1" ref="AN131" ca="1">IF(OR(Formulas!AO129=0,Formulas!AO129=""),"",HYPERLINK("["&amp;Archivo_Nombre&amp;"]Datos!"&amp;LEFT(SUBSTITUTE(ADDRESS(1,Formulas!AO129+2),"$",""))&amp;Formulas!AN129+1,
IFERROR(INDEX(Datos!$A$2:$L$101,Formulas!AN129,Formulas!AO129+2),"")))</f>
        <v/>
      </c>
      <c r="AO131" s="13"/>
      <c r="AP131" s="6"/>
      <c r="AQ131" s="24" t="str" cm="1">
        <f t="array" aca="1" ref="AQ131" ca="1">IF(OR(Formulas!AS128=0,Formulas!AS128="",RIGHT(Formulas!AT128)="0"),"",
HYPERLINK("["&amp;Archivo_Nombre&amp;"]Datos!"&amp;LEFT(SUBSTITUTE(ADDRESS(1,IF(Formulas!AS128=1,1,RIGHT(Formulas!AT128)+2)),"$",""))&amp;Formulas!AR128+1,
IFERROR(INDEX(Datos!$A$1:$L$1,1,RIGHT(Formulas!AT128)+2)&amp;IF(Formulas!AS128=1," "&amp;Formulas!AR128,"")&amp;":","")))</f>
        <v/>
      </c>
      <c r="AR131" s="107" t="str" cm="1">
        <f t="array" aca="1" ref="AR131" ca="1">IF(OR(Formulas!AS128=0,Formulas!AS128="",RIGHT(Formulas!AT128)="0"),"",
HYPERLINK("["&amp;Archivo_Nombre&amp;"]Datos!"&amp;LEFT(SUBSTITUTE(ADDRESS(1,RIGHT(Formulas!AT128)+2),"$",""))&amp;Formulas!AR128+1,
IFERROR(INDEX(Datos!$A$2:$L$101,Formulas!AR128,RIGHT(Formulas!AT128)+2),"")))</f>
        <v/>
      </c>
      <c r="AS131" s="107" t="str" cm="1">
        <f t="array" aca="1" ref="AS131" ca="1">IF(OR(Formulas!AT129=0,Formulas!AT129=""),"",HYPERLINK("["&amp;Archivo_Nombre&amp;"]Datos!"&amp;LEFT(SUBSTITUTE(ADDRESS(1,Formulas!AT129+2),"$",""))&amp;Formulas!AS129+1,
IFERROR(INDEX(Datos!$A$2:$L$101,Formulas!AS129,Formulas!AT129+2),"")))</f>
        <v/>
      </c>
      <c r="AT131" s="13"/>
      <c r="AU131" s="6"/>
      <c r="AV131" s="24" t="str" cm="1">
        <f t="array" aca="1" ref="AV131" ca="1">IF(OR(Formulas!AX128=0,Formulas!AX128="",RIGHT(Formulas!AY128)="0"),"",
HYPERLINK("["&amp;Archivo_Nombre&amp;"]Datos!"&amp;LEFT(SUBSTITUTE(ADDRESS(1,IF(Formulas!AX128=1,1,RIGHT(Formulas!AY128)+2)),"$",""))&amp;Formulas!AW128+1,
IFERROR(INDEX(Datos!$A$1:$L$1,1,RIGHT(Formulas!AY128)+2)&amp;IF(Formulas!AX128=1," "&amp;Formulas!AW128,"")&amp;":","")))</f>
        <v/>
      </c>
      <c r="AW131" s="107" t="str" cm="1">
        <f t="array" aca="1" ref="AW131" ca="1">IF(OR(Formulas!AX128=0,Formulas!AX128="",RIGHT(Formulas!AY128)="0"),"",
HYPERLINK("["&amp;Archivo_Nombre&amp;"]Datos!"&amp;LEFT(SUBSTITUTE(ADDRESS(1,RIGHT(Formulas!AY128)+2),"$",""))&amp;Formulas!AW128+1,
IFERROR(INDEX(Datos!$A$2:$L$101,Formulas!AW128,RIGHT(Formulas!AY128)+2),"")))</f>
        <v/>
      </c>
      <c r="AX131" s="107" t="str" cm="1">
        <f t="array" aca="1" ref="AX131" ca="1">IF(OR(Formulas!AY129=0,Formulas!AY129=""),"",HYPERLINK("["&amp;Archivo_Nombre&amp;"]Datos!"&amp;LEFT(SUBSTITUTE(ADDRESS(1,Formulas!AY129+2),"$",""))&amp;Formulas!AX129+1,
IFERROR(INDEX(Datos!$A$2:$L$101,Formulas!AX129,Formulas!AY129+2),"")))</f>
        <v/>
      </c>
      <c r="AY131" s="13"/>
    </row>
    <row r="132" spans="2:51" x14ac:dyDescent="0.25">
      <c r="B132" s="11"/>
      <c r="C132" s="24" t="str" cm="1">
        <f t="array" aca="1" ref="C132" ca="1">IF(OR(Formulas!E129=0,Formulas!E129="",RIGHT(Formulas!F129)="0"),"",
HYPERLINK("["&amp;Archivo_Nombre&amp;"]Datos!"&amp;LEFT(SUBSTITUTE(ADDRESS(1,IF(Formulas!E129=1,1,RIGHT(Formulas!F129)+2)),"$",""))&amp;Formulas!D129+1,
IFERROR(INDEX(Datos!$A$1:$L$1,1,RIGHT(Formulas!F129)+2)&amp;IF(Formulas!E129=1," "&amp;Formulas!D129,"")&amp;":","")))</f>
        <v/>
      </c>
      <c r="D132" s="107" t="str" cm="1">
        <f t="array" aca="1" ref="D132" ca="1">IF(OR(Formulas!E129=0,Formulas!E129="",RIGHT(Formulas!F129)="0"),"",
HYPERLINK("["&amp;Archivo_Nombre&amp;"]Datos!"&amp;LEFT(SUBSTITUTE(ADDRESS(1,RIGHT(Formulas!F129)+2),"$",""))&amp;Formulas!D129+1,
IFERROR(INDEX(Datos!$A$2:$L$101,Formulas!D129,RIGHT(Formulas!F129)+2),"")))</f>
        <v/>
      </c>
      <c r="E132" s="107" t="str" cm="1">
        <f t="array" aca="1" ref="E132" ca="1">IF(OR(Formulas!F130=0,Formulas!F130=""),"",HYPERLINK("["&amp;Archivo_Nombre&amp;"]Datos!"&amp;LEFT(SUBSTITUTE(ADDRESS(1,Formulas!F130+2),"$",""))&amp;Formulas!E130+1,
IFERROR(INDEX(Datos!$A$2:$L$101,Formulas!E130,Formulas!F130+2),"")))</f>
        <v/>
      </c>
      <c r="F132" s="5"/>
      <c r="G132" s="6"/>
      <c r="H132" s="24" t="str" cm="1">
        <f t="array" aca="1" ref="H132" ca="1">IF(OR(Formulas!J129=0,Formulas!J129="",RIGHT(Formulas!K129)="0"),"",
HYPERLINK("["&amp;Archivo_Nombre&amp;"]Datos!"&amp;LEFT(SUBSTITUTE(ADDRESS(1,IF(Formulas!J129=1,1,RIGHT(Formulas!K129)+2)),"$",""))&amp;Formulas!I129+1,
IFERROR(INDEX(Datos!$A$1:$L$1,1,RIGHT(Formulas!K129)+2)&amp;IF(Formulas!J129=1," "&amp;Formulas!I129,"")&amp;":","")))</f>
        <v/>
      </c>
      <c r="I132" s="107" t="str" cm="1">
        <f t="array" aca="1" ref="I132" ca="1">IF(OR(Formulas!J129=0,Formulas!J129="",RIGHT(Formulas!K129)="0"),"",
HYPERLINK("["&amp;Archivo_Nombre&amp;"]Datos!"&amp;LEFT(SUBSTITUTE(ADDRESS(1,RIGHT(Formulas!K129)+2),"$",""))&amp;Formulas!I129+1,
IFERROR(INDEX(Datos!$A$2:$L$101,Formulas!I129,RIGHT(Formulas!K129)+2),"")))</f>
        <v/>
      </c>
      <c r="J132" s="107" t="str" cm="1">
        <f t="array" aca="1" ref="J132" ca="1">IF(OR(Formulas!K130=0,Formulas!K130=""),"",HYPERLINK("["&amp;Archivo_Nombre&amp;"]Datos!"&amp;LEFT(SUBSTITUTE(ADDRESS(1,Formulas!K130+2),"$",""))&amp;Formulas!J130+1,
IFERROR(INDEX(Datos!$A$2:$L$101,Formulas!J130,Formulas!K130+2),"")))</f>
        <v/>
      </c>
      <c r="K132" s="5"/>
      <c r="L132" s="6"/>
      <c r="M132" s="24" t="str" cm="1">
        <f t="array" aca="1" ref="M132" ca="1">IF(OR(Formulas!O129=0,Formulas!O129="",RIGHT(Formulas!P129)="0"),"",
HYPERLINK("["&amp;Archivo_Nombre&amp;"]Datos!"&amp;LEFT(SUBSTITUTE(ADDRESS(1,IF(Formulas!O129=1,1,RIGHT(Formulas!P129)+2)),"$",""))&amp;Formulas!N129+1,
IFERROR(INDEX(Datos!$A$1:$L$1,1,RIGHT(Formulas!P129)+2)&amp;IF(Formulas!O129=1," "&amp;Formulas!N129,"")&amp;":","")))</f>
        <v/>
      </c>
      <c r="N132" s="107" t="str" cm="1">
        <f t="array" aca="1" ref="N132" ca="1">IF(OR(Formulas!O129=0,Formulas!O129="",RIGHT(Formulas!P129)="0"),"",
HYPERLINK("["&amp;Archivo_Nombre&amp;"]Datos!"&amp;LEFT(SUBSTITUTE(ADDRESS(1,RIGHT(Formulas!P129)+2),"$",""))&amp;Formulas!N129+1,
IFERROR(INDEX(Datos!$A$2:$L$101,Formulas!N129,RIGHT(Formulas!P129)+2),"")))</f>
        <v/>
      </c>
      <c r="O132" s="107" t="str" cm="1">
        <f t="array" aca="1" ref="O132" ca="1">IF(OR(Formulas!P130=0,Formulas!P130=""),"",HYPERLINK("["&amp;Archivo_Nombre&amp;"]Datos!"&amp;LEFT(SUBSTITUTE(ADDRESS(1,Formulas!P130+2),"$",""))&amp;Formulas!O130+1,
IFERROR(INDEX(Datos!$A$2:$L$101,Formulas!O130,Formulas!P130+2),"")))</f>
        <v/>
      </c>
      <c r="P132" s="5"/>
      <c r="Q132" s="6"/>
      <c r="R132" s="24" t="str" cm="1">
        <f t="array" aca="1" ref="R132" ca="1">IF(OR(Formulas!T129=0,Formulas!T129="",RIGHT(Formulas!U129)="0"),"",
HYPERLINK("["&amp;Archivo_Nombre&amp;"]Datos!"&amp;LEFT(SUBSTITUTE(ADDRESS(1,IF(Formulas!T129=1,1,RIGHT(Formulas!U129)+2)),"$",""))&amp;Formulas!S129+1,
IFERROR(INDEX(Datos!$A$1:$L$1,1,RIGHT(Formulas!U129)+2)&amp;IF(Formulas!T129=1," "&amp;Formulas!S129,"")&amp;":","")))</f>
        <v>Duración:</v>
      </c>
      <c r="S132" s="107" t="str" cm="1">
        <f t="array" aca="1" ref="S132" ca="1">IF(OR(Formulas!T129=0,Formulas!T129="",RIGHT(Formulas!U129)="0"),"",
HYPERLINK("["&amp;Archivo_Nombre&amp;"]Datos!"&amp;LEFT(SUBSTITUTE(ADDRESS(1,RIGHT(Formulas!U129)+2),"$",""))&amp;Formulas!S129+1,
IFERROR(INDEX(Datos!$A$2:$L$101,Formulas!S129,RIGHT(Formulas!U129)+2),"")))</f>
        <v>1 días</v>
      </c>
      <c r="T132" s="107" t="e" cm="1">
        <f t="array" aca="1" ref="T132" ca="1">IF(OR(Formulas!U130=0,Formulas!U130=""),"",HYPERLINK("["&amp;Archivo_Nombre&amp;"]Datos!"&amp;LEFT(SUBSTITUTE(ADDRESS(1,Formulas!U130+2),"$",""))&amp;Formulas!T130+1,
IFERROR(INDEX(Datos!$A$2:$L$101,Formulas!T130,Formulas!U130+2),"")))</f>
        <v>#VALUE!</v>
      </c>
      <c r="U132" s="5"/>
      <c r="V132" s="6"/>
      <c r="W132" s="24" t="str" cm="1">
        <f t="array" aca="1" ref="W132" ca="1">IF(OR(Formulas!Y129=0,Formulas!Y129="",RIGHT(Formulas!Z129)="0"),"",
HYPERLINK("["&amp;Archivo_Nombre&amp;"]Datos!"&amp;LEFT(SUBSTITUTE(ADDRESS(1,IF(Formulas!Y129=1,1,RIGHT(Formulas!Z129)+2)),"$",""))&amp;Formulas!X129+1,
IFERROR(INDEX(Datos!$A$1:$L$1,1,RIGHT(Formulas!Z129)+2)&amp;IF(Formulas!Y129=1," "&amp;Formulas!X129,"")&amp;":","")))</f>
        <v/>
      </c>
      <c r="X132" s="107" t="str" cm="1">
        <f t="array" aca="1" ref="X132" ca="1">IF(OR(Formulas!Y129=0,Formulas!Y129="",RIGHT(Formulas!Z129)="0"),"",
HYPERLINK("["&amp;Archivo_Nombre&amp;"]Datos!"&amp;LEFT(SUBSTITUTE(ADDRESS(1,RIGHT(Formulas!Z129)+2),"$",""))&amp;Formulas!X129+1,
IFERROR(INDEX(Datos!$A$2:$L$101,Formulas!X129,RIGHT(Formulas!Z129)+2),"")))</f>
        <v/>
      </c>
      <c r="Y132" s="107" t="str" cm="1">
        <f t="array" aca="1" ref="Y132" ca="1">IF(OR(Formulas!Z130=0,Formulas!Z130=""),"",HYPERLINK("["&amp;Archivo_Nombre&amp;"]Datos!"&amp;LEFT(SUBSTITUTE(ADDRESS(1,Formulas!Z130+2),"$",""))&amp;Formulas!Y130+1,
IFERROR(INDEX(Datos!$A$2:$L$101,Formulas!Y130,Formulas!Z130+2),"")))</f>
        <v/>
      </c>
      <c r="Z132" s="13"/>
      <c r="AA132" s="6"/>
      <c r="AB132" s="24" t="str" cm="1">
        <f t="array" aca="1" ref="AB132" ca="1">IF(OR(Formulas!AD129=0,Formulas!AD129="",RIGHT(Formulas!AE129)="0"),"",
HYPERLINK("["&amp;Archivo_Nombre&amp;"]Datos!"&amp;LEFT(SUBSTITUTE(ADDRESS(1,IF(Formulas!AD129=1,1,RIGHT(Formulas!AE129)+2)),"$",""))&amp;Formulas!AC129+1,
IFERROR(INDEX(Datos!$A$1:$L$1,1,RIGHT(Formulas!AE129)+2)&amp;IF(Formulas!AD129=1," "&amp;Formulas!AC129,"")&amp;":","")))</f>
        <v/>
      </c>
      <c r="AC132" s="107" t="str" cm="1">
        <f t="array" aca="1" ref="AC132" ca="1">IF(OR(Formulas!AD129=0,Formulas!AD129="",RIGHT(Formulas!AE129)="0"),"",
HYPERLINK("["&amp;Archivo_Nombre&amp;"]Datos!"&amp;LEFT(SUBSTITUTE(ADDRESS(1,RIGHT(Formulas!AE129)+2),"$",""))&amp;Formulas!AC129+1,
IFERROR(INDEX(Datos!$A$2:$L$101,Formulas!AC129,RIGHT(Formulas!AE129)+2),"")))</f>
        <v/>
      </c>
      <c r="AD132" s="107" t="str" cm="1">
        <f t="array" aca="1" ref="AD132" ca="1">IF(OR(Formulas!AE130=0,Formulas!AE130=""),"",HYPERLINK("["&amp;Archivo_Nombre&amp;"]Datos!"&amp;LEFT(SUBSTITUTE(ADDRESS(1,Formulas!AE130+2),"$",""))&amp;Formulas!AD130+1,
IFERROR(INDEX(Datos!$A$2:$L$101,Formulas!AD130,Formulas!AE130+2),"")))</f>
        <v/>
      </c>
      <c r="AE132" s="13"/>
      <c r="AF132" s="6"/>
      <c r="AG132" s="24" t="str" cm="1">
        <f t="array" aca="1" ref="AG132" ca="1">IF(OR(Formulas!AI129=0,Formulas!AI129="",RIGHT(Formulas!AJ129)="0"),"",
HYPERLINK("["&amp;Archivo_Nombre&amp;"]Datos!"&amp;LEFT(SUBSTITUTE(ADDRESS(1,IF(Formulas!AI129=1,1,RIGHT(Formulas!AJ129)+2)),"$",""))&amp;Formulas!AH129+1,
IFERROR(INDEX(Datos!$A$1:$L$1,1,RIGHT(Formulas!AJ129)+2)&amp;IF(Formulas!AI129=1," "&amp;Formulas!AH129,"")&amp;":","")))</f>
        <v/>
      </c>
      <c r="AH132" s="107" t="str" cm="1">
        <f t="array" aca="1" ref="AH132" ca="1">IF(OR(Formulas!AI129=0,Formulas!AI129="",RIGHT(Formulas!AJ129)="0"),"",
HYPERLINK("["&amp;Archivo_Nombre&amp;"]Datos!"&amp;LEFT(SUBSTITUTE(ADDRESS(1,RIGHT(Formulas!AJ129)+2),"$",""))&amp;Formulas!AH129+1,
IFERROR(INDEX(Datos!$A$2:$L$101,Formulas!AH129,RIGHT(Formulas!AJ129)+2),"")))</f>
        <v/>
      </c>
      <c r="AI132" s="107" t="str" cm="1">
        <f t="array" aca="1" ref="AI132" ca="1">IF(OR(Formulas!AJ130=0,Formulas!AJ130=""),"",HYPERLINK("["&amp;Archivo_Nombre&amp;"]Datos!"&amp;LEFT(SUBSTITUTE(ADDRESS(1,Formulas!AJ130+2),"$",""))&amp;Formulas!AI130+1,
IFERROR(INDEX(Datos!$A$2:$L$101,Formulas!AI130,Formulas!AJ130+2),"")))</f>
        <v/>
      </c>
      <c r="AJ132" s="13"/>
      <c r="AK132" s="6"/>
      <c r="AL132" s="24" t="str" cm="1">
        <f t="array" aca="1" ref="AL132" ca="1">IF(OR(Formulas!AN129=0,Formulas!AN129="",RIGHT(Formulas!AO129)="0"),"",
HYPERLINK("["&amp;Archivo_Nombre&amp;"]Datos!"&amp;LEFT(SUBSTITUTE(ADDRESS(1,IF(Formulas!AN129=1,1,RIGHT(Formulas!AO129)+2)),"$",""))&amp;Formulas!AM129+1,
IFERROR(INDEX(Datos!$A$1:$L$1,1,RIGHT(Formulas!AO129)+2)&amp;IF(Formulas!AN129=1," "&amp;Formulas!AM129,"")&amp;":","")))</f>
        <v/>
      </c>
      <c r="AM132" s="107" t="str" cm="1">
        <f t="array" aca="1" ref="AM132" ca="1">IF(OR(Formulas!AN129=0,Formulas!AN129="",RIGHT(Formulas!AO129)="0"),"",
HYPERLINK("["&amp;Archivo_Nombre&amp;"]Datos!"&amp;LEFT(SUBSTITUTE(ADDRESS(1,RIGHT(Formulas!AO129)+2),"$",""))&amp;Formulas!AM129+1,
IFERROR(INDEX(Datos!$A$2:$L$101,Formulas!AM129,RIGHT(Formulas!AO129)+2),"")))</f>
        <v/>
      </c>
      <c r="AN132" s="107" t="str" cm="1">
        <f t="array" aca="1" ref="AN132" ca="1">IF(OR(Formulas!AO130=0,Formulas!AO130=""),"",HYPERLINK("["&amp;Archivo_Nombre&amp;"]Datos!"&amp;LEFT(SUBSTITUTE(ADDRESS(1,Formulas!AO130+2),"$",""))&amp;Formulas!AN130+1,
IFERROR(INDEX(Datos!$A$2:$L$101,Formulas!AN130,Formulas!AO130+2),"")))</f>
        <v/>
      </c>
      <c r="AO132" s="13"/>
      <c r="AP132" s="6"/>
      <c r="AQ132" s="24" t="str" cm="1">
        <f t="array" aca="1" ref="AQ132" ca="1">IF(OR(Formulas!AS129=0,Formulas!AS129="",RIGHT(Formulas!AT129)="0"),"",
HYPERLINK("["&amp;Archivo_Nombre&amp;"]Datos!"&amp;LEFT(SUBSTITUTE(ADDRESS(1,IF(Formulas!AS129=1,1,RIGHT(Formulas!AT129)+2)),"$",""))&amp;Formulas!AR129+1,
IFERROR(INDEX(Datos!$A$1:$L$1,1,RIGHT(Formulas!AT129)+2)&amp;IF(Formulas!AS129=1," "&amp;Formulas!AR129,"")&amp;":","")))</f>
        <v/>
      </c>
      <c r="AR132" s="107" t="str" cm="1">
        <f t="array" aca="1" ref="AR132" ca="1">IF(OR(Formulas!AS129=0,Formulas!AS129="",RIGHT(Formulas!AT129)="0"),"",
HYPERLINK("["&amp;Archivo_Nombre&amp;"]Datos!"&amp;LEFT(SUBSTITUTE(ADDRESS(1,RIGHT(Formulas!AT129)+2),"$",""))&amp;Formulas!AR129+1,
IFERROR(INDEX(Datos!$A$2:$L$101,Formulas!AR129,RIGHT(Formulas!AT129)+2),"")))</f>
        <v/>
      </c>
      <c r="AS132" s="107" t="str" cm="1">
        <f t="array" aca="1" ref="AS132" ca="1">IF(OR(Formulas!AT130=0,Formulas!AT130=""),"",HYPERLINK("["&amp;Archivo_Nombre&amp;"]Datos!"&amp;LEFT(SUBSTITUTE(ADDRESS(1,Formulas!AT130+2),"$",""))&amp;Formulas!AS130+1,
IFERROR(INDEX(Datos!$A$2:$L$101,Formulas!AS130,Formulas!AT130+2),"")))</f>
        <v/>
      </c>
      <c r="AT132" s="13"/>
      <c r="AU132" s="6"/>
      <c r="AV132" s="24" t="str" cm="1">
        <f t="array" aca="1" ref="AV132" ca="1">IF(OR(Formulas!AX129=0,Formulas!AX129="",RIGHT(Formulas!AY129)="0"),"",
HYPERLINK("["&amp;Archivo_Nombre&amp;"]Datos!"&amp;LEFT(SUBSTITUTE(ADDRESS(1,IF(Formulas!AX129=1,1,RIGHT(Formulas!AY129)+2)),"$",""))&amp;Formulas!AW129+1,
IFERROR(INDEX(Datos!$A$1:$L$1,1,RIGHT(Formulas!AY129)+2)&amp;IF(Formulas!AX129=1," "&amp;Formulas!AW129,"")&amp;":","")))</f>
        <v/>
      </c>
      <c r="AW132" s="107" t="str" cm="1">
        <f t="array" aca="1" ref="AW132" ca="1">IF(OR(Formulas!AX129=0,Formulas!AX129="",RIGHT(Formulas!AY129)="0"),"",
HYPERLINK("["&amp;Archivo_Nombre&amp;"]Datos!"&amp;LEFT(SUBSTITUTE(ADDRESS(1,RIGHT(Formulas!AY129)+2),"$",""))&amp;Formulas!AW129+1,
IFERROR(INDEX(Datos!$A$2:$L$101,Formulas!AW129,RIGHT(Formulas!AY129)+2),"")))</f>
        <v/>
      </c>
      <c r="AX132" s="107" t="str" cm="1">
        <f t="array" aca="1" ref="AX132" ca="1">IF(OR(Formulas!AY130=0,Formulas!AY130=""),"",HYPERLINK("["&amp;Archivo_Nombre&amp;"]Datos!"&amp;LEFT(SUBSTITUTE(ADDRESS(1,Formulas!AY130+2),"$",""))&amp;Formulas!AX130+1,
IFERROR(INDEX(Datos!$A$2:$L$101,Formulas!AX130,Formulas!AY130+2),"")))</f>
        <v/>
      </c>
      <c r="AY132" s="13"/>
    </row>
    <row r="133" spans="2:51" x14ac:dyDescent="0.25">
      <c r="B133" s="11"/>
      <c r="C133" s="24" t="str" cm="1">
        <f t="array" aca="1" ref="C133" ca="1">IF(OR(Formulas!E130=0,Formulas!E130="",RIGHT(Formulas!F130)="0"),"",
HYPERLINK("["&amp;Archivo_Nombre&amp;"]Datos!"&amp;LEFT(SUBSTITUTE(ADDRESS(1,IF(Formulas!E130=1,1,RIGHT(Formulas!F130)+2)),"$",""))&amp;Formulas!D130+1,
IFERROR(INDEX(Datos!$A$1:$L$1,1,RIGHT(Formulas!F130)+2)&amp;IF(Formulas!E130=1," "&amp;Formulas!D130,"")&amp;":","")))</f>
        <v/>
      </c>
      <c r="D133" s="107" t="str" cm="1">
        <f t="array" aca="1" ref="D133" ca="1">IF(OR(Formulas!E130=0,Formulas!E130="",RIGHT(Formulas!F130)="0"),"",
HYPERLINK("["&amp;Archivo_Nombre&amp;"]Datos!"&amp;LEFT(SUBSTITUTE(ADDRESS(1,RIGHT(Formulas!F130)+2),"$",""))&amp;Formulas!D130+1,
IFERROR(INDEX(Datos!$A$2:$L$101,Formulas!D130,RIGHT(Formulas!F130)+2),"")))</f>
        <v/>
      </c>
      <c r="E133" s="107" t="str" cm="1">
        <f t="array" aca="1" ref="E133" ca="1">IF(OR(Formulas!F131=0,Formulas!F131=""),"",HYPERLINK("["&amp;Archivo_Nombre&amp;"]Datos!"&amp;LEFT(SUBSTITUTE(ADDRESS(1,Formulas!F131+2),"$",""))&amp;Formulas!E131+1,
IFERROR(INDEX(Datos!$A$2:$L$101,Formulas!E131,Formulas!F131+2),"")))</f>
        <v/>
      </c>
      <c r="F133" s="5"/>
      <c r="G133" s="6"/>
      <c r="H133" s="24" t="str" cm="1">
        <f t="array" aca="1" ref="H133" ca="1">IF(OR(Formulas!J130=0,Formulas!J130="",RIGHT(Formulas!K130)="0"),"",
HYPERLINK("["&amp;Archivo_Nombre&amp;"]Datos!"&amp;LEFT(SUBSTITUTE(ADDRESS(1,IF(Formulas!J130=1,1,RIGHT(Formulas!K130)+2)),"$",""))&amp;Formulas!I130+1,
IFERROR(INDEX(Datos!$A$1:$L$1,1,RIGHT(Formulas!K130)+2)&amp;IF(Formulas!J130=1," "&amp;Formulas!I130,"")&amp;":","")))</f>
        <v/>
      </c>
      <c r="I133" s="107" t="str" cm="1">
        <f t="array" aca="1" ref="I133" ca="1">IF(OR(Formulas!J130=0,Formulas!J130="",RIGHT(Formulas!K130)="0"),"",
HYPERLINK("["&amp;Archivo_Nombre&amp;"]Datos!"&amp;LEFT(SUBSTITUTE(ADDRESS(1,RIGHT(Formulas!K130)+2),"$",""))&amp;Formulas!I130+1,
IFERROR(INDEX(Datos!$A$2:$L$101,Formulas!I130,RIGHT(Formulas!K130)+2),"")))</f>
        <v/>
      </c>
      <c r="J133" s="107" t="str" cm="1">
        <f t="array" aca="1" ref="J133" ca="1">IF(OR(Formulas!K131=0,Formulas!K131=""),"",HYPERLINK("["&amp;Archivo_Nombre&amp;"]Datos!"&amp;LEFT(SUBSTITUTE(ADDRESS(1,Formulas!K131+2),"$",""))&amp;Formulas!J131+1,
IFERROR(INDEX(Datos!$A$2:$L$101,Formulas!J131,Formulas!K131+2),"")))</f>
        <v/>
      </c>
      <c r="K133" s="5"/>
      <c r="L133" s="6"/>
      <c r="M133" s="24" t="str" cm="1">
        <f t="array" aca="1" ref="M133" ca="1">IF(OR(Formulas!O130=0,Formulas!O130="",RIGHT(Formulas!P130)="0"),"",
HYPERLINK("["&amp;Archivo_Nombre&amp;"]Datos!"&amp;LEFT(SUBSTITUTE(ADDRESS(1,IF(Formulas!O130=1,1,RIGHT(Formulas!P130)+2)),"$",""))&amp;Formulas!N130+1,
IFERROR(INDEX(Datos!$A$1:$L$1,1,RIGHT(Formulas!P130)+2)&amp;IF(Formulas!O130=1," "&amp;Formulas!N130,"")&amp;":","")))</f>
        <v/>
      </c>
      <c r="N133" s="107" t="str" cm="1">
        <f t="array" aca="1" ref="N133" ca="1">IF(OR(Formulas!O130=0,Formulas!O130="",RIGHT(Formulas!P130)="0"),"",
HYPERLINK("["&amp;Archivo_Nombre&amp;"]Datos!"&amp;LEFT(SUBSTITUTE(ADDRESS(1,RIGHT(Formulas!P130)+2),"$",""))&amp;Formulas!N130+1,
IFERROR(INDEX(Datos!$A$2:$L$101,Formulas!N130,RIGHT(Formulas!P130)+2),"")))</f>
        <v/>
      </c>
      <c r="O133" s="107" t="str" cm="1">
        <f t="array" aca="1" ref="O133" ca="1">IF(OR(Formulas!P131=0,Formulas!P131=""),"",HYPERLINK("["&amp;Archivo_Nombre&amp;"]Datos!"&amp;LEFT(SUBSTITUTE(ADDRESS(1,Formulas!P131+2),"$",""))&amp;Formulas!O131+1,
IFERROR(INDEX(Datos!$A$2:$L$101,Formulas!O131,Formulas!P131+2),"")))</f>
        <v/>
      </c>
      <c r="P133" s="5"/>
      <c r="Q133" s="6"/>
      <c r="R133" s="24" t="str" cm="1">
        <f t="array" aca="1" ref="R133" ca="1">IF(OR(Formulas!T130=0,Formulas!T130="",RIGHT(Formulas!U130)="0"),"",
HYPERLINK("["&amp;Archivo_Nombre&amp;"]Datos!"&amp;LEFT(SUBSTITUTE(ADDRESS(1,IF(Formulas!T130=1,1,RIGHT(Formulas!U130)+2)),"$",""))&amp;Formulas!S130+1,
IFERROR(INDEX(Datos!$A$1:$L$1,1,RIGHT(Formulas!U130)+2)&amp;IF(Formulas!T130=1," "&amp;Formulas!S130,"")&amp;":","")))</f>
        <v>Retraso:</v>
      </c>
      <c r="S133" s="107" t="str" cm="1">
        <f t="array" aca="1" ref="S133" ca="1">IF(OR(Formulas!T130=0,Formulas!T130="",RIGHT(Formulas!U130)="0"),"",
HYPERLINK("["&amp;Archivo_Nombre&amp;"]Datos!"&amp;LEFT(SUBSTITUTE(ADDRESS(1,RIGHT(Formulas!U130)+2),"$",""))&amp;Formulas!S130+1,
IFERROR(INDEX(Datos!$A$2:$L$101,Formulas!S130,RIGHT(Formulas!U130)+2),"")))</f>
        <v>0 días</v>
      </c>
      <c r="T133" s="107" t="e" cm="1">
        <f t="array" aca="1" ref="T133" ca="1">IF(OR(Formulas!U131=0,Formulas!U131=""),"",HYPERLINK("["&amp;Archivo_Nombre&amp;"]Datos!"&amp;LEFT(SUBSTITUTE(ADDRESS(1,Formulas!U131+2),"$",""))&amp;Formulas!T131+1,
IFERROR(INDEX(Datos!$A$2:$L$101,Formulas!T131,Formulas!U131+2),"")))</f>
        <v>#VALUE!</v>
      </c>
      <c r="U133" s="5"/>
      <c r="V133" s="6"/>
      <c r="W133" s="24" t="str" cm="1">
        <f t="array" aca="1" ref="W133" ca="1">IF(OR(Formulas!Y130=0,Formulas!Y130="",RIGHT(Formulas!Z130)="0"),"",
HYPERLINK("["&amp;Archivo_Nombre&amp;"]Datos!"&amp;LEFT(SUBSTITUTE(ADDRESS(1,IF(Formulas!Y130=1,1,RIGHT(Formulas!Z130)+2)),"$",""))&amp;Formulas!X130+1,
IFERROR(INDEX(Datos!$A$1:$L$1,1,RIGHT(Formulas!Z130)+2)&amp;IF(Formulas!Y130=1," "&amp;Formulas!X130,"")&amp;":","")))</f>
        <v/>
      </c>
      <c r="X133" s="107" t="str" cm="1">
        <f t="array" aca="1" ref="X133" ca="1">IF(OR(Formulas!Y130=0,Formulas!Y130="",RIGHT(Formulas!Z130)="0"),"",
HYPERLINK("["&amp;Archivo_Nombre&amp;"]Datos!"&amp;LEFT(SUBSTITUTE(ADDRESS(1,RIGHT(Formulas!Z130)+2),"$",""))&amp;Formulas!X130+1,
IFERROR(INDEX(Datos!$A$2:$L$101,Formulas!X130,RIGHT(Formulas!Z130)+2),"")))</f>
        <v/>
      </c>
      <c r="Y133" s="107" t="str" cm="1">
        <f t="array" aca="1" ref="Y133" ca="1">IF(OR(Formulas!Z131=0,Formulas!Z131=""),"",HYPERLINK("["&amp;Archivo_Nombre&amp;"]Datos!"&amp;LEFT(SUBSTITUTE(ADDRESS(1,Formulas!Z131+2),"$",""))&amp;Formulas!Y131+1,
IFERROR(INDEX(Datos!$A$2:$L$101,Formulas!Y131,Formulas!Z131+2),"")))</f>
        <v/>
      </c>
      <c r="Z133" s="13"/>
      <c r="AA133" s="6"/>
      <c r="AB133" s="24" t="str" cm="1">
        <f t="array" aca="1" ref="AB133" ca="1">IF(OR(Formulas!AD130=0,Formulas!AD130="",RIGHT(Formulas!AE130)="0"),"",
HYPERLINK("["&amp;Archivo_Nombre&amp;"]Datos!"&amp;LEFT(SUBSTITUTE(ADDRESS(1,IF(Formulas!AD130=1,1,RIGHT(Formulas!AE130)+2)),"$",""))&amp;Formulas!AC130+1,
IFERROR(INDEX(Datos!$A$1:$L$1,1,RIGHT(Formulas!AE130)+2)&amp;IF(Formulas!AD130=1," "&amp;Formulas!AC130,"")&amp;":","")))</f>
        <v/>
      </c>
      <c r="AC133" s="107" t="str" cm="1">
        <f t="array" aca="1" ref="AC133" ca="1">IF(OR(Formulas!AD130=0,Formulas!AD130="",RIGHT(Formulas!AE130)="0"),"",
HYPERLINK("["&amp;Archivo_Nombre&amp;"]Datos!"&amp;LEFT(SUBSTITUTE(ADDRESS(1,RIGHT(Formulas!AE130)+2),"$",""))&amp;Formulas!AC130+1,
IFERROR(INDEX(Datos!$A$2:$L$101,Formulas!AC130,RIGHT(Formulas!AE130)+2),"")))</f>
        <v/>
      </c>
      <c r="AD133" s="107" t="str" cm="1">
        <f t="array" aca="1" ref="AD133" ca="1">IF(OR(Formulas!AE131=0,Formulas!AE131=""),"",HYPERLINK("["&amp;Archivo_Nombre&amp;"]Datos!"&amp;LEFT(SUBSTITUTE(ADDRESS(1,Formulas!AE131+2),"$",""))&amp;Formulas!AD131+1,
IFERROR(INDEX(Datos!$A$2:$L$101,Formulas!AD131,Formulas!AE131+2),"")))</f>
        <v/>
      </c>
      <c r="AE133" s="13"/>
      <c r="AF133" s="6"/>
      <c r="AG133" s="24" t="str" cm="1">
        <f t="array" aca="1" ref="AG133" ca="1">IF(OR(Formulas!AI130=0,Formulas!AI130="",RIGHT(Formulas!AJ130)="0"),"",
HYPERLINK("["&amp;Archivo_Nombre&amp;"]Datos!"&amp;LEFT(SUBSTITUTE(ADDRESS(1,IF(Formulas!AI130=1,1,RIGHT(Formulas!AJ130)+2)),"$",""))&amp;Formulas!AH130+1,
IFERROR(INDEX(Datos!$A$1:$L$1,1,RIGHT(Formulas!AJ130)+2)&amp;IF(Formulas!AI130=1," "&amp;Formulas!AH130,"")&amp;":","")))</f>
        <v/>
      </c>
      <c r="AH133" s="107" t="str" cm="1">
        <f t="array" aca="1" ref="AH133" ca="1">IF(OR(Formulas!AI130=0,Formulas!AI130="",RIGHT(Formulas!AJ130)="0"),"",
HYPERLINK("["&amp;Archivo_Nombre&amp;"]Datos!"&amp;LEFT(SUBSTITUTE(ADDRESS(1,RIGHT(Formulas!AJ130)+2),"$",""))&amp;Formulas!AH130+1,
IFERROR(INDEX(Datos!$A$2:$L$101,Formulas!AH130,RIGHT(Formulas!AJ130)+2),"")))</f>
        <v/>
      </c>
      <c r="AI133" s="107" t="str" cm="1">
        <f t="array" aca="1" ref="AI133" ca="1">IF(OR(Formulas!AJ131=0,Formulas!AJ131=""),"",HYPERLINK("["&amp;Archivo_Nombre&amp;"]Datos!"&amp;LEFT(SUBSTITUTE(ADDRESS(1,Formulas!AJ131+2),"$",""))&amp;Formulas!AI131+1,
IFERROR(INDEX(Datos!$A$2:$L$101,Formulas!AI131,Formulas!AJ131+2),"")))</f>
        <v/>
      </c>
      <c r="AJ133" s="13"/>
      <c r="AK133" s="6"/>
      <c r="AL133" s="24" t="str" cm="1">
        <f t="array" aca="1" ref="AL133" ca="1">IF(OR(Formulas!AN130=0,Formulas!AN130="",RIGHT(Formulas!AO130)="0"),"",
HYPERLINK("["&amp;Archivo_Nombre&amp;"]Datos!"&amp;LEFT(SUBSTITUTE(ADDRESS(1,IF(Formulas!AN130=1,1,RIGHT(Formulas!AO130)+2)),"$",""))&amp;Formulas!AM130+1,
IFERROR(INDEX(Datos!$A$1:$L$1,1,RIGHT(Formulas!AO130)+2)&amp;IF(Formulas!AN130=1," "&amp;Formulas!AM130,"")&amp;":","")))</f>
        <v/>
      </c>
      <c r="AM133" s="107" t="str" cm="1">
        <f t="array" aca="1" ref="AM133" ca="1">IF(OR(Formulas!AN130=0,Formulas!AN130="",RIGHT(Formulas!AO130)="0"),"",
HYPERLINK("["&amp;Archivo_Nombre&amp;"]Datos!"&amp;LEFT(SUBSTITUTE(ADDRESS(1,RIGHT(Formulas!AO130)+2),"$",""))&amp;Formulas!AM130+1,
IFERROR(INDEX(Datos!$A$2:$L$101,Formulas!AM130,RIGHT(Formulas!AO130)+2),"")))</f>
        <v/>
      </c>
      <c r="AN133" s="107" t="str" cm="1">
        <f t="array" aca="1" ref="AN133" ca="1">IF(OR(Formulas!AO131=0,Formulas!AO131=""),"",HYPERLINK("["&amp;Archivo_Nombre&amp;"]Datos!"&amp;LEFT(SUBSTITUTE(ADDRESS(1,Formulas!AO131+2),"$",""))&amp;Formulas!AN131+1,
IFERROR(INDEX(Datos!$A$2:$L$101,Formulas!AN131,Formulas!AO131+2),"")))</f>
        <v/>
      </c>
      <c r="AO133" s="13"/>
      <c r="AP133" s="6"/>
      <c r="AQ133" s="24" t="str" cm="1">
        <f t="array" aca="1" ref="AQ133" ca="1">IF(OR(Formulas!AS130=0,Formulas!AS130="",RIGHT(Formulas!AT130)="0"),"",
HYPERLINK("["&amp;Archivo_Nombre&amp;"]Datos!"&amp;LEFT(SUBSTITUTE(ADDRESS(1,IF(Formulas!AS130=1,1,RIGHT(Formulas!AT130)+2)),"$",""))&amp;Formulas!AR130+1,
IFERROR(INDEX(Datos!$A$1:$L$1,1,RIGHT(Formulas!AT130)+2)&amp;IF(Formulas!AS130=1," "&amp;Formulas!AR130,"")&amp;":","")))</f>
        <v/>
      </c>
      <c r="AR133" s="107" t="str" cm="1">
        <f t="array" aca="1" ref="AR133" ca="1">IF(OR(Formulas!AS130=0,Formulas!AS130="",RIGHT(Formulas!AT130)="0"),"",
HYPERLINK("["&amp;Archivo_Nombre&amp;"]Datos!"&amp;LEFT(SUBSTITUTE(ADDRESS(1,RIGHT(Formulas!AT130)+2),"$",""))&amp;Formulas!AR130+1,
IFERROR(INDEX(Datos!$A$2:$L$101,Formulas!AR130,RIGHT(Formulas!AT130)+2),"")))</f>
        <v/>
      </c>
      <c r="AS133" s="107" t="str" cm="1">
        <f t="array" aca="1" ref="AS133" ca="1">IF(OR(Formulas!AT131=0,Formulas!AT131=""),"",HYPERLINK("["&amp;Archivo_Nombre&amp;"]Datos!"&amp;LEFT(SUBSTITUTE(ADDRESS(1,Formulas!AT131+2),"$",""))&amp;Formulas!AS131+1,
IFERROR(INDEX(Datos!$A$2:$L$101,Formulas!AS131,Formulas!AT131+2),"")))</f>
        <v/>
      </c>
      <c r="AT133" s="13"/>
      <c r="AU133" s="6"/>
      <c r="AV133" s="24" t="str" cm="1">
        <f t="array" aca="1" ref="AV133" ca="1">IF(OR(Formulas!AX130=0,Formulas!AX130="",RIGHT(Formulas!AY130)="0"),"",
HYPERLINK("["&amp;Archivo_Nombre&amp;"]Datos!"&amp;LEFT(SUBSTITUTE(ADDRESS(1,IF(Formulas!AX130=1,1,RIGHT(Formulas!AY130)+2)),"$",""))&amp;Formulas!AW130+1,
IFERROR(INDEX(Datos!$A$1:$L$1,1,RIGHT(Formulas!AY130)+2)&amp;IF(Formulas!AX130=1," "&amp;Formulas!AW130,"")&amp;":","")))</f>
        <v/>
      </c>
      <c r="AW133" s="107" t="str" cm="1">
        <f t="array" aca="1" ref="AW133" ca="1">IF(OR(Formulas!AX130=0,Formulas!AX130="",RIGHT(Formulas!AY130)="0"),"",
HYPERLINK("["&amp;Archivo_Nombre&amp;"]Datos!"&amp;LEFT(SUBSTITUTE(ADDRESS(1,RIGHT(Formulas!AY130)+2),"$",""))&amp;Formulas!AW130+1,
IFERROR(INDEX(Datos!$A$2:$L$101,Formulas!AW130,RIGHT(Formulas!AY130)+2),"")))</f>
        <v/>
      </c>
      <c r="AX133" s="107" t="str" cm="1">
        <f t="array" aca="1" ref="AX133" ca="1">IF(OR(Formulas!AY131=0,Formulas!AY131=""),"",HYPERLINK("["&amp;Archivo_Nombre&amp;"]Datos!"&amp;LEFT(SUBSTITUTE(ADDRESS(1,Formulas!AY131+2),"$",""))&amp;Formulas!AX131+1,
IFERROR(INDEX(Datos!$A$2:$L$101,Formulas!AX131,Formulas!AY131+2),"")))</f>
        <v/>
      </c>
      <c r="AY133" s="13"/>
    </row>
    <row r="134" spans="2:51" x14ac:dyDescent="0.25">
      <c r="B134" s="11"/>
      <c r="C134" s="24" t="str" cm="1">
        <f t="array" aca="1" ref="C134" ca="1">IF(OR(Formulas!E131=0,Formulas!E131="",RIGHT(Formulas!F131)="0"),"",
HYPERLINK("["&amp;Archivo_Nombre&amp;"]Datos!"&amp;LEFT(SUBSTITUTE(ADDRESS(1,IF(Formulas!E131=1,1,RIGHT(Formulas!F131)+2)),"$",""))&amp;Formulas!D131+1,
IFERROR(INDEX(Datos!$A$1:$L$1,1,RIGHT(Formulas!F131)+2)&amp;IF(Formulas!E131=1," "&amp;Formulas!D131,"")&amp;":","")))</f>
        <v/>
      </c>
      <c r="D134" s="107" t="str" cm="1">
        <f t="array" aca="1" ref="D134" ca="1">IF(OR(Formulas!E131=0,Formulas!E131="",RIGHT(Formulas!F131)="0"),"",
HYPERLINK("["&amp;Archivo_Nombre&amp;"]Datos!"&amp;LEFT(SUBSTITUTE(ADDRESS(1,RIGHT(Formulas!F131)+2),"$",""))&amp;Formulas!D131+1,
IFERROR(INDEX(Datos!$A$2:$L$101,Formulas!D131,RIGHT(Formulas!F131)+2),"")))</f>
        <v/>
      </c>
      <c r="E134" s="107" t="str" cm="1">
        <f t="array" aca="1" ref="E134" ca="1">IF(OR(Formulas!F132=0,Formulas!F132=""),"",HYPERLINK("["&amp;Archivo_Nombre&amp;"]Datos!"&amp;LEFT(SUBSTITUTE(ADDRESS(1,Formulas!F132+2),"$",""))&amp;Formulas!E132+1,
IFERROR(INDEX(Datos!$A$2:$L$101,Formulas!E132,Formulas!F132+2),"")))</f>
        <v/>
      </c>
      <c r="F134" s="5"/>
      <c r="G134" s="6"/>
      <c r="H134" s="24" t="str" cm="1">
        <f t="array" aca="1" ref="H134" ca="1">IF(OR(Formulas!J131=0,Formulas!J131="",RIGHT(Formulas!K131)="0"),"",
HYPERLINK("["&amp;Archivo_Nombre&amp;"]Datos!"&amp;LEFT(SUBSTITUTE(ADDRESS(1,IF(Formulas!J131=1,1,RIGHT(Formulas!K131)+2)),"$",""))&amp;Formulas!I131+1,
IFERROR(INDEX(Datos!$A$1:$L$1,1,RIGHT(Formulas!K131)+2)&amp;IF(Formulas!J131=1," "&amp;Formulas!I131,"")&amp;":","")))</f>
        <v/>
      </c>
      <c r="I134" s="107" t="str" cm="1">
        <f t="array" aca="1" ref="I134" ca="1">IF(OR(Formulas!J131=0,Formulas!J131="",RIGHT(Formulas!K131)="0"),"",
HYPERLINK("["&amp;Archivo_Nombre&amp;"]Datos!"&amp;LEFT(SUBSTITUTE(ADDRESS(1,RIGHT(Formulas!K131)+2),"$",""))&amp;Formulas!I131+1,
IFERROR(INDEX(Datos!$A$2:$L$101,Formulas!I131,RIGHT(Formulas!K131)+2),"")))</f>
        <v/>
      </c>
      <c r="J134" s="107" t="str" cm="1">
        <f t="array" aca="1" ref="J134" ca="1">IF(OR(Formulas!K132=0,Formulas!K132=""),"",HYPERLINK("["&amp;Archivo_Nombre&amp;"]Datos!"&amp;LEFT(SUBSTITUTE(ADDRESS(1,Formulas!K132+2),"$",""))&amp;Formulas!J132+1,
IFERROR(INDEX(Datos!$A$2:$L$101,Formulas!J132,Formulas!K132+2),"")))</f>
        <v/>
      </c>
      <c r="K134" s="5"/>
      <c r="L134" s="6"/>
      <c r="M134" s="24" t="str" cm="1">
        <f t="array" aca="1" ref="M134" ca="1">IF(OR(Formulas!O131=0,Formulas!O131="",RIGHT(Formulas!P131)="0"),"",
HYPERLINK("["&amp;Archivo_Nombre&amp;"]Datos!"&amp;LEFT(SUBSTITUTE(ADDRESS(1,IF(Formulas!O131=1,1,RIGHT(Formulas!P131)+2)),"$",""))&amp;Formulas!N131+1,
IFERROR(INDEX(Datos!$A$1:$L$1,1,RIGHT(Formulas!P131)+2)&amp;IF(Formulas!O131=1," "&amp;Formulas!N131,"")&amp;":","")))</f>
        <v/>
      </c>
      <c r="N134" s="107" t="str" cm="1">
        <f t="array" aca="1" ref="N134" ca="1">IF(OR(Formulas!O131=0,Formulas!O131="",RIGHT(Formulas!P131)="0"),"",
HYPERLINK("["&amp;Archivo_Nombre&amp;"]Datos!"&amp;LEFT(SUBSTITUTE(ADDRESS(1,RIGHT(Formulas!P131)+2),"$",""))&amp;Formulas!N131+1,
IFERROR(INDEX(Datos!$A$2:$L$101,Formulas!N131,RIGHT(Formulas!P131)+2),"")))</f>
        <v/>
      </c>
      <c r="O134" s="107" t="str" cm="1">
        <f t="array" aca="1" ref="O134" ca="1">IF(OR(Formulas!P132=0,Formulas!P132=""),"",HYPERLINK("["&amp;Archivo_Nombre&amp;"]Datos!"&amp;LEFT(SUBSTITUTE(ADDRESS(1,Formulas!P132+2),"$",""))&amp;Formulas!O132+1,
IFERROR(INDEX(Datos!$A$2:$L$101,Formulas!O132,Formulas!P132+2),"")))</f>
        <v/>
      </c>
      <c r="P134" s="5"/>
      <c r="Q134" s="6"/>
      <c r="R134" s="24" t="str" cm="1">
        <f t="array" aca="1" ref="R134" ca="1">IF(OR(Formulas!T131=0,Formulas!T131="",RIGHT(Formulas!U131)="0"),"",
HYPERLINK("["&amp;Archivo_Nombre&amp;"]Datos!"&amp;LEFT(SUBSTITUTE(ADDRESS(1,IF(Formulas!T131=1,1,RIGHT(Formulas!U131)+2)),"$",""))&amp;Formulas!S131+1,
IFERROR(INDEX(Datos!$A$1:$L$1,1,RIGHT(Formulas!U131)+2)&amp;IF(Formulas!T131=1," "&amp;Formulas!S131,"")&amp;":","")))</f>
        <v/>
      </c>
      <c r="S134" s="107" t="str" cm="1">
        <f t="array" aca="1" ref="S134" ca="1">IF(OR(Formulas!T131=0,Formulas!T131="",RIGHT(Formulas!U131)="0"),"",
HYPERLINK("["&amp;Archivo_Nombre&amp;"]Datos!"&amp;LEFT(SUBSTITUTE(ADDRESS(1,RIGHT(Formulas!U131)+2),"$",""))&amp;Formulas!S131+1,
IFERROR(INDEX(Datos!$A$2:$L$101,Formulas!S131,RIGHT(Formulas!U131)+2),"")))</f>
        <v/>
      </c>
      <c r="T134" s="107" t="str" cm="1">
        <f t="array" aca="1" ref="T134" ca="1">IF(OR(Formulas!U132=0,Formulas!U132=""),"",HYPERLINK("["&amp;Archivo_Nombre&amp;"]Datos!"&amp;LEFT(SUBSTITUTE(ADDRESS(1,Formulas!U132+2),"$",""))&amp;Formulas!T132+1,
IFERROR(INDEX(Datos!$A$2:$L$101,Formulas!T132,Formulas!U132+2),"")))</f>
        <v/>
      </c>
      <c r="U134" s="5"/>
      <c r="V134" s="6"/>
      <c r="W134" s="24" t="str" cm="1">
        <f t="array" aca="1" ref="W134" ca="1">IF(OR(Formulas!Y131=0,Formulas!Y131="",RIGHT(Formulas!Z131)="0"),"",
HYPERLINK("["&amp;Archivo_Nombre&amp;"]Datos!"&amp;LEFT(SUBSTITUTE(ADDRESS(1,IF(Formulas!Y131=1,1,RIGHT(Formulas!Z131)+2)),"$",""))&amp;Formulas!X131+1,
IFERROR(INDEX(Datos!$A$1:$L$1,1,RIGHT(Formulas!Z131)+2)&amp;IF(Formulas!Y131=1," "&amp;Formulas!X131,"")&amp;":","")))</f>
        <v/>
      </c>
      <c r="X134" s="107" t="str" cm="1">
        <f t="array" aca="1" ref="X134" ca="1">IF(OR(Formulas!Y131=0,Formulas!Y131="",RIGHT(Formulas!Z131)="0"),"",
HYPERLINK("["&amp;Archivo_Nombre&amp;"]Datos!"&amp;LEFT(SUBSTITUTE(ADDRESS(1,RIGHT(Formulas!Z131)+2),"$",""))&amp;Formulas!X131+1,
IFERROR(INDEX(Datos!$A$2:$L$101,Formulas!X131,RIGHT(Formulas!Z131)+2),"")))</f>
        <v/>
      </c>
      <c r="Y134" s="107" t="str" cm="1">
        <f t="array" aca="1" ref="Y134" ca="1">IF(OR(Formulas!Z132=0,Formulas!Z132=""),"",HYPERLINK("["&amp;Archivo_Nombre&amp;"]Datos!"&amp;LEFT(SUBSTITUTE(ADDRESS(1,Formulas!Z132+2),"$",""))&amp;Formulas!Y132+1,
IFERROR(INDEX(Datos!$A$2:$L$101,Formulas!Y132,Formulas!Z132+2),"")))</f>
        <v/>
      </c>
      <c r="Z134" s="13"/>
      <c r="AA134" s="6"/>
      <c r="AB134" s="24" t="str" cm="1">
        <f t="array" aca="1" ref="AB134" ca="1">IF(OR(Formulas!AD131=0,Formulas!AD131="",RIGHT(Formulas!AE131)="0"),"",
HYPERLINK("["&amp;Archivo_Nombre&amp;"]Datos!"&amp;LEFT(SUBSTITUTE(ADDRESS(1,IF(Formulas!AD131=1,1,RIGHT(Formulas!AE131)+2)),"$",""))&amp;Formulas!AC131+1,
IFERROR(INDEX(Datos!$A$1:$L$1,1,RIGHT(Formulas!AE131)+2)&amp;IF(Formulas!AD131=1," "&amp;Formulas!AC131,"")&amp;":","")))</f>
        <v/>
      </c>
      <c r="AC134" s="107" t="str" cm="1">
        <f t="array" aca="1" ref="AC134" ca="1">IF(OR(Formulas!AD131=0,Formulas!AD131="",RIGHT(Formulas!AE131)="0"),"",
HYPERLINK("["&amp;Archivo_Nombre&amp;"]Datos!"&amp;LEFT(SUBSTITUTE(ADDRESS(1,RIGHT(Formulas!AE131)+2),"$",""))&amp;Formulas!AC131+1,
IFERROR(INDEX(Datos!$A$2:$L$101,Formulas!AC131,RIGHT(Formulas!AE131)+2),"")))</f>
        <v/>
      </c>
      <c r="AD134" s="107" t="str" cm="1">
        <f t="array" aca="1" ref="AD134" ca="1">IF(OR(Formulas!AE132=0,Formulas!AE132=""),"",HYPERLINK("["&amp;Archivo_Nombre&amp;"]Datos!"&amp;LEFT(SUBSTITUTE(ADDRESS(1,Formulas!AE132+2),"$",""))&amp;Formulas!AD132+1,
IFERROR(INDEX(Datos!$A$2:$L$101,Formulas!AD132,Formulas!AE132+2),"")))</f>
        <v/>
      </c>
      <c r="AE134" s="13"/>
      <c r="AF134" s="6"/>
      <c r="AG134" s="24" t="str" cm="1">
        <f t="array" aca="1" ref="AG134" ca="1">IF(OR(Formulas!AI131=0,Formulas!AI131="",RIGHT(Formulas!AJ131)="0"),"",
HYPERLINK("["&amp;Archivo_Nombre&amp;"]Datos!"&amp;LEFT(SUBSTITUTE(ADDRESS(1,IF(Formulas!AI131=1,1,RIGHT(Formulas!AJ131)+2)),"$",""))&amp;Formulas!AH131+1,
IFERROR(INDEX(Datos!$A$1:$L$1,1,RIGHT(Formulas!AJ131)+2)&amp;IF(Formulas!AI131=1," "&amp;Formulas!AH131,"")&amp;":","")))</f>
        <v/>
      </c>
      <c r="AH134" s="107" t="str" cm="1">
        <f t="array" aca="1" ref="AH134" ca="1">IF(OR(Formulas!AI131=0,Formulas!AI131="",RIGHT(Formulas!AJ131)="0"),"",
HYPERLINK("["&amp;Archivo_Nombre&amp;"]Datos!"&amp;LEFT(SUBSTITUTE(ADDRESS(1,RIGHT(Formulas!AJ131)+2),"$",""))&amp;Formulas!AH131+1,
IFERROR(INDEX(Datos!$A$2:$L$101,Formulas!AH131,RIGHT(Formulas!AJ131)+2),"")))</f>
        <v/>
      </c>
      <c r="AI134" s="107" t="str" cm="1">
        <f t="array" aca="1" ref="AI134" ca="1">IF(OR(Formulas!AJ132=0,Formulas!AJ132=""),"",HYPERLINK("["&amp;Archivo_Nombre&amp;"]Datos!"&amp;LEFT(SUBSTITUTE(ADDRESS(1,Formulas!AJ132+2),"$",""))&amp;Formulas!AI132+1,
IFERROR(INDEX(Datos!$A$2:$L$101,Formulas!AI132,Formulas!AJ132+2),"")))</f>
        <v/>
      </c>
      <c r="AJ134" s="13"/>
      <c r="AK134" s="6"/>
      <c r="AL134" s="24" t="str" cm="1">
        <f t="array" aca="1" ref="AL134" ca="1">IF(OR(Formulas!AN131=0,Formulas!AN131="",RIGHT(Formulas!AO131)="0"),"",
HYPERLINK("["&amp;Archivo_Nombre&amp;"]Datos!"&amp;LEFT(SUBSTITUTE(ADDRESS(1,IF(Formulas!AN131=1,1,RIGHT(Formulas!AO131)+2)),"$",""))&amp;Formulas!AM131+1,
IFERROR(INDEX(Datos!$A$1:$L$1,1,RIGHT(Formulas!AO131)+2)&amp;IF(Formulas!AN131=1," "&amp;Formulas!AM131,"")&amp;":","")))</f>
        <v/>
      </c>
      <c r="AM134" s="107" t="str" cm="1">
        <f t="array" aca="1" ref="AM134" ca="1">IF(OR(Formulas!AN131=0,Formulas!AN131="",RIGHT(Formulas!AO131)="0"),"",
HYPERLINK("["&amp;Archivo_Nombre&amp;"]Datos!"&amp;LEFT(SUBSTITUTE(ADDRESS(1,RIGHT(Formulas!AO131)+2),"$",""))&amp;Formulas!AM131+1,
IFERROR(INDEX(Datos!$A$2:$L$101,Formulas!AM131,RIGHT(Formulas!AO131)+2),"")))</f>
        <v/>
      </c>
      <c r="AN134" s="107" t="str" cm="1">
        <f t="array" aca="1" ref="AN134" ca="1">IF(OR(Formulas!AO132=0,Formulas!AO132=""),"",HYPERLINK("["&amp;Archivo_Nombre&amp;"]Datos!"&amp;LEFT(SUBSTITUTE(ADDRESS(1,Formulas!AO132+2),"$",""))&amp;Formulas!AN132+1,
IFERROR(INDEX(Datos!$A$2:$L$101,Formulas!AN132,Formulas!AO132+2),"")))</f>
        <v/>
      </c>
      <c r="AO134" s="13"/>
      <c r="AP134" s="6"/>
      <c r="AQ134" s="24" t="str" cm="1">
        <f t="array" aca="1" ref="AQ134" ca="1">IF(OR(Formulas!AS131=0,Formulas!AS131="",RIGHT(Formulas!AT131)="0"),"",
HYPERLINK("["&amp;Archivo_Nombre&amp;"]Datos!"&amp;LEFT(SUBSTITUTE(ADDRESS(1,IF(Formulas!AS131=1,1,RIGHT(Formulas!AT131)+2)),"$",""))&amp;Formulas!AR131+1,
IFERROR(INDEX(Datos!$A$1:$L$1,1,RIGHT(Formulas!AT131)+2)&amp;IF(Formulas!AS131=1," "&amp;Formulas!AR131,"")&amp;":","")))</f>
        <v/>
      </c>
      <c r="AR134" s="107" t="str" cm="1">
        <f t="array" aca="1" ref="AR134" ca="1">IF(OR(Formulas!AS131=0,Formulas!AS131="",RIGHT(Formulas!AT131)="0"),"",
HYPERLINK("["&amp;Archivo_Nombre&amp;"]Datos!"&amp;LEFT(SUBSTITUTE(ADDRESS(1,RIGHT(Formulas!AT131)+2),"$",""))&amp;Formulas!AR131+1,
IFERROR(INDEX(Datos!$A$2:$L$101,Formulas!AR131,RIGHT(Formulas!AT131)+2),"")))</f>
        <v/>
      </c>
      <c r="AS134" s="107" t="str" cm="1">
        <f t="array" aca="1" ref="AS134" ca="1">IF(OR(Formulas!AT132=0,Formulas!AT132=""),"",HYPERLINK("["&amp;Archivo_Nombre&amp;"]Datos!"&amp;LEFT(SUBSTITUTE(ADDRESS(1,Formulas!AT132+2),"$",""))&amp;Formulas!AS132+1,
IFERROR(INDEX(Datos!$A$2:$L$101,Formulas!AS132,Formulas!AT132+2),"")))</f>
        <v/>
      </c>
      <c r="AT134" s="13"/>
      <c r="AU134" s="6"/>
      <c r="AV134" s="24" t="str" cm="1">
        <f t="array" aca="1" ref="AV134" ca="1">IF(OR(Formulas!AX131=0,Formulas!AX131="",RIGHT(Formulas!AY131)="0"),"",
HYPERLINK("["&amp;Archivo_Nombre&amp;"]Datos!"&amp;LEFT(SUBSTITUTE(ADDRESS(1,IF(Formulas!AX131=1,1,RIGHT(Formulas!AY131)+2)),"$",""))&amp;Formulas!AW131+1,
IFERROR(INDEX(Datos!$A$1:$L$1,1,RIGHT(Formulas!AY131)+2)&amp;IF(Formulas!AX131=1," "&amp;Formulas!AW131,"")&amp;":","")))</f>
        <v/>
      </c>
      <c r="AW134" s="107" t="str" cm="1">
        <f t="array" aca="1" ref="AW134" ca="1">IF(OR(Formulas!AX131=0,Formulas!AX131="",RIGHT(Formulas!AY131)="0"),"",
HYPERLINK("["&amp;Archivo_Nombre&amp;"]Datos!"&amp;LEFT(SUBSTITUTE(ADDRESS(1,RIGHT(Formulas!AY131)+2),"$",""))&amp;Formulas!AW131+1,
IFERROR(INDEX(Datos!$A$2:$L$101,Formulas!AW131,RIGHT(Formulas!AY131)+2),"")))</f>
        <v/>
      </c>
      <c r="AX134" s="107" t="str" cm="1">
        <f t="array" aca="1" ref="AX134" ca="1">IF(OR(Formulas!AY132=0,Formulas!AY132=""),"",HYPERLINK("["&amp;Archivo_Nombre&amp;"]Datos!"&amp;LEFT(SUBSTITUTE(ADDRESS(1,Formulas!AY132+2),"$",""))&amp;Formulas!AX132+1,
IFERROR(INDEX(Datos!$A$2:$L$101,Formulas!AX132,Formulas!AY132+2),"")))</f>
        <v/>
      </c>
      <c r="AY134" s="13"/>
    </row>
    <row r="135" spans="2:51" x14ac:dyDescent="0.25">
      <c r="B135" s="11"/>
      <c r="C135" s="24" t="str" cm="1">
        <f t="array" aca="1" ref="C135" ca="1">IF(OR(Formulas!E132=0,Formulas!E132="",RIGHT(Formulas!F132)="0"),"",
HYPERLINK("["&amp;Archivo_Nombre&amp;"]Datos!"&amp;LEFT(SUBSTITUTE(ADDRESS(1,IF(Formulas!E132=1,1,RIGHT(Formulas!F132)+2)),"$",""))&amp;Formulas!D132+1,
IFERROR(INDEX(Datos!$A$1:$L$1,1,RIGHT(Formulas!F132)+2)&amp;IF(Formulas!E132=1," "&amp;Formulas!D132,"")&amp;":","")))</f>
        <v/>
      </c>
      <c r="D135" s="107" t="str" cm="1">
        <f t="array" aca="1" ref="D135" ca="1">IF(OR(Formulas!E132=0,Formulas!E132="",RIGHT(Formulas!F132)="0"),"",
HYPERLINK("["&amp;Archivo_Nombre&amp;"]Datos!"&amp;LEFT(SUBSTITUTE(ADDRESS(1,RIGHT(Formulas!F132)+2),"$",""))&amp;Formulas!D132+1,
IFERROR(INDEX(Datos!$A$2:$L$101,Formulas!D132,RIGHT(Formulas!F132)+2),"")))</f>
        <v/>
      </c>
      <c r="E135" s="107" t="str" cm="1">
        <f t="array" aca="1" ref="E135" ca="1">IF(OR(Formulas!F133=0,Formulas!F133=""),"",HYPERLINK("["&amp;Archivo_Nombre&amp;"]Datos!"&amp;LEFT(SUBSTITUTE(ADDRESS(1,Formulas!F133+2),"$",""))&amp;Formulas!E133+1,
IFERROR(INDEX(Datos!$A$2:$L$101,Formulas!E133,Formulas!F133+2),"")))</f>
        <v/>
      </c>
      <c r="F135" s="5"/>
      <c r="G135" s="6"/>
      <c r="H135" s="24" t="str" cm="1">
        <f t="array" aca="1" ref="H135" ca="1">IF(OR(Formulas!J132=0,Formulas!J132="",RIGHT(Formulas!K132)="0"),"",
HYPERLINK("["&amp;Archivo_Nombre&amp;"]Datos!"&amp;LEFT(SUBSTITUTE(ADDRESS(1,IF(Formulas!J132=1,1,RIGHT(Formulas!K132)+2)),"$",""))&amp;Formulas!I132+1,
IFERROR(INDEX(Datos!$A$1:$L$1,1,RIGHT(Formulas!K132)+2)&amp;IF(Formulas!J132=1," "&amp;Formulas!I132,"")&amp;":","")))</f>
        <v/>
      </c>
      <c r="I135" s="107" t="str" cm="1">
        <f t="array" aca="1" ref="I135" ca="1">IF(OR(Formulas!J132=0,Formulas!J132="",RIGHT(Formulas!K132)="0"),"",
HYPERLINK("["&amp;Archivo_Nombre&amp;"]Datos!"&amp;LEFT(SUBSTITUTE(ADDRESS(1,RIGHT(Formulas!K132)+2),"$",""))&amp;Formulas!I132+1,
IFERROR(INDEX(Datos!$A$2:$L$101,Formulas!I132,RIGHT(Formulas!K132)+2),"")))</f>
        <v/>
      </c>
      <c r="J135" s="107" t="str" cm="1">
        <f t="array" aca="1" ref="J135" ca="1">IF(OR(Formulas!K133=0,Formulas!K133=""),"",HYPERLINK("["&amp;Archivo_Nombre&amp;"]Datos!"&amp;LEFT(SUBSTITUTE(ADDRESS(1,Formulas!K133+2),"$",""))&amp;Formulas!J133+1,
IFERROR(INDEX(Datos!$A$2:$L$101,Formulas!J133,Formulas!K133+2),"")))</f>
        <v/>
      </c>
      <c r="K135" s="5"/>
      <c r="L135" s="6"/>
      <c r="M135" s="24" t="str" cm="1">
        <f t="array" aca="1" ref="M135" ca="1">IF(OR(Formulas!O132=0,Formulas!O132="",RIGHT(Formulas!P132)="0"),"",
HYPERLINK("["&amp;Archivo_Nombre&amp;"]Datos!"&amp;LEFT(SUBSTITUTE(ADDRESS(1,IF(Formulas!O132=1,1,RIGHT(Formulas!P132)+2)),"$",""))&amp;Formulas!N132+1,
IFERROR(INDEX(Datos!$A$1:$L$1,1,RIGHT(Formulas!P132)+2)&amp;IF(Formulas!O132=1," "&amp;Formulas!N132,"")&amp;":","")))</f>
        <v/>
      </c>
      <c r="N135" s="107" t="str" cm="1">
        <f t="array" aca="1" ref="N135" ca="1">IF(OR(Formulas!O132=0,Formulas!O132="",RIGHT(Formulas!P132)="0"),"",
HYPERLINK("["&amp;Archivo_Nombre&amp;"]Datos!"&amp;LEFT(SUBSTITUTE(ADDRESS(1,RIGHT(Formulas!P132)+2),"$",""))&amp;Formulas!N132+1,
IFERROR(INDEX(Datos!$A$2:$L$101,Formulas!N132,RIGHT(Formulas!P132)+2),"")))</f>
        <v/>
      </c>
      <c r="O135" s="107" t="str" cm="1">
        <f t="array" aca="1" ref="O135" ca="1">IF(OR(Formulas!P133=0,Formulas!P133=""),"",HYPERLINK("["&amp;Archivo_Nombre&amp;"]Datos!"&amp;LEFT(SUBSTITUTE(ADDRESS(1,Formulas!P133+2),"$",""))&amp;Formulas!O133+1,
IFERROR(INDEX(Datos!$A$2:$L$101,Formulas!O133,Formulas!P133+2),"")))</f>
        <v/>
      </c>
      <c r="P135" s="5"/>
      <c r="Q135" s="6"/>
      <c r="R135" s="24" t="str" cm="1">
        <f t="array" aca="1" ref="R135" ca="1">IF(OR(Formulas!T132=0,Formulas!T132="",RIGHT(Formulas!U132)="0"),"",
HYPERLINK("["&amp;Archivo_Nombre&amp;"]Datos!"&amp;LEFT(SUBSTITUTE(ADDRESS(1,IF(Formulas!T132=1,1,RIGHT(Formulas!U132)+2)),"$",""))&amp;Formulas!S132+1,
IFERROR(INDEX(Datos!$A$1:$L$1,1,RIGHT(Formulas!U132)+2)&amp;IF(Formulas!T132=1," "&amp;Formulas!S132,"")&amp;":","")))</f>
        <v/>
      </c>
      <c r="S135" s="107" t="str" cm="1">
        <f t="array" aca="1" ref="S135" ca="1">IF(OR(Formulas!T132=0,Formulas!T132="",RIGHT(Formulas!U132)="0"),"",
HYPERLINK("["&amp;Archivo_Nombre&amp;"]Datos!"&amp;LEFT(SUBSTITUTE(ADDRESS(1,RIGHT(Formulas!U132)+2),"$",""))&amp;Formulas!S132+1,
IFERROR(INDEX(Datos!$A$2:$L$101,Formulas!S132,RIGHT(Formulas!U132)+2),"")))</f>
        <v/>
      </c>
      <c r="T135" s="107" t="e" cm="1">
        <f t="array" aca="1" ref="T135" ca="1">IF(OR(Formulas!U133=0,Formulas!U133=""),"",HYPERLINK("["&amp;Archivo_Nombre&amp;"]Datos!"&amp;LEFT(SUBSTITUTE(ADDRESS(1,Formulas!U133+2),"$",""))&amp;Formulas!T133+1,
IFERROR(INDEX(Datos!$A$2:$L$101,Formulas!T133,Formulas!U133+2),"")))</f>
        <v>#VALUE!</v>
      </c>
      <c r="U135" s="5"/>
      <c r="V135" s="6"/>
      <c r="W135" s="24" t="str" cm="1">
        <f t="array" aca="1" ref="W135" ca="1">IF(OR(Formulas!Y132=0,Formulas!Y132="",RIGHT(Formulas!Z132)="0"),"",
HYPERLINK("["&amp;Archivo_Nombre&amp;"]Datos!"&amp;LEFT(SUBSTITUTE(ADDRESS(1,IF(Formulas!Y132=1,1,RIGHT(Formulas!Z132)+2)),"$",""))&amp;Formulas!X132+1,
IFERROR(INDEX(Datos!$A$1:$L$1,1,RIGHT(Formulas!Z132)+2)&amp;IF(Formulas!Y132=1," "&amp;Formulas!X132,"")&amp;":","")))</f>
        <v/>
      </c>
      <c r="X135" s="107" t="str" cm="1">
        <f t="array" aca="1" ref="X135" ca="1">IF(OR(Formulas!Y132=0,Formulas!Y132="",RIGHT(Formulas!Z132)="0"),"",
HYPERLINK("["&amp;Archivo_Nombre&amp;"]Datos!"&amp;LEFT(SUBSTITUTE(ADDRESS(1,RIGHT(Formulas!Z132)+2),"$",""))&amp;Formulas!X132+1,
IFERROR(INDEX(Datos!$A$2:$L$101,Formulas!X132,RIGHT(Formulas!Z132)+2),"")))</f>
        <v/>
      </c>
      <c r="Y135" s="107" t="str" cm="1">
        <f t="array" aca="1" ref="Y135" ca="1">IF(OR(Formulas!Z133=0,Formulas!Z133=""),"",HYPERLINK("["&amp;Archivo_Nombre&amp;"]Datos!"&amp;LEFT(SUBSTITUTE(ADDRESS(1,Formulas!Z133+2),"$",""))&amp;Formulas!Y133+1,
IFERROR(INDEX(Datos!$A$2:$L$101,Formulas!Y133,Formulas!Z133+2),"")))</f>
        <v/>
      </c>
      <c r="Z135" s="13"/>
      <c r="AA135" s="6"/>
      <c r="AB135" s="24" t="str" cm="1">
        <f t="array" aca="1" ref="AB135" ca="1">IF(OR(Formulas!AD132=0,Formulas!AD132="",RIGHT(Formulas!AE132)="0"),"",
HYPERLINK("["&amp;Archivo_Nombre&amp;"]Datos!"&amp;LEFT(SUBSTITUTE(ADDRESS(1,IF(Formulas!AD132=1,1,RIGHT(Formulas!AE132)+2)),"$",""))&amp;Formulas!AC132+1,
IFERROR(INDEX(Datos!$A$1:$L$1,1,RIGHT(Formulas!AE132)+2)&amp;IF(Formulas!AD132=1," "&amp;Formulas!AC132,"")&amp;":","")))</f>
        <v/>
      </c>
      <c r="AC135" s="107" t="str" cm="1">
        <f t="array" aca="1" ref="AC135" ca="1">IF(OR(Formulas!AD132=0,Formulas!AD132="",RIGHT(Formulas!AE132)="0"),"",
HYPERLINK("["&amp;Archivo_Nombre&amp;"]Datos!"&amp;LEFT(SUBSTITUTE(ADDRESS(1,RIGHT(Formulas!AE132)+2),"$",""))&amp;Formulas!AC132+1,
IFERROR(INDEX(Datos!$A$2:$L$101,Formulas!AC132,RIGHT(Formulas!AE132)+2),"")))</f>
        <v/>
      </c>
      <c r="AD135" s="107" t="str" cm="1">
        <f t="array" aca="1" ref="AD135" ca="1">IF(OR(Formulas!AE133=0,Formulas!AE133=""),"",HYPERLINK("["&amp;Archivo_Nombre&amp;"]Datos!"&amp;LEFT(SUBSTITUTE(ADDRESS(1,Formulas!AE133+2),"$",""))&amp;Formulas!AD133+1,
IFERROR(INDEX(Datos!$A$2:$L$101,Formulas!AD133,Formulas!AE133+2),"")))</f>
        <v/>
      </c>
      <c r="AE135" s="13"/>
      <c r="AF135" s="6"/>
      <c r="AG135" s="24" t="str" cm="1">
        <f t="array" aca="1" ref="AG135" ca="1">IF(OR(Formulas!AI132=0,Formulas!AI132="",RIGHT(Formulas!AJ132)="0"),"",
HYPERLINK("["&amp;Archivo_Nombre&amp;"]Datos!"&amp;LEFT(SUBSTITUTE(ADDRESS(1,IF(Formulas!AI132=1,1,RIGHT(Formulas!AJ132)+2)),"$",""))&amp;Formulas!AH132+1,
IFERROR(INDEX(Datos!$A$1:$L$1,1,RIGHT(Formulas!AJ132)+2)&amp;IF(Formulas!AI132=1," "&amp;Formulas!AH132,"")&amp;":","")))</f>
        <v/>
      </c>
      <c r="AH135" s="107" t="str" cm="1">
        <f t="array" aca="1" ref="AH135" ca="1">IF(OR(Formulas!AI132=0,Formulas!AI132="",RIGHT(Formulas!AJ132)="0"),"",
HYPERLINK("["&amp;Archivo_Nombre&amp;"]Datos!"&amp;LEFT(SUBSTITUTE(ADDRESS(1,RIGHT(Formulas!AJ132)+2),"$",""))&amp;Formulas!AH132+1,
IFERROR(INDEX(Datos!$A$2:$L$101,Formulas!AH132,RIGHT(Formulas!AJ132)+2),"")))</f>
        <v/>
      </c>
      <c r="AI135" s="107" t="str" cm="1">
        <f t="array" aca="1" ref="AI135" ca="1">IF(OR(Formulas!AJ133=0,Formulas!AJ133=""),"",HYPERLINK("["&amp;Archivo_Nombre&amp;"]Datos!"&amp;LEFT(SUBSTITUTE(ADDRESS(1,Formulas!AJ133+2),"$",""))&amp;Formulas!AI133+1,
IFERROR(INDEX(Datos!$A$2:$L$101,Formulas!AI133,Formulas!AJ133+2),"")))</f>
        <v/>
      </c>
      <c r="AJ135" s="13"/>
      <c r="AK135" s="6"/>
      <c r="AL135" s="24" t="str" cm="1">
        <f t="array" aca="1" ref="AL135" ca="1">IF(OR(Formulas!AN132=0,Formulas!AN132="",RIGHT(Formulas!AO132)="0"),"",
HYPERLINK("["&amp;Archivo_Nombre&amp;"]Datos!"&amp;LEFT(SUBSTITUTE(ADDRESS(1,IF(Formulas!AN132=1,1,RIGHT(Formulas!AO132)+2)),"$",""))&amp;Formulas!AM132+1,
IFERROR(INDEX(Datos!$A$1:$L$1,1,RIGHT(Formulas!AO132)+2)&amp;IF(Formulas!AN132=1," "&amp;Formulas!AM132,"")&amp;":","")))</f>
        <v/>
      </c>
      <c r="AM135" s="107" t="str" cm="1">
        <f t="array" aca="1" ref="AM135" ca="1">IF(OR(Formulas!AN132=0,Formulas!AN132="",RIGHT(Formulas!AO132)="0"),"",
HYPERLINK("["&amp;Archivo_Nombre&amp;"]Datos!"&amp;LEFT(SUBSTITUTE(ADDRESS(1,RIGHT(Formulas!AO132)+2),"$",""))&amp;Formulas!AM132+1,
IFERROR(INDEX(Datos!$A$2:$L$101,Formulas!AM132,RIGHT(Formulas!AO132)+2),"")))</f>
        <v/>
      </c>
      <c r="AN135" s="107" t="str" cm="1">
        <f t="array" aca="1" ref="AN135" ca="1">IF(OR(Formulas!AO133=0,Formulas!AO133=""),"",HYPERLINK("["&amp;Archivo_Nombre&amp;"]Datos!"&amp;LEFT(SUBSTITUTE(ADDRESS(1,Formulas!AO133+2),"$",""))&amp;Formulas!AN133+1,
IFERROR(INDEX(Datos!$A$2:$L$101,Formulas!AN133,Formulas!AO133+2),"")))</f>
        <v/>
      </c>
      <c r="AO135" s="13"/>
      <c r="AP135" s="6"/>
      <c r="AQ135" s="24" t="str" cm="1">
        <f t="array" aca="1" ref="AQ135" ca="1">IF(OR(Formulas!AS132=0,Formulas!AS132="",RIGHT(Formulas!AT132)="0"),"",
HYPERLINK("["&amp;Archivo_Nombre&amp;"]Datos!"&amp;LEFT(SUBSTITUTE(ADDRESS(1,IF(Formulas!AS132=1,1,RIGHT(Formulas!AT132)+2)),"$",""))&amp;Formulas!AR132+1,
IFERROR(INDEX(Datos!$A$1:$L$1,1,RIGHT(Formulas!AT132)+2)&amp;IF(Formulas!AS132=1," "&amp;Formulas!AR132,"")&amp;":","")))</f>
        <v/>
      </c>
      <c r="AR135" s="107" t="str" cm="1">
        <f t="array" aca="1" ref="AR135" ca="1">IF(OR(Formulas!AS132=0,Formulas!AS132="",RIGHT(Formulas!AT132)="0"),"",
HYPERLINK("["&amp;Archivo_Nombre&amp;"]Datos!"&amp;LEFT(SUBSTITUTE(ADDRESS(1,RIGHT(Formulas!AT132)+2),"$",""))&amp;Formulas!AR132+1,
IFERROR(INDEX(Datos!$A$2:$L$101,Formulas!AR132,RIGHT(Formulas!AT132)+2),"")))</f>
        <v/>
      </c>
      <c r="AS135" s="107" t="str" cm="1">
        <f t="array" aca="1" ref="AS135" ca="1">IF(OR(Formulas!AT133=0,Formulas!AT133=""),"",HYPERLINK("["&amp;Archivo_Nombre&amp;"]Datos!"&amp;LEFT(SUBSTITUTE(ADDRESS(1,Formulas!AT133+2),"$",""))&amp;Formulas!AS133+1,
IFERROR(INDEX(Datos!$A$2:$L$101,Formulas!AS133,Formulas!AT133+2),"")))</f>
        <v/>
      </c>
      <c r="AT135" s="13"/>
      <c r="AU135" s="6"/>
      <c r="AV135" s="24" t="str" cm="1">
        <f t="array" aca="1" ref="AV135" ca="1">IF(OR(Formulas!AX132=0,Formulas!AX132="",RIGHT(Formulas!AY132)="0"),"",
HYPERLINK("["&amp;Archivo_Nombre&amp;"]Datos!"&amp;LEFT(SUBSTITUTE(ADDRESS(1,IF(Formulas!AX132=1,1,RIGHT(Formulas!AY132)+2)),"$",""))&amp;Formulas!AW132+1,
IFERROR(INDEX(Datos!$A$1:$L$1,1,RIGHT(Formulas!AY132)+2)&amp;IF(Formulas!AX132=1," "&amp;Formulas!AW132,"")&amp;":","")))</f>
        <v/>
      </c>
      <c r="AW135" s="107" t="str" cm="1">
        <f t="array" aca="1" ref="AW135" ca="1">IF(OR(Formulas!AX132=0,Formulas!AX132="",RIGHT(Formulas!AY132)="0"),"",
HYPERLINK("["&amp;Archivo_Nombre&amp;"]Datos!"&amp;LEFT(SUBSTITUTE(ADDRESS(1,RIGHT(Formulas!AY132)+2),"$",""))&amp;Formulas!AW132+1,
IFERROR(INDEX(Datos!$A$2:$L$101,Formulas!AW132,RIGHT(Formulas!AY132)+2),"")))</f>
        <v/>
      </c>
      <c r="AX135" s="107" t="str" cm="1">
        <f t="array" aca="1" ref="AX135" ca="1">IF(OR(Formulas!AY133=0,Formulas!AY133=""),"",HYPERLINK("["&amp;Archivo_Nombre&amp;"]Datos!"&amp;LEFT(SUBSTITUTE(ADDRESS(1,Formulas!AY133+2),"$",""))&amp;Formulas!AX133+1,
IFERROR(INDEX(Datos!$A$2:$L$101,Formulas!AX133,Formulas!AY133+2),"")))</f>
        <v/>
      </c>
      <c r="AY135" s="13"/>
    </row>
    <row r="136" spans="2:51" x14ac:dyDescent="0.25">
      <c r="B136" s="11"/>
      <c r="C136" s="24" t="str" cm="1">
        <f t="array" aca="1" ref="C136" ca="1">IF(OR(Formulas!E133=0,Formulas!E133="",RIGHT(Formulas!F133)="0"),"",
HYPERLINK("["&amp;Archivo_Nombre&amp;"]Datos!"&amp;LEFT(SUBSTITUTE(ADDRESS(1,IF(Formulas!E133=1,1,RIGHT(Formulas!F133)+2)),"$",""))&amp;Formulas!D133+1,
IFERROR(INDEX(Datos!$A$1:$L$1,1,RIGHT(Formulas!F133)+2)&amp;IF(Formulas!E133=1," "&amp;Formulas!D133,"")&amp;":","")))</f>
        <v/>
      </c>
      <c r="D136" s="107" t="str" cm="1">
        <f t="array" aca="1" ref="D136" ca="1">IF(OR(Formulas!E133=0,Formulas!E133="",RIGHT(Formulas!F133)="0"),"",
HYPERLINK("["&amp;Archivo_Nombre&amp;"]Datos!"&amp;LEFT(SUBSTITUTE(ADDRESS(1,RIGHT(Formulas!F133)+2),"$",""))&amp;Formulas!D133+1,
IFERROR(INDEX(Datos!$A$2:$L$101,Formulas!D133,RIGHT(Formulas!F133)+2),"")))</f>
        <v/>
      </c>
      <c r="E136" s="107" t="str" cm="1">
        <f t="array" aca="1" ref="E136" ca="1">IF(OR(Formulas!F134=0,Formulas!F134=""),"",HYPERLINK("["&amp;Archivo_Nombre&amp;"]Datos!"&amp;LEFT(SUBSTITUTE(ADDRESS(1,Formulas!F134+2),"$",""))&amp;Formulas!E134+1,
IFERROR(INDEX(Datos!$A$2:$L$101,Formulas!E134,Formulas!F134+2),"")))</f>
        <v/>
      </c>
      <c r="F136" s="5"/>
      <c r="G136" s="6"/>
      <c r="H136" s="24" t="str" cm="1">
        <f t="array" aca="1" ref="H136" ca="1">IF(OR(Formulas!J133=0,Formulas!J133="",RIGHT(Formulas!K133)="0"),"",
HYPERLINK("["&amp;Archivo_Nombre&amp;"]Datos!"&amp;LEFT(SUBSTITUTE(ADDRESS(1,IF(Formulas!J133=1,1,RIGHT(Formulas!K133)+2)),"$",""))&amp;Formulas!I133+1,
IFERROR(INDEX(Datos!$A$1:$L$1,1,RIGHT(Formulas!K133)+2)&amp;IF(Formulas!J133=1," "&amp;Formulas!I133,"")&amp;":","")))</f>
        <v/>
      </c>
      <c r="I136" s="107" t="str" cm="1">
        <f t="array" aca="1" ref="I136" ca="1">IF(OR(Formulas!J133=0,Formulas!J133="",RIGHT(Formulas!K133)="0"),"",
HYPERLINK("["&amp;Archivo_Nombre&amp;"]Datos!"&amp;LEFT(SUBSTITUTE(ADDRESS(1,RIGHT(Formulas!K133)+2),"$",""))&amp;Formulas!I133+1,
IFERROR(INDEX(Datos!$A$2:$L$101,Formulas!I133,RIGHT(Formulas!K133)+2),"")))</f>
        <v/>
      </c>
      <c r="J136" s="107" t="str" cm="1">
        <f t="array" aca="1" ref="J136" ca="1">IF(OR(Formulas!K134=0,Formulas!K134=""),"",HYPERLINK("["&amp;Archivo_Nombre&amp;"]Datos!"&amp;LEFT(SUBSTITUTE(ADDRESS(1,Formulas!K134+2),"$",""))&amp;Formulas!J134+1,
IFERROR(INDEX(Datos!$A$2:$L$101,Formulas!J134,Formulas!K134+2),"")))</f>
        <v/>
      </c>
      <c r="K136" s="5"/>
      <c r="L136" s="6"/>
      <c r="M136" s="24" t="str" cm="1">
        <f t="array" aca="1" ref="M136" ca="1">IF(OR(Formulas!O133=0,Formulas!O133="",RIGHT(Formulas!P133)="0"),"",
HYPERLINK("["&amp;Archivo_Nombre&amp;"]Datos!"&amp;LEFT(SUBSTITUTE(ADDRESS(1,IF(Formulas!O133=1,1,RIGHT(Formulas!P133)+2)),"$",""))&amp;Formulas!N133+1,
IFERROR(INDEX(Datos!$A$1:$L$1,1,RIGHT(Formulas!P133)+2)&amp;IF(Formulas!O133=1," "&amp;Formulas!N133,"")&amp;":","")))</f>
        <v/>
      </c>
      <c r="N136" s="107" t="str" cm="1">
        <f t="array" aca="1" ref="N136" ca="1">IF(OR(Formulas!O133=0,Formulas!O133="",RIGHT(Formulas!P133)="0"),"",
HYPERLINK("["&amp;Archivo_Nombre&amp;"]Datos!"&amp;LEFT(SUBSTITUTE(ADDRESS(1,RIGHT(Formulas!P133)+2),"$",""))&amp;Formulas!N133+1,
IFERROR(INDEX(Datos!$A$2:$L$101,Formulas!N133,RIGHT(Formulas!P133)+2),"")))</f>
        <v/>
      </c>
      <c r="O136" s="107" t="str" cm="1">
        <f t="array" aca="1" ref="O136" ca="1">IF(OR(Formulas!P134=0,Formulas!P134=""),"",HYPERLINK("["&amp;Archivo_Nombre&amp;"]Datos!"&amp;LEFT(SUBSTITUTE(ADDRESS(1,Formulas!P134+2),"$",""))&amp;Formulas!O134+1,
IFERROR(INDEX(Datos!$A$2:$L$101,Formulas!O134,Formulas!P134+2),"")))</f>
        <v/>
      </c>
      <c r="P136" s="5"/>
      <c r="Q136" s="6"/>
      <c r="R136" s="24" t="str" cm="1">
        <f t="array" aca="1" ref="R136" ca="1">IF(OR(Formulas!T133=0,Formulas!T133="",RIGHT(Formulas!U133)="0"),"",
HYPERLINK("["&amp;Archivo_Nombre&amp;"]Datos!"&amp;LEFT(SUBSTITUTE(ADDRESS(1,IF(Formulas!T133=1,1,RIGHT(Formulas!U133)+2)),"$",""))&amp;Formulas!S133+1,
IFERROR(INDEX(Datos!$A$1:$L$1,1,RIGHT(Formulas!U133)+2)&amp;IF(Formulas!T133=1," "&amp;Formulas!S133,"")&amp;":","")))</f>
        <v>ORDEN PCRONOLOGICO 16:</v>
      </c>
      <c r="S136" s="107" cm="1">
        <f t="array" aca="1" ref="S136" ca="1">IF(OR(Formulas!T133=0,Formulas!T133="",RIGHT(Formulas!U133)="0"),"",
HYPERLINK("["&amp;Archivo_Nombre&amp;"]Datos!"&amp;LEFT(SUBSTITUTE(ADDRESS(1,RIGHT(Formulas!U133)+2),"$",""))&amp;Formulas!S133+1,
IFERROR(INDEX(Datos!$A$2:$L$101,Formulas!S133,RIGHT(Formulas!U133)+2),"")))</f>
        <v>16</v>
      </c>
      <c r="T136" s="107" t="e" cm="1">
        <f t="array" aca="1" ref="T136" ca="1">IF(OR(Formulas!U134=0,Formulas!U134=""),"",HYPERLINK("["&amp;Archivo_Nombre&amp;"]Datos!"&amp;LEFT(SUBSTITUTE(ADDRESS(1,Formulas!U134+2),"$",""))&amp;Formulas!T134+1,
IFERROR(INDEX(Datos!$A$2:$L$101,Formulas!T134,Formulas!U134+2),"")))</f>
        <v>#VALUE!</v>
      </c>
      <c r="U136" s="5"/>
      <c r="V136" s="6"/>
      <c r="W136" s="24" t="str" cm="1">
        <f t="array" aca="1" ref="W136" ca="1">IF(OR(Formulas!Y133=0,Formulas!Y133="",RIGHT(Formulas!Z133)="0"),"",
HYPERLINK("["&amp;Archivo_Nombre&amp;"]Datos!"&amp;LEFT(SUBSTITUTE(ADDRESS(1,IF(Formulas!Y133=1,1,RIGHT(Formulas!Z133)+2)),"$",""))&amp;Formulas!X133+1,
IFERROR(INDEX(Datos!$A$1:$L$1,1,RIGHT(Formulas!Z133)+2)&amp;IF(Formulas!Y133=1," "&amp;Formulas!X133,"")&amp;":","")))</f>
        <v/>
      </c>
      <c r="X136" s="107" t="str" cm="1">
        <f t="array" aca="1" ref="X136" ca="1">IF(OR(Formulas!Y133=0,Formulas!Y133="",RIGHT(Formulas!Z133)="0"),"",
HYPERLINK("["&amp;Archivo_Nombre&amp;"]Datos!"&amp;LEFT(SUBSTITUTE(ADDRESS(1,RIGHT(Formulas!Z133)+2),"$",""))&amp;Formulas!X133+1,
IFERROR(INDEX(Datos!$A$2:$L$101,Formulas!X133,RIGHT(Formulas!Z133)+2),"")))</f>
        <v/>
      </c>
      <c r="Y136" s="107" t="str" cm="1">
        <f t="array" aca="1" ref="Y136" ca="1">IF(OR(Formulas!Z134=0,Formulas!Z134=""),"",HYPERLINK("["&amp;Archivo_Nombre&amp;"]Datos!"&amp;LEFT(SUBSTITUTE(ADDRESS(1,Formulas!Z134+2),"$",""))&amp;Formulas!Y134+1,
IFERROR(INDEX(Datos!$A$2:$L$101,Formulas!Y134,Formulas!Z134+2),"")))</f>
        <v/>
      </c>
      <c r="Z136" s="13"/>
      <c r="AA136" s="6"/>
      <c r="AB136" s="24" t="str" cm="1">
        <f t="array" aca="1" ref="AB136" ca="1">IF(OR(Formulas!AD133=0,Formulas!AD133="",RIGHT(Formulas!AE133)="0"),"",
HYPERLINK("["&amp;Archivo_Nombre&amp;"]Datos!"&amp;LEFT(SUBSTITUTE(ADDRESS(1,IF(Formulas!AD133=1,1,RIGHT(Formulas!AE133)+2)),"$",""))&amp;Formulas!AC133+1,
IFERROR(INDEX(Datos!$A$1:$L$1,1,RIGHT(Formulas!AE133)+2)&amp;IF(Formulas!AD133=1," "&amp;Formulas!AC133,"")&amp;":","")))</f>
        <v/>
      </c>
      <c r="AC136" s="107" t="str" cm="1">
        <f t="array" aca="1" ref="AC136" ca="1">IF(OR(Formulas!AD133=0,Formulas!AD133="",RIGHT(Formulas!AE133)="0"),"",
HYPERLINK("["&amp;Archivo_Nombre&amp;"]Datos!"&amp;LEFT(SUBSTITUTE(ADDRESS(1,RIGHT(Formulas!AE133)+2),"$",""))&amp;Formulas!AC133+1,
IFERROR(INDEX(Datos!$A$2:$L$101,Formulas!AC133,RIGHT(Formulas!AE133)+2),"")))</f>
        <v/>
      </c>
      <c r="AD136" s="107" t="str" cm="1">
        <f t="array" aca="1" ref="AD136" ca="1">IF(OR(Formulas!AE134=0,Formulas!AE134=""),"",HYPERLINK("["&amp;Archivo_Nombre&amp;"]Datos!"&amp;LEFT(SUBSTITUTE(ADDRESS(1,Formulas!AE134+2),"$",""))&amp;Formulas!AD134+1,
IFERROR(INDEX(Datos!$A$2:$L$101,Formulas!AD134,Formulas!AE134+2),"")))</f>
        <v/>
      </c>
      <c r="AE136" s="13"/>
      <c r="AF136" s="6"/>
      <c r="AG136" s="24" t="str" cm="1">
        <f t="array" aca="1" ref="AG136" ca="1">IF(OR(Formulas!AI133=0,Formulas!AI133="",RIGHT(Formulas!AJ133)="0"),"",
HYPERLINK("["&amp;Archivo_Nombre&amp;"]Datos!"&amp;LEFT(SUBSTITUTE(ADDRESS(1,IF(Formulas!AI133=1,1,RIGHT(Formulas!AJ133)+2)),"$",""))&amp;Formulas!AH133+1,
IFERROR(INDEX(Datos!$A$1:$L$1,1,RIGHT(Formulas!AJ133)+2)&amp;IF(Formulas!AI133=1," "&amp;Formulas!AH133,"")&amp;":","")))</f>
        <v/>
      </c>
      <c r="AH136" s="107" t="str" cm="1">
        <f t="array" aca="1" ref="AH136" ca="1">IF(OR(Formulas!AI133=0,Formulas!AI133="",RIGHT(Formulas!AJ133)="0"),"",
HYPERLINK("["&amp;Archivo_Nombre&amp;"]Datos!"&amp;LEFT(SUBSTITUTE(ADDRESS(1,RIGHT(Formulas!AJ133)+2),"$",""))&amp;Formulas!AH133+1,
IFERROR(INDEX(Datos!$A$2:$L$101,Formulas!AH133,RIGHT(Formulas!AJ133)+2),"")))</f>
        <v/>
      </c>
      <c r="AI136" s="107" t="str" cm="1">
        <f t="array" aca="1" ref="AI136" ca="1">IF(OR(Formulas!AJ134=0,Formulas!AJ134=""),"",HYPERLINK("["&amp;Archivo_Nombre&amp;"]Datos!"&amp;LEFT(SUBSTITUTE(ADDRESS(1,Formulas!AJ134+2),"$",""))&amp;Formulas!AI134+1,
IFERROR(INDEX(Datos!$A$2:$L$101,Formulas!AI134,Formulas!AJ134+2),"")))</f>
        <v/>
      </c>
      <c r="AJ136" s="13"/>
      <c r="AK136" s="6"/>
      <c r="AL136" s="24" t="str" cm="1">
        <f t="array" aca="1" ref="AL136" ca="1">IF(OR(Formulas!AN133=0,Formulas!AN133="",RIGHT(Formulas!AO133)="0"),"",
HYPERLINK("["&amp;Archivo_Nombre&amp;"]Datos!"&amp;LEFT(SUBSTITUTE(ADDRESS(1,IF(Formulas!AN133=1,1,RIGHT(Formulas!AO133)+2)),"$",""))&amp;Formulas!AM133+1,
IFERROR(INDEX(Datos!$A$1:$L$1,1,RIGHT(Formulas!AO133)+2)&amp;IF(Formulas!AN133=1," "&amp;Formulas!AM133,"")&amp;":","")))</f>
        <v/>
      </c>
      <c r="AM136" s="107" t="str" cm="1">
        <f t="array" aca="1" ref="AM136" ca="1">IF(OR(Formulas!AN133=0,Formulas!AN133="",RIGHT(Formulas!AO133)="0"),"",
HYPERLINK("["&amp;Archivo_Nombre&amp;"]Datos!"&amp;LEFT(SUBSTITUTE(ADDRESS(1,RIGHT(Formulas!AO133)+2),"$",""))&amp;Formulas!AM133+1,
IFERROR(INDEX(Datos!$A$2:$L$101,Formulas!AM133,RIGHT(Formulas!AO133)+2),"")))</f>
        <v/>
      </c>
      <c r="AN136" s="107" t="str" cm="1">
        <f t="array" aca="1" ref="AN136" ca="1">IF(OR(Formulas!AO134=0,Formulas!AO134=""),"",HYPERLINK("["&amp;Archivo_Nombre&amp;"]Datos!"&amp;LEFT(SUBSTITUTE(ADDRESS(1,Formulas!AO134+2),"$",""))&amp;Formulas!AN134+1,
IFERROR(INDEX(Datos!$A$2:$L$101,Formulas!AN134,Formulas!AO134+2),"")))</f>
        <v/>
      </c>
      <c r="AO136" s="13"/>
      <c r="AP136" s="6"/>
      <c r="AQ136" s="24" t="str" cm="1">
        <f t="array" aca="1" ref="AQ136" ca="1">IF(OR(Formulas!AS133=0,Formulas!AS133="",RIGHT(Formulas!AT133)="0"),"",
HYPERLINK("["&amp;Archivo_Nombre&amp;"]Datos!"&amp;LEFT(SUBSTITUTE(ADDRESS(1,IF(Formulas!AS133=1,1,RIGHT(Formulas!AT133)+2)),"$",""))&amp;Formulas!AR133+1,
IFERROR(INDEX(Datos!$A$1:$L$1,1,RIGHT(Formulas!AT133)+2)&amp;IF(Formulas!AS133=1," "&amp;Formulas!AR133,"")&amp;":","")))</f>
        <v/>
      </c>
      <c r="AR136" s="107" t="str" cm="1">
        <f t="array" aca="1" ref="AR136" ca="1">IF(OR(Formulas!AS133=0,Formulas!AS133="",RIGHT(Formulas!AT133)="0"),"",
HYPERLINK("["&amp;Archivo_Nombre&amp;"]Datos!"&amp;LEFT(SUBSTITUTE(ADDRESS(1,RIGHT(Formulas!AT133)+2),"$",""))&amp;Formulas!AR133+1,
IFERROR(INDEX(Datos!$A$2:$L$101,Formulas!AR133,RIGHT(Formulas!AT133)+2),"")))</f>
        <v/>
      </c>
      <c r="AS136" s="107" t="str" cm="1">
        <f t="array" aca="1" ref="AS136" ca="1">IF(OR(Formulas!AT134=0,Formulas!AT134=""),"",HYPERLINK("["&amp;Archivo_Nombre&amp;"]Datos!"&amp;LEFT(SUBSTITUTE(ADDRESS(1,Formulas!AT134+2),"$",""))&amp;Formulas!AS134+1,
IFERROR(INDEX(Datos!$A$2:$L$101,Formulas!AS134,Formulas!AT134+2),"")))</f>
        <v/>
      </c>
      <c r="AT136" s="13"/>
      <c r="AU136" s="6"/>
      <c r="AV136" s="24" t="str" cm="1">
        <f t="array" aca="1" ref="AV136" ca="1">IF(OR(Formulas!AX133=0,Formulas!AX133="",RIGHT(Formulas!AY133)="0"),"",
HYPERLINK("["&amp;Archivo_Nombre&amp;"]Datos!"&amp;LEFT(SUBSTITUTE(ADDRESS(1,IF(Formulas!AX133=1,1,RIGHT(Formulas!AY133)+2)),"$",""))&amp;Formulas!AW133+1,
IFERROR(INDEX(Datos!$A$1:$L$1,1,RIGHT(Formulas!AY133)+2)&amp;IF(Formulas!AX133=1," "&amp;Formulas!AW133,"")&amp;":","")))</f>
        <v/>
      </c>
      <c r="AW136" s="107" t="str" cm="1">
        <f t="array" aca="1" ref="AW136" ca="1">IF(OR(Formulas!AX133=0,Formulas!AX133="",RIGHT(Formulas!AY133)="0"),"",
HYPERLINK("["&amp;Archivo_Nombre&amp;"]Datos!"&amp;LEFT(SUBSTITUTE(ADDRESS(1,RIGHT(Formulas!AY133)+2),"$",""))&amp;Formulas!AW133+1,
IFERROR(INDEX(Datos!$A$2:$L$101,Formulas!AW133,RIGHT(Formulas!AY133)+2),"")))</f>
        <v/>
      </c>
      <c r="AX136" s="107" t="str" cm="1">
        <f t="array" aca="1" ref="AX136" ca="1">IF(OR(Formulas!AY134=0,Formulas!AY134=""),"",HYPERLINK("["&amp;Archivo_Nombre&amp;"]Datos!"&amp;LEFT(SUBSTITUTE(ADDRESS(1,Formulas!AY134+2),"$",""))&amp;Formulas!AX134+1,
IFERROR(INDEX(Datos!$A$2:$L$101,Formulas!AX134,Formulas!AY134+2),"")))</f>
        <v/>
      </c>
      <c r="AY136" s="13"/>
    </row>
    <row r="137" spans="2:51" x14ac:dyDescent="0.25">
      <c r="B137" s="11"/>
      <c r="C137" s="24" t="str" cm="1">
        <f t="array" aca="1" ref="C137" ca="1">IF(OR(Formulas!E134=0,Formulas!E134="",RIGHT(Formulas!F134)="0"),"",
HYPERLINK("["&amp;Archivo_Nombre&amp;"]Datos!"&amp;LEFT(SUBSTITUTE(ADDRESS(1,IF(Formulas!E134=1,1,RIGHT(Formulas!F134)+2)),"$",""))&amp;Formulas!D134+1,
IFERROR(INDEX(Datos!$A$1:$L$1,1,RIGHT(Formulas!F134)+2)&amp;IF(Formulas!E134=1," "&amp;Formulas!D134,"")&amp;":","")))</f>
        <v/>
      </c>
      <c r="D137" s="107" t="str" cm="1">
        <f t="array" aca="1" ref="D137" ca="1">IF(OR(Formulas!E134=0,Formulas!E134="",RIGHT(Formulas!F134)="0"),"",
HYPERLINK("["&amp;Archivo_Nombre&amp;"]Datos!"&amp;LEFT(SUBSTITUTE(ADDRESS(1,RIGHT(Formulas!F134)+2),"$",""))&amp;Formulas!D134+1,
IFERROR(INDEX(Datos!$A$2:$L$101,Formulas!D134,RIGHT(Formulas!F134)+2),"")))</f>
        <v/>
      </c>
      <c r="E137" s="107" t="str" cm="1">
        <f t="array" aca="1" ref="E137" ca="1">IF(OR(Formulas!F135=0,Formulas!F135=""),"",HYPERLINK("["&amp;Archivo_Nombre&amp;"]Datos!"&amp;LEFT(SUBSTITUTE(ADDRESS(1,Formulas!F135+2),"$",""))&amp;Formulas!E135+1,
IFERROR(INDEX(Datos!$A$2:$L$101,Formulas!E135,Formulas!F135+2),"")))</f>
        <v/>
      </c>
      <c r="F137" s="5"/>
      <c r="G137" s="6"/>
      <c r="H137" s="24" t="str" cm="1">
        <f t="array" aca="1" ref="H137" ca="1">IF(OR(Formulas!J134=0,Formulas!J134="",RIGHT(Formulas!K134)="0"),"",
HYPERLINK("["&amp;Archivo_Nombre&amp;"]Datos!"&amp;LEFT(SUBSTITUTE(ADDRESS(1,IF(Formulas!J134=1,1,RIGHT(Formulas!K134)+2)),"$",""))&amp;Formulas!I134+1,
IFERROR(INDEX(Datos!$A$1:$L$1,1,RIGHT(Formulas!K134)+2)&amp;IF(Formulas!J134=1," "&amp;Formulas!I134,"")&amp;":","")))</f>
        <v/>
      </c>
      <c r="I137" s="107" t="str" cm="1">
        <f t="array" aca="1" ref="I137" ca="1">IF(OR(Formulas!J134=0,Formulas!J134="",RIGHT(Formulas!K134)="0"),"",
HYPERLINK("["&amp;Archivo_Nombre&amp;"]Datos!"&amp;LEFT(SUBSTITUTE(ADDRESS(1,RIGHT(Formulas!K134)+2),"$",""))&amp;Formulas!I134+1,
IFERROR(INDEX(Datos!$A$2:$L$101,Formulas!I134,RIGHT(Formulas!K134)+2),"")))</f>
        <v/>
      </c>
      <c r="J137" s="107" t="str" cm="1">
        <f t="array" aca="1" ref="J137" ca="1">IF(OR(Formulas!K135=0,Formulas!K135=""),"",HYPERLINK("["&amp;Archivo_Nombre&amp;"]Datos!"&amp;LEFT(SUBSTITUTE(ADDRESS(1,Formulas!K135+2),"$",""))&amp;Formulas!J135+1,
IFERROR(INDEX(Datos!$A$2:$L$101,Formulas!J135,Formulas!K135+2),"")))</f>
        <v/>
      </c>
      <c r="K137" s="5"/>
      <c r="L137" s="6"/>
      <c r="M137" s="24" t="str" cm="1">
        <f t="array" aca="1" ref="M137" ca="1">IF(OR(Formulas!O134=0,Formulas!O134="",RIGHT(Formulas!P134)="0"),"",
HYPERLINK("["&amp;Archivo_Nombre&amp;"]Datos!"&amp;LEFT(SUBSTITUTE(ADDRESS(1,IF(Formulas!O134=1,1,RIGHT(Formulas!P134)+2)),"$",""))&amp;Formulas!N134+1,
IFERROR(INDEX(Datos!$A$1:$L$1,1,RIGHT(Formulas!P134)+2)&amp;IF(Formulas!O134=1," "&amp;Formulas!N134,"")&amp;":","")))</f>
        <v/>
      </c>
      <c r="N137" s="107" t="str" cm="1">
        <f t="array" aca="1" ref="N137" ca="1">IF(OR(Formulas!O134=0,Formulas!O134="",RIGHT(Formulas!P134)="0"),"",
HYPERLINK("["&amp;Archivo_Nombre&amp;"]Datos!"&amp;LEFT(SUBSTITUTE(ADDRESS(1,RIGHT(Formulas!P134)+2),"$",""))&amp;Formulas!N134+1,
IFERROR(INDEX(Datos!$A$2:$L$101,Formulas!N134,RIGHT(Formulas!P134)+2),"")))</f>
        <v/>
      </c>
      <c r="O137" s="107" t="str" cm="1">
        <f t="array" aca="1" ref="O137" ca="1">IF(OR(Formulas!P135=0,Formulas!P135=""),"",HYPERLINK("["&amp;Archivo_Nombre&amp;"]Datos!"&amp;LEFT(SUBSTITUTE(ADDRESS(1,Formulas!P135+2),"$",""))&amp;Formulas!O135+1,
IFERROR(INDEX(Datos!$A$2:$L$101,Formulas!O135,Formulas!P135+2),"")))</f>
        <v/>
      </c>
      <c r="P137" s="5"/>
      <c r="Q137" s="6"/>
      <c r="R137" s="24" t="str" cm="1">
        <f t="array" aca="1" ref="R137" ca="1">IF(OR(Formulas!T134=0,Formulas!T134="",RIGHT(Formulas!U134)="0"),"",
HYPERLINK("["&amp;Archivo_Nombre&amp;"]Datos!"&amp;LEFT(SUBSTITUTE(ADDRESS(1,IF(Formulas!T134=1,1,RIGHT(Formulas!U134)+2)),"$",""))&amp;Formulas!S134+1,
IFERROR(INDEX(Datos!$A$1:$L$1,1,RIGHT(Formulas!U134)+2)&amp;IF(Formulas!T134=1," "&amp;Formulas!S134,"")&amp;":","")))</f>
        <v>Tarea:</v>
      </c>
      <c r="S137" s="107" t="str" cm="1">
        <f t="array" aca="1" ref="S137" ca="1">IF(OR(Formulas!T134=0,Formulas!T134="",RIGHT(Formulas!U134)="0"),"",
HYPERLINK("["&amp;Archivo_Nombre&amp;"]Datos!"&amp;LEFT(SUBSTITUTE(ADDRESS(1,RIGHT(Formulas!U134)+2),"$",""))&amp;Formulas!S134+1,
IFERROR(INDEX(Datos!$A$2:$L$101,Formulas!S134,RIGHT(Formulas!U134)+2),"")))</f>
        <v>Búsqueda de interesados para implementar un proyecto por medio de software
 con validaciones</v>
      </c>
      <c r="T137" s="107" t="e" cm="1">
        <f t="array" aca="1" ref="T137" ca="1">IF(OR(Formulas!U135=0,Formulas!U135=""),"",HYPERLINK("["&amp;Archivo_Nombre&amp;"]Datos!"&amp;LEFT(SUBSTITUTE(ADDRESS(1,Formulas!U135+2),"$",""))&amp;Formulas!T135+1,
IFERROR(INDEX(Datos!$A$2:$L$101,Formulas!T135,Formulas!U135+2),"")))</f>
        <v>#VALUE!</v>
      </c>
      <c r="U137" s="5"/>
      <c r="V137" s="6"/>
      <c r="W137" s="24" t="str" cm="1">
        <f t="array" aca="1" ref="W137" ca="1">IF(OR(Formulas!Y134=0,Formulas!Y134="",RIGHT(Formulas!Z134)="0"),"",
HYPERLINK("["&amp;Archivo_Nombre&amp;"]Datos!"&amp;LEFT(SUBSTITUTE(ADDRESS(1,IF(Formulas!Y134=1,1,RIGHT(Formulas!Z134)+2)),"$",""))&amp;Formulas!X134+1,
IFERROR(INDEX(Datos!$A$1:$L$1,1,RIGHT(Formulas!Z134)+2)&amp;IF(Formulas!Y134=1," "&amp;Formulas!X134,"")&amp;":","")))</f>
        <v/>
      </c>
      <c r="X137" s="107" t="str" cm="1">
        <f t="array" aca="1" ref="X137" ca="1">IF(OR(Formulas!Y134=0,Formulas!Y134="",RIGHT(Formulas!Z134)="0"),"",
HYPERLINK("["&amp;Archivo_Nombre&amp;"]Datos!"&amp;LEFT(SUBSTITUTE(ADDRESS(1,RIGHT(Formulas!Z134)+2),"$",""))&amp;Formulas!X134+1,
IFERROR(INDEX(Datos!$A$2:$L$101,Formulas!X134,RIGHT(Formulas!Z134)+2),"")))</f>
        <v/>
      </c>
      <c r="Y137" s="107" t="str" cm="1">
        <f t="array" aca="1" ref="Y137" ca="1">IF(OR(Formulas!Z135=0,Formulas!Z135=""),"",HYPERLINK("["&amp;Archivo_Nombre&amp;"]Datos!"&amp;LEFT(SUBSTITUTE(ADDRESS(1,Formulas!Z135+2),"$",""))&amp;Formulas!Y135+1,
IFERROR(INDEX(Datos!$A$2:$L$101,Formulas!Y135,Formulas!Z135+2),"")))</f>
        <v/>
      </c>
      <c r="Z137" s="13"/>
      <c r="AA137" s="6"/>
      <c r="AB137" s="24" t="str" cm="1">
        <f t="array" aca="1" ref="AB137" ca="1">IF(OR(Formulas!AD134=0,Formulas!AD134="",RIGHT(Formulas!AE134)="0"),"",
HYPERLINK("["&amp;Archivo_Nombre&amp;"]Datos!"&amp;LEFT(SUBSTITUTE(ADDRESS(1,IF(Formulas!AD134=1,1,RIGHT(Formulas!AE134)+2)),"$",""))&amp;Formulas!AC134+1,
IFERROR(INDEX(Datos!$A$1:$L$1,1,RIGHT(Formulas!AE134)+2)&amp;IF(Formulas!AD134=1," "&amp;Formulas!AC134,"")&amp;":","")))</f>
        <v/>
      </c>
      <c r="AC137" s="107" t="str" cm="1">
        <f t="array" aca="1" ref="AC137" ca="1">IF(OR(Formulas!AD134=0,Formulas!AD134="",RIGHT(Formulas!AE134)="0"),"",
HYPERLINK("["&amp;Archivo_Nombre&amp;"]Datos!"&amp;LEFT(SUBSTITUTE(ADDRESS(1,RIGHT(Formulas!AE134)+2),"$",""))&amp;Formulas!AC134+1,
IFERROR(INDEX(Datos!$A$2:$L$101,Formulas!AC134,RIGHT(Formulas!AE134)+2),"")))</f>
        <v/>
      </c>
      <c r="AD137" s="107" t="str" cm="1">
        <f t="array" aca="1" ref="AD137" ca="1">IF(OR(Formulas!AE135=0,Formulas!AE135=""),"",HYPERLINK("["&amp;Archivo_Nombre&amp;"]Datos!"&amp;LEFT(SUBSTITUTE(ADDRESS(1,Formulas!AE135+2),"$",""))&amp;Formulas!AD135+1,
IFERROR(INDEX(Datos!$A$2:$L$101,Formulas!AD135,Formulas!AE135+2),"")))</f>
        <v/>
      </c>
      <c r="AE137" s="13"/>
      <c r="AF137" s="6"/>
      <c r="AG137" s="24" t="str" cm="1">
        <f t="array" aca="1" ref="AG137" ca="1">IF(OR(Formulas!AI134=0,Formulas!AI134="",RIGHT(Formulas!AJ134)="0"),"",
HYPERLINK("["&amp;Archivo_Nombre&amp;"]Datos!"&amp;LEFT(SUBSTITUTE(ADDRESS(1,IF(Formulas!AI134=1,1,RIGHT(Formulas!AJ134)+2)),"$",""))&amp;Formulas!AH134+1,
IFERROR(INDEX(Datos!$A$1:$L$1,1,RIGHT(Formulas!AJ134)+2)&amp;IF(Formulas!AI134=1," "&amp;Formulas!AH134,"")&amp;":","")))</f>
        <v/>
      </c>
      <c r="AH137" s="107" t="str" cm="1">
        <f t="array" aca="1" ref="AH137" ca="1">IF(OR(Formulas!AI134=0,Formulas!AI134="",RIGHT(Formulas!AJ134)="0"),"",
HYPERLINK("["&amp;Archivo_Nombre&amp;"]Datos!"&amp;LEFT(SUBSTITUTE(ADDRESS(1,RIGHT(Formulas!AJ134)+2),"$",""))&amp;Formulas!AH134+1,
IFERROR(INDEX(Datos!$A$2:$L$101,Formulas!AH134,RIGHT(Formulas!AJ134)+2),"")))</f>
        <v/>
      </c>
      <c r="AI137" s="107" t="str" cm="1">
        <f t="array" aca="1" ref="AI137" ca="1">IF(OR(Formulas!AJ135=0,Formulas!AJ135=""),"",HYPERLINK("["&amp;Archivo_Nombre&amp;"]Datos!"&amp;LEFT(SUBSTITUTE(ADDRESS(1,Formulas!AJ135+2),"$",""))&amp;Formulas!AI135+1,
IFERROR(INDEX(Datos!$A$2:$L$101,Formulas!AI135,Formulas!AJ135+2),"")))</f>
        <v/>
      </c>
      <c r="AJ137" s="13"/>
      <c r="AK137" s="6"/>
      <c r="AL137" s="24" t="str" cm="1">
        <f t="array" aca="1" ref="AL137" ca="1">IF(OR(Formulas!AN134=0,Formulas!AN134="",RIGHT(Formulas!AO134)="0"),"",
HYPERLINK("["&amp;Archivo_Nombre&amp;"]Datos!"&amp;LEFT(SUBSTITUTE(ADDRESS(1,IF(Formulas!AN134=1,1,RIGHT(Formulas!AO134)+2)),"$",""))&amp;Formulas!AM134+1,
IFERROR(INDEX(Datos!$A$1:$L$1,1,RIGHT(Formulas!AO134)+2)&amp;IF(Formulas!AN134=1," "&amp;Formulas!AM134,"")&amp;":","")))</f>
        <v/>
      </c>
      <c r="AM137" s="107" t="str" cm="1">
        <f t="array" aca="1" ref="AM137" ca="1">IF(OR(Formulas!AN134=0,Formulas!AN134="",RIGHT(Formulas!AO134)="0"),"",
HYPERLINK("["&amp;Archivo_Nombre&amp;"]Datos!"&amp;LEFT(SUBSTITUTE(ADDRESS(1,RIGHT(Formulas!AO134)+2),"$",""))&amp;Formulas!AM134+1,
IFERROR(INDEX(Datos!$A$2:$L$101,Formulas!AM134,RIGHT(Formulas!AO134)+2),"")))</f>
        <v/>
      </c>
      <c r="AN137" s="107" t="str" cm="1">
        <f t="array" aca="1" ref="AN137" ca="1">IF(OR(Formulas!AO135=0,Formulas!AO135=""),"",HYPERLINK("["&amp;Archivo_Nombre&amp;"]Datos!"&amp;LEFT(SUBSTITUTE(ADDRESS(1,Formulas!AO135+2),"$",""))&amp;Formulas!AN135+1,
IFERROR(INDEX(Datos!$A$2:$L$101,Formulas!AN135,Formulas!AO135+2),"")))</f>
        <v/>
      </c>
      <c r="AO137" s="13"/>
      <c r="AP137" s="6"/>
      <c r="AQ137" s="24" t="str" cm="1">
        <f t="array" aca="1" ref="AQ137" ca="1">IF(OR(Formulas!AS134=0,Formulas!AS134="",RIGHT(Formulas!AT134)="0"),"",
HYPERLINK("["&amp;Archivo_Nombre&amp;"]Datos!"&amp;LEFT(SUBSTITUTE(ADDRESS(1,IF(Formulas!AS134=1,1,RIGHT(Formulas!AT134)+2)),"$",""))&amp;Formulas!AR134+1,
IFERROR(INDEX(Datos!$A$1:$L$1,1,RIGHT(Formulas!AT134)+2)&amp;IF(Formulas!AS134=1," "&amp;Formulas!AR134,"")&amp;":","")))</f>
        <v/>
      </c>
      <c r="AR137" s="107" t="str" cm="1">
        <f t="array" aca="1" ref="AR137" ca="1">IF(OR(Formulas!AS134=0,Formulas!AS134="",RIGHT(Formulas!AT134)="0"),"",
HYPERLINK("["&amp;Archivo_Nombre&amp;"]Datos!"&amp;LEFT(SUBSTITUTE(ADDRESS(1,RIGHT(Formulas!AT134)+2),"$",""))&amp;Formulas!AR134+1,
IFERROR(INDEX(Datos!$A$2:$L$101,Formulas!AR134,RIGHT(Formulas!AT134)+2),"")))</f>
        <v/>
      </c>
      <c r="AS137" s="107" t="str" cm="1">
        <f t="array" aca="1" ref="AS137" ca="1">IF(OR(Formulas!AT135=0,Formulas!AT135=""),"",HYPERLINK("["&amp;Archivo_Nombre&amp;"]Datos!"&amp;LEFT(SUBSTITUTE(ADDRESS(1,Formulas!AT135+2),"$",""))&amp;Formulas!AS135+1,
IFERROR(INDEX(Datos!$A$2:$L$101,Formulas!AS135,Formulas!AT135+2),"")))</f>
        <v/>
      </c>
      <c r="AT137" s="13"/>
      <c r="AU137" s="6"/>
      <c r="AV137" s="24" t="str" cm="1">
        <f t="array" aca="1" ref="AV137" ca="1">IF(OR(Formulas!AX134=0,Formulas!AX134="",RIGHT(Formulas!AY134)="0"),"",
HYPERLINK("["&amp;Archivo_Nombre&amp;"]Datos!"&amp;LEFT(SUBSTITUTE(ADDRESS(1,IF(Formulas!AX134=1,1,RIGHT(Formulas!AY134)+2)),"$",""))&amp;Formulas!AW134+1,
IFERROR(INDEX(Datos!$A$1:$L$1,1,RIGHT(Formulas!AY134)+2)&amp;IF(Formulas!AX134=1," "&amp;Formulas!AW134,"")&amp;":","")))</f>
        <v/>
      </c>
      <c r="AW137" s="107" t="str" cm="1">
        <f t="array" aca="1" ref="AW137" ca="1">IF(OR(Formulas!AX134=0,Formulas!AX134="",RIGHT(Formulas!AY134)="0"),"",
HYPERLINK("["&amp;Archivo_Nombre&amp;"]Datos!"&amp;LEFT(SUBSTITUTE(ADDRESS(1,RIGHT(Formulas!AY134)+2),"$",""))&amp;Formulas!AW134+1,
IFERROR(INDEX(Datos!$A$2:$L$101,Formulas!AW134,RIGHT(Formulas!AY134)+2),"")))</f>
        <v/>
      </c>
      <c r="AX137" s="107" t="str" cm="1">
        <f t="array" aca="1" ref="AX137" ca="1">IF(OR(Formulas!AY135=0,Formulas!AY135=""),"",HYPERLINK("["&amp;Archivo_Nombre&amp;"]Datos!"&amp;LEFT(SUBSTITUTE(ADDRESS(1,Formulas!AY135+2),"$",""))&amp;Formulas!AX135+1,
IFERROR(INDEX(Datos!$A$2:$L$101,Formulas!AX135,Formulas!AY135+2),"")))</f>
        <v/>
      </c>
      <c r="AY137" s="13"/>
    </row>
    <row r="138" spans="2:51" x14ac:dyDescent="0.25">
      <c r="B138" s="11"/>
      <c r="C138" s="24" t="str" cm="1">
        <f t="array" aca="1" ref="C138" ca="1">IF(OR(Formulas!E135=0,Formulas!E135="",RIGHT(Formulas!F135)="0"),"",
HYPERLINK("["&amp;Archivo_Nombre&amp;"]Datos!"&amp;LEFT(SUBSTITUTE(ADDRESS(1,IF(Formulas!E135=1,1,RIGHT(Formulas!F135)+2)),"$",""))&amp;Formulas!D135+1,
IFERROR(INDEX(Datos!$A$1:$L$1,1,RIGHT(Formulas!F135)+2)&amp;IF(Formulas!E135=1," "&amp;Formulas!D135,"")&amp;":","")))</f>
        <v/>
      </c>
      <c r="D138" s="107" t="str" cm="1">
        <f t="array" aca="1" ref="D138" ca="1">IF(OR(Formulas!E135=0,Formulas!E135="",RIGHT(Formulas!F135)="0"),"",
HYPERLINK("["&amp;Archivo_Nombre&amp;"]Datos!"&amp;LEFT(SUBSTITUTE(ADDRESS(1,RIGHT(Formulas!F135)+2),"$",""))&amp;Formulas!D135+1,
IFERROR(INDEX(Datos!$A$2:$L$101,Formulas!D135,RIGHT(Formulas!F135)+2),"")))</f>
        <v/>
      </c>
      <c r="E138" s="107" t="str" cm="1">
        <f t="array" aca="1" ref="E138" ca="1">IF(OR(Formulas!F136=0,Formulas!F136=""),"",HYPERLINK("["&amp;Archivo_Nombre&amp;"]Datos!"&amp;LEFT(SUBSTITUTE(ADDRESS(1,Formulas!F136+2),"$",""))&amp;Formulas!E136+1,
IFERROR(INDEX(Datos!$A$2:$L$101,Formulas!E136,Formulas!F136+2),"")))</f>
        <v/>
      </c>
      <c r="F138" s="5"/>
      <c r="G138" s="6"/>
      <c r="H138" s="24" t="str" cm="1">
        <f t="array" aca="1" ref="H138" ca="1">IF(OR(Formulas!J135=0,Formulas!J135="",RIGHT(Formulas!K135)="0"),"",
HYPERLINK("["&amp;Archivo_Nombre&amp;"]Datos!"&amp;LEFT(SUBSTITUTE(ADDRESS(1,IF(Formulas!J135=1,1,RIGHT(Formulas!K135)+2)),"$",""))&amp;Formulas!I135+1,
IFERROR(INDEX(Datos!$A$1:$L$1,1,RIGHT(Formulas!K135)+2)&amp;IF(Formulas!J135=1," "&amp;Formulas!I135,"")&amp;":","")))</f>
        <v/>
      </c>
      <c r="I138" s="107" t="str" cm="1">
        <f t="array" aca="1" ref="I138" ca="1">IF(OR(Formulas!J135=0,Formulas!J135="",RIGHT(Formulas!K135)="0"),"",
HYPERLINK("["&amp;Archivo_Nombre&amp;"]Datos!"&amp;LEFT(SUBSTITUTE(ADDRESS(1,RIGHT(Formulas!K135)+2),"$",""))&amp;Formulas!I135+1,
IFERROR(INDEX(Datos!$A$2:$L$101,Formulas!I135,RIGHT(Formulas!K135)+2),"")))</f>
        <v/>
      </c>
      <c r="J138" s="107" t="str" cm="1">
        <f t="array" aca="1" ref="J138" ca="1">IF(OR(Formulas!K136=0,Formulas!K136=""),"",HYPERLINK("["&amp;Archivo_Nombre&amp;"]Datos!"&amp;LEFT(SUBSTITUTE(ADDRESS(1,Formulas!K136+2),"$",""))&amp;Formulas!J136+1,
IFERROR(INDEX(Datos!$A$2:$L$101,Formulas!J136,Formulas!K136+2),"")))</f>
        <v/>
      </c>
      <c r="K138" s="5"/>
      <c r="L138" s="6"/>
      <c r="M138" s="24" t="str" cm="1">
        <f t="array" aca="1" ref="M138" ca="1">IF(OR(Formulas!O135=0,Formulas!O135="",RIGHT(Formulas!P135)="0"),"",
HYPERLINK("["&amp;Archivo_Nombre&amp;"]Datos!"&amp;LEFT(SUBSTITUTE(ADDRESS(1,IF(Formulas!O135=1,1,RIGHT(Formulas!P135)+2)),"$",""))&amp;Formulas!N135+1,
IFERROR(INDEX(Datos!$A$1:$L$1,1,RIGHT(Formulas!P135)+2)&amp;IF(Formulas!O135=1," "&amp;Formulas!N135,"")&amp;":","")))</f>
        <v/>
      </c>
      <c r="N138" s="107" t="str" cm="1">
        <f t="array" aca="1" ref="N138" ca="1">IF(OR(Formulas!O135=0,Formulas!O135="",RIGHT(Formulas!P135)="0"),"",
HYPERLINK("["&amp;Archivo_Nombre&amp;"]Datos!"&amp;LEFT(SUBSTITUTE(ADDRESS(1,RIGHT(Formulas!P135)+2),"$",""))&amp;Formulas!N135+1,
IFERROR(INDEX(Datos!$A$2:$L$101,Formulas!N135,RIGHT(Formulas!P135)+2),"")))</f>
        <v/>
      </c>
      <c r="O138" s="107" t="str" cm="1">
        <f t="array" aca="1" ref="O138" ca="1">IF(OR(Formulas!P136=0,Formulas!P136=""),"",HYPERLINK("["&amp;Archivo_Nombre&amp;"]Datos!"&amp;LEFT(SUBSTITUTE(ADDRESS(1,Formulas!P136+2),"$",""))&amp;Formulas!O136+1,
IFERROR(INDEX(Datos!$A$2:$L$101,Formulas!O136,Formulas!P136+2),"")))</f>
        <v/>
      </c>
      <c r="P138" s="5"/>
      <c r="Q138" s="6"/>
      <c r="R138" s="24" t="str" cm="1">
        <f t="array" aca="1" ref="R138" ca="1">IF(OR(Formulas!T135=0,Formulas!T135="",RIGHT(Formulas!U135)="0"),"",
HYPERLINK("["&amp;Archivo_Nombre&amp;"]Datos!"&amp;LEFT(SUBSTITUTE(ADDRESS(1,IF(Formulas!T135=1,1,RIGHT(Formulas!U135)+2)),"$",""))&amp;Formulas!S135+1,
IFERROR(INDEX(Datos!$A$1:$L$1,1,RIGHT(Formulas!U135)+2)&amp;IF(Formulas!T135=1," "&amp;Formulas!S135,"")&amp;":","")))</f>
        <v>Descripción:</v>
      </c>
      <c r="S138" s="107" t="str" cm="1">
        <f t="array" aca="1" ref="S138" ca="1">IF(OR(Formulas!T135=0,Formulas!T135="",RIGHT(Formulas!U135)="0"),"",
HYPERLINK("["&amp;Archivo_Nombre&amp;"]Datos!"&amp;LEFT(SUBSTITUTE(ADDRESS(1,RIGHT(Formulas!U135)+2),"$",""))&amp;Formulas!S135+1,
IFERROR(INDEX(Datos!$A$2:$L$101,Formulas!S135,RIGHT(Formulas!U135)+2),"")))</f>
        <v>Búsqueda de interesados para implementar un proyecto por medio de software
 con validaciones</v>
      </c>
      <c r="T138" s="107" t="e" cm="1">
        <f t="array" aca="1" ref="T138" ca="1">IF(OR(Formulas!U136=0,Formulas!U136=""),"",HYPERLINK("["&amp;Archivo_Nombre&amp;"]Datos!"&amp;LEFT(SUBSTITUTE(ADDRESS(1,Formulas!U136+2),"$",""))&amp;Formulas!T136+1,
IFERROR(INDEX(Datos!$A$2:$L$101,Formulas!T136,Formulas!U136+2),"")))</f>
        <v>#VALUE!</v>
      </c>
      <c r="U138" s="5"/>
      <c r="V138" s="6"/>
      <c r="W138" s="24" t="str" cm="1">
        <f t="array" aca="1" ref="W138" ca="1">IF(OR(Formulas!Y135=0,Formulas!Y135="",RIGHT(Formulas!Z135)="0"),"",
HYPERLINK("["&amp;Archivo_Nombre&amp;"]Datos!"&amp;LEFT(SUBSTITUTE(ADDRESS(1,IF(Formulas!Y135=1,1,RIGHT(Formulas!Z135)+2)),"$",""))&amp;Formulas!X135+1,
IFERROR(INDEX(Datos!$A$1:$L$1,1,RIGHT(Formulas!Z135)+2)&amp;IF(Formulas!Y135=1," "&amp;Formulas!X135,"")&amp;":","")))</f>
        <v/>
      </c>
      <c r="X138" s="107" t="str" cm="1">
        <f t="array" aca="1" ref="X138" ca="1">IF(OR(Formulas!Y135=0,Formulas!Y135="",RIGHT(Formulas!Z135)="0"),"",
HYPERLINK("["&amp;Archivo_Nombre&amp;"]Datos!"&amp;LEFT(SUBSTITUTE(ADDRESS(1,RIGHT(Formulas!Z135)+2),"$",""))&amp;Formulas!X135+1,
IFERROR(INDEX(Datos!$A$2:$L$101,Formulas!X135,RIGHT(Formulas!Z135)+2),"")))</f>
        <v/>
      </c>
      <c r="Y138" s="107" t="str" cm="1">
        <f t="array" aca="1" ref="Y138" ca="1">IF(OR(Formulas!Z136=0,Formulas!Z136=""),"",HYPERLINK("["&amp;Archivo_Nombre&amp;"]Datos!"&amp;LEFT(SUBSTITUTE(ADDRESS(1,Formulas!Z136+2),"$",""))&amp;Formulas!Y136+1,
IFERROR(INDEX(Datos!$A$2:$L$101,Formulas!Y136,Formulas!Z136+2),"")))</f>
        <v/>
      </c>
      <c r="Z138" s="13"/>
      <c r="AA138" s="6"/>
      <c r="AB138" s="24" t="str" cm="1">
        <f t="array" aca="1" ref="AB138" ca="1">IF(OR(Formulas!AD135=0,Formulas!AD135="",RIGHT(Formulas!AE135)="0"),"",
HYPERLINK("["&amp;Archivo_Nombre&amp;"]Datos!"&amp;LEFT(SUBSTITUTE(ADDRESS(1,IF(Formulas!AD135=1,1,RIGHT(Formulas!AE135)+2)),"$",""))&amp;Formulas!AC135+1,
IFERROR(INDEX(Datos!$A$1:$L$1,1,RIGHT(Formulas!AE135)+2)&amp;IF(Formulas!AD135=1," "&amp;Formulas!AC135,"")&amp;":","")))</f>
        <v/>
      </c>
      <c r="AC138" s="107" t="str" cm="1">
        <f t="array" aca="1" ref="AC138" ca="1">IF(OR(Formulas!AD135=0,Formulas!AD135="",RIGHT(Formulas!AE135)="0"),"",
HYPERLINK("["&amp;Archivo_Nombre&amp;"]Datos!"&amp;LEFT(SUBSTITUTE(ADDRESS(1,RIGHT(Formulas!AE135)+2),"$",""))&amp;Formulas!AC135+1,
IFERROR(INDEX(Datos!$A$2:$L$101,Formulas!AC135,RIGHT(Formulas!AE135)+2),"")))</f>
        <v/>
      </c>
      <c r="AD138" s="107" t="str" cm="1">
        <f t="array" aca="1" ref="AD138" ca="1">IF(OR(Formulas!AE136=0,Formulas!AE136=""),"",HYPERLINK("["&amp;Archivo_Nombre&amp;"]Datos!"&amp;LEFT(SUBSTITUTE(ADDRESS(1,Formulas!AE136+2),"$",""))&amp;Formulas!AD136+1,
IFERROR(INDEX(Datos!$A$2:$L$101,Formulas!AD136,Formulas!AE136+2),"")))</f>
        <v/>
      </c>
      <c r="AE138" s="13"/>
      <c r="AF138" s="6"/>
      <c r="AG138" s="24" t="str" cm="1">
        <f t="array" aca="1" ref="AG138" ca="1">IF(OR(Formulas!AI135=0,Formulas!AI135="",RIGHT(Formulas!AJ135)="0"),"",
HYPERLINK("["&amp;Archivo_Nombre&amp;"]Datos!"&amp;LEFT(SUBSTITUTE(ADDRESS(1,IF(Formulas!AI135=1,1,RIGHT(Formulas!AJ135)+2)),"$",""))&amp;Formulas!AH135+1,
IFERROR(INDEX(Datos!$A$1:$L$1,1,RIGHT(Formulas!AJ135)+2)&amp;IF(Formulas!AI135=1," "&amp;Formulas!AH135,"")&amp;":","")))</f>
        <v/>
      </c>
      <c r="AH138" s="107" t="str" cm="1">
        <f t="array" aca="1" ref="AH138" ca="1">IF(OR(Formulas!AI135=0,Formulas!AI135="",RIGHT(Formulas!AJ135)="0"),"",
HYPERLINK("["&amp;Archivo_Nombre&amp;"]Datos!"&amp;LEFT(SUBSTITUTE(ADDRESS(1,RIGHT(Formulas!AJ135)+2),"$",""))&amp;Formulas!AH135+1,
IFERROR(INDEX(Datos!$A$2:$L$101,Formulas!AH135,RIGHT(Formulas!AJ135)+2),"")))</f>
        <v/>
      </c>
      <c r="AI138" s="107" t="str" cm="1">
        <f t="array" aca="1" ref="AI138" ca="1">IF(OR(Formulas!AJ136=0,Formulas!AJ136=""),"",HYPERLINK("["&amp;Archivo_Nombre&amp;"]Datos!"&amp;LEFT(SUBSTITUTE(ADDRESS(1,Formulas!AJ136+2),"$",""))&amp;Formulas!AI136+1,
IFERROR(INDEX(Datos!$A$2:$L$101,Formulas!AI136,Formulas!AJ136+2),"")))</f>
        <v/>
      </c>
      <c r="AJ138" s="13"/>
      <c r="AK138" s="6"/>
      <c r="AL138" s="24" t="str" cm="1">
        <f t="array" aca="1" ref="AL138" ca="1">IF(OR(Formulas!AN135=0,Formulas!AN135="",RIGHT(Formulas!AO135)="0"),"",
HYPERLINK("["&amp;Archivo_Nombre&amp;"]Datos!"&amp;LEFT(SUBSTITUTE(ADDRESS(1,IF(Formulas!AN135=1,1,RIGHT(Formulas!AO135)+2)),"$",""))&amp;Formulas!AM135+1,
IFERROR(INDEX(Datos!$A$1:$L$1,1,RIGHT(Formulas!AO135)+2)&amp;IF(Formulas!AN135=1," "&amp;Formulas!AM135,"")&amp;":","")))</f>
        <v/>
      </c>
      <c r="AM138" s="107" t="str" cm="1">
        <f t="array" aca="1" ref="AM138" ca="1">IF(OR(Formulas!AN135=0,Formulas!AN135="",RIGHT(Formulas!AO135)="0"),"",
HYPERLINK("["&amp;Archivo_Nombre&amp;"]Datos!"&amp;LEFT(SUBSTITUTE(ADDRESS(1,RIGHT(Formulas!AO135)+2),"$",""))&amp;Formulas!AM135+1,
IFERROR(INDEX(Datos!$A$2:$L$101,Formulas!AM135,RIGHT(Formulas!AO135)+2),"")))</f>
        <v/>
      </c>
      <c r="AN138" s="107" t="str" cm="1">
        <f t="array" aca="1" ref="AN138" ca="1">IF(OR(Formulas!AO136=0,Formulas!AO136=""),"",HYPERLINK("["&amp;Archivo_Nombre&amp;"]Datos!"&amp;LEFT(SUBSTITUTE(ADDRESS(1,Formulas!AO136+2),"$",""))&amp;Formulas!AN136+1,
IFERROR(INDEX(Datos!$A$2:$L$101,Formulas!AN136,Formulas!AO136+2),"")))</f>
        <v/>
      </c>
      <c r="AO138" s="13"/>
      <c r="AP138" s="6"/>
      <c r="AQ138" s="24" t="str" cm="1">
        <f t="array" aca="1" ref="AQ138" ca="1">IF(OR(Formulas!AS135=0,Formulas!AS135="",RIGHT(Formulas!AT135)="0"),"",
HYPERLINK("["&amp;Archivo_Nombre&amp;"]Datos!"&amp;LEFT(SUBSTITUTE(ADDRESS(1,IF(Formulas!AS135=1,1,RIGHT(Formulas!AT135)+2)),"$",""))&amp;Formulas!AR135+1,
IFERROR(INDEX(Datos!$A$1:$L$1,1,RIGHT(Formulas!AT135)+2)&amp;IF(Formulas!AS135=1," "&amp;Formulas!AR135,"")&amp;":","")))</f>
        <v/>
      </c>
      <c r="AR138" s="107" t="str" cm="1">
        <f t="array" aca="1" ref="AR138" ca="1">IF(OR(Formulas!AS135=0,Formulas!AS135="",RIGHT(Formulas!AT135)="0"),"",
HYPERLINK("["&amp;Archivo_Nombre&amp;"]Datos!"&amp;LEFT(SUBSTITUTE(ADDRESS(1,RIGHT(Formulas!AT135)+2),"$",""))&amp;Formulas!AR135+1,
IFERROR(INDEX(Datos!$A$2:$L$101,Formulas!AR135,RIGHT(Formulas!AT135)+2),"")))</f>
        <v/>
      </c>
      <c r="AS138" s="107" t="str" cm="1">
        <f t="array" aca="1" ref="AS138" ca="1">IF(OR(Formulas!AT136=0,Formulas!AT136=""),"",HYPERLINK("["&amp;Archivo_Nombre&amp;"]Datos!"&amp;LEFT(SUBSTITUTE(ADDRESS(1,Formulas!AT136+2),"$",""))&amp;Formulas!AS136+1,
IFERROR(INDEX(Datos!$A$2:$L$101,Formulas!AS136,Formulas!AT136+2),"")))</f>
        <v/>
      </c>
      <c r="AT138" s="13"/>
      <c r="AU138" s="6"/>
      <c r="AV138" s="24" t="str" cm="1">
        <f t="array" aca="1" ref="AV138" ca="1">IF(OR(Formulas!AX135=0,Formulas!AX135="",RIGHT(Formulas!AY135)="0"),"",
HYPERLINK("["&amp;Archivo_Nombre&amp;"]Datos!"&amp;LEFT(SUBSTITUTE(ADDRESS(1,IF(Formulas!AX135=1,1,RIGHT(Formulas!AY135)+2)),"$",""))&amp;Formulas!AW135+1,
IFERROR(INDEX(Datos!$A$1:$L$1,1,RIGHT(Formulas!AY135)+2)&amp;IF(Formulas!AX135=1," "&amp;Formulas!AW135,"")&amp;":","")))</f>
        <v/>
      </c>
      <c r="AW138" s="107" t="str" cm="1">
        <f t="array" aca="1" ref="AW138" ca="1">IF(OR(Formulas!AX135=0,Formulas!AX135="",RIGHT(Formulas!AY135)="0"),"",
HYPERLINK("["&amp;Archivo_Nombre&amp;"]Datos!"&amp;LEFT(SUBSTITUTE(ADDRESS(1,RIGHT(Formulas!AY135)+2),"$",""))&amp;Formulas!AW135+1,
IFERROR(INDEX(Datos!$A$2:$L$101,Formulas!AW135,RIGHT(Formulas!AY135)+2),"")))</f>
        <v/>
      </c>
      <c r="AX138" s="107" t="str" cm="1">
        <f t="array" aca="1" ref="AX138" ca="1">IF(OR(Formulas!AY136=0,Formulas!AY136=""),"",HYPERLINK("["&amp;Archivo_Nombre&amp;"]Datos!"&amp;LEFT(SUBSTITUTE(ADDRESS(1,Formulas!AY136+2),"$",""))&amp;Formulas!AX136+1,
IFERROR(INDEX(Datos!$A$2:$L$101,Formulas!AX136,Formulas!AY136+2),"")))</f>
        <v/>
      </c>
      <c r="AY138" s="13"/>
    </row>
    <row r="139" spans="2:51" x14ac:dyDescent="0.25">
      <c r="B139" s="11"/>
      <c r="C139" s="24" t="str" cm="1">
        <f t="array" aca="1" ref="C139" ca="1">IF(OR(Formulas!E136=0,Formulas!E136="",RIGHT(Formulas!F136)="0"),"",
HYPERLINK("["&amp;Archivo_Nombre&amp;"]Datos!"&amp;LEFT(SUBSTITUTE(ADDRESS(1,IF(Formulas!E136=1,1,RIGHT(Formulas!F136)+2)),"$",""))&amp;Formulas!D136+1,
IFERROR(INDEX(Datos!$A$1:$L$1,1,RIGHT(Formulas!F136)+2)&amp;IF(Formulas!E136=1," "&amp;Formulas!D136,"")&amp;":","")))</f>
        <v/>
      </c>
      <c r="D139" s="107" t="str" cm="1">
        <f t="array" aca="1" ref="D139" ca="1">IF(OR(Formulas!E136=0,Formulas!E136="",RIGHT(Formulas!F136)="0"),"",
HYPERLINK("["&amp;Archivo_Nombre&amp;"]Datos!"&amp;LEFT(SUBSTITUTE(ADDRESS(1,RIGHT(Formulas!F136)+2),"$",""))&amp;Formulas!D136+1,
IFERROR(INDEX(Datos!$A$2:$L$101,Formulas!D136,RIGHT(Formulas!F136)+2),"")))</f>
        <v/>
      </c>
      <c r="E139" s="107" t="str" cm="1">
        <f t="array" aca="1" ref="E139" ca="1">IF(OR(Formulas!F137=0,Formulas!F137=""),"",HYPERLINK("["&amp;Archivo_Nombre&amp;"]Datos!"&amp;LEFT(SUBSTITUTE(ADDRESS(1,Formulas!F137+2),"$",""))&amp;Formulas!E137+1,
IFERROR(INDEX(Datos!$A$2:$L$101,Formulas!E137,Formulas!F137+2),"")))</f>
        <v/>
      </c>
      <c r="F139" s="5"/>
      <c r="G139" s="6"/>
      <c r="H139" s="24" t="str" cm="1">
        <f t="array" aca="1" ref="H139" ca="1">IF(OR(Formulas!J136=0,Formulas!J136="",RIGHT(Formulas!K136)="0"),"",
HYPERLINK("["&amp;Archivo_Nombre&amp;"]Datos!"&amp;LEFT(SUBSTITUTE(ADDRESS(1,IF(Formulas!J136=1,1,RIGHT(Formulas!K136)+2)),"$",""))&amp;Formulas!I136+1,
IFERROR(INDEX(Datos!$A$1:$L$1,1,RIGHT(Formulas!K136)+2)&amp;IF(Formulas!J136=1," "&amp;Formulas!I136,"")&amp;":","")))</f>
        <v/>
      </c>
      <c r="I139" s="107" t="str" cm="1">
        <f t="array" aca="1" ref="I139" ca="1">IF(OR(Formulas!J136=0,Formulas!J136="",RIGHT(Formulas!K136)="0"),"",
HYPERLINK("["&amp;Archivo_Nombre&amp;"]Datos!"&amp;LEFT(SUBSTITUTE(ADDRESS(1,RIGHT(Formulas!K136)+2),"$",""))&amp;Formulas!I136+1,
IFERROR(INDEX(Datos!$A$2:$L$101,Formulas!I136,RIGHT(Formulas!K136)+2),"")))</f>
        <v/>
      </c>
      <c r="J139" s="107" t="str" cm="1">
        <f t="array" aca="1" ref="J139" ca="1">IF(OR(Formulas!K137=0,Formulas!K137=""),"",HYPERLINK("["&amp;Archivo_Nombre&amp;"]Datos!"&amp;LEFT(SUBSTITUTE(ADDRESS(1,Formulas!K137+2),"$",""))&amp;Formulas!J137+1,
IFERROR(INDEX(Datos!$A$2:$L$101,Formulas!J137,Formulas!K137+2),"")))</f>
        <v/>
      </c>
      <c r="K139" s="5"/>
      <c r="L139" s="6"/>
      <c r="M139" s="24" t="str" cm="1">
        <f t="array" aca="1" ref="M139" ca="1">IF(OR(Formulas!O136=0,Formulas!O136="",RIGHT(Formulas!P136)="0"),"",
HYPERLINK("["&amp;Archivo_Nombre&amp;"]Datos!"&amp;LEFT(SUBSTITUTE(ADDRESS(1,IF(Formulas!O136=1,1,RIGHT(Formulas!P136)+2)),"$",""))&amp;Formulas!N136+1,
IFERROR(INDEX(Datos!$A$1:$L$1,1,RIGHT(Formulas!P136)+2)&amp;IF(Formulas!O136=1," "&amp;Formulas!N136,"")&amp;":","")))</f>
        <v/>
      </c>
      <c r="N139" s="107" t="str" cm="1">
        <f t="array" aca="1" ref="N139" ca="1">IF(OR(Formulas!O136=0,Formulas!O136="",RIGHT(Formulas!P136)="0"),"",
HYPERLINK("["&amp;Archivo_Nombre&amp;"]Datos!"&amp;LEFT(SUBSTITUTE(ADDRESS(1,RIGHT(Formulas!P136)+2),"$",""))&amp;Formulas!N136+1,
IFERROR(INDEX(Datos!$A$2:$L$101,Formulas!N136,RIGHT(Formulas!P136)+2),"")))</f>
        <v/>
      </c>
      <c r="O139" s="107" t="str" cm="1">
        <f t="array" aca="1" ref="O139" ca="1">IF(OR(Formulas!P137=0,Formulas!P137=""),"",HYPERLINK("["&amp;Archivo_Nombre&amp;"]Datos!"&amp;LEFT(SUBSTITUTE(ADDRESS(1,Formulas!P137+2),"$",""))&amp;Formulas!O137+1,
IFERROR(INDEX(Datos!$A$2:$L$101,Formulas!O137,Formulas!P137+2),"")))</f>
        <v/>
      </c>
      <c r="P139" s="5"/>
      <c r="Q139" s="6"/>
      <c r="R139" s="24" t="str" cm="1">
        <f t="array" aca="1" ref="R139" ca="1">IF(OR(Formulas!T136=0,Formulas!T136="",RIGHT(Formulas!U136)="0"),"",
HYPERLINK("["&amp;Archivo_Nombre&amp;"]Datos!"&amp;LEFT(SUBSTITUTE(ADDRESS(1,IF(Formulas!T136=1,1,RIGHT(Formulas!U136)+2)),"$",""))&amp;Formulas!S136+1,
IFERROR(INDEX(Datos!$A$1:$L$1,1,RIGHT(Formulas!U136)+2)&amp;IF(Formulas!T136=1," "&amp;Formulas!S136,"")&amp;":","")))</f>
        <v>Inicio:</v>
      </c>
      <c r="S139" s="107" cm="1">
        <f t="array" aca="1" ref="S139" ca="1">IF(OR(Formulas!T136=0,Formulas!T136="",RIGHT(Formulas!U136)="0"),"",
HYPERLINK("["&amp;Archivo_Nombre&amp;"]Datos!"&amp;LEFT(SUBSTITUTE(ADDRESS(1,RIGHT(Formulas!U136)+2),"$",""))&amp;Formulas!S136+1,
IFERROR(INDEX(Datos!$A$2:$L$101,Formulas!S136,RIGHT(Formulas!U136)+2),"")))</f>
        <v>45791</v>
      </c>
      <c r="T139" s="107" t="e" cm="1">
        <f t="array" aca="1" ref="T139" ca="1">IF(OR(Formulas!U137=0,Formulas!U137=""),"",HYPERLINK("["&amp;Archivo_Nombre&amp;"]Datos!"&amp;LEFT(SUBSTITUTE(ADDRESS(1,Formulas!U137+2),"$",""))&amp;Formulas!T137+1,
IFERROR(INDEX(Datos!$A$2:$L$101,Formulas!T137,Formulas!U137+2),"")))</f>
        <v>#VALUE!</v>
      </c>
      <c r="U139" s="5"/>
      <c r="V139" s="6"/>
      <c r="W139" s="24" t="str" cm="1">
        <f t="array" aca="1" ref="W139" ca="1">IF(OR(Formulas!Y136=0,Formulas!Y136="",RIGHT(Formulas!Z136)="0"),"",
HYPERLINK("["&amp;Archivo_Nombre&amp;"]Datos!"&amp;LEFT(SUBSTITUTE(ADDRESS(1,IF(Formulas!Y136=1,1,RIGHT(Formulas!Z136)+2)),"$",""))&amp;Formulas!X136+1,
IFERROR(INDEX(Datos!$A$1:$L$1,1,RIGHT(Formulas!Z136)+2)&amp;IF(Formulas!Y136=1," "&amp;Formulas!X136,"")&amp;":","")))</f>
        <v/>
      </c>
      <c r="X139" s="107" t="str" cm="1">
        <f t="array" aca="1" ref="X139" ca="1">IF(OR(Formulas!Y136=0,Formulas!Y136="",RIGHT(Formulas!Z136)="0"),"",
HYPERLINK("["&amp;Archivo_Nombre&amp;"]Datos!"&amp;LEFT(SUBSTITUTE(ADDRESS(1,RIGHT(Formulas!Z136)+2),"$",""))&amp;Formulas!X136+1,
IFERROR(INDEX(Datos!$A$2:$L$101,Formulas!X136,RIGHT(Formulas!Z136)+2),"")))</f>
        <v/>
      </c>
      <c r="Y139" s="107" t="str" cm="1">
        <f t="array" aca="1" ref="Y139" ca="1">IF(OR(Formulas!Z137=0,Formulas!Z137=""),"",HYPERLINK("["&amp;Archivo_Nombre&amp;"]Datos!"&amp;LEFT(SUBSTITUTE(ADDRESS(1,Formulas!Z137+2),"$",""))&amp;Formulas!Y137+1,
IFERROR(INDEX(Datos!$A$2:$L$101,Formulas!Y137,Formulas!Z137+2),"")))</f>
        <v/>
      </c>
      <c r="Z139" s="13"/>
      <c r="AA139" s="6"/>
      <c r="AB139" s="24" t="str" cm="1">
        <f t="array" aca="1" ref="AB139" ca="1">IF(OR(Formulas!AD136=0,Formulas!AD136="",RIGHT(Formulas!AE136)="0"),"",
HYPERLINK("["&amp;Archivo_Nombre&amp;"]Datos!"&amp;LEFT(SUBSTITUTE(ADDRESS(1,IF(Formulas!AD136=1,1,RIGHT(Formulas!AE136)+2)),"$",""))&amp;Formulas!AC136+1,
IFERROR(INDEX(Datos!$A$1:$L$1,1,RIGHT(Formulas!AE136)+2)&amp;IF(Formulas!AD136=1," "&amp;Formulas!AC136,"")&amp;":","")))</f>
        <v/>
      </c>
      <c r="AC139" s="107" t="str" cm="1">
        <f t="array" aca="1" ref="AC139" ca="1">IF(OR(Formulas!AD136=0,Formulas!AD136="",RIGHT(Formulas!AE136)="0"),"",
HYPERLINK("["&amp;Archivo_Nombre&amp;"]Datos!"&amp;LEFT(SUBSTITUTE(ADDRESS(1,RIGHT(Formulas!AE136)+2),"$",""))&amp;Formulas!AC136+1,
IFERROR(INDEX(Datos!$A$2:$L$101,Formulas!AC136,RIGHT(Formulas!AE136)+2),"")))</f>
        <v/>
      </c>
      <c r="AD139" s="107" t="str" cm="1">
        <f t="array" aca="1" ref="AD139" ca="1">IF(OR(Formulas!AE137=0,Formulas!AE137=""),"",HYPERLINK("["&amp;Archivo_Nombre&amp;"]Datos!"&amp;LEFT(SUBSTITUTE(ADDRESS(1,Formulas!AE137+2),"$",""))&amp;Formulas!AD137+1,
IFERROR(INDEX(Datos!$A$2:$L$101,Formulas!AD137,Formulas!AE137+2),"")))</f>
        <v/>
      </c>
      <c r="AE139" s="13"/>
      <c r="AF139" s="6"/>
      <c r="AG139" s="24" t="str" cm="1">
        <f t="array" aca="1" ref="AG139" ca="1">IF(OR(Formulas!AI136=0,Formulas!AI136="",RIGHT(Formulas!AJ136)="0"),"",
HYPERLINK("["&amp;Archivo_Nombre&amp;"]Datos!"&amp;LEFT(SUBSTITUTE(ADDRESS(1,IF(Formulas!AI136=1,1,RIGHT(Formulas!AJ136)+2)),"$",""))&amp;Formulas!AH136+1,
IFERROR(INDEX(Datos!$A$1:$L$1,1,RIGHT(Formulas!AJ136)+2)&amp;IF(Formulas!AI136=1," "&amp;Formulas!AH136,"")&amp;":","")))</f>
        <v/>
      </c>
      <c r="AH139" s="107" t="str" cm="1">
        <f t="array" aca="1" ref="AH139" ca="1">IF(OR(Formulas!AI136=0,Formulas!AI136="",RIGHT(Formulas!AJ136)="0"),"",
HYPERLINK("["&amp;Archivo_Nombre&amp;"]Datos!"&amp;LEFT(SUBSTITUTE(ADDRESS(1,RIGHT(Formulas!AJ136)+2),"$",""))&amp;Formulas!AH136+1,
IFERROR(INDEX(Datos!$A$2:$L$101,Formulas!AH136,RIGHT(Formulas!AJ136)+2),"")))</f>
        <v/>
      </c>
      <c r="AI139" s="107" t="str" cm="1">
        <f t="array" aca="1" ref="AI139" ca="1">IF(OR(Formulas!AJ137=0,Formulas!AJ137=""),"",HYPERLINK("["&amp;Archivo_Nombre&amp;"]Datos!"&amp;LEFT(SUBSTITUTE(ADDRESS(1,Formulas!AJ137+2),"$",""))&amp;Formulas!AI137+1,
IFERROR(INDEX(Datos!$A$2:$L$101,Formulas!AI137,Formulas!AJ137+2),"")))</f>
        <v/>
      </c>
      <c r="AJ139" s="13"/>
      <c r="AK139" s="6"/>
      <c r="AL139" s="24" t="str" cm="1">
        <f t="array" aca="1" ref="AL139" ca="1">IF(OR(Formulas!AN136=0,Formulas!AN136="",RIGHT(Formulas!AO136)="0"),"",
HYPERLINK("["&amp;Archivo_Nombre&amp;"]Datos!"&amp;LEFT(SUBSTITUTE(ADDRESS(1,IF(Formulas!AN136=1,1,RIGHT(Formulas!AO136)+2)),"$",""))&amp;Formulas!AM136+1,
IFERROR(INDEX(Datos!$A$1:$L$1,1,RIGHT(Formulas!AO136)+2)&amp;IF(Formulas!AN136=1," "&amp;Formulas!AM136,"")&amp;":","")))</f>
        <v/>
      </c>
      <c r="AM139" s="107" t="str" cm="1">
        <f t="array" aca="1" ref="AM139" ca="1">IF(OR(Formulas!AN136=0,Formulas!AN136="",RIGHT(Formulas!AO136)="0"),"",
HYPERLINK("["&amp;Archivo_Nombre&amp;"]Datos!"&amp;LEFT(SUBSTITUTE(ADDRESS(1,RIGHT(Formulas!AO136)+2),"$",""))&amp;Formulas!AM136+1,
IFERROR(INDEX(Datos!$A$2:$L$101,Formulas!AM136,RIGHT(Formulas!AO136)+2),"")))</f>
        <v/>
      </c>
      <c r="AN139" s="107" t="str" cm="1">
        <f t="array" aca="1" ref="AN139" ca="1">IF(OR(Formulas!AO137=0,Formulas!AO137=""),"",HYPERLINK("["&amp;Archivo_Nombre&amp;"]Datos!"&amp;LEFT(SUBSTITUTE(ADDRESS(1,Formulas!AO137+2),"$",""))&amp;Formulas!AN137+1,
IFERROR(INDEX(Datos!$A$2:$L$101,Formulas!AN137,Formulas!AO137+2),"")))</f>
        <v/>
      </c>
      <c r="AO139" s="13"/>
      <c r="AP139" s="6"/>
      <c r="AQ139" s="24" t="str" cm="1">
        <f t="array" aca="1" ref="AQ139" ca="1">IF(OR(Formulas!AS136=0,Formulas!AS136="",RIGHT(Formulas!AT136)="0"),"",
HYPERLINK("["&amp;Archivo_Nombre&amp;"]Datos!"&amp;LEFT(SUBSTITUTE(ADDRESS(1,IF(Formulas!AS136=1,1,RIGHT(Formulas!AT136)+2)),"$",""))&amp;Formulas!AR136+1,
IFERROR(INDEX(Datos!$A$1:$L$1,1,RIGHT(Formulas!AT136)+2)&amp;IF(Formulas!AS136=1," "&amp;Formulas!AR136,"")&amp;":","")))</f>
        <v/>
      </c>
      <c r="AR139" s="107" t="str" cm="1">
        <f t="array" aca="1" ref="AR139" ca="1">IF(OR(Formulas!AS136=0,Formulas!AS136="",RIGHT(Formulas!AT136)="0"),"",
HYPERLINK("["&amp;Archivo_Nombre&amp;"]Datos!"&amp;LEFT(SUBSTITUTE(ADDRESS(1,RIGHT(Formulas!AT136)+2),"$",""))&amp;Formulas!AR136+1,
IFERROR(INDEX(Datos!$A$2:$L$101,Formulas!AR136,RIGHT(Formulas!AT136)+2),"")))</f>
        <v/>
      </c>
      <c r="AS139" s="107" t="str" cm="1">
        <f t="array" aca="1" ref="AS139" ca="1">IF(OR(Formulas!AT137=0,Formulas!AT137=""),"",HYPERLINK("["&amp;Archivo_Nombre&amp;"]Datos!"&amp;LEFT(SUBSTITUTE(ADDRESS(1,Formulas!AT137+2),"$",""))&amp;Formulas!AS137+1,
IFERROR(INDEX(Datos!$A$2:$L$101,Formulas!AS137,Formulas!AT137+2),"")))</f>
        <v/>
      </c>
      <c r="AT139" s="13"/>
      <c r="AU139" s="6"/>
      <c r="AV139" s="24" t="str" cm="1">
        <f t="array" aca="1" ref="AV139" ca="1">IF(OR(Formulas!AX136=0,Formulas!AX136="",RIGHT(Formulas!AY136)="0"),"",
HYPERLINK("["&amp;Archivo_Nombre&amp;"]Datos!"&amp;LEFT(SUBSTITUTE(ADDRESS(1,IF(Formulas!AX136=1,1,RIGHT(Formulas!AY136)+2)),"$",""))&amp;Formulas!AW136+1,
IFERROR(INDEX(Datos!$A$1:$L$1,1,RIGHT(Formulas!AY136)+2)&amp;IF(Formulas!AX136=1," "&amp;Formulas!AW136,"")&amp;":","")))</f>
        <v/>
      </c>
      <c r="AW139" s="107" t="str" cm="1">
        <f t="array" aca="1" ref="AW139" ca="1">IF(OR(Formulas!AX136=0,Formulas!AX136="",RIGHT(Formulas!AY136)="0"),"",
HYPERLINK("["&amp;Archivo_Nombre&amp;"]Datos!"&amp;LEFT(SUBSTITUTE(ADDRESS(1,RIGHT(Formulas!AY136)+2),"$",""))&amp;Formulas!AW136+1,
IFERROR(INDEX(Datos!$A$2:$L$101,Formulas!AW136,RIGHT(Formulas!AY136)+2),"")))</f>
        <v/>
      </c>
      <c r="AX139" s="107" t="str" cm="1">
        <f t="array" aca="1" ref="AX139" ca="1">IF(OR(Formulas!AY137=0,Formulas!AY137=""),"",HYPERLINK("["&amp;Archivo_Nombre&amp;"]Datos!"&amp;LEFT(SUBSTITUTE(ADDRESS(1,Formulas!AY137+2),"$",""))&amp;Formulas!AX137+1,
IFERROR(INDEX(Datos!$A$2:$L$101,Formulas!AX137,Formulas!AY137+2),"")))</f>
        <v/>
      </c>
      <c r="AY139" s="13"/>
    </row>
    <row r="140" spans="2:51" x14ac:dyDescent="0.25">
      <c r="B140" s="11"/>
      <c r="C140" s="24" t="str" cm="1">
        <f t="array" aca="1" ref="C140" ca="1">IF(OR(Formulas!E137=0,Formulas!E137="",RIGHT(Formulas!F137)="0"),"",
HYPERLINK("["&amp;Archivo_Nombre&amp;"]Datos!"&amp;LEFT(SUBSTITUTE(ADDRESS(1,IF(Formulas!E137=1,1,RIGHT(Formulas!F137)+2)),"$",""))&amp;Formulas!D137+1,
IFERROR(INDEX(Datos!$A$1:$L$1,1,RIGHT(Formulas!F137)+2)&amp;IF(Formulas!E137=1," "&amp;Formulas!D137,"")&amp;":","")))</f>
        <v/>
      </c>
      <c r="D140" s="107" t="str" cm="1">
        <f t="array" aca="1" ref="D140" ca="1">IF(OR(Formulas!E137=0,Formulas!E137="",RIGHT(Formulas!F137)="0"),"",
HYPERLINK("["&amp;Archivo_Nombre&amp;"]Datos!"&amp;LEFT(SUBSTITUTE(ADDRESS(1,RIGHT(Formulas!F137)+2),"$",""))&amp;Formulas!D137+1,
IFERROR(INDEX(Datos!$A$2:$L$101,Formulas!D137,RIGHT(Formulas!F137)+2),"")))</f>
        <v/>
      </c>
      <c r="E140" s="107" t="str" cm="1">
        <f t="array" aca="1" ref="E140" ca="1">IF(OR(Formulas!F138=0,Formulas!F138=""),"",HYPERLINK("["&amp;Archivo_Nombre&amp;"]Datos!"&amp;LEFT(SUBSTITUTE(ADDRESS(1,Formulas!F138+2),"$",""))&amp;Formulas!E138+1,
IFERROR(INDEX(Datos!$A$2:$L$101,Formulas!E138,Formulas!F138+2),"")))</f>
        <v/>
      </c>
      <c r="F140" s="5"/>
      <c r="G140" s="6"/>
      <c r="H140" s="24" t="str" cm="1">
        <f t="array" aca="1" ref="H140" ca="1">IF(OR(Formulas!J137=0,Formulas!J137="",RIGHT(Formulas!K137)="0"),"",
HYPERLINK("["&amp;Archivo_Nombre&amp;"]Datos!"&amp;LEFT(SUBSTITUTE(ADDRESS(1,IF(Formulas!J137=1,1,RIGHT(Formulas!K137)+2)),"$",""))&amp;Formulas!I137+1,
IFERROR(INDEX(Datos!$A$1:$L$1,1,RIGHT(Formulas!K137)+2)&amp;IF(Formulas!J137=1," "&amp;Formulas!I137,"")&amp;":","")))</f>
        <v/>
      </c>
      <c r="I140" s="107" t="str" cm="1">
        <f t="array" aca="1" ref="I140" ca="1">IF(OR(Formulas!J137=0,Formulas!J137="",RIGHT(Formulas!K137)="0"),"",
HYPERLINK("["&amp;Archivo_Nombre&amp;"]Datos!"&amp;LEFT(SUBSTITUTE(ADDRESS(1,RIGHT(Formulas!K137)+2),"$",""))&amp;Formulas!I137+1,
IFERROR(INDEX(Datos!$A$2:$L$101,Formulas!I137,RIGHT(Formulas!K137)+2),"")))</f>
        <v/>
      </c>
      <c r="J140" s="107" t="str" cm="1">
        <f t="array" aca="1" ref="J140" ca="1">IF(OR(Formulas!K138=0,Formulas!K138=""),"",HYPERLINK("["&amp;Archivo_Nombre&amp;"]Datos!"&amp;LEFT(SUBSTITUTE(ADDRESS(1,Formulas!K138+2),"$",""))&amp;Formulas!J138+1,
IFERROR(INDEX(Datos!$A$2:$L$101,Formulas!J138,Formulas!K138+2),"")))</f>
        <v/>
      </c>
      <c r="K140" s="5"/>
      <c r="L140" s="6"/>
      <c r="M140" s="24" t="str" cm="1">
        <f t="array" aca="1" ref="M140" ca="1">IF(OR(Formulas!O137=0,Formulas!O137="",RIGHT(Formulas!P137)="0"),"",
HYPERLINK("["&amp;Archivo_Nombre&amp;"]Datos!"&amp;LEFT(SUBSTITUTE(ADDRESS(1,IF(Formulas!O137=1,1,RIGHT(Formulas!P137)+2)),"$",""))&amp;Formulas!N137+1,
IFERROR(INDEX(Datos!$A$1:$L$1,1,RIGHT(Formulas!P137)+2)&amp;IF(Formulas!O137=1," "&amp;Formulas!N137,"")&amp;":","")))</f>
        <v/>
      </c>
      <c r="N140" s="107" t="str" cm="1">
        <f t="array" aca="1" ref="N140" ca="1">IF(OR(Formulas!O137=0,Formulas!O137="",RIGHT(Formulas!P137)="0"),"",
HYPERLINK("["&amp;Archivo_Nombre&amp;"]Datos!"&amp;LEFT(SUBSTITUTE(ADDRESS(1,RIGHT(Formulas!P137)+2),"$",""))&amp;Formulas!N137+1,
IFERROR(INDEX(Datos!$A$2:$L$101,Formulas!N137,RIGHT(Formulas!P137)+2),"")))</f>
        <v/>
      </c>
      <c r="O140" s="107" t="str" cm="1">
        <f t="array" aca="1" ref="O140" ca="1">IF(OR(Formulas!P138=0,Formulas!P138=""),"",HYPERLINK("["&amp;Archivo_Nombre&amp;"]Datos!"&amp;LEFT(SUBSTITUTE(ADDRESS(1,Formulas!P138+2),"$",""))&amp;Formulas!O138+1,
IFERROR(INDEX(Datos!$A$2:$L$101,Formulas!O138,Formulas!P138+2),"")))</f>
        <v/>
      </c>
      <c r="P140" s="5"/>
      <c r="Q140" s="6"/>
      <c r="R140" s="24" t="str" cm="1">
        <f t="array" aca="1" ref="R140" ca="1">IF(OR(Formulas!T137=0,Formulas!T137="",RIGHT(Formulas!U137)="0"),"",
HYPERLINK("["&amp;Archivo_Nombre&amp;"]Datos!"&amp;LEFT(SUBSTITUTE(ADDRESS(1,IF(Formulas!T137=1,1,RIGHT(Formulas!U137)+2)),"$",""))&amp;Formulas!S137+1,
IFERROR(INDEX(Datos!$A$1:$L$1,1,RIGHT(Formulas!U137)+2)&amp;IF(Formulas!T137=1," "&amp;Formulas!S137,"")&amp;":","")))</f>
        <v>Previsto:</v>
      </c>
      <c r="S140" s="107" cm="1">
        <f t="array" aca="1" ref="S140" ca="1">IF(OR(Formulas!T137=0,Formulas!T137="",RIGHT(Formulas!U137)="0"),"",
HYPERLINK("["&amp;Archivo_Nombre&amp;"]Datos!"&amp;LEFT(SUBSTITUTE(ADDRESS(1,RIGHT(Formulas!U137)+2),"$",""))&amp;Formulas!S137+1,
IFERROR(INDEX(Datos!$A$2:$L$101,Formulas!S137,RIGHT(Formulas!U137)+2),"")))</f>
        <v>45792</v>
      </c>
      <c r="T140" s="107" t="e" cm="1">
        <f t="array" aca="1" ref="T140" ca="1">IF(OR(Formulas!U138=0,Formulas!U138=""),"",HYPERLINK("["&amp;Archivo_Nombre&amp;"]Datos!"&amp;LEFT(SUBSTITUTE(ADDRESS(1,Formulas!U138+2),"$",""))&amp;Formulas!T138+1,
IFERROR(INDEX(Datos!$A$2:$L$101,Formulas!T138,Formulas!U138+2),"")))</f>
        <v>#VALUE!</v>
      </c>
      <c r="U140" s="5"/>
      <c r="V140" s="6"/>
      <c r="W140" s="24" t="str" cm="1">
        <f t="array" aca="1" ref="W140" ca="1">IF(OR(Formulas!Y137=0,Formulas!Y137="",RIGHT(Formulas!Z137)="0"),"",
HYPERLINK("["&amp;Archivo_Nombre&amp;"]Datos!"&amp;LEFT(SUBSTITUTE(ADDRESS(1,IF(Formulas!Y137=1,1,RIGHT(Formulas!Z137)+2)),"$",""))&amp;Formulas!X137+1,
IFERROR(INDEX(Datos!$A$1:$L$1,1,RIGHT(Formulas!Z137)+2)&amp;IF(Formulas!Y137=1," "&amp;Formulas!X137,"")&amp;":","")))</f>
        <v/>
      </c>
      <c r="X140" s="107" t="str" cm="1">
        <f t="array" aca="1" ref="X140" ca="1">IF(OR(Formulas!Y137=0,Formulas!Y137="",RIGHT(Formulas!Z137)="0"),"",
HYPERLINK("["&amp;Archivo_Nombre&amp;"]Datos!"&amp;LEFT(SUBSTITUTE(ADDRESS(1,RIGHT(Formulas!Z137)+2),"$",""))&amp;Formulas!X137+1,
IFERROR(INDEX(Datos!$A$2:$L$101,Formulas!X137,RIGHT(Formulas!Z137)+2),"")))</f>
        <v/>
      </c>
      <c r="Y140" s="107" t="str" cm="1">
        <f t="array" aca="1" ref="Y140" ca="1">IF(OR(Formulas!Z138=0,Formulas!Z138=""),"",HYPERLINK("["&amp;Archivo_Nombre&amp;"]Datos!"&amp;LEFT(SUBSTITUTE(ADDRESS(1,Formulas!Z138+2),"$",""))&amp;Formulas!Y138+1,
IFERROR(INDEX(Datos!$A$2:$L$101,Formulas!Y138,Formulas!Z138+2),"")))</f>
        <v/>
      </c>
      <c r="Z140" s="13"/>
      <c r="AA140" s="6"/>
      <c r="AB140" s="24" t="str" cm="1">
        <f t="array" aca="1" ref="AB140" ca="1">IF(OR(Formulas!AD137=0,Formulas!AD137="",RIGHT(Formulas!AE137)="0"),"",
HYPERLINK("["&amp;Archivo_Nombre&amp;"]Datos!"&amp;LEFT(SUBSTITUTE(ADDRESS(1,IF(Formulas!AD137=1,1,RIGHT(Formulas!AE137)+2)),"$",""))&amp;Formulas!AC137+1,
IFERROR(INDEX(Datos!$A$1:$L$1,1,RIGHT(Formulas!AE137)+2)&amp;IF(Formulas!AD137=1," "&amp;Formulas!AC137,"")&amp;":","")))</f>
        <v/>
      </c>
      <c r="AC140" s="107" t="str" cm="1">
        <f t="array" aca="1" ref="AC140" ca="1">IF(OR(Formulas!AD137=0,Formulas!AD137="",RIGHT(Formulas!AE137)="0"),"",
HYPERLINK("["&amp;Archivo_Nombre&amp;"]Datos!"&amp;LEFT(SUBSTITUTE(ADDRESS(1,RIGHT(Formulas!AE137)+2),"$",""))&amp;Formulas!AC137+1,
IFERROR(INDEX(Datos!$A$2:$L$101,Formulas!AC137,RIGHT(Formulas!AE137)+2),"")))</f>
        <v/>
      </c>
      <c r="AD140" s="107" t="str" cm="1">
        <f t="array" aca="1" ref="AD140" ca="1">IF(OR(Formulas!AE138=0,Formulas!AE138=""),"",HYPERLINK("["&amp;Archivo_Nombre&amp;"]Datos!"&amp;LEFT(SUBSTITUTE(ADDRESS(1,Formulas!AE138+2),"$",""))&amp;Formulas!AD138+1,
IFERROR(INDEX(Datos!$A$2:$L$101,Formulas!AD138,Formulas!AE138+2),"")))</f>
        <v/>
      </c>
      <c r="AE140" s="13"/>
      <c r="AF140" s="6"/>
      <c r="AG140" s="24" t="str" cm="1">
        <f t="array" aca="1" ref="AG140" ca="1">IF(OR(Formulas!AI137=0,Formulas!AI137="",RIGHT(Formulas!AJ137)="0"),"",
HYPERLINK("["&amp;Archivo_Nombre&amp;"]Datos!"&amp;LEFT(SUBSTITUTE(ADDRESS(1,IF(Formulas!AI137=1,1,RIGHT(Formulas!AJ137)+2)),"$",""))&amp;Formulas!AH137+1,
IFERROR(INDEX(Datos!$A$1:$L$1,1,RIGHT(Formulas!AJ137)+2)&amp;IF(Formulas!AI137=1," "&amp;Formulas!AH137,"")&amp;":","")))</f>
        <v/>
      </c>
      <c r="AH140" s="107" t="str" cm="1">
        <f t="array" aca="1" ref="AH140" ca="1">IF(OR(Formulas!AI137=0,Formulas!AI137="",RIGHT(Formulas!AJ137)="0"),"",
HYPERLINK("["&amp;Archivo_Nombre&amp;"]Datos!"&amp;LEFT(SUBSTITUTE(ADDRESS(1,RIGHT(Formulas!AJ137)+2),"$",""))&amp;Formulas!AH137+1,
IFERROR(INDEX(Datos!$A$2:$L$101,Formulas!AH137,RIGHT(Formulas!AJ137)+2),"")))</f>
        <v/>
      </c>
      <c r="AI140" s="107" t="str" cm="1">
        <f t="array" aca="1" ref="AI140" ca="1">IF(OR(Formulas!AJ138=0,Formulas!AJ138=""),"",HYPERLINK("["&amp;Archivo_Nombre&amp;"]Datos!"&amp;LEFT(SUBSTITUTE(ADDRESS(1,Formulas!AJ138+2),"$",""))&amp;Formulas!AI138+1,
IFERROR(INDEX(Datos!$A$2:$L$101,Formulas!AI138,Formulas!AJ138+2),"")))</f>
        <v/>
      </c>
      <c r="AJ140" s="13"/>
      <c r="AK140" s="6"/>
      <c r="AL140" s="24" t="str" cm="1">
        <f t="array" aca="1" ref="AL140" ca="1">IF(OR(Formulas!AN137=0,Formulas!AN137="",RIGHT(Formulas!AO137)="0"),"",
HYPERLINK("["&amp;Archivo_Nombre&amp;"]Datos!"&amp;LEFT(SUBSTITUTE(ADDRESS(1,IF(Formulas!AN137=1,1,RIGHT(Formulas!AO137)+2)),"$",""))&amp;Formulas!AM137+1,
IFERROR(INDEX(Datos!$A$1:$L$1,1,RIGHT(Formulas!AO137)+2)&amp;IF(Formulas!AN137=1," "&amp;Formulas!AM137,"")&amp;":","")))</f>
        <v/>
      </c>
      <c r="AM140" s="107" t="str" cm="1">
        <f t="array" aca="1" ref="AM140" ca="1">IF(OR(Formulas!AN137=0,Formulas!AN137="",RIGHT(Formulas!AO137)="0"),"",
HYPERLINK("["&amp;Archivo_Nombre&amp;"]Datos!"&amp;LEFT(SUBSTITUTE(ADDRESS(1,RIGHT(Formulas!AO137)+2),"$",""))&amp;Formulas!AM137+1,
IFERROR(INDEX(Datos!$A$2:$L$101,Formulas!AM137,RIGHT(Formulas!AO137)+2),"")))</f>
        <v/>
      </c>
      <c r="AN140" s="107" t="str" cm="1">
        <f t="array" aca="1" ref="AN140" ca="1">IF(OR(Formulas!AO138=0,Formulas!AO138=""),"",HYPERLINK("["&amp;Archivo_Nombre&amp;"]Datos!"&amp;LEFT(SUBSTITUTE(ADDRESS(1,Formulas!AO138+2),"$",""))&amp;Formulas!AN138+1,
IFERROR(INDEX(Datos!$A$2:$L$101,Formulas!AN138,Formulas!AO138+2),"")))</f>
        <v/>
      </c>
      <c r="AO140" s="13"/>
      <c r="AP140" s="6"/>
      <c r="AQ140" s="24" t="str" cm="1">
        <f t="array" aca="1" ref="AQ140" ca="1">IF(OR(Formulas!AS137=0,Formulas!AS137="",RIGHT(Formulas!AT137)="0"),"",
HYPERLINK("["&amp;Archivo_Nombre&amp;"]Datos!"&amp;LEFT(SUBSTITUTE(ADDRESS(1,IF(Formulas!AS137=1,1,RIGHT(Formulas!AT137)+2)),"$",""))&amp;Formulas!AR137+1,
IFERROR(INDEX(Datos!$A$1:$L$1,1,RIGHT(Formulas!AT137)+2)&amp;IF(Formulas!AS137=1," "&amp;Formulas!AR137,"")&amp;":","")))</f>
        <v/>
      </c>
      <c r="AR140" s="107" t="str" cm="1">
        <f t="array" aca="1" ref="AR140" ca="1">IF(OR(Formulas!AS137=0,Formulas!AS137="",RIGHT(Formulas!AT137)="0"),"",
HYPERLINK("["&amp;Archivo_Nombre&amp;"]Datos!"&amp;LEFT(SUBSTITUTE(ADDRESS(1,RIGHT(Formulas!AT137)+2),"$",""))&amp;Formulas!AR137+1,
IFERROR(INDEX(Datos!$A$2:$L$101,Formulas!AR137,RIGHT(Formulas!AT137)+2),"")))</f>
        <v/>
      </c>
      <c r="AS140" s="107" t="str" cm="1">
        <f t="array" aca="1" ref="AS140" ca="1">IF(OR(Formulas!AT138=0,Formulas!AT138=""),"",HYPERLINK("["&amp;Archivo_Nombre&amp;"]Datos!"&amp;LEFT(SUBSTITUTE(ADDRESS(1,Formulas!AT138+2),"$",""))&amp;Formulas!AS138+1,
IFERROR(INDEX(Datos!$A$2:$L$101,Formulas!AS138,Formulas!AT138+2),"")))</f>
        <v/>
      </c>
      <c r="AT140" s="13"/>
      <c r="AU140" s="6"/>
      <c r="AV140" s="24" t="str" cm="1">
        <f t="array" aca="1" ref="AV140" ca="1">IF(OR(Formulas!AX137=0,Formulas!AX137="",RIGHT(Formulas!AY137)="0"),"",
HYPERLINK("["&amp;Archivo_Nombre&amp;"]Datos!"&amp;LEFT(SUBSTITUTE(ADDRESS(1,IF(Formulas!AX137=1,1,RIGHT(Formulas!AY137)+2)),"$",""))&amp;Formulas!AW137+1,
IFERROR(INDEX(Datos!$A$1:$L$1,1,RIGHT(Formulas!AY137)+2)&amp;IF(Formulas!AX137=1," "&amp;Formulas!AW137,"")&amp;":","")))</f>
        <v/>
      </c>
      <c r="AW140" s="107" t="str" cm="1">
        <f t="array" aca="1" ref="AW140" ca="1">IF(OR(Formulas!AX137=0,Formulas!AX137="",RIGHT(Formulas!AY137)="0"),"",
HYPERLINK("["&amp;Archivo_Nombre&amp;"]Datos!"&amp;LEFT(SUBSTITUTE(ADDRESS(1,RIGHT(Formulas!AY137)+2),"$",""))&amp;Formulas!AW137+1,
IFERROR(INDEX(Datos!$A$2:$L$101,Formulas!AW137,RIGHT(Formulas!AY137)+2),"")))</f>
        <v/>
      </c>
      <c r="AX140" s="107" t="str" cm="1">
        <f t="array" aca="1" ref="AX140" ca="1">IF(OR(Formulas!AY138=0,Formulas!AY138=""),"",HYPERLINK("["&amp;Archivo_Nombre&amp;"]Datos!"&amp;LEFT(SUBSTITUTE(ADDRESS(1,Formulas!AY138+2),"$",""))&amp;Formulas!AX138+1,
IFERROR(INDEX(Datos!$A$2:$L$101,Formulas!AX138,Formulas!AY138+2),"")))</f>
        <v/>
      </c>
      <c r="AY140" s="13"/>
    </row>
    <row r="141" spans="2:51" x14ac:dyDescent="0.25">
      <c r="B141" s="11"/>
      <c r="C141" s="24" t="str" cm="1">
        <f t="array" aca="1" ref="C141" ca="1">IF(OR(Formulas!E138=0,Formulas!E138="",RIGHT(Formulas!F138)="0"),"",
HYPERLINK("["&amp;Archivo_Nombre&amp;"]Datos!"&amp;LEFT(SUBSTITUTE(ADDRESS(1,IF(Formulas!E138=1,1,RIGHT(Formulas!F138)+2)),"$",""))&amp;Formulas!D138+1,
IFERROR(INDEX(Datos!$A$1:$L$1,1,RIGHT(Formulas!F138)+2)&amp;IF(Formulas!E138=1," "&amp;Formulas!D138,"")&amp;":","")))</f>
        <v/>
      </c>
      <c r="D141" s="107" t="str" cm="1">
        <f t="array" aca="1" ref="D141" ca="1">IF(OR(Formulas!E138=0,Formulas!E138="",RIGHT(Formulas!F138)="0"),"",
HYPERLINK("["&amp;Archivo_Nombre&amp;"]Datos!"&amp;LEFT(SUBSTITUTE(ADDRESS(1,RIGHT(Formulas!F138)+2),"$",""))&amp;Formulas!D138+1,
IFERROR(INDEX(Datos!$A$2:$L$101,Formulas!D138,RIGHT(Formulas!F138)+2),"")))</f>
        <v/>
      </c>
      <c r="E141" s="107" t="str" cm="1">
        <f t="array" aca="1" ref="E141" ca="1">IF(OR(Formulas!F139=0,Formulas!F139=""),"",HYPERLINK("["&amp;Archivo_Nombre&amp;"]Datos!"&amp;LEFT(SUBSTITUTE(ADDRESS(1,Formulas!F139+2),"$",""))&amp;Formulas!E139+1,
IFERROR(INDEX(Datos!$A$2:$L$101,Formulas!E139,Formulas!F139+2),"")))</f>
        <v/>
      </c>
      <c r="F141" s="5"/>
      <c r="G141" s="6"/>
      <c r="H141" s="24" t="str" cm="1">
        <f t="array" aca="1" ref="H141" ca="1">IF(OR(Formulas!J138=0,Formulas!J138="",RIGHT(Formulas!K138)="0"),"",
HYPERLINK("["&amp;Archivo_Nombre&amp;"]Datos!"&amp;LEFT(SUBSTITUTE(ADDRESS(1,IF(Formulas!J138=1,1,RIGHT(Formulas!K138)+2)),"$",""))&amp;Formulas!I138+1,
IFERROR(INDEX(Datos!$A$1:$L$1,1,RIGHT(Formulas!K138)+2)&amp;IF(Formulas!J138=1," "&amp;Formulas!I138,"")&amp;":","")))</f>
        <v/>
      </c>
      <c r="I141" s="107" t="str" cm="1">
        <f t="array" aca="1" ref="I141" ca="1">IF(OR(Formulas!J138=0,Formulas!J138="",RIGHT(Formulas!K138)="0"),"",
HYPERLINK("["&amp;Archivo_Nombre&amp;"]Datos!"&amp;LEFT(SUBSTITUTE(ADDRESS(1,RIGHT(Formulas!K138)+2),"$",""))&amp;Formulas!I138+1,
IFERROR(INDEX(Datos!$A$2:$L$101,Formulas!I138,RIGHT(Formulas!K138)+2),"")))</f>
        <v/>
      </c>
      <c r="J141" s="107" t="str" cm="1">
        <f t="array" aca="1" ref="J141" ca="1">IF(OR(Formulas!K139=0,Formulas!K139=""),"",HYPERLINK("["&amp;Archivo_Nombre&amp;"]Datos!"&amp;LEFT(SUBSTITUTE(ADDRESS(1,Formulas!K139+2),"$",""))&amp;Formulas!J139+1,
IFERROR(INDEX(Datos!$A$2:$L$101,Formulas!J139,Formulas!K139+2),"")))</f>
        <v/>
      </c>
      <c r="K141" s="5"/>
      <c r="L141" s="6"/>
      <c r="M141" s="24" t="str" cm="1">
        <f t="array" aca="1" ref="M141" ca="1">IF(OR(Formulas!O138=0,Formulas!O138="",RIGHT(Formulas!P138)="0"),"",
HYPERLINK("["&amp;Archivo_Nombre&amp;"]Datos!"&amp;LEFT(SUBSTITUTE(ADDRESS(1,IF(Formulas!O138=1,1,RIGHT(Formulas!P138)+2)),"$",""))&amp;Formulas!N138+1,
IFERROR(INDEX(Datos!$A$1:$L$1,1,RIGHT(Formulas!P138)+2)&amp;IF(Formulas!O138=1," "&amp;Formulas!N138,"")&amp;":","")))</f>
        <v/>
      </c>
      <c r="N141" s="107" t="str" cm="1">
        <f t="array" aca="1" ref="N141" ca="1">IF(OR(Formulas!O138=0,Formulas!O138="",RIGHT(Formulas!P138)="0"),"",
HYPERLINK("["&amp;Archivo_Nombre&amp;"]Datos!"&amp;LEFT(SUBSTITUTE(ADDRESS(1,RIGHT(Formulas!P138)+2),"$",""))&amp;Formulas!N138+1,
IFERROR(INDEX(Datos!$A$2:$L$101,Formulas!N138,RIGHT(Formulas!P138)+2),"")))</f>
        <v/>
      </c>
      <c r="O141" s="107" t="str" cm="1">
        <f t="array" aca="1" ref="O141" ca="1">IF(OR(Formulas!P139=0,Formulas!P139=""),"",HYPERLINK("["&amp;Archivo_Nombre&amp;"]Datos!"&amp;LEFT(SUBSTITUTE(ADDRESS(1,Formulas!P139+2),"$",""))&amp;Formulas!O139+1,
IFERROR(INDEX(Datos!$A$2:$L$101,Formulas!O139,Formulas!P139+2),"")))</f>
        <v/>
      </c>
      <c r="P141" s="5"/>
      <c r="Q141" s="6"/>
      <c r="R141" s="24" t="str" cm="1">
        <f t="array" aca="1" ref="R141" ca="1">IF(OR(Formulas!T138=0,Formulas!T138="",RIGHT(Formulas!U138)="0"),"",
HYPERLINK("["&amp;Archivo_Nombre&amp;"]Datos!"&amp;LEFT(SUBSTITUTE(ADDRESS(1,IF(Formulas!T138=1,1,RIGHT(Formulas!U138)+2)),"$",""))&amp;Formulas!S138+1,
IFERROR(INDEX(Datos!$A$1:$L$1,1,RIGHT(Formulas!U138)+2)&amp;IF(Formulas!T138=1," "&amp;Formulas!S138,"")&amp;":","")))</f>
        <v>Final:</v>
      </c>
      <c r="S141" s="107" cm="1">
        <f t="array" aca="1" ref="S141" ca="1">IF(OR(Formulas!T138=0,Formulas!T138="",RIGHT(Formulas!U138)="0"),"",
HYPERLINK("["&amp;Archivo_Nombre&amp;"]Datos!"&amp;LEFT(SUBSTITUTE(ADDRESS(1,RIGHT(Formulas!U138)+2),"$",""))&amp;Formulas!S138+1,
IFERROR(INDEX(Datos!$A$2:$L$101,Formulas!S138,RIGHT(Formulas!U138)+2),"")))</f>
        <v>45792</v>
      </c>
      <c r="T141" s="107" t="e" cm="1">
        <f t="array" aca="1" ref="T141" ca="1">IF(OR(Formulas!U139=0,Formulas!U139=""),"",HYPERLINK("["&amp;Archivo_Nombre&amp;"]Datos!"&amp;LEFT(SUBSTITUTE(ADDRESS(1,Formulas!U139+2),"$",""))&amp;Formulas!T139+1,
IFERROR(INDEX(Datos!$A$2:$L$101,Formulas!T139,Formulas!U139+2),"")))</f>
        <v>#VALUE!</v>
      </c>
      <c r="U141" s="5"/>
      <c r="V141" s="6"/>
      <c r="W141" s="24" t="str" cm="1">
        <f t="array" aca="1" ref="W141" ca="1">IF(OR(Formulas!Y138=0,Formulas!Y138="",RIGHT(Formulas!Z138)="0"),"",
HYPERLINK("["&amp;Archivo_Nombre&amp;"]Datos!"&amp;LEFT(SUBSTITUTE(ADDRESS(1,IF(Formulas!Y138=1,1,RIGHT(Formulas!Z138)+2)),"$",""))&amp;Formulas!X138+1,
IFERROR(INDEX(Datos!$A$1:$L$1,1,RIGHT(Formulas!Z138)+2)&amp;IF(Formulas!Y138=1," "&amp;Formulas!X138,"")&amp;":","")))</f>
        <v/>
      </c>
      <c r="X141" s="107" t="str" cm="1">
        <f t="array" aca="1" ref="X141" ca="1">IF(OR(Formulas!Y138=0,Formulas!Y138="",RIGHT(Formulas!Z138)="0"),"",
HYPERLINK("["&amp;Archivo_Nombre&amp;"]Datos!"&amp;LEFT(SUBSTITUTE(ADDRESS(1,RIGHT(Formulas!Z138)+2),"$",""))&amp;Formulas!X138+1,
IFERROR(INDEX(Datos!$A$2:$L$101,Formulas!X138,RIGHT(Formulas!Z138)+2),"")))</f>
        <v/>
      </c>
      <c r="Y141" s="107" t="str" cm="1">
        <f t="array" aca="1" ref="Y141" ca="1">IF(OR(Formulas!Z139=0,Formulas!Z139=""),"",HYPERLINK("["&amp;Archivo_Nombre&amp;"]Datos!"&amp;LEFT(SUBSTITUTE(ADDRESS(1,Formulas!Z139+2),"$",""))&amp;Formulas!Y139+1,
IFERROR(INDEX(Datos!$A$2:$L$101,Formulas!Y139,Formulas!Z139+2),"")))</f>
        <v/>
      </c>
      <c r="Z141" s="13"/>
      <c r="AA141" s="6"/>
      <c r="AB141" s="24" t="str" cm="1">
        <f t="array" aca="1" ref="AB141" ca="1">IF(OR(Formulas!AD138=0,Formulas!AD138="",RIGHT(Formulas!AE138)="0"),"",
HYPERLINK("["&amp;Archivo_Nombre&amp;"]Datos!"&amp;LEFT(SUBSTITUTE(ADDRESS(1,IF(Formulas!AD138=1,1,RIGHT(Formulas!AE138)+2)),"$",""))&amp;Formulas!AC138+1,
IFERROR(INDEX(Datos!$A$1:$L$1,1,RIGHT(Formulas!AE138)+2)&amp;IF(Formulas!AD138=1," "&amp;Formulas!AC138,"")&amp;":","")))</f>
        <v/>
      </c>
      <c r="AC141" s="107" t="str" cm="1">
        <f t="array" aca="1" ref="AC141" ca="1">IF(OR(Formulas!AD138=0,Formulas!AD138="",RIGHT(Formulas!AE138)="0"),"",
HYPERLINK("["&amp;Archivo_Nombre&amp;"]Datos!"&amp;LEFT(SUBSTITUTE(ADDRESS(1,RIGHT(Formulas!AE138)+2),"$",""))&amp;Formulas!AC138+1,
IFERROR(INDEX(Datos!$A$2:$L$101,Formulas!AC138,RIGHT(Formulas!AE138)+2),"")))</f>
        <v/>
      </c>
      <c r="AD141" s="107" t="str" cm="1">
        <f t="array" aca="1" ref="AD141" ca="1">IF(OR(Formulas!AE139=0,Formulas!AE139=""),"",HYPERLINK("["&amp;Archivo_Nombre&amp;"]Datos!"&amp;LEFT(SUBSTITUTE(ADDRESS(1,Formulas!AE139+2),"$",""))&amp;Formulas!AD139+1,
IFERROR(INDEX(Datos!$A$2:$L$101,Formulas!AD139,Formulas!AE139+2),"")))</f>
        <v/>
      </c>
      <c r="AE141" s="13"/>
      <c r="AF141" s="6"/>
      <c r="AG141" s="24" t="str" cm="1">
        <f t="array" aca="1" ref="AG141" ca="1">IF(OR(Formulas!AI138=0,Formulas!AI138="",RIGHT(Formulas!AJ138)="0"),"",
HYPERLINK("["&amp;Archivo_Nombre&amp;"]Datos!"&amp;LEFT(SUBSTITUTE(ADDRESS(1,IF(Formulas!AI138=1,1,RIGHT(Formulas!AJ138)+2)),"$",""))&amp;Formulas!AH138+1,
IFERROR(INDEX(Datos!$A$1:$L$1,1,RIGHT(Formulas!AJ138)+2)&amp;IF(Formulas!AI138=1," "&amp;Formulas!AH138,"")&amp;":","")))</f>
        <v/>
      </c>
      <c r="AH141" s="107" t="str" cm="1">
        <f t="array" aca="1" ref="AH141" ca="1">IF(OR(Formulas!AI138=0,Formulas!AI138="",RIGHT(Formulas!AJ138)="0"),"",
HYPERLINK("["&amp;Archivo_Nombre&amp;"]Datos!"&amp;LEFT(SUBSTITUTE(ADDRESS(1,RIGHT(Formulas!AJ138)+2),"$",""))&amp;Formulas!AH138+1,
IFERROR(INDEX(Datos!$A$2:$L$101,Formulas!AH138,RIGHT(Formulas!AJ138)+2),"")))</f>
        <v/>
      </c>
      <c r="AI141" s="107" t="str" cm="1">
        <f t="array" aca="1" ref="AI141" ca="1">IF(OR(Formulas!AJ139=0,Formulas!AJ139=""),"",HYPERLINK("["&amp;Archivo_Nombre&amp;"]Datos!"&amp;LEFT(SUBSTITUTE(ADDRESS(1,Formulas!AJ139+2),"$",""))&amp;Formulas!AI139+1,
IFERROR(INDEX(Datos!$A$2:$L$101,Formulas!AI139,Formulas!AJ139+2),"")))</f>
        <v/>
      </c>
      <c r="AJ141" s="13"/>
      <c r="AK141" s="6"/>
      <c r="AL141" s="24" t="str" cm="1">
        <f t="array" aca="1" ref="AL141" ca="1">IF(OR(Formulas!AN138=0,Formulas!AN138="",RIGHT(Formulas!AO138)="0"),"",
HYPERLINK("["&amp;Archivo_Nombre&amp;"]Datos!"&amp;LEFT(SUBSTITUTE(ADDRESS(1,IF(Formulas!AN138=1,1,RIGHT(Formulas!AO138)+2)),"$",""))&amp;Formulas!AM138+1,
IFERROR(INDEX(Datos!$A$1:$L$1,1,RIGHT(Formulas!AO138)+2)&amp;IF(Formulas!AN138=1," "&amp;Formulas!AM138,"")&amp;":","")))</f>
        <v/>
      </c>
      <c r="AM141" s="107" t="str" cm="1">
        <f t="array" aca="1" ref="AM141" ca="1">IF(OR(Formulas!AN138=0,Formulas!AN138="",RIGHT(Formulas!AO138)="0"),"",
HYPERLINK("["&amp;Archivo_Nombre&amp;"]Datos!"&amp;LEFT(SUBSTITUTE(ADDRESS(1,RIGHT(Formulas!AO138)+2),"$",""))&amp;Formulas!AM138+1,
IFERROR(INDEX(Datos!$A$2:$L$101,Formulas!AM138,RIGHT(Formulas!AO138)+2),"")))</f>
        <v/>
      </c>
      <c r="AN141" s="107" t="str" cm="1">
        <f t="array" aca="1" ref="AN141" ca="1">IF(OR(Formulas!AO139=0,Formulas!AO139=""),"",HYPERLINK("["&amp;Archivo_Nombre&amp;"]Datos!"&amp;LEFT(SUBSTITUTE(ADDRESS(1,Formulas!AO139+2),"$",""))&amp;Formulas!AN139+1,
IFERROR(INDEX(Datos!$A$2:$L$101,Formulas!AN139,Formulas!AO139+2),"")))</f>
        <v/>
      </c>
      <c r="AO141" s="13"/>
      <c r="AP141" s="6"/>
      <c r="AQ141" s="24" t="str" cm="1">
        <f t="array" aca="1" ref="AQ141" ca="1">IF(OR(Formulas!AS138=0,Formulas!AS138="",RIGHT(Formulas!AT138)="0"),"",
HYPERLINK("["&amp;Archivo_Nombre&amp;"]Datos!"&amp;LEFT(SUBSTITUTE(ADDRESS(1,IF(Formulas!AS138=1,1,RIGHT(Formulas!AT138)+2)),"$",""))&amp;Formulas!AR138+1,
IFERROR(INDEX(Datos!$A$1:$L$1,1,RIGHT(Formulas!AT138)+2)&amp;IF(Formulas!AS138=1," "&amp;Formulas!AR138,"")&amp;":","")))</f>
        <v/>
      </c>
      <c r="AR141" s="107" t="str" cm="1">
        <f t="array" aca="1" ref="AR141" ca="1">IF(OR(Formulas!AS138=0,Formulas!AS138="",RIGHT(Formulas!AT138)="0"),"",
HYPERLINK("["&amp;Archivo_Nombre&amp;"]Datos!"&amp;LEFT(SUBSTITUTE(ADDRESS(1,RIGHT(Formulas!AT138)+2),"$",""))&amp;Formulas!AR138+1,
IFERROR(INDEX(Datos!$A$2:$L$101,Formulas!AR138,RIGHT(Formulas!AT138)+2),"")))</f>
        <v/>
      </c>
      <c r="AS141" s="107" t="str" cm="1">
        <f t="array" aca="1" ref="AS141" ca="1">IF(OR(Formulas!AT139=0,Formulas!AT139=""),"",HYPERLINK("["&amp;Archivo_Nombre&amp;"]Datos!"&amp;LEFT(SUBSTITUTE(ADDRESS(1,Formulas!AT139+2),"$",""))&amp;Formulas!AS139+1,
IFERROR(INDEX(Datos!$A$2:$L$101,Formulas!AS139,Formulas!AT139+2),"")))</f>
        <v/>
      </c>
      <c r="AT141" s="13"/>
      <c r="AU141" s="6"/>
      <c r="AV141" s="24" t="str" cm="1">
        <f t="array" aca="1" ref="AV141" ca="1">IF(OR(Formulas!AX138=0,Formulas!AX138="",RIGHT(Formulas!AY138)="0"),"",
HYPERLINK("["&amp;Archivo_Nombre&amp;"]Datos!"&amp;LEFT(SUBSTITUTE(ADDRESS(1,IF(Formulas!AX138=1,1,RIGHT(Formulas!AY138)+2)),"$",""))&amp;Formulas!AW138+1,
IFERROR(INDEX(Datos!$A$1:$L$1,1,RIGHT(Formulas!AY138)+2)&amp;IF(Formulas!AX138=1," "&amp;Formulas!AW138,"")&amp;":","")))</f>
        <v/>
      </c>
      <c r="AW141" s="107" t="str" cm="1">
        <f t="array" aca="1" ref="AW141" ca="1">IF(OR(Formulas!AX138=0,Formulas!AX138="",RIGHT(Formulas!AY138)="0"),"",
HYPERLINK("["&amp;Archivo_Nombre&amp;"]Datos!"&amp;LEFT(SUBSTITUTE(ADDRESS(1,RIGHT(Formulas!AY138)+2),"$",""))&amp;Formulas!AW138+1,
IFERROR(INDEX(Datos!$A$2:$L$101,Formulas!AW138,RIGHT(Formulas!AY138)+2),"")))</f>
        <v/>
      </c>
      <c r="AX141" s="107" t="str" cm="1">
        <f t="array" aca="1" ref="AX141" ca="1">IF(OR(Formulas!AY139=0,Formulas!AY139=""),"",HYPERLINK("["&amp;Archivo_Nombre&amp;"]Datos!"&amp;LEFT(SUBSTITUTE(ADDRESS(1,Formulas!AY139+2),"$",""))&amp;Formulas!AX139+1,
IFERROR(INDEX(Datos!$A$2:$L$101,Formulas!AX139,Formulas!AY139+2),"")))</f>
        <v/>
      </c>
      <c r="AY141" s="13"/>
    </row>
    <row r="142" spans="2:51" x14ac:dyDescent="0.25">
      <c r="B142" s="11"/>
      <c r="C142" s="24" t="str" cm="1">
        <f t="array" aca="1" ref="C142" ca="1">IF(OR(Formulas!E139=0,Formulas!E139="",RIGHT(Formulas!F139)="0"),"",
HYPERLINK("["&amp;Archivo_Nombre&amp;"]Datos!"&amp;LEFT(SUBSTITUTE(ADDRESS(1,IF(Formulas!E139=1,1,RIGHT(Formulas!F139)+2)),"$",""))&amp;Formulas!D139+1,
IFERROR(INDEX(Datos!$A$1:$L$1,1,RIGHT(Formulas!F139)+2)&amp;IF(Formulas!E139=1," "&amp;Formulas!D139,"")&amp;":","")))</f>
        <v/>
      </c>
      <c r="D142" s="107" t="str" cm="1">
        <f t="array" aca="1" ref="D142" ca="1">IF(OR(Formulas!E139=0,Formulas!E139="",RIGHT(Formulas!F139)="0"),"",
HYPERLINK("["&amp;Archivo_Nombre&amp;"]Datos!"&amp;LEFT(SUBSTITUTE(ADDRESS(1,RIGHT(Formulas!F139)+2),"$",""))&amp;Formulas!D139+1,
IFERROR(INDEX(Datos!$A$2:$L$101,Formulas!D139,RIGHT(Formulas!F139)+2),"")))</f>
        <v/>
      </c>
      <c r="E142" s="107" t="str" cm="1">
        <f t="array" aca="1" ref="E142" ca="1">IF(OR(Formulas!F140=0,Formulas!F140=""),"",HYPERLINK("["&amp;Archivo_Nombre&amp;"]Datos!"&amp;LEFT(SUBSTITUTE(ADDRESS(1,Formulas!F140+2),"$",""))&amp;Formulas!E140+1,
IFERROR(INDEX(Datos!$A$2:$L$101,Formulas!E140,Formulas!F140+2),"")))</f>
        <v/>
      </c>
      <c r="F142" s="5"/>
      <c r="G142" s="6"/>
      <c r="H142" s="24" t="str" cm="1">
        <f t="array" aca="1" ref="H142" ca="1">IF(OR(Formulas!J139=0,Formulas!J139="",RIGHT(Formulas!K139)="0"),"",
HYPERLINK("["&amp;Archivo_Nombre&amp;"]Datos!"&amp;LEFT(SUBSTITUTE(ADDRESS(1,IF(Formulas!J139=1,1,RIGHT(Formulas!K139)+2)),"$",""))&amp;Formulas!I139+1,
IFERROR(INDEX(Datos!$A$1:$L$1,1,RIGHT(Formulas!K139)+2)&amp;IF(Formulas!J139=1," "&amp;Formulas!I139,"")&amp;":","")))</f>
        <v/>
      </c>
      <c r="I142" s="107" t="str" cm="1">
        <f t="array" aca="1" ref="I142" ca="1">IF(OR(Formulas!J139=0,Formulas!J139="",RIGHT(Formulas!K139)="0"),"",
HYPERLINK("["&amp;Archivo_Nombre&amp;"]Datos!"&amp;LEFT(SUBSTITUTE(ADDRESS(1,RIGHT(Formulas!K139)+2),"$",""))&amp;Formulas!I139+1,
IFERROR(INDEX(Datos!$A$2:$L$101,Formulas!I139,RIGHT(Formulas!K139)+2),"")))</f>
        <v/>
      </c>
      <c r="J142" s="107" t="str" cm="1">
        <f t="array" aca="1" ref="J142" ca="1">IF(OR(Formulas!K140=0,Formulas!K140=""),"",HYPERLINK("["&amp;Archivo_Nombre&amp;"]Datos!"&amp;LEFT(SUBSTITUTE(ADDRESS(1,Formulas!K140+2),"$",""))&amp;Formulas!J140+1,
IFERROR(INDEX(Datos!$A$2:$L$101,Formulas!J140,Formulas!K140+2),"")))</f>
        <v/>
      </c>
      <c r="K142" s="5"/>
      <c r="L142" s="6"/>
      <c r="M142" s="24" t="str" cm="1">
        <f t="array" aca="1" ref="M142" ca="1">IF(OR(Formulas!O139=0,Formulas!O139="",RIGHT(Formulas!P139)="0"),"",
HYPERLINK("["&amp;Archivo_Nombre&amp;"]Datos!"&amp;LEFT(SUBSTITUTE(ADDRESS(1,IF(Formulas!O139=1,1,RIGHT(Formulas!P139)+2)),"$",""))&amp;Formulas!N139+1,
IFERROR(INDEX(Datos!$A$1:$L$1,1,RIGHT(Formulas!P139)+2)&amp;IF(Formulas!O139=1," "&amp;Formulas!N139,"")&amp;":","")))</f>
        <v/>
      </c>
      <c r="N142" s="107" t="str" cm="1">
        <f t="array" aca="1" ref="N142" ca="1">IF(OR(Formulas!O139=0,Formulas!O139="",RIGHT(Formulas!P139)="0"),"",
HYPERLINK("["&amp;Archivo_Nombre&amp;"]Datos!"&amp;LEFT(SUBSTITUTE(ADDRESS(1,RIGHT(Formulas!P139)+2),"$",""))&amp;Formulas!N139+1,
IFERROR(INDEX(Datos!$A$2:$L$101,Formulas!N139,RIGHT(Formulas!P139)+2),"")))</f>
        <v/>
      </c>
      <c r="O142" s="107" t="str" cm="1">
        <f t="array" aca="1" ref="O142" ca="1">IF(OR(Formulas!P140=0,Formulas!P140=""),"",HYPERLINK("["&amp;Archivo_Nombre&amp;"]Datos!"&amp;LEFT(SUBSTITUTE(ADDRESS(1,Formulas!P140+2),"$",""))&amp;Formulas!O140+1,
IFERROR(INDEX(Datos!$A$2:$L$101,Formulas!O140,Formulas!P140+2),"")))</f>
        <v/>
      </c>
      <c r="P142" s="5"/>
      <c r="Q142" s="6"/>
      <c r="R142" s="24" t="str" cm="1">
        <f t="array" aca="1" ref="R142" ca="1">IF(OR(Formulas!T139=0,Formulas!T139="",RIGHT(Formulas!U139)="0"),"",
HYPERLINK("["&amp;Archivo_Nombre&amp;"]Datos!"&amp;LEFT(SUBSTITUTE(ADDRESS(1,IF(Formulas!T139=1,1,RIGHT(Formulas!U139)+2)),"$",""))&amp;Formulas!S139+1,
IFERROR(INDEX(Datos!$A$1:$L$1,1,RIGHT(Formulas!U139)+2)&amp;IF(Formulas!T139=1," "&amp;Formulas!S139,"")&amp;":","")))</f>
        <v>Duración:</v>
      </c>
      <c r="S142" s="107" t="str" cm="1">
        <f t="array" aca="1" ref="S142" ca="1">IF(OR(Formulas!T139=0,Formulas!T139="",RIGHT(Formulas!U139)="0"),"",
HYPERLINK("["&amp;Archivo_Nombre&amp;"]Datos!"&amp;LEFT(SUBSTITUTE(ADDRESS(1,RIGHT(Formulas!U139)+2),"$",""))&amp;Formulas!S139+1,
IFERROR(INDEX(Datos!$A$2:$L$101,Formulas!S139,RIGHT(Formulas!U139)+2),"")))</f>
        <v>2 días</v>
      </c>
      <c r="T142" s="107" t="e" cm="1">
        <f t="array" aca="1" ref="T142" ca="1">IF(OR(Formulas!U140=0,Formulas!U140=""),"",HYPERLINK("["&amp;Archivo_Nombre&amp;"]Datos!"&amp;LEFT(SUBSTITUTE(ADDRESS(1,Formulas!U140+2),"$",""))&amp;Formulas!T140+1,
IFERROR(INDEX(Datos!$A$2:$L$101,Formulas!T140,Formulas!U140+2),"")))</f>
        <v>#VALUE!</v>
      </c>
      <c r="U142" s="5"/>
      <c r="V142" s="6"/>
      <c r="W142" s="24" t="str" cm="1">
        <f t="array" aca="1" ref="W142" ca="1">IF(OR(Formulas!Y139=0,Formulas!Y139="",RIGHT(Formulas!Z139)="0"),"",
HYPERLINK("["&amp;Archivo_Nombre&amp;"]Datos!"&amp;LEFT(SUBSTITUTE(ADDRESS(1,IF(Formulas!Y139=1,1,RIGHT(Formulas!Z139)+2)),"$",""))&amp;Formulas!X139+1,
IFERROR(INDEX(Datos!$A$1:$L$1,1,RIGHT(Formulas!Z139)+2)&amp;IF(Formulas!Y139=1," "&amp;Formulas!X139,"")&amp;":","")))</f>
        <v/>
      </c>
      <c r="X142" s="107" t="str" cm="1">
        <f t="array" aca="1" ref="X142" ca="1">IF(OR(Formulas!Y139=0,Formulas!Y139="",RIGHT(Formulas!Z139)="0"),"",
HYPERLINK("["&amp;Archivo_Nombre&amp;"]Datos!"&amp;LEFT(SUBSTITUTE(ADDRESS(1,RIGHT(Formulas!Z139)+2),"$",""))&amp;Formulas!X139+1,
IFERROR(INDEX(Datos!$A$2:$L$101,Formulas!X139,RIGHT(Formulas!Z139)+2),"")))</f>
        <v/>
      </c>
      <c r="Y142" s="107" t="str" cm="1">
        <f t="array" aca="1" ref="Y142" ca="1">IF(OR(Formulas!Z140=0,Formulas!Z140=""),"",HYPERLINK("["&amp;Archivo_Nombre&amp;"]Datos!"&amp;LEFT(SUBSTITUTE(ADDRESS(1,Formulas!Z140+2),"$",""))&amp;Formulas!Y140+1,
IFERROR(INDEX(Datos!$A$2:$L$101,Formulas!Y140,Formulas!Z140+2),"")))</f>
        <v/>
      </c>
      <c r="Z142" s="13"/>
      <c r="AA142" s="6"/>
      <c r="AB142" s="24" t="str" cm="1">
        <f t="array" aca="1" ref="AB142" ca="1">IF(OR(Formulas!AD139=0,Formulas!AD139="",RIGHT(Formulas!AE139)="0"),"",
HYPERLINK("["&amp;Archivo_Nombre&amp;"]Datos!"&amp;LEFT(SUBSTITUTE(ADDRESS(1,IF(Formulas!AD139=1,1,RIGHT(Formulas!AE139)+2)),"$",""))&amp;Formulas!AC139+1,
IFERROR(INDEX(Datos!$A$1:$L$1,1,RIGHT(Formulas!AE139)+2)&amp;IF(Formulas!AD139=1," "&amp;Formulas!AC139,"")&amp;":","")))</f>
        <v/>
      </c>
      <c r="AC142" s="107" t="str" cm="1">
        <f t="array" aca="1" ref="AC142" ca="1">IF(OR(Formulas!AD139=0,Formulas!AD139="",RIGHT(Formulas!AE139)="0"),"",
HYPERLINK("["&amp;Archivo_Nombre&amp;"]Datos!"&amp;LEFT(SUBSTITUTE(ADDRESS(1,RIGHT(Formulas!AE139)+2),"$",""))&amp;Formulas!AC139+1,
IFERROR(INDEX(Datos!$A$2:$L$101,Formulas!AC139,RIGHT(Formulas!AE139)+2),"")))</f>
        <v/>
      </c>
      <c r="AD142" s="107" t="str" cm="1">
        <f t="array" aca="1" ref="AD142" ca="1">IF(OR(Formulas!AE140=0,Formulas!AE140=""),"",HYPERLINK("["&amp;Archivo_Nombre&amp;"]Datos!"&amp;LEFT(SUBSTITUTE(ADDRESS(1,Formulas!AE140+2),"$",""))&amp;Formulas!AD140+1,
IFERROR(INDEX(Datos!$A$2:$L$101,Formulas!AD140,Formulas!AE140+2),"")))</f>
        <v/>
      </c>
      <c r="AE142" s="13"/>
      <c r="AF142" s="6"/>
      <c r="AG142" s="24" t="str" cm="1">
        <f t="array" aca="1" ref="AG142" ca="1">IF(OR(Formulas!AI139=0,Formulas!AI139="",RIGHT(Formulas!AJ139)="0"),"",
HYPERLINK("["&amp;Archivo_Nombre&amp;"]Datos!"&amp;LEFT(SUBSTITUTE(ADDRESS(1,IF(Formulas!AI139=1,1,RIGHT(Formulas!AJ139)+2)),"$",""))&amp;Formulas!AH139+1,
IFERROR(INDEX(Datos!$A$1:$L$1,1,RIGHT(Formulas!AJ139)+2)&amp;IF(Formulas!AI139=1," "&amp;Formulas!AH139,"")&amp;":","")))</f>
        <v/>
      </c>
      <c r="AH142" s="107" t="str" cm="1">
        <f t="array" aca="1" ref="AH142" ca="1">IF(OR(Formulas!AI139=0,Formulas!AI139="",RIGHT(Formulas!AJ139)="0"),"",
HYPERLINK("["&amp;Archivo_Nombre&amp;"]Datos!"&amp;LEFT(SUBSTITUTE(ADDRESS(1,RIGHT(Formulas!AJ139)+2),"$",""))&amp;Formulas!AH139+1,
IFERROR(INDEX(Datos!$A$2:$L$101,Formulas!AH139,RIGHT(Formulas!AJ139)+2),"")))</f>
        <v/>
      </c>
      <c r="AI142" s="107" t="str" cm="1">
        <f t="array" aca="1" ref="AI142" ca="1">IF(OR(Formulas!AJ140=0,Formulas!AJ140=""),"",HYPERLINK("["&amp;Archivo_Nombre&amp;"]Datos!"&amp;LEFT(SUBSTITUTE(ADDRESS(1,Formulas!AJ140+2),"$",""))&amp;Formulas!AI140+1,
IFERROR(INDEX(Datos!$A$2:$L$101,Formulas!AI140,Formulas!AJ140+2),"")))</f>
        <v/>
      </c>
      <c r="AJ142" s="13"/>
      <c r="AK142" s="6"/>
      <c r="AL142" s="24" t="str" cm="1">
        <f t="array" aca="1" ref="AL142" ca="1">IF(OR(Formulas!AN139=0,Formulas!AN139="",RIGHT(Formulas!AO139)="0"),"",
HYPERLINK("["&amp;Archivo_Nombre&amp;"]Datos!"&amp;LEFT(SUBSTITUTE(ADDRESS(1,IF(Formulas!AN139=1,1,RIGHT(Formulas!AO139)+2)),"$",""))&amp;Formulas!AM139+1,
IFERROR(INDEX(Datos!$A$1:$L$1,1,RIGHT(Formulas!AO139)+2)&amp;IF(Formulas!AN139=1," "&amp;Formulas!AM139,"")&amp;":","")))</f>
        <v/>
      </c>
      <c r="AM142" s="107" t="str" cm="1">
        <f t="array" aca="1" ref="AM142" ca="1">IF(OR(Formulas!AN139=0,Formulas!AN139="",RIGHT(Formulas!AO139)="0"),"",
HYPERLINK("["&amp;Archivo_Nombre&amp;"]Datos!"&amp;LEFT(SUBSTITUTE(ADDRESS(1,RIGHT(Formulas!AO139)+2),"$",""))&amp;Formulas!AM139+1,
IFERROR(INDEX(Datos!$A$2:$L$101,Formulas!AM139,RIGHT(Formulas!AO139)+2),"")))</f>
        <v/>
      </c>
      <c r="AN142" s="107" t="str" cm="1">
        <f t="array" aca="1" ref="AN142" ca="1">IF(OR(Formulas!AO140=0,Formulas!AO140=""),"",HYPERLINK("["&amp;Archivo_Nombre&amp;"]Datos!"&amp;LEFT(SUBSTITUTE(ADDRESS(1,Formulas!AO140+2),"$",""))&amp;Formulas!AN140+1,
IFERROR(INDEX(Datos!$A$2:$L$101,Formulas!AN140,Formulas!AO140+2),"")))</f>
        <v/>
      </c>
      <c r="AO142" s="13"/>
      <c r="AP142" s="6"/>
      <c r="AQ142" s="24" t="str" cm="1">
        <f t="array" aca="1" ref="AQ142" ca="1">IF(OR(Formulas!AS139=0,Formulas!AS139="",RIGHT(Formulas!AT139)="0"),"",
HYPERLINK("["&amp;Archivo_Nombre&amp;"]Datos!"&amp;LEFT(SUBSTITUTE(ADDRESS(1,IF(Formulas!AS139=1,1,RIGHT(Formulas!AT139)+2)),"$",""))&amp;Formulas!AR139+1,
IFERROR(INDEX(Datos!$A$1:$L$1,1,RIGHT(Formulas!AT139)+2)&amp;IF(Formulas!AS139=1," "&amp;Formulas!AR139,"")&amp;":","")))</f>
        <v/>
      </c>
      <c r="AR142" s="107" t="str" cm="1">
        <f t="array" aca="1" ref="AR142" ca="1">IF(OR(Formulas!AS139=0,Formulas!AS139="",RIGHT(Formulas!AT139)="0"),"",
HYPERLINK("["&amp;Archivo_Nombre&amp;"]Datos!"&amp;LEFT(SUBSTITUTE(ADDRESS(1,RIGHT(Formulas!AT139)+2),"$",""))&amp;Formulas!AR139+1,
IFERROR(INDEX(Datos!$A$2:$L$101,Formulas!AR139,RIGHT(Formulas!AT139)+2),"")))</f>
        <v/>
      </c>
      <c r="AS142" s="107" t="str" cm="1">
        <f t="array" aca="1" ref="AS142" ca="1">IF(OR(Formulas!AT140=0,Formulas!AT140=""),"",HYPERLINK("["&amp;Archivo_Nombre&amp;"]Datos!"&amp;LEFT(SUBSTITUTE(ADDRESS(1,Formulas!AT140+2),"$",""))&amp;Formulas!AS140+1,
IFERROR(INDEX(Datos!$A$2:$L$101,Formulas!AS140,Formulas!AT140+2),"")))</f>
        <v/>
      </c>
      <c r="AT142" s="13"/>
      <c r="AU142" s="6"/>
      <c r="AV142" s="24" t="str" cm="1">
        <f t="array" aca="1" ref="AV142" ca="1">IF(OR(Formulas!AX139=0,Formulas!AX139="",RIGHT(Formulas!AY139)="0"),"",
HYPERLINK("["&amp;Archivo_Nombre&amp;"]Datos!"&amp;LEFT(SUBSTITUTE(ADDRESS(1,IF(Formulas!AX139=1,1,RIGHT(Formulas!AY139)+2)),"$",""))&amp;Formulas!AW139+1,
IFERROR(INDEX(Datos!$A$1:$L$1,1,RIGHT(Formulas!AY139)+2)&amp;IF(Formulas!AX139=1," "&amp;Formulas!AW139,"")&amp;":","")))</f>
        <v/>
      </c>
      <c r="AW142" s="107" t="str" cm="1">
        <f t="array" aca="1" ref="AW142" ca="1">IF(OR(Formulas!AX139=0,Formulas!AX139="",RIGHT(Formulas!AY139)="0"),"",
HYPERLINK("["&amp;Archivo_Nombre&amp;"]Datos!"&amp;LEFT(SUBSTITUTE(ADDRESS(1,RIGHT(Formulas!AY139)+2),"$",""))&amp;Formulas!AW139+1,
IFERROR(INDEX(Datos!$A$2:$L$101,Formulas!AW139,RIGHT(Formulas!AY139)+2),"")))</f>
        <v/>
      </c>
      <c r="AX142" s="107" t="str" cm="1">
        <f t="array" aca="1" ref="AX142" ca="1">IF(OR(Formulas!AY140=0,Formulas!AY140=""),"",HYPERLINK("["&amp;Archivo_Nombre&amp;"]Datos!"&amp;LEFT(SUBSTITUTE(ADDRESS(1,Formulas!AY140+2),"$",""))&amp;Formulas!AX140+1,
IFERROR(INDEX(Datos!$A$2:$L$101,Formulas!AX140,Formulas!AY140+2),"")))</f>
        <v/>
      </c>
      <c r="AY142" s="13"/>
    </row>
    <row r="143" spans="2:51" x14ac:dyDescent="0.25">
      <c r="B143" s="11"/>
      <c r="C143" s="24" t="str" cm="1">
        <f t="array" aca="1" ref="C143" ca="1">IF(OR(Formulas!E140=0,Formulas!E140="",RIGHT(Formulas!F140)="0"),"",
HYPERLINK("["&amp;Archivo_Nombre&amp;"]Datos!"&amp;LEFT(SUBSTITUTE(ADDRESS(1,IF(Formulas!E140=1,1,RIGHT(Formulas!F140)+2)),"$",""))&amp;Formulas!D140+1,
IFERROR(INDEX(Datos!$A$1:$L$1,1,RIGHT(Formulas!F140)+2)&amp;IF(Formulas!E140=1," "&amp;Formulas!D140,"")&amp;":","")))</f>
        <v/>
      </c>
      <c r="D143" s="107" t="str" cm="1">
        <f t="array" aca="1" ref="D143" ca="1">IF(OR(Formulas!E140=0,Formulas!E140="",RIGHT(Formulas!F140)="0"),"",
HYPERLINK("["&amp;Archivo_Nombre&amp;"]Datos!"&amp;LEFT(SUBSTITUTE(ADDRESS(1,RIGHT(Formulas!F140)+2),"$",""))&amp;Formulas!D140+1,
IFERROR(INDEX(Datos!$A$2:$L$101,Formulas!D140,RIGHT(Formulas!F140)+2),"")))</f>
        <v/>
      </c>
      <c r="E143" s="107" t="str" cm="1">
        <f t="array" aca="1" ref="E143" ca="1">IF(OR(Formulas!F141=0,Formulas!F141=""),"",HYPERLINK("["&amp;Archivo_Nombre&amp;"]Datos!"&amp;LEFT(SUBSTITUTE(ADDRESS(1,Formulas!F141+2),"$",""))&amp;Formulas!E141+1,
IFERROR(INDEX(Datos!$A$2:$L$101,Formulas!E141,Formulas!F141+2),"")))</f>
        <v/>
      </c>
      <c r="F143" s="5"/>
      <c r="G143" s="6"/>
      <c r="H143" s="24" t="str" cm="1">
        <f t="array" aca="1" ref="H143" ca="1">IF(OR(Formulas!J140=0,Formulas!J140="",RIGHT(Formulas!K140)="0"),"",
HYPERLINK("["&amp;Archivo_Nombre&amp;"]Datos!"&amp;LEFT(SUBSTITUTE(ADDRESS(1,IF(Formulas!J140=1,1,RIGHT(Formulas!K140)+2)),"$",""))&amp;Formulas!I140+1,
IFERROR(INDEX(Datos!$A$1:$L$1,1,RIGHT(Formulas!K140)+2)&amp;IF(Formulas!J140=1," "&amp;Formulas!I140,"")&amp;":","")))</f>
        <v/>
      </c>
      <c r="I143" s="107" t="str" cm="1">
        <f t="array" aca="1" ref="I143" ca="1">IF(OR(Formulas!J140=0,Formulas!J140="",RIGHT(Formulas!K140)="0"),"",
HYPERLINK("["&amp;Archivo_Nombre&amp;"]Datos!"&amp;LEFT(SUBSTITUTE(ADDRESS(1,RIGHT(Formulas!K140)+2),"$",""))&amp;Formulas!I140+1,
IFERROR(INDEX(Datos!$A$2:$L$101,Formulas!I140,RIGHT(Formulas!K140)+2),"")))</f>
        <v/>
      </c>
      <c r="J143" s="107" t="str" cm="1">
        <f t="array" aca="1" ref="J143" ca="1">IF(OR(Formulas!K141=0,Formulas!K141=""),"",HYPERLINK("["&amp;Archivo_Nombre&amp;"]Datos!"&amp;LEFT(SUBSTITUTE(ADDRESS(1,Formulas!K141+2),"$",""))&amp;Formulas!J141+1,
IFERROR(INDEX(Datos!$A$2:$L$101,Formulas!J141,Formulas!K141+2),"")))</f>
        <v/>
      </c>
      <c r="K143" s="5"/>
      <c r="L143" s="6"/>
      <c r="M143" s="24" t="str" cm="1">
        <f t="array" aca="1" ref="M143" ca="1">IF(OR(Formulas!O140=0,Formulas!O140="",RIGHT(Formulas!P140)="0"),"",
HYPERLINK("["&amp;Archivo_Nombre&amp;"]Datos!"&amp;LEFT(SUBSTITUTE(ADDRESS(1,IF(Formulas!O140=1,1,RIGHT(Formulas!P140)+2)),"$",""))&amp;Formulas!N140+1,
IFERROR(INDEX(Datos!$A$1:$L$1,1,RIGHT(Formulas!P140)+2)&amp;IF(Formulas!O140=1," "&amp;Formulas!N140,"")&amp;":","")))</f>
        <v/>
      </c>
      <c r="N143" s="107" t="str" cm="1">
        <f t="array" aca="1" ref="N143" ca="1">IF(OR(Formulas!O140=0,Formulas!O140="",RIGHT(Formulas!P140)="0"),"",
HYPERLINK("["&amp;Archivo_Nombre&amp;"]Datos!"&amp;LEFT(SUBSTITUTE(ADDRESS(1,RIGHT(Formulas!P140)+2),"$",""))&amp;Formulas!N140+1,
IFERROR(INDEX(Datos!$A$2:$L$101,Formulas!N140,RIGHT(Formulas!P140)+2),"")))</f>
        <v/>
      </c>
      <c r="O143" s="107" t="str" cm="1">
        <f t="array" aca="1" ref="O143" ca="1">IF(OR(Formulas!P141=0,Formulas!P141=""),"",HYPERLINK("["&amp;Archivo_Nombre&amp;"]Datos!"&amp;LEFT(SUBSTITUTE(ADDRESS(1,Formulas!P141+2),"$",""))&amp;Formulas!O141+1,
IFERROR(INDEX(Datos!$A$2:$L$101,Formulas!O141,Formulas!P141+2),"")))</f>
        <v/>
      </c>
      <c r="P143" s="5"/>
      <c r="Q143" s="6"/>
      <c r="R143" s="24" t="str" cm="1">
        <f t="array" aca="1" ref="R143" ca="1">IF(OR(Formulas!T140=0,Formulas!T140="",RIGHT(Formulas!U140)="0"),"",
HYPERLINK("["&amp;Archivo_Nombre&amp;"]Datos!"&amp;LEFT(SUBSTITUTE(ADDRESS(1,IF(Formulas!T140=1,1,RIGHT(Formulas!U140)+2)),"$",""))&amp;Formulas!S140+1,
IFERROR(INDEX(Datos!$A$1:$L$1,1,RIGHT(Formulas!U140)+2)&amp;IF(Formulas!T140=1," "&amp;Formulas!S140,"")&amp;":","")))</f>
        <v>Retraso:</v>
      </c>
      <c r="S143" s="107" t="str" cm="1">
        <f t="array" aca="1" ref="S143" ca="1">IF(OR(Formulas!T140=0,Formulas!T140="",RIGHT(Formulas!U140)="0"),"",
HYPERLINK("["&amp;Archivo_Nombre&amp;"]Datos!"&amp;LEFT(SUBSTITUTE(ADDRESS(1,RIGHT(Formulas!U140)+2),"$",""))&amp;Formulas!S140+1,
IFERROR(INDEX(Datos!$A$2:$L$101,Formulas!S140,RIGHT(Formulas!U140)+2),"")))</f>
        <v>0 días</v>
      </c>
      <c r="T143" s="107" t="e" cm="1">
        <f t="array" aca="1" ref="T143" ca="1">IF(OR(Formulas!U141=0,Formulas!U141=""),"",HYPERLINK("["&amp;Archivo_Nombre&amp;"]Datos!"&amp;LEFT(SUBSTITUTE(ADDRESS(1,Formulas!U141+2),"$",""))&amp;Formulas!T141+1,
IFERROR(INDEX(Datos!$A$2:$L$101,Formulas!T141,Formulas!U141+2),"")))</f>
        <v>#VALUE!</v>
      </c>
      <c r="U143" s="5"/>
      <c r="V143" s="6"/>
      <c r="W143" s="24" t="str" cm="1">
        <f t="array" aca="1" ref="W143" ca="1">IF(OR(Formulas!Y140=0,Formulas!Y140="",RIGHT(Formulas!Z140)="0"),"",
HYPERLINK("["&amp;Archivo_Nombre&amp;"]Datos!"&amp;LEFT(SUBSTITUTE(ADDRESS(1,IF(Formulas!Y140=1,1,RIGHT(Formulas!Z140)+2)),"$",""))&amp;Formulas!X140+1,
IFERROR(INDEX(Datos!$A$1:$L$1,1,RIGHT(Formulas!Z140)+2)&amp;IF(Formulas!Y140=1," "&amp;Formulas!X140,"")&amp;":","")))</f>
        <v/>
      </c>
      <c r="X143" s="107" t="str" cm="1">
        <f t="array" aca="1" ref="X143" ca="1">IF(OR(Formulas!Y140=0,Formulas!Y140="",RIGHT(Formulas!Z140)="0"),"",
HYPERLINK("["&amp;Archivo_Nombre&amp;"]Datos!"&amp;LEFT(SUBSTITUTE(ADDRESS(1,RIGHT(Formulas!Z140)+2),"$",""))&amp;Formulas!X140+1,
IFERROR(INDEX(Datos!$A$2:$L$101,Formulas!X140,RIGHT(Formulas!Z140)+2),"")))</f>
        <v/>
      </c>
      <c r="Y143" s="107" t="str" cm="1">
        <f t="array" aca="1" ref="Y143" ca="1">IF(OR(Formulas!Z141=0,Formulas!Z141=""),"",HYPERLINK("["&amp;Archivo_Nombre&amp;"]Datos!"&amp;LEFT(SUBSTITUTE(ADDRESS(1,Formulas!Z141+2),"$",""))&amp;Formulas!Y141+1,
IFERROR(INDEX(Datos!$A$2:$L$101,Formulas!Y141,Formulas!Z141+2),"")))</f>
        <v/>
      </c>
      <c r="Z143" s="13"/>
      <c r="AA143" s="6"/>
      <c r="AB143" s="24" t="str" cm="1">
        <f t="array" aca="1" ref="AB143" ca="1">IF(OR(Formulas!AD140=0,Formulas!AD140="",RIGHT(Formulas!AE140)="0"),"",
HYPERLINK("["&amp;Archivo_Nombre&amp;"]Datos!"&amp;LEFT(SUBSTITUTE(ADDRESS(1,IF(Formulas!AD140=1,1,RIGHT(Formulas!AE140)+2)),"$",""))&amp;Formulas!AC140+1,
IFERROR(INDEX(Datos!$A$1:$L$1,1,RIGHT(Formulas!AE140)+2)&amp;IF(Formulas!AD140=1," "&amp;Formulas!AC140,"")&amp;":","")))</f>
        <v/>
      </c>
      <c r="AC143" s="107" t="str" cm="1">
        <f t="array" aca="1" ref="AC143" ca="1">IF(OR(Formulas!AD140=0,Formulas!AD140="",RIGHT(Formulas!AE140)="0"),"",
HYPERLINK("["&amp;Archivo_Nombre&amp;"]Datos!"&amp;LEFT(SUBSTITUTE(ADDRESS(1,RIGHT(Formulas!AE140)+2),"$",""))&amp;Formulas!AC140+1,
IFERROR(INDEX(Datos!$A$2:$L$101,Formulas!AC140,RIGHT(Formulas!AE140)+2),"")))</f>
        <v/>
      </c>
      <c r="AD143" s="107" t="str" cm="1">
        <f t="array" aca="1" ref="AD143" ca="1">IF(OR(Formulas!AE141=0,Formulas!AE141=""),"",HYPERLINK("["&amp;Archivo_Nombre&amp;"]Datos!"&amp;LEFT(SUBSTITUTE(ADDRESS(1,Formulas!AE141+2),"$",""))&amp;Formulas!AD141+1,
IFERROR(INDEX(Datos!$A$2:$L$101,Formulas!AD141,Formulas!AE141+2),"")))</f>
        <v/>
      </c>
      <c r="AE143" s="13"/>
      <c r="AF143" s="6"/>
      <c r="AG143" s="24" t="str" cm="1">
        <f t="array" aca="1" ref="AG143" ca="1">IF(OR(Formulas!AI140=0,Formulas!AI140="",RIGHT(Formulas!AJ140)="0"),"",
HYPERLINK("["&amp;Archivo_Nombre&amp;"]Datos!"&amp;LEFT(SUBSTITUTE(ADDRESS(1,IF(Formulas!AI140=1,1,RIGHT(Formulas!AJ140)+2)),"$",""))&amp;Formulas!AH140+1,
IFERROR(INDEX(Datos!$A$1:$L$1,1,RIGHT(Formulas!AJ140)+2)&amp;IF(Formulas!AI140=1," "&amp;Formulas!AH140,"")&amp;":","")))</f>
        <v/>
      </c>
      <c r="AH143" s="107" t="str" cm="1">
        <f t="array" aca="1" ref="AH143" ca="1">IF(OR(Formulas!AI140=0,Formulas!AI140="",RIGHT(Formulas!AJ140)="0"),"",
HYPERLINK("["&amp;Archivo_Nombre&amp;"]Datos!"&amp;LEFT(SUBSTITUTE(ADDRESS(1,RIGHT(Formulas!AJ140)+2),"$",""))&amp;Formulas!AH140+1,
IFERROR(INDEX(Datos!$A$2:$L$101,Formulas!AH140,RIGHT(Formulas!AJ140)+2),"")))</f>
        <v/>
      </c>
      <c r="AI143" s="107" t="str" cm="1">
        <f t="array" aca="1" ref="AI143" ca="1">IF(OR(Formulas!AJ141=0,Formulas!AJ141=""),"",HYPERLINK("["&amp;Archivo_Nombre&amp;"]Datos!"&amp;LEFT(SUBSTITUTE(ADDRESS(1,Formulas!AJ141+2),"$",""))&amp;Formulas!AI141+1,
IFERROR(INDEX(Datos!$A$2:$L$101,Formulas!AI141,Formulas!AJ141+2),"")))</f>
        <v/>
      </c>
      <c r="AJ143" s="13"/>
      <c r="AK143" s="6"/>
      <c r="AL143" s="24" t="str" cm="1">
        <f t="array" aca="1" ref="AL143" ca="1">IF(OR(Formulas!AN140=0,Formulas!AN140="",RIGHT(Formulas!AO140)="0"),"",
HYPERLINK("["&amp;Archivo_Nombre&amp;"]Datos!"&amp;LEFT(SUBSTITUTE(ADDRESS(1,IF(Formulas!AN140=1,1,RIGHT(Formulas!AO140)+2)),"$",""))&amp;Formulas!AM140+1,
IFERROR(INDEX(Datos!$A$1:$L$1,1,RIGHT(Formulas!AO140)+2)&amp;IF(Formulas!AN140=1," "&amp;Formulas!AM140,"")&amp;":","")))</f>
        <v/>
      </c>
      <c r="AM143" s="107" t="str" cm="1">
        <f t="array" aca="1" ref="AM143" ca="1">IF(OR(Formulas!AN140=0,Formulas!AN140="",RIGHT(Formulas!AO140)="0"),"",
HYPERLINK("["&amp;Archivo_Nombre&amp;"]Datos!"&amp;LEFT(SUBSTITUTE(ADDRESS(1,RIGHT(Formulas!AO140)+2),"$",""))&amp;Formulas!AM140+1,
IFERROR(INDEX(Datos!$A$2:$L$101,Formulas!AM140,RIGHT(Formulas!AO140)+2),"")))</f>
        <v/>
      </c>
      <c r="AN143" s="107" t="str" cm="1">
        <f t="array" aca="1" ref="AN143" ca="1">IF(OR(Formulas!AO141=0,Formulas!AO141=""),"",HYPERLINK("["&amp;Archivo_Nombre&amp;"]Datos!"&amp;LEFT(SUBSTITUTE(ADDRESS(1,Formulas!AO141+2),"$",""))&amp;Formulas!AN141+1,
IFERROR(INDEX(Datos!$A$2:$L$101,Formulas!AN141,Formulas!AO141+2),"")))</f>
        <v/>
      </c>
      <c r="AO143" s="13"/>
      <c r="AP143" s="6"/>
      <c r="AQ143" s="24" t="str" cm="1">
        <f t="array" aca="1" ref="AQ143" ca="1">IF(OR(Formulas!AS140=0,Formulas!AS140="",RIGHT(Formulas!AT140)="0"),"",
HYPERLINK("["&amp;Archivo_Nombre&amp;"]Datos!"&amp;LEFT(SUBSTITUTE(ADDRESS(1,IF(Formulas!AS140=1,1,RIGHT(Formulas!AT140)+2)),"$",""))&amp;Formulas!AR140+1,
IFERROR(INDEX(Datos!$A$1:$L$1,1,RIGHT(Formulas!AT140)+2)&amp;IF(Formulas!AS140=1," "&amp;Formulas!AR140,"")&amp;":","")))</f>
        <v/>
      </c>
      <c r="AR143" s="107" t="str" cm="1">
        <f t="array" aca="1" ref="AR143" ca="1">IF(OR(Formulas!AS140=0,Formulas!AS140="",RIGHT(Formulas!AT140)="0"),"",
HYPERLINK("["&amp;Archivo_Nombre&amp;"]Datos!"&amp;LEFT(SUBSTITUTE(ADDRESS(1,RIGHT(Formulas!AT140)+2),"$",""))&amp;Formulas!AR140+1,
IFERROR(INDEX(Datos!$A$2:$L$101,Formulas!AR140,RIGHT(Formulas!AT140)+2),"")))</f>
        <v/>
      </c>
      <c r="AS143" s="107" t="str" cm="1">
        <f t="array" aca="1" ref="AS143" ca="1">IF(OR(Formulas!AT141=0,Formulas!AT141=""),"",HYPERLINK("["&amp;Archivo_Nombre&amp;"]Datos!"&amp;LEFT(SUBSTITUTE(ADDRESS(1,Formulas!AT141+2),"$",""))&amp;Formulas!AS141+1,
IFERROR(INDEX(Datos!$A$2:$L$101,Formulas!AS141,Formulas!AT141+2),"")))</f>
        <v/>
      </c>
      <c r="AT143" s="13"/>
      <c r="AU143" s="6"/>
      <c r="AV143" s="24" t="str" cm="1">
        <f t="array" aca="1" ref="AV143" ca="1">IF(OR(Formulas!AX140=0,Formulas!AX140="",RIGHT(Formulas!AY140)="0"),"",
HYPERLINK("["&amp;Archivo_Nombre&amp;"]Datos!"&amp;LEFT(SUBSTITUTE(ADDRESS(1,IF(Formulas!AX140=1,1,RIGHT(Formulas!AY140)+2)),"$",""))&amp;Formulas!AW140+1,
IFERROR(INDEX(Datos!$A$1:$L$1,1,RIGHT(Formulas!AY140)+2)&amp;IF(Formulas!AX140=1," "&amp;Formulas!AW140,"")&amp;":","")))</f>
        <v/>
      </c>
      <c r="AW143" s="107" t="str" cm="1">
        <f t="array" aca="1" ref="AW143" ca="1">IF(OR(Formulas!AX140=0,Formulas!AX140="",RIGHT(Formulas!AY140)="0"),"",
HYPERLINK("["&amp;Archivo_Nombre&amp;"]Datos!"&amp;LEFT(SUBSTITUTE(ADDRESS(1,RIGHT(Formulas!AY140)+2),"$",""))&amp;Formulas!AW140+1,
IFERROR(INDEX(Datos!$A$2:$L$101,Formulas!AW140,RIGHT(Formulas!AY140)+2),"")))</f>
        <v/>
      </c>
      <c r="AX143" s="107" t="str" cm="1">
        <f t="array" aca="1" ref="AX143" ca="1">IF(OR(Formulas!AY141=0,Formulas!AY141=""),"",HYPERLINK("["&amp;Archivo_Nombre&amp;"]Datos!"&amp;LEFT(SUBSTITUTE(ADDRESS(1,Formulas!AY141+2),"$",""))&amp;Formulas!AX141+1,
IFERROR(INDEX(Datos!$A$2:$L$101,Formulas!AX141,Formulas!AY141+2),"")))</f>
        <v/>
      </c>
      <c r="AY143" s="13"/>
    </row>
    <row r="144" spans="2:51" x14ac:dyDescent="0.25">
      <c r="B144" s="11"/>
      <c r="C144" s="24" t="str" cm="1">
        <f t="array" aca="1" ref="C144" ca="1">IF(OR(Formulas!E141=0,Formulas!E141="",RIGHT(Formulas!F141)="0"),"",
HYPERLINK("["&amp;Archivo_Nombre&amp;"]Datos!"&amp;LEFT(SUBSTITUTE(ADDRESS(1,IF(Formulas!E141=1,1,RIGHT(Formulas!F141)+2)),"$",""))&amp;Formulas!D141+1,
IFERROR(INDEX(Datos!$A$1:$L$1,1,RIGHT(Formulas!F141)+2)&amp;IF(Formulas!E141=1," "&amp;Formulas!D141,"")&amp;":","")))</f>
        <v/>
      </c>
      <c r="D144" s="107" t="str" cm="1">
        <f t="array" aca="1" ref="D144" ca="1">IF(OR(Formulas!E141=0,Formulas!E141="",RIGHT(Formulas!F141)="0"),"",
HYPERLINK("["&amp;Archivo_Nombre&amp;"]Datos!"&amp;LEFT(SUBSTITUTE(ADDRESS(1,RIGHT(Formulas!F141)+2),"$",""))&amp;Formulas!D141+1,
IFERROR(INDEX(Datos!$A$2:$L$101,Formulas!D141,RIGHT(Formulas!F141)+2),"")))</f>
        <v/>
      </c>
      <c r="E144" s="107" t="str" cm="1">
        <f t="array" aca="1" ref="E144" ca="1">IF(OR(Formulas!F142=0,Formulas!F142=""),"",HYPERLINK("["&amp;Archivo_Nombre&amp;"]Datos!"&amp;LEFT(SUBSTITUTE(ADDRESS(1,Formulas!F142+2),"$",""))&amp;Formulas!E142+1,
IFERROR(INDEX(Datos!$A$2:$L$101,Formulas!E142,Formulas!F142+2),"")))</f>
        <v/>
      </c>
      <c r="F144" s="5"/>
      <c r="G144" s="6"/>
      <c r="H144" s="24" t="str" cm="1">
        <f t="array" aca="1" ref="H144" ca="1">IF(OR(Formulas!J141=0,Formulas!J141="",RIGHT(Formulas!K141)="0"),"",
HYPERLINK("["&amp;Archivo_Nombre&amp;"]Datos!"&amp;LEFT(SUBSTITUTE(ADDRESS(1,IF(Formulas!J141=1,1,RIGHT(Formulas!K141)+2)),"$",""))&amp;Formulas!I141+1,
IFERROR(INDEX(Datos!$A$1:$L$1,1,RIGHT(Formulas!K141)+2)&amp;IF(Formulas!J141=1," "&amp;Formulas!I141,"")&amp;":","")))</f>
        <v/>
      </c>
      <c r="I144" s="107" t="str" cm="1">
        <f t="array" aca="1" ref="I144" ca="1">IF(OR(Formulas!J141=0,Formulas!J141="",RIGHT(Formulas!K141)="0"),"",
HYPERLINK("["&amp;Archivo_Nombre&amp;"]Datos!"&amp;LEFT(SUBSTITUTE(ADDRESS(1,RIGHT(Formulas!K141)+2),"$",""))&amp;Formulas!I141+1,
IFERROR(INDEX(Datos!$A$2:$L$101,Formulas!I141,RIGHT(Formulas!K141)+2),"")))</f>
        <v/>
      </c>
      <c r="J144" s="107" t="str" cm="1">
        <f t="array" aca="1" ref="J144" ca="1">IF(OR(Formulas!K142=0,Formulas!K142=""),"",HYPERLINK("["&amp;Archivo_Nombre&amp;"]Datos!"&amp;LEFT(SUBSTITUTE(ADDRESS(1,Formulas!K142+2),"$",""))&amp;Formulas!J142+1,
IFERROR(INDEX(Datos!$A$2:$L$101,Formulas!J142,Formulas!K142+2),"")))</f>
        <v/>
      </c>
      <c r="K144" s="5"/>
      <c r="L144" s="6"/>
      <c r="M144" s="24" t="str" cm="1">
        <f t="array" aca="1" ref="M144" ca="1">IF(OR(Formulas!O141=0,Formulas!O141="",RIGHT(Formulas!P141)="0"),"",
HYPERLINK("["&amp;Archivo_Nombre&amp;"]Datos!"&amp;LEFT(SUBSTITUTE(ADDRESS(1,IF(Formulas!O141=1,1,RIGHT(Formulas!P141)+2)),"$",""))&amp;Formulas!N141+1,
IFERROR(INDEX(Datos!$A$1:$L$1,1,RIGHT(Formulas!P141)+2)&amp;IF(Formulas!O141=1," "&amp;Formulas!N141,"")&amp;":","")))</f>
        <v/>
      </c>
      <c r="N144" s="107" t="str" cm="1">
        <f t="array" aca="1" ref="N144" ca="1">IF(OR(Formulas!O141=0,Formulas!O141="",RIGHT(Formulas!P141)="0"),"",
HYPERLINK("["&amp;Archivo_Nombre&amp;"]Datos!"&amp;LEFT(SUBSTITUTE(ADDRESS(1,RIGHT(Formulas!P141)+2),"$",""))&amp;Formulas!N141+1,
IFERROR(INDEX(Datos!$A$2:$L$101,Formulas!N141,RIGHT(Formulas!P141)+2),"")))</f>
        <v/>
      </c>
      <c r="O144" s="107" t="str" cm="1">
        <f t="array" aca="1" ref="O144" ca="1">IF(OR(Formulas!P142=0,Formulas!P142=""),"",HYPERLINK("["&amp;Archivo_Nombre&amp;"]Datos!"&amp;LEFT(SUBSTITUTE(ADDRESS(1,Formulas!P142+2),"$",""))&amp;Formulas!O142+1,
IFERROR(INDEX(Datos!$A$2:$L$101,Formulas!O142,Formulas!P142+2),"")))</f>
        <v/>
      </c>
      <c r="P144" s="5"/>
      <c r="Q144" s="6"/>
      <c r="R144" s="24" t="str" cm="1">
        <f t="array" aca="1" ref="R144" ca="1">IF(OR(Formulas!T141=0,Formulas!T141="",RIGHT(Formulas!U141)="0"),"",
HYPERLINK("["&amp;Archivo_Nombre&amp;"]Datos!"&amp;LEFT(SUBSTITUTE(ADDRESS(1,IF(Formulas!T141=1,1,RIGHT(Formulas!U141)+2)),"$",""))&amp;Formulas!S141+1,
IFERROR(INDEX(Datos!$A$1:$L$1,1,RIGHT(Formulas!U141)+2)&amp;IF(Formulas!T141=1," "&amp;Formulas!S141,"")&amp;":","")))</f>
        <v/>
      </c>
      <c r="S144" s="107" t="str" cm="1">
        <f t="array" aca="1" ref="S144" ca="1">IF(OR(Formulas!T141=0,Formulas!T141="",RIGHT(Formulas!U141)="0"),"",
HYPERLINK("["&amp;Archivo_Nombre&amp;"]Datos!"&amp;LEFT(SUBSTITUTE(ADDRESS(1,RIGHT(Formulas!U141)+2),"$",""))&amp;Formulas!S141+1,
IFERROR(INDEX(Datos!$A$2:$L$101,Formulas!S141,RIGHT(Formulas!U141)+2),"")))</f>
        <v/>
      </c>
      <c r="T144" s="107" t="str" cm="1">
        <f t="array" aca="1" ref="T144" ca="1">IF(OR(Formulas!U142=0,Formulas!U142=""),"",HYPERLINK("["&amp;Archivo_Nombre&amp;"]Datos!"&amp;LEFT(SUBSTITUTE(ADDRESS(1,Formulas!U142+2),"$",""))&amp;Formulas!T142+1,
IFERROR(INDEX(Datos!$A$2:$L$101,Formulas!T142,Formulas!U142+2),"")))</f>
        <v/>
      </c>
      <c r="U144" s="5"/>
      <c r="V144" s="6"/>
      <c r="W144" s="24" t="str" cm="1">
        <f t="array" aca="1" ref="W144" ca="1">IF(OR(Formulas!Y141=0,Formulas!Y141="",RIGHT(Formulas!Z141)="0"),"",
HYPERLINK("["&amp;Archivo_Nombre&amp;"]Datos!"&amp;LEFT(SUBSTITUTE(ADDRESS(1,IF(Formulas!Y141=1,1,RIGHT(Formulas!Z141)+2)),"$",""))&amp;Formulas!X141+1,
IFERROR(INDEX(Datos!$A$1:$L$1,1,RIGHT(Formulas!Z141)+2)&amp;IF(Formulas!Y141=1," "&amp;Formulas!X141,"")&amp;":","")))</f>
        <v/>
      </c>
      <c r="X144" s="107" t="str" cm="1">
        <f t="array" aca="1" ref="X144" ca="1">IF(OR(Formulas!Y141=0,Formulas!Y141="",RIGHT(Formulas!Z141)="0"),"",
HYPERLINK("["&amp;Archivo_Nombre&amp;"]Datos!"&amp;LEFT(SUBSTITUTE(ADDRESS(1,RIGHT(Formulas!Z141)+2),"$",""))&amp;Formulas!X141+1,
IFERROR(INDEX(Datos!$A$2:$L$101,Formulas!X141,RIGHT(Formulas!Z141)+2),"")))</f>
        <v/>
      </c>
      <c r="Y144" s="107" t="str" cm="1">
        <f t="array" aca="1" ref="Y144" ca="1">IF(OR(Formulas!Z142=0,Formulas!Z142=""),"",HYPERLINK("["&amp;Archivo_Nombre&amp;"]Datos!"&amp;LEFT(SUBSTITUTE(ADDRESS(1,Formulas!Z142+2),"$",""))&amp;Formulas!Y142+1,
IFERROR(INDEX(Datos!$A$2:$L$101,Formulas!Y142,Formulas!Z142+2),"")))</f>
        <v/>
      </c>
      <c r="Z144" s="13"/>
      <c r="AA144" s="6"/>
      <c r="AB144" s="24" t="str" cm="1">
        <f t="array" aca="1" ref="AB144" ca="1">IF(OR(Formulas!AD141=0,Formulas!AD141="",RIGHT(Formulas!AE141)="0"),"",
HYPERLINK("["&amp;Archivo_Nombre&amp;"]Datos!"&amp;LEFT(SUBSTITUTE(ADDRESS(1,IF(Formulas!AD141=1,1,RIGHT(Formulas!AE141)+2)),"$",""))&amp;Formulas!AC141+1,
IFERROR(INDEX(Datos!$A$1:$L$1,1,RIGHT(Formulas!AE141)+2)&amp;IF(Formulas!AD141=1," "&amp;Formulas!AC141,"")&amp;":","")))</f>
        <v/>
      </c>
      <c r="AC144" s="107" t="str" cm="1">
        <f t="array" aca="1" ref="AC144" ca="1">IF(OR(Formulas!AD141=0,Formulas!AD141="",RIGHT(Formulas!AE141)="0"),"",
HYPERLINK("["&amp;Archivo_Nombre&amp;"]Datos!"&amp;LEFT(SUBSTITUTE(ADDRESS(1,RIGHT(Formulas!AE141)+2),"$",""))&amp;Formulas!AC141+1,
IFERROR(INDEX(Datos!$A$2:$L$101,Formulas!AC141,RIGHT(Formulas!AE141)+2),"")))</f>
        <v/>
      </c>
      <c r="AD144" s="107" t="str" cm="1">
        <f t="array" aca="1" ref="AD144" ca="1">IF(OR(Formulas!AE142=0,Formulas!AE142=""),"",HYPERLINK("["&amp;Archivo_Nombre&amp;"]Datos!"&amp;LEFT(SUBSTITUTE(ADDRESS(1,Formulas!AE142+2),"$",""))&amp;Formulas!AD142+1,
IFERROR(INDEX(Datos!$A$2:$L$101,Formulas!AD142,Formulas!AE142+2),"")))</f>
        <v/>
      </c>
      <c r="AE144" s="13"/>
      <c r="AF144" s="6"/>
      <c r="AG144" s="24" t="str" cm="1">
        <f t="array" aca="1" ref="AG144" ca="1">IF(OR(Formulas!AI141=0,Formulas!AI141="",RIGHT(Formulas!AJ141)="0"),"",
HYPERLINK("["&amp;Archivo_Nombre&amp;"]Datos!"&amp;LEFT(SUBSTITUTE(ADDRESS(1,IF(Formulas!AI141=1,1,RIGHT(Formulas!AJ141)+2)),"$",""))&amp;Formulas!AH141+1,
IFERROR(INDEX(Datos!$A$1:$L$1,1,RIGHT(Formulas!AJ141)+2)&amp;IF(Formulas!AI141=1," "&amp;Formulas!AH141,"")&amp;":","")))</f>
        <v/>
      </c>
      <c r="AH144" s="107" t="str" cm="1">
        <f t="array" aca="1" ref="AH144" ca="1">IF(OR(Formulas!AI141=0,Formulas!AI141="",RIGHT(Formulas!AJ141)="0"),"",
HYPERLINK("["&amp;Archivo_Nombre&amp;"]Datos!"&amp;LEFT(SUBSTITUTE(ADDRESS(1,RIGHT(Formulas!AJ141)+2),"$",""))&amp;Formulas!AH141+1,
IFERROR(INDEX(Datos!$A$2:$L$101,Formulas!AH141,RIGHT(Formulas!AJ141)+2),"")))</f>
        <v/>
      </c>
      <c r="AI144" s="107" t="str" cm="1">
        <f t="array" aca="1" ref="AI144" ca="1">IF(OR(Formulas!AJ142=0,Formulas!AJ142=""),"",HYPERLINK("["&amp;Archivo_Nombre&amp;"]Datos!"&amp;LEFT(SUBSTITUTE(ADDRESS(1,Formulas!AJ142+2),"$",""))&amp;Formulas!AI142+1,
IFERROR(INDEX(Datos!$A$2:$L$101,Formulas!AI142,Formulas!AJ142+2),"")))</f>
        <v/>
      </c>
      <c r="AJ144" s="13"/>
      <c r="AK144" s="6"/>
      <c r="AL144" s="24" t="str" cm="1">
        <f t="array" aca="1" ref="AL144" ca="1">IF(OR(Formulas!AN141=0,Formulas!AN141="",RIGHT(Formulas!AO141)="0"),"",
HYPERLINK("["&amp;Archivo_Nombre&amp;"]Datos!"&amp;LEFT(SUBSTITUTE(ADDRESS(1,IF(Formulas!AN141=1,1,RIGHT(Formulas!AO141)+2)),"$",""))&amp;Formulas!AM141+1,
IFERROR(INDEX(Datos!$A$1:$L$1,1,RIGHT(Formulas!AO141)+2)&amp;IF(Formulas!AN141=1," "&amp;Formulas!AM141,"")&amp;":","")))</f>
        <v/>
      </c>
      <c r="AM144" s="107" t="str" cm="1">
        <f t="array" aca="1" ref="AM144" ca="1">IF(OR(Formulas!AN141=0,Formulas!AN141="",RIGHT(Formulas!AO141)="0"),"",
HYPERLINK("["&amp;Archivo_Nombre&amp;"]Datos!"&amp;LEFT(SUBSTITUTE(ADDRESS(1,RIGHT(Formulas!AO141)+2),"$",""))&amp;Formulas!AM141+1,
IFERROR(INDEX(Datos!$A$2:$L$101,Formulas!AM141,RIGHT(Formulas!AO141)+2),"")))</f>
        <v/>
      </c>
      <c r="AN144" s="107" t="str" cm="1">
        <f t="array" aca="1" ref="AN144" ca="1">IF(OR(Formulas!AO142=0,Formulas!AO142=""),"",HYPERLINK("["&amp;Archivo_Nombre&amp;"]Datos!"&amp;LEFT(SUBSTITUTE(ADDRESS(1,Formulas!AO142+2),"$",""))&amp;Formulas!AN142+1,
IFERROR(INDEX(Datos!$A$2:$L$101,Formulas!AN142,Formulas!AO142+2),"")))</f>
        <v/>
      </c>
      <c r="AO144" s="13"/>
      <c r="AP144" s="6"/>
      <c r="AQ144" s="24" t="str" cm="1">
        <f t="array" aca="1" ref="AQ144" ca="1">IF(OR(Formulas!AS141=0,Formulas!AS141="",RIGHT(Formulas!AT141)="0"),"",
HYPERLINK("["&amp;Archivo_Nombre&amp;"]Datos!"&amp;LEFT(SUBSTITUTE(ADDRESS(1,IF(Formulas!AS141=1,1,RIGHT(Formulas!AT141)+2)),"$",""))&amp;Formulas!AR141+1,
IFERROR(INDEX(Datos!$A$1:$L$1,1,RIGHT(Formulas!AT141)+2)&amp;IF(Formulas!AS141=1," "&amp;Formulas!AR141,"")&amp;":","")))</f>
        <v/>
      </c>
      <c r="AR144" s="107" t="str" cm="1">
        <f t="array" aca="1" ref="AR144" ca="1">IF(OR(Formulas!AS141=0,Formulas!AS141="",RIGHT(Formulas!AT141)="0"),"",
HYPERLINK("["&amp;Archivo_Nombre&amp;"]Datos!"&amp;LEFT(SUBSTITUTE(ADDRESS(1,RIGHT(Formulas!AT141)+2),"$",""))&amp;Formulas!AR141+1,
IFERROR(INDEX(Datos!$A$2:$L$101,Formulas!AR141,RIGHT(Formulas!AT141)+2),"")))</f>
        <v/>
      </c>
      <c r="AS144" s="107" t="str" cm="1">
        <f t="array" aca="1" ref="AS144" ca="1">IF(OR(Formulas!AT142=0,Formulas!AT142=""),"",HYPERLINK("["&amp;Archivo_Nombre&amp;"]Datos!"&amp;LEFT(SUBSTITUTE(ADDRESS(1,Formulas!AT142+2),"$",""))&amp;Formulas!AS142+1,
IFERROR(INDEX(Datos!$A$2:$L$101,Formulas!AS142,Formulas!AT142+2),"")))</f>
        <v/>
      </c>
      <c r="AT144" s="13"/>
      <c r="AU144" s="6"/>
      <c r="AV144" s="24" t="str" cm="1">
        <f t="array" aca="1" ref="AV144" ca="1">IF(OR(Formulas!AX141=0,Formulas!AX141="",RIGHT(Formulas!AY141)="0"),"",
HYPERLINK("["&amp;Archivo_Nombre&amp;"]Datos!"&amp;LEFT(SUBSTITUTE(ADDRESS(1,IF(Formulas!AX141=1,1,RIGHT(Formulas!AY141)+2)),"$",""))&amp;Formulas!AW141+1,
IFERROR(INDEX(Datos!$A$1:$L$1,1,RIGHT(Formulas!AY141)+2)&amp;IF(Formulas!AX141=1," "&amp;Formulas!AW141,"")&amp;":","")))</f>
        <v/>
      </c>
      <c r="AW144" s="107" t="str" cm="1">
        <f t="array" aca="1" ref="AW144" ca="1">IF(OR(Formulas!AX141=0,Formulas!AX141="",RIGHT(Formulas!AY141)="0"),"",
HYPERLINK("["&amp;Archivo_Nombre&amp;"]Datos!"&amp;LEFT(SUBSTITUTE(ADDRESS(1,RIGHT(Formulas!AY141)+2),"$",""))&amp;Formulas!AW141+1,
IFERROR(INDEX(Datos!$A$2:$L$101,Formulas!AW141,RIGHT(Formulas!AY141)+2),"")))</f>
        <v/>
      </c>
      <c r="AX144" s="107" t="str" cm="1">
        <f t="array" aca="1" ref="AX144" ca="1">IF(OR(Formulas!AY142=0,Formulas!AY142=""),"",HYPERLINK("["&amp;Archivo_Nombre&amp;"]Datos!"&amp;LEFT(SUBSTITUTE(ADDRESS(1,Formulas!AY142+2),"$",""))&amp;Formulas!AX142+1,
IFERROR(INDEX(Datos!$A$2:$L$101,Formulas!AX142,Formulas!AY142+2),"")))</f>
        <v/>
      </c>
      <c r="AY144" s="13"/>
    </row>
    <row r="145" spans="2:51" x14ac:dyDescent="0.25">
      <c r="B145" s="11"/>
      <c r="C145" s="24" t="str" cm="1">
        <f t="array" aca="1" ref="C145" ca="1">IF(OR(Formulas!E142=0,Formulas!E142="",RIGHT(Formulas!F142)="0"),"",
HYPERLINK("["&amp;Archivo_Nombre&amp;"]Datos!"&amp;LEFT(SUBSTITUTE(ADDRESS(1,IF(Formulas!E142=1,1,RIGHT(Formulas!F142)+2)),"$",""))&amp;Formulas!D142+1,
IFERROR(INDEX(Datos!$A$1:$L$1,1,RIGHT(Formulas!F142)+2)&amp;IF(Formulas!E142=1," "&amp;Formulas!D142,"")&amp;":","")))</f>
        <v/>
      </c>
      <c r="D145" s="107" t="str" cm="1">
        <f t="array" aca="1" ref="D145" ca="1">IF(OR(Formulas!E142=0,Formulas!E142="",RIGHT(Formulas!F142)="0"),"",
HYPERLINK("["&amp;Archivo_Nombre&amp;"]Datos!"&amp;LEFT(SUBSTITUTE(ADDRESS(1,RIGHT(Formulas!F142)+2),"$",""))&amp;Formulas!D142+1,
IFERROR(INDEX(Datos!$A$2:$L$101,Formulas!D142,RIGHT(Formulas!F142)+2),"")))</f>
        <v/>
      </c>
      <c r="E145" s="107" t="str" cm="1">
        <f t="array" aca="1" ref="E145" ca="1">IF(OR(Formulas!F143=0,Formulas!F143=""),"",HYPERLINK("["&amp;Archivo_Nombre&amp;"]Datos!"&amp;LEFT(SUBSTITUTE(ADDRESS(1,Formulas!F143+2),"$",""))&amp;Formulas!E143+1,
IFERROR(INDEX(Datos!$A$2:$L$101,Formulas!E143,Formulas!F143+2),"")))</f>
        <v/>
      </c>
      <c r="F145" s="5"/>
      <c r="G145" s="6"/>
      <c r="H145" s="24" t="str" cm="1">
        <f t="array" aca="1" ref="H145" ca="1">IF(OR(Formulas!J142=0,Formulas!J142="",RIGHT(Formulas!K142)="0"),"",
HYPERLINK("["&amp;Archivo_Nombre&amp;"]Datos!"&amp;LEFT(SUBSTITUTE(ADDRESS(1,IF(Formulas!J142=1,1,RIGHT(Formulas!K142)+2)),"$",""))&amp;Formulas!I142+1,
IFERROR(INDEX(Datos!$A$1:$L$1,1,RIGHT(Formulas!K142)+2)&amp;IF(Formulas!J142=1," "&amp;Formulas!I142,"")&amp;":","")))</f>
        <v/>
      </c>
      <c r="I145" s="107" t="str" cm="1">
        <f t="array" aca="1" ref="I145" ca="1">IF(OR(Formulas!J142=0,Formulas!J142="",RIGHT(Formulas!K142)="0"),"",
HYPERLINK("["&amp;Archivo_Nombre&amp;"]Datos!"&amp;LEFT(SUBSTITUTE(ADDRESS(1,RIGHT(Formulas!K142)+2),"$",""))&amp;Formulas!I142+1,
IFERROR(INDEX(Datos!$A$2:$L$101,Formulas!I142,RIGHT(Formulas!K142)+2),"")))</f>
        <v/>
      </c>
      <c r="J145" s="107" t="str" cm="1">
        <f t="array" aca="1" ref="J145" ca="1">IF(OR(Formulas!K143=0,Formulas!K143=""),"",HYPERLINK("["&amp;Archivo_Nombre&amp;"]Datos!"&amp;LEFT(SUBSTITUTE(ADDRESS(1,Formulas!K143+2),"$",""))&amp;Formulas!J143+1,
IFERROR(INDEX(Datos!$A$2:$L$101,Formulas!J143,Formulas!K143+2),"")))</f>
        <v/>
      </c>
      <c r="K145" s="5"/>
      <c r="L145" s="6"/>
      <c r="M145" s="24" t="str" cm="1">
        <f t="array" aca="1" ref="M145" ca="1">IF(OR(Formulas!O142=0,Formulas!O142="",RIGHT(Formulas!P142)="0"),"",
HYPERLINK("["&amp;Archivo_Nombre&amp;"]Datos!"&amp;LEFT(SUBSTITUTE(ADDRESS(1,IF(Formulas!O142=1,1,RIGHT(Formulas!P142)+2)),"$",""))&amp;Formulas!N142+1,
IFERROR(INDEX(Datos!$A$1:$L$1,1,RIGHT(Formulas!P142)+2)&amp;IF(Formulas!O142=1," "&amp;Formulas!N142,"")&amp;":","")))</f>
        <v/>
      </c>
      <c r="N145" s="107" t="str" cm="1">
        <f t="array" aca="1" ref="N145" ca="1">IF(OR(Formulas!O142=0,Formulas!O142="",RIGHT(Formulas!P142)="0"),"",
HYPERLINK("["&amp;Archivo_Nombre&amp;"]Datos!"&amp;LEFT(SUBSTITUTE(ADDRESS(1,RIGHT(Formulas!P142)+2),"$",""))&amp;Formulas!N142+1,
IFERROR(INDEX(Datos!$A$2:$L$101,Formulas!N142,RIGHT(Formulas!P142)+2),"")))</f>
        <v/>
      </c>
      <c r="O145" s="107" t="str" cm="1">
        <f t="array" aca="1" ref="O145" ca="1">IF(OR(Formulas!P143=0,Formulas!P143=""),"",HYPERLINK("["&amp;Archivo_Nombre&amp;"]Datos!"&amp;LEFT(SUBSTITUTE(ADDRESS(1,Formulas!P143+2),"$",""))&amp;Formulas!O143+1,
IFERROR(INDEX(Datos!$A$2:$L$101,Formulas!O143,Formulas!P143+2),"")))</f>
        <v/>
      </c>
      <c r="P145" s="5"/>
      <c r="Q145" s="6"/>
      <c r="R145" s="24" t="str" cm="1">
        <f t="array" aca="1" ref="R145" ca="1">IF(OR(Formulas!T142=0,Formulas!T142="",RIGHT(Formulas!U142)="0"),"",
HYPERLINK("["&amp;Archivo_Nombre&amp;"]Datos!"&amp;LEFT(SUBSTITUTE(ADDRESS(1,IF(Formulas!T142=1,1,RIGHT(Formulas!U142)+2)),"$",""))&amp;Formulas!S142+1,
IFERROR(INDEX(Datos!$A$1:$L$1,1,RIGHT(Formulas!U142)+2)&amp;IF(Formulas!T142=1," "&amp;Formulas!S142,"")&amp;":","")))</f>
        <v/>
      </c>
      <c r="S145" s="107" t="str" cm="1">
        <f t="array" aca="1" ref="S145" ca="1">IF(OR(Formulas!T142=0,Formulas!T142="",RIGHT(Formulas!U142)="0"),"",
HYPERLINK("["&amp;Archivo_Nombre&amp;"]Datos!"&amp;LEFT(SUBSTITUTE(ADDRESS(1,RIGHT(Formulas!U142)+2),"$",""))&amp;Formulas!S142+1,
IFERROR(INDEX(Datos!$A$2:$L$101,Formulas!S142,RIGHT(Formulas!U142)+2),"")))</f>
        <v/>
      </c>
      <c r="T145" s="107" t="e" cm="1">
        <f t="array" aca="1" ref="T145" ca="1">IF(OR(Formulas!U143=0,Formulas!U143=""),"",HYPERLINK("["&amp;Archivo_Nombre&amp;"]Datos!"&amp;LEFT(SUBSTITUTE(ADDRESS(1,Formulas!U143+2),"$",""))&amp;Formulas!T143+1,
IFERROR(INDEX(Datos!$A$2:$L$101,Formulas!T143,Formulas!U143+2),"")))</f>
        <v>#VALUE!</v>
      </c>
      <c r="U145" s="5"/>
      <c r="V145" s="6"/>
      <c r="W145" s="24" t="str" cm="1">
        <f t="array" aca="1" ref="W145" ca="1">IF(OR(Formulas!Y142=0,Formulas!Y142="",RIGHT(Formulas!Z142)="0"),"",
HYPERLINK("["&amp;Archivo_Nombre&amp;"]Datos!"&amp;LEFT(SUBSTITUTE(ADDRESS(1,IF(Formulas!Y142=1,1,RIGHT(Formulas!Z142)+2)),"$",""))&amp;Formulas!X142+1,
IFERROR(INDEX(Datos!$A$1:$L$1,1,RIGHT(Formulas!Z142)+2)&amp;IF(Formulas!Y142=1," "&amp;Formulas!X142,"")&amp;":","")))</f>
        <v/>
      </c>
      <c r="X145" s="107" t="str" cm="1">
        <f t="array" aca="1" ref="X145" ca="1">IF(OR(Formulas!Y142=0,Formulas!Y142="",RIGHT(Formulas!Z142)="0"),"",
HYPERLINK("["&amp;Archivo_Nombre&amp;"]Datos!"&amp;LEFT(SUBSTITUTE(ADDRESS(1,RIGHT(Formulas!Z142)+2),"$",""))&amp;Formulas!X142+1,
IFERROR(INDEX(Datos!$A$2:$L$101,Formulas!X142,RIGHT(Formulas!Z142)+2),"")))</f>
        <v/>
      </c>
      <c r="Y145" s="107" t="str" cm="1">
        <f t="array" aca="1" ref="Y145" ca="1">IF(OR(Formulas!Z143=0,Formulas!Z143=""),"",HYPERLINK("["&amp;Archivo_Nombre&amp;"]Datos!"&amp;LEFT(SUBSTITUTE(ADDRESS(1,Formulas!Z143+2),"$",""))&amp;Formulas!Y143+1,
IFERROR(INDEX(Datos!$A$2:$L$101,Formulas!Y143,Formulas!Z143+2),"")))</f>
        <v/>
      </c>
      <c r="Z145" s="13"/>
      <c r="AA145" s="6"/>
      <c r="AB145" s="24" t="str" cm="1">
        <f t="array" aca="1" ref="AB145" ca="1">IF(OR(Formulas!AD142=0,Formulas!AD142="",RIGHT(Formulas!AE142)="0"),"",
HYPERLINK("["&amp;Archivo_Nombre&amp;"]Datos!"&amp;LEFT(SUBSTITUTE(ADDRESS(1,IF(Formulas!AD142=1,1,RIGHT(Formulas!AE142)+2)),"$",""))&amp;Formulas!AC142+1,
IFERROR(INDEX(Datos!$A$1:$L$1,1,RIGHT(Formulas!AE142)+2)&amp;IF(Formulas!AD142=1," "&amp;Formulas!AC142,"")&amp;":","")))</f>
        <v/>
      </c>
      <c r="AC145" s="107" t="str" cm="1">
        <f t="array" aca="1" ref="AC145" ca="1">IF(OR(Formulas!AD142=0,Formulas!AD142="",RIGHT(Formulas!AE142)="0"),"",
HYPERLINK("["&amp;Archivo_Nombre&amp;"]Datos!"&amp;LEFT(SUBSTITUTE(ADDRESS(1,RIGHT(Formulas!AE142)+2),"$",""))&amp;Formulas!AC142+1,
IFERROR(INDEX(Datos!$A$2:$L$101,Formulas!AC142,RIGHT(Formulas!AE142)+2),"")))</f>
        <v/>
      </c>
      <c r="AD145" s="107" t="str" cm="1">
        <f t="array" aca="1" ref="AD145" ca="1">IF(OR(Formulas!AE143=0,Formulas!AE143=""),"",HYPERLINK("["&amp;Archivo_Nombre&amp;"]Datos!"&amp;LEFT(SUBSTITUTE(ADDRESS(1,Formulas!AE143+2),"$",""))&amp;Formulas!AD143+1,
IFERROR(INDEX(Datos!$A$2:$L$101,Formulas!AD143,Formulas!AE143+2),"")))</f>
        <v/>
      </c>
      <c r="AE145" s="13"/>
      <c r="AF145" s="6"/>
      <c r="AG145" s="24" t="str" cm="1">
        <f t="array" aca="1" ref="AG145" ca="1">IF(OR(Formulas!AI142=0,Formulas!AI142="",RIGHT(Formulas!AJ142)="0"),"",
HYPERLINK("["&amp;Archivo_Nombre&amp;"]Datos!"&amp;LEFT(SUBSTITUTE(ADDRESS(1,IF(Formulas!AI142=1,1,RIGHT(Formulas!AJ142)+2)),"$",""))&amp;Formulas!AH142+1,
IFERROR(INDEX(Datos!$A$1:$L$1,1,RIGHT(Formulas!AJ142)+2)&amp;IF(Formulas!AI142=1," "&amp;Formulas!AH142,"")&amp;":","")))</f>
        <v/>
      </c>
      <c r="AH145" s="107" t="str" cm="1">
        <f t="array" aca="1" ref="AH145" ca="1">IF(OR(Formulas!AI142=0,Formulas!AI142="",RIGHT(Formulas!AJ142)="0"),"",
HYPERLINK("["&amp;Archivo_Nombre&amp;"]Datos!"&amp;LEFT(SUBSTITUTE(ADDRESS(1,RIGHT(Formulas!AJ142)+2),"$",""))&amp;Formulas!AH142+1,
IFERROR(INDEX(Datos!$A$2:$L$101,Formulas!AH142,RIGHT(Formulas!AJ142)+2),"")))</f>
        <v/>
      </c>
      <c r="AI145" s="107" t="str" cm="1">
        <f t="array" aca="1" ref="AI145" ca="1">IF(OR(Formulas!AJ143=0,Formulas!AJ143=""),"",HYPERLINK("["&amp;Archivo_Nombre&amp;"]Datos!"&amp;LEFT(SUBSTITUTE(ADDRESS(1,Formulas!AJ143+2),"$",""))&amp;Formulas!AI143+1,
IFERROR(INDEX(Datos!$A$2:$L$101,Formulas!AI143,Formulas!AJ143+2),"")))</f>
        <v/>
      </c>
      <c r="AJ145" s="13"/>
      <c r="AK145" s="6"/>
      <c r="AL145" s="24" t="str" cm="1">
        <f t="array" aca="1" ref="AL145" ca="1">IF(OR(Formulas!AN142=0,Formulas!AN142="",RIGHT(Formulas!AO142)="0"),"",
HYPERLINK("["&amp;Archivo_Nombre&amp;"]Datos!"&amp;LEFT(SUBSTITUTE(ADDRESS(1,IF(Formulas!AN142=1,1,RIGHT(Formulas!AO142)+2)),"$",""))&amp;Formulas!AM142+1,
IFERROR(INDEX(Datos!$A$1:$L$1,1,RIGHT(Formulas!AO142)+2)&amp;IF(Formulas!AN142=1," "&amp;Formulas!AM142,"")&amp;":","")))</f>
        <v/>
      </c>
      <c r="AM145" s="107" t="str" cm="1">
        <f t="array" aca="1" ref="AM145" ca="1">IF(OR(Formulas!AN142=0,Formulas!AN142="",RIGHT(Formulas!AO142)="0"),"",
HYPERLINK("["&amp;Archivo_Nombre&amp;"]Datos!"&amp;LEFT(SUBSTITUTE(ADDRESS(1,RIGHT(Formulas!AO142)+2),"$",""))&amp;Formulas!AM142+1,
IFERROR(INDEX(Datos!$A$2:$L$101,Formulas!AM142,RIGHT(Formulas!AO142)+2),"")))</f>
        <v/>
      </c>
      <c r="AN145" s="107" t="str" cm="1">
        <f t="array" aca="1" ref="AN145" ca="1">IF(OR(Formulas!AO143=0,Formulas!AO143=""),"",HYPERLINK("["&amp;Archivo_Nombre&amp;"]Datos!"&amp;LEFT(SUBSTITUTE(ADDRESS(1,Formulas!AO143+2),"$",""))&amp;Formulas!AN143+1,
IFERROR(INDEX(Datos!$A$2:$L$101,Formulas!AN143,Formulas!AO143+2),"")))</f>
        <v/>
      </c>
      <c r="AO145" s="13"/>
      <c r="AP145" s="6"/>
      <c r="AQ145" s="24" t="str" cm="1">
        <f t="array" aca="1" ref="AQ145" ca="1">IF(OR(Formulas!AS142=0,Formulas!AS142="",RIGHT(Formulas!AT142)="0"),"",
HYPERLINK("["&amp;Archivo_Nombre&amp;"]Datos!"&amp;LEFT(SUBSTITUTE(ADDRESS(1,IF(Formulas!AS142=1,1,RIGHT(Formulas!AT142)+2)),"$",""))&amp;Formulas!AR142+1,
IFERROR(INDEX(Datos!$A$1:$L$1,1,RIGHT(Formulas!AT142)+2)&amp;IF(Formulas!AS142=1," "&amp;Formulas!AR142,"")&amp;":","")))</f>
        <v/>
      </c>
      <c r="AR145" s="107" t="str" cm="1">
        <f t="array" aca="1" ref="AR145" ca="1">IF(OR(Formulas!AS142=0,Formulas!AS142="",RIGHT(Formulas!AT142)="0"),"",
HYPERLINK("["&amp;Archivo_Nombre&amp;"]Datos!"&amp;LEFT(SUBSTITUTE(ADDRESS(1,RIGHT(Formulas!AT142)+2),"$",""))&amp;Formulas!AR142+1,
IFERROR(INDEX(Datos!$A$2:$L$101,Formulas!AR142,RIGHT(Formulas!AT142)+2),"")))</f>
        <v/>
      </c>
      <c r="AS145" s="107" t="str" cm="1">
        <f t="array" aca="1" ref="AS145" ca="1">IF(OR(Formulas!AT143=0,Formulas!AT143=""),"",HYPERLINK("["&amp;Archivo_Nombre&amp;"]Datos!"&amp;LEFT(SUBSTITUTE(ADDRESS(1,Formulas!AT143+2),"$",""))&amp;Formulas!AS143+1,
IFERROR(INDEX(Datos!$A$2:$L$101,Formulas!AS143,Formulas!AT143+2),"")))</f>
        <v/>
      </c>
      <c r="AT145" s="13"/>
      <c r="AU145" s="6"/>
      <c r="AV145" s="24" t="str" cm="1">
        <f t="array" aca="1" ref="AV145" ca="1">IF(OR(Formulas!AX142=0,Formulas!AX142="",RIGHT(Formulas!AY142)="0"),"",
HYPERLINK("["&amp;Archivo_Nombre&amp;"]Datos!"&amp;LEFT(SUBSTITUTE(ADDRESS(1,IF(Formulas!AX142=1,1,RIGHT(Formulas!AY142)+2)),"$",""))&amp;Formulas!AW142+1,
IFERROR(INDEX(Datos!$A$1:$L$1,1,RIGHT(Formulas!AY142)+2)&amp;IF(Formulas!AX142=1," "&amp;Formulas!AW142,"")&amp;":","")))</f>
        <v/>
      </c>
      <c r="AW145" s="107" t="str" cm="1">
        <f t="array" aca="1" ref="AW145" ca="1">IF(OR(Formulas!AX142=0,Formulas!AX142="",RIGHT(Formulas!AY142)="0"),"",
HYPERLINK("["&amp;Archivo_Nombre&amp;"]Datos!"&amp;LEFT(SUBSTITUTE(ADDRESS(1,RIGHT(Formulas!AY142)+2),"$",""))&amp;Formulas!AW142+1,
IFERROR(INDEX(Datos!$A$2:$L$101,Formulas!AW142,RIGHT(Formulas!AY142)+2),"")))</f>
        <v/>
      </c>
      <c r="AX145" s="107" t="str" cm="1">
        <f t="array" aca="1" ref="AX145" ca="1">IF(OR(Formulas!AY143=0,Formulas!AY143=""),"",HYPERLINK("["&amp;Archivo_Nombre&amp;"]Datos!"&amp;LEFT(SUBSTITUTE(ADDRESS(1,Formulas!AY143+2),"$",""))&amp;Formulas!AX143+1,
IFERROR(INDEX(Datos!$A$2:$L$101,Formulas!AX143,Formulas!AY143+2),"")))</f>
        <v/>
      </c>
      <c r="AY145" s="13"/>
    </row>
    <row r="146" spans="2:51" x14ac:dyDescent="0.25">
      <c r="B146" s="11"/>
      <c r="C146" s="24" t="str" cm="1">
        <f t="array" aca="1" ref="C146" ca="1">IF(OR(Formulas!E143=0,Formulas!E143="",RIGHT(Formulas!F143)="0"),"",
HYPERLINK("["&amp;Archivo_Nombre&amp;"]Datos!"&amp;LEFT(SUBSTITUTE(ADDRESS(1,IF(Formulas!E143=1,1,RIGHT(Formulas!F143)+2)),"$",""))&amp;Formulas!D143+1,
IFERROR(INDEX(Datos!$A$1:$L$1,1,RIGHT(Formulas!F143)+2)&amp;IF(Formulas!E143=1," "&amp;Formulas!D143,"")&amp;":","")))</f>
        <v/>
      </c>
      <c r="D146" s="107" t="str" cm="1">
        <f t="array" aca="1" ref="D146" ca="1">IF(OR(Formulas!E143=0,Formulas!E143="",RIGHT(Formulas!F143)="0"),"",
HYPERLINK("["&amp;Archivo_Nombre&amp;"]Datos!"&amp;LEFT(SUBSTITUTE(ADDRESS(1,RIGHT(Formulas!F143)+2),"$",""))&amp;Formulas!D143+1,
IFERROR(INDEX(Datos!$A$2:$L$101,Formulas!D143,RIGHT(Formulas!F143)+2),"")))</f>
        <v/>
      </c>
      <c r="E146" s="107" t="str" cm="1">
        <f t="array" aca="1" ref="E146" ca="1">IF(OR(Formulas!F144=0,Formulas!F144=""),"",HYPERLINK("["&amp;Archivo_Nombre&amp;"]Datos!"&amp;LEFT(SUBSTITUTE(ADDRESS(1,Formulas!F144+2),"$",""))&amp;Formulas!E144+1,
IFERROR(INDEX(Datos!$A$2:$L$101,Formulas!E144,Formulas!F144+2),"")))</f>
        <v/>
      </c>
      <c r="F146" s="5"/>
      <c r="G146" s="6"/>
      <c r="H146" s="24" t="str" cm="1">
        <f t="array" aca="1" ref="H146" ca="1">IF(OR(Formulas!J143=0,Formulas!J143="",RIGHT(Formulas!K143)="0"),"",
HYPERLINK("["&amp;Archivo_Nombre&amp;"]Datos!"&amp;LEFT(SUBSTITUTE(ADDRESS(1,IF(Formulas!J143=1,1,RIGHT(Formulas!K143)+2)),"$",""))&amp;Formulas!I143+1,
IFERROR(INDEX(Datos!$A$1:$L$1,1,RIGHT(Formulas!K143)+2)&amp;IF(Formulas!J143=1," "&amp;Formulas!I143,"")&amp;":","")))</f>
        <v/>
      </c>
      <c r="I146" s="107" t="str" cm="1">
        <f t="array" aca="1" ref="I146" ca="1">IF(OR(Formulas!J143=0,Formulas!J143="",RIGHT(Formulas!K143)="0"),"",
HYPERLINK("["&amp;Archivo_Nombre&amp;"]Datos!"&amp;LEFT(SUBSTITUTE(ADDRESS(1,RIGHT(Formulas!K143)+2),"$",""))&amp;Formulas!I143+1,
IFERROR(INDEX(Datos!$A$2:$L$101,Formulas!I143,RIGHT(Formulas!K143)+2),"")))</f>
        <v/>
      </c>
      <c r="J146" s="107" t="str" cm="1">
        <f t="array" aca="1" ref="J146" ca="1">IF(OR(Formulas!K144=0,Formulas!K144=""),"",HYPERLINK("["&amp;Archivo_Nombre&amp;"]Datos!"&amp;LEFT(SUBSTITUTE(ADDRESS(1,Formulas!K144+2),"$",""))&amp;Formulas!J144+1,
IFERROR(INDEX(Datos!$A$2:$L$101,Formulas!J144,Formulas!K144+2),"")))</f>
        <v/>
      </c>
      <c r="K146" s="5"/>
      <c r="L146" s="6"/>
      <c r="M146" s="24" t="str" cm="1">
        <f t="array" aca="1" ref="M146" ca="1">IF(OR(Formulas!O143=0,Formulas!O143="",RIGHT(Formulas!P143)="0"),"",
HYPERLINK("["&amp;Archivo_Nombre&amp;"]Datos!"&amp;LEFT(SUBSTITUTE(ADDRESS(1,IF(Formulas!O143=1,1,RIGHT(Formulas!P143)+2)),"$",""))&amp;Formulas!N143+1,
IFERROR(INDEX(Datos!$A$1:$L$1,1,RIGHT(Formulas!P143)+2)&amp;IF(Formulas!O143=1," "&amp;Formulas!N143,"")&amp;":","")))</f>
        <v/>
      </c>
      <c r="N146" s="107" t="str" cm="1">
        <f t="array" aca="1" ref="N146" ca="1">IF(OR(Formulas!O143=0,Formulas!O143="",RIGHT(Formulas!P143)="0"),"",
HYPERLINK("["&amp;Archivo_Nombre&amp;"]Datos!"&amp;LEFT(SUBSTITUTE(ADDRESS(1,RIGHT(Formulas!P143)+2),"$",""))&amp;Formulas!N143+1,
IFERROR(INDEX(Datos!$A$2:$L$101,Formulas!N143,RIGHT(Formulas!P143)+2),"")))</f>
        <v/>
      </c>
      <c r="O146" s="107" t="str" cm="1">
        <f t="array" aca="1" ref="O146" ca="1">IF(OR(Formulas!P144=0,Formulas!P144=""),"",HYPERLINK("["&amp;Archivo_Nombre&amp;"]Datos!"&amp;LEFT(SUBSTITUTE(ADDRESS(1,Formulas!P144+2),"$",""))&amp;Formulas!O144+1,
IFERROR(INDEX(Datos!$A$2:$L$101,Formulas!O144,Formulas!P144+2),"")))</f>
        <v/>
      </c>
      <c r="P146" s="5"/>
      <c r="Q146" s="6"/>
      <c r="R146" s="24" t="str" cm="1">
        <f t="array" aca="1" ref="R146" ca="1">IF(OR(Formulas!T143=0,Formulas!T143="",RIGHT(Formulas!U143)="0"),"",
HYPERLINK("["&amp;Archivo_Nombre&amp;"]Datos!"&amp;LEFT(SUBSTITUTE(ADDRESS(1,IF(Formulas!T143=1,1,RIGHT(Formulas!U143)+2)),"$",""))&amp;Formulas!S143+1,
IFERROR(INDEX(Datos!$A$1:$L$1,1,RIGHT(Formulas!U143)+2)&amp;IF(Formulas!T143=1," "&amp;Formulas!S143,"")&amp;":","")))</f>
        <v>ORDEN PCRONOLOGICO 15:</v>
      </c>
      <c r="S146" s="107" cm="1">
        <f t="array" aca="1" ref="S146" ca="1">IF(OR(Formulas!T143=0,Formulas!T143="",RIGHT(Formulas!U143)="0"),"",
HYPERLINK("["&amp;Archivo_Nombre&amp;"]Datos!"&amp;LEFT(SUBSTITUTE(ADDRESS(1,RIGHT(Formulas!U143)+2),"$",""))&amp;Formulas!S143+1,
IFERROR(INDEX(Datos!$A$2:$L$101,Formulas!S143,RIGHT(Formulas!U143)+2),"")))</f>
        <v>15</v>
      </c>
      <c r="T146" s="107" t="e" cm="1">
        <f t="array" aca="1" ref="T146" ca="1">IF(OR(Formulas!U144=0,Formulas!U144=""),"",HYPERLINK("["&amp;Archivo_Nombre&amp;"]Datos!"&amp;LEFT(SUBSTITUTE(ADDRESS(1,Formulas!U144+2),"$",""))&amp;Formulas!T144+1,
IFERROR(INDEX(Datos!$A$2:$L$101,Formulas!T144,Formulas!U144+2),"")))</f>
        <v>#VALUE!</v>
      </c>
      <c r="U146" s="5"/>
      <c r="V146" s="6"/>
      <c r="W146" s="24" t="str" cm="1">
        <f t="array" aca="1" ref="W146" ca="1">IF(OR(Formulas!Y143=0,Formulas!Y143="",RIGHT(Formulas!Z143)="0"),"",
HYPERLINK("["&amp;Archivo_Nombre&amp;"]Datos!"&amp;LEFT(SUBSTITUTE(ADDRESS(1,IF(Formulas!Y143=1,1,RIGHT(Formulas!Z143)+2)),"$",""))&amp;Formulas!X143+1,
IFERROR(INDEX(Datos!$A$1:$L$1,1,RIGHT(Formulas!Z143)+2)&amp;IF(Formulas!Y143=1," "&amp;Formulas!X143,"")&amp;":","")))</f>
        <v/>
      </c>
      <c r="X146" s="107" t="str" cm="1">
        <f t="array" aca="1" ref="X146" ca="1">IF(OR(Formulas!Y143=0,Formulas!Y143="",RIGHT(Formulas!Z143)="0"),"",
HYPERLINK("["&amp;Archivo_Nombre&amp;"]Datos!"&amp;LEFT(SUBSTITUTE(ADDRESS(1,RIGHT(Formulas!Z143)+2),"$",""))&amp;Formulas!X143+1,
IFERROR(INDEX(Datos!$A$2:$L$101,Formulas!X143,RIGHT(Formulas!Z143)+2),"")))</f>
        <v/>
      </c>
      <c r="Y146" s="107" t="str" cm="1">
        <f t="array" aca="1" ref="Y146" ca="1">IF(OR(Formulas!Z144=0,Formulas!Z144=""),"",HYPERLINK("["&amp;Archivo_Nombre&amp;"]Datos!"&amp;LEFT(SUBSTITUTE(ADDRESS(1,Formulas!Z144+2),"$",""))&amp;Formulas!Y144+1,
IFERROR(INDEX(Datos!$A$2:$L$101,Formulas!Y144,Formulas!Z144+2),"")))</f>
        <v/>
      </c>
      <c r="Z146" s="13"/>
      <c r="AA146" s="6"/>
      <c r="AB146" s="24" t="str" cm="1">
        <f t="array" aca="1" ref="AB146" ca="1">IF(OR(Formulas!AD143=0,Formulas!AD143="",RIGHT(Formulas!AE143)="0"),"",
HYPERLINK("["&amp;Archivo_Nombre&amp;"]Datos!"&amp;LEFT(SUBSTITUTE(ADDRESS(1,IF(Formulas!AD143=1,1,RIGHT(Formulas!AE143)+2)),"$",""))&amp;Formulas!AC143+1,
IFERROR(INDEX(Datos!$A$1:$L$1,1,RIGHT(Formulas!AE143)+2)&amp;IF(Formulas!AD143=1," "&amp;Formulas!AC143,"")&amp;":","")))</f>
        <v/>
      </c>
      <c r="AC146" s="107" t="str" cm="1">
        <f t="array" aca="1" ref="AC146" ca="1">IF(OR(Formulas!AD143=0,Formulas!AD143="",RIGHT(Formulas!AE143)="0"),"",
HYPERLINK("["&amp;Archivo_Nombre&amp;"]Datos!"&amp;LEFT(SUBSTITUTE(ADDRESS(1,RIGHT(Formulas!AE143)+2),"$",""))&amp;Formulas!AC143+1,
IFERROR(INDEX(Datos!$A$2:$L$101,Formulas!AC143,RIGHT(Formulas!AE143)+2),"")))</f>
        <v/>
      </c>
      <c r="AD146" s="107" t="str" cm="1">
        <f t="array" aca="1" ref="AD146" ca="1">IF(OR(Formulas!AE144=0,Formulas!AE144=""),"",HYPERLINK("["&amp;Archivo_Nombre&amp;"]Datos!"&amp;LEFT(SUBSTITUTE(ADDRESS(1,Formulas!AE144+2),"$",""))&amp;Formulas!AD144+1,
IFERROR(INDEX(Datos!$A$2:$L$101,Formulas!AD144,Formulas!AE144+2),"")))</f>
        <v/>
      </c>
      <c r="AE146" s="13"/>
      <c r="AF146" s="6"/>
      <c r="AG146" s="24" t="str" cm="1">
        <f t="array" aca="1" ref="AG146" ca="1">IF(OR(Formulas!AI143=0,Formulas!AI143="",RIGHT(Formulas!AJ143)="0"),"",
HYPERLINK("["&amp;Archivo_Nombre&amp;"]Datos!"&amp;LEFT(SUBSTITUTE(ADDRESS(1,IF(Formulas!AI143=1,1,RIGHT(Formulas!AJ143)+2)),"$",""))&amp;Formulas!AH143+1,
IFERROR(INDEX(Datos!$A$1:$L$1,1,RIGHT(Formulas!AJ143)+2)&amp;IF(Formulas!AI143=1," "&amp;Formulas!AH143,"")&amp;":","")))</f>
        <v/>
      </c>
      <c r="AH146" s="107" t="str" cm="1">
        <f t="array" aca="1" ref="AH146" ca="1">IF(OR(Formulas!AI143=0,Formulas!AI143="",RIGHT(Formulas!AJ143)="0"),"",
HYPERLINK("["&amp;Archivo_Nombre&amp;"]Datos!"&amp;LEFT(SUBSTITUTE(ADDRESS(1,RIGHT(Formulas!AJ143)+2),"$",""))&amp;Formulas!AH143+1,
IFERROR(INDEX(Datos!$A$2:$L$101,Formulas!AH143,RIGHT(Formulas!AJ143)+2),"")))</f>
        <v/>
      </c>
      <c r="AI146" s="107" t="str" cm="1">
        <f t="array" aca="1" ref="AI146" ca="1">IF(OR(Formulas!AJ144=0,Formulas!AJ144=""),"",HYPERLINK("["&amp;Archivo_Nombre&amp;"]Datos!"&amp;LEFT(SUBSTITUTE(ADDRESS(1,Formulas!AJ144+2),"$",""))&amp;Formulas!AI144+1,
IFERROR(INDEX(Datos!$A$2:$L$101,Formulas!AI144,Formulas!AJ144+2),"")))</f>
        <v/>
      </c>
      <c r="AJ146" s="13"/>
      <c r="AK146" s="6"/>
      <c r="AL146" s="24" t="str" cm="1">
        <f t="array" aca="1" ref="AL146" ca="1">IF(OR(Formulas!AN143=0,Formulas!AN143="",RIGHT(Formulas!AO143)="0"),"",
HYPERLINK("["&amp;Archivo_Nombre&amp;"]Datos!"&amp;LEFT(SUBSTITUTE(ADDRESS(1,IF(Formulas!AN143=1,1,RIGHT(Formulas!AO143)+2)),"$",""))&amp;Formulas!AM143+1,
IFERROR(INDEX(Datos!$A$1:$L$1,1,RIGHT(Formulas!AO143)+2)&amp;IF(Formulas!AN143=1," "&amp;Formulas!AM143,"")&amp;":","")))</f>
        <v/>
      </c>
      <c r="AM146" s="107" t="str" cm="1">
        <f t="array" aca="1" ref="AM146" ca="1">IF(OR(Formulas!AN143=0,Formulas!AN143="",RIGHT(Formulas!AO143)="0"),"",
HYPERLINK("["&amp;Archivo_Nombre&amp;"]Datos!"&amp;LEFT(SUBSTITUTE(ADDRESS(1,RIGHT(Formulas!AO143)+2),"$",""))&amp;Formulas!AM143+1,
IFERROR(INDEX(Datos!$A$2:$L$101,Formulas!AM143,RIGHT(Formulas!AO143)+2),"")))</f>
        <v/>
      </c>
      <c r="AN146" s="107" t="str" cm="1">
        <f t="array" aca="1" ref="AN146" ca="1">IF(OR(Formulas!AO144=0,Formulas!AO144=""),"",HYPERLINK("["&amp;Archivo_Nombre&amp;"]Datos!"&amp;LEFT(SUBSTITUTE(ADDRESS(1,Formulas!AO144+2),"$",""))&amp;Formulas!AN144+1,
IFERROR(INDEX(Datos!$A$2:$L$101,Formulas!AN144,Formulas!AO144+2),"")))</f>
        <v/>
      </c>
      <c r="AO146" s="13"/>
      <c r="AP146" s="6"/>
      <c r="AQ146" s="24" t="str" cm="1">
        <f t="array" aca="1" ref="AQ146" ca="1">IF(OR(Formulas!AS143=0,Formulas!AS143="",RIGHT(Formulas!AT143)="0"),"",
HYPERLINK("["&amp;Archivo_Nombre&amp;"]Datos!"&amp;LEFT(SUBSTITUTE(ADDRESS(1,IF(Formulas!AS143=1,1,RIGHT(Formulas!AT143)+2)),"$",""))&amp;Formulas!AR143+1,
IFERROR(INDEX(Datos!$A$1:$L$1,1,RIGHT(Formulas!AT143)+2)&amp;IF(Formulas!AS143=1," "&amp;Formulas!AR143,"")&amp;":","")))</f>
        <v/>
      </c>
      <c r="AR146" s="107" t="str" cm="1">
        <f t="array" aca="1" ref="AR146" ca="1">IF(OR(Formulas!AS143=0,Formulas!AS143="",RIGHT(Formulas!AT143)="0"),"",
HYPERLINK("["&amp;Archivo_Nombre&amp;"]Datos!"&amp;LEFT(SUBSTITUTE(ADDRESS(1,RIGHT(Formulas!AT143)+2),"$",""))&amp;Formulas!AR143+1,
IFERROR(INDEX(Datos!$A$2:$L$101,Formulas!AR143,RIGHT(Formulas!AT143)+2),"")))</f>
        <v/>
      </c>
      <c r="AS146" s="107" t="str" cm="1">
        <f t="array" aca="1" ref="AS146" ca="1">IF(OR(Formulas!AT144=0,Formulas!AT144=""),"",HYPERLINK("["&amp;Archivo_Nombre&amp;"]Datos!"&amp;LEFT(SUBSTITUTE(ADDRESS(1,Formulas!AT144+2),"$",""))&amp;Formulas!AS144+1,
IFERROR(INDEX(Datos!$A$2:$L$101,Formulas!AS144,Formulas!AT144+2),"")))</f>
        <v/>
      </c>
      <c r="AT146" s="13"/>
      <c r="AU146" s="6"/>
      <c r="AV146" s="24" t="str" cm="1">
        <f t="array" aca="1" ref="AV146" ca="1">IF(OR(Formulas!AX143=0,Formulas!AX143="",RIGHT(Formulas!AY143)="0"),"",
HYPERLINK("["&amp;Archivo_Nombre&amp;"]Datos!"&amp;LEFT(SUBSTITUTE(ADDRESS(1,IF(Formulas!AX143=1,1,RIGHT(Formulas!AY143)+2)),"$",""))&amp;Formulas!AW143+1,
IFERROR(INDEX(Datos!$A$1:$L$1,1,RIGHT(Formulas!AY143)+2)&amp;IF(Formulas!AX143=1," "&amp;Formulas!AW143,"")&amp;":","")))</f>
        <v/>
      </c>
      <c r="AW146" s="107" t="str" cm="1">
        <f t="array" aca="1" ref="AW146" ca="1">IF(OR(Formulas!AX143=0,Formulas!AX143="",RIGHT(Formulas!AY143)="0"),"",
HYPERLINK("["&amp;Archivo_Nombre&amp;"]Datos!"&amp;LEFT(SUBSTITUTE(ADDRESS(1,RIGHT(Formulas!AY143)+2),"$",""))&amp;Formulas!AW143+1,
IFERROR(INDEX(Datos!$A$2:$L$101,Formulas!AW143,RIGHT(Formulas!AY143)+2),"")))</f>
        <v/>
      </c>
      <c r="AX146" s="107" t="str" cm="1">
        <f t="array" aca="1" ref="AX146" ca="1">IF(OR(Formulas!AY144=0,Formulas!AY144=""),"",HYPERLINK("["&amp;Archivo_Nombre&amp;"]Datos!"&amp;LEFT(SUBSTITUTE(ADDRESS(1,Formulas!AY144+2),"$",""))&amp;Formulas!AX144+1,
IFERROR(INDEX(Datos!$A$2:$L$101,Formulas!AX144,Formulas!AY144+2),"")))</f>
        <v/>
      </c>
      <c r="AY146" s="13"/>
    </row>
    <row r="147" spans="2:51" x14ac:dyDescent="0.25">
      <c r="B147" s="11"/>
      <c r="C147" s="24" t="str" cm="1">
        <f t="array" aca="1" ref="C147" ca="1">IF(OR(Formulas!E144=0,Formulas!E144="",RIGHT(Formulas!F144)="0"),"",
HYPERLINK("["&amp;Archivo_Nombre&amp;"]Datos!"&amp;LEFT(SUBSTITUTE(ADDRESS(1,IF(Formulas!E144=1,1,RIGHT(Formulas!F144)+2)),"$",""))&amp;Formulas!D144+1,
IFERROR(INDEX(Datos!$A$1:$L$1,1,RIGHT(Formulas!F144)+2)&amp;IF(Formulas!E144=1," "&amp;Formulas!D144,"")&amp;":","")))</f>
        <v/>
      </c>
      <c r="D147" s="107" t="str" cm="1">
        <f t="array" aca="1" ref="D147" ca="1">IF(OR(Formulas!E144=0,Formulas!E144="",RIGHT(Formulas!F144)="0"),"",
HYPERLINK("["&amp;Archivo_Nombre&amp;"]Datos!"&amp;LEFT(SUBSTITUTE(ADDRESS(1,RIGHT(Formulas!F144)+2),"$",""))&amp;Formulas!D144+1,
IFERROR(INDEX(Datos!$A$2:$L$101,Formulas!D144,RIGHT(Formulas!F144)+2),"")))</f>
        <v/>
      </c>
      <c r="E147" s="107" t="str" cm="1">
        <f t="array" aca="1" ref="E147" ca="1">IF(OR(Formulas!F145=0,Formulas!F145=""),"",HYPERLINK("["&amp;Archivo_Nombre&amp;"]Datos!"&amp;LEFT(SUBSTITUTE(ADDRESS(1,Formulas!F145+2),"$",""))&amp;Formulas!E145+1,
IFERROR(INDEX(Datos!$A$2:$L$101,Formulas!E145,Formulas!F145+2),"")))</f>
        <v/>
      </c>
      <c r="F147" s="5"/>
      <c r="G147" s="6"/>
      <c r="H147" s="24" t="str" cm="1">
        <f t="array" aca="1" ref="H147" ca="1">IF(OR(Formulas!J144=0,Formulas!J144="",RIGHT(Formulas!K144)="0"),"",
HYPERLINK("["&amp;Archivo_Nombre&amp;"]Datos!"&amp;LEFT(SUBSTITUTE(ADDRESS(1,IF(Formulas!J144=1,1,RIGHT(Formulas!K144)+2)),"$",""))&amp;Formulas!I144+1,
IFERROR(INDEX(Datos!$A$1:$L$1,1,RIGHT(Formulas!K144)+2)&amp;IF(Formulas!J144=1," "&amp;Formulas!I144,"")&amp;":","")))</f>
        <v/>
      </c>
      <c r="I147" s="107" t="str" cm="1">
        <f t="array" aca="1" ref="I147" ca="1">IF(OR(Formulas!J144=0,Formulas!J144="",RIGHT(Formulas!K144)="0"),"",
HYPERLINK("["&amp;Archivo_Nombre&amp;"]Datos!"&amp;LEFT(SUBSTITUTE(ADDRESS(1,RIGHT(Formulas!K144)+2),"$",""))&amp;Formulas!I144+1,
IFERROR(INDEX(Datos!$A$2:$L$101,Formulas!I144,RIGHT(Formulas!K144)+2),"")))</f>
        <v/>
      </c>
      <c r="J147" s="107" t="str" cm="1">
        <f t="array" aca="1" ref="J147" ca="1">IF(OR(Formulas!K145=0,Formulas!K145=""),"",HYPERLINK("["&amp;Archivo_Nombre&amp;"]Datos!"&amp;LEFT(SUBSTITUTE(ADDRESS(1,Formulas!K145+2),"$",""))&amp;Formulas!J145+1,
IFERROR(INDEX(Datos!$A$2:$L$101,Formulas!J145,Formulas!K145+2),"")))</f>
        <v/>
      </c>
      <c r="K147" s="5"/>
      <c r="L147" s="6"/>
      <c r="M147" s="24" t="str" cm="1">
        <f t="array" aca="1" ref="M147" ca="1">IF(OR(Formulas!O144=0,Formulas!O144="",RIGHT(Formulas!P144)="0"),"",
HYPERLINK("["&amp;Archivo_Nombre&amp;"]Datos!"&amp;LEFT(SUBSTITUTE(ADDRESS(1,IF(Formulas!O144=1,1,RIGHT(Formulas!P144)+2)),"$",""))&amp;Formulas!N144+1,
IFERROR(INDEX(Datos!$A$1:$L$1,1,RIGHT(Formulas!P144)+2)&amp;IF(Formulas!O144=1," "&amp;Formulas!N144,"")&amp;":","")))</f>
        <v/>
      </c>
      <c r="N147" s="107" t="str" cm="1">
        <f t="array" aca="1" ref="N147" ca="1">IF(OR(Formulas!O144=0,Formulas!O144="",RIGHT(Formulas!P144)="0"),"",
HYPERLINK("["&amp;Archivo_Nombre&amp;"]Datos!"&amp;LEFT(SUBSTITUTE(ADDRESS(1,RIGHT(Formulas!P144)+2),"$",""))&amp;Formulas!N144+1,
IFERROR(INDEX(Datos!$A$2:$L$101,Formulas!N144,RIGHT(Formulas!P144)+2),"")))</f>
        <v/>
      </c>
      <c r="O147" s="107" t="str" cm="1">
        <f t="array" aca="1" ref="O147" ca="1">IF(OR(Formulas!P145=0,Formulas!P145=""),"",HYPERLINK("["&amp;Archivo_Nombre&amp;"]Datos!"&amp;LEFT(SUBSTITUTE(ADDRESS(1,Formulas!P145+2),"$",""))&amp;Formulas!O145+1,
IFERROR(INDEX(Datos!$A$2:$L$101,Formulas!O145,Formulas!P145+2),"")))</f>
        <v/>
      </c>
      <c r="P147" s="5"/>
      <c r="Q147" s="6"/>
      <c r="R147" s="24" t="str" cm="1">
        <f t="array" aca="1" ref="R147" ca="1">IF(OR(Formulas!T144=0,Formulas!T144="",RIGHT(Formulas!U144)="0"),"",
HYPERLINK("["&amp;Archivo_Nombre&amp;"]Datos!"&amp;LEFT(SUBSTITUTE(ADDRESS(1,IF(Formulas!T144=1,1,RIGHT(Formulas!U144)+2)),"$",""))&amp;Formulas!S144+1,
IFERROR(INDEX(Datos!$A$1:$L$1,1,RIGHT(Formulas!U144)+2)&amp;IF(Formulas!T144=1," "&amp;Formulas!S144,"")&amp;":","")))</f>
        <v>Tarea:</v>
      </c>
      <c r="S147" s="107" t="str" cm="1">
        <f t="array" aca="1" ref="S147" ca="1">IF(OR(Formulas!T144=0,Formulas!T144="",RIGHT(Formulas!U144)="0"),"",
HYPERLINK("["&amp;Archivo_Nombre&amp;"]Datos!"&amp;LEFT(SUBSTITUTE(ADDRESS(1,RIGHT(Formulas!U144)+2),"$",""))&amp;Formulas!S144+1,
IFERROR(INDEX(Datos!$A$2:$L$101,Formulas!S144,RIGHT(Formulas!U144)+2),"")))</f>
        <v xml:space="preserve"> Revisión de Sprint1</v>
      </c>
      <c r="T147" s="107" t="e" cm="1">
        <f t="array" aca="1" ref="T147" ca="1">IF(OR(Formulas!U145=0,Formulas!U145=""),"",HYPERLINK("["&amp;Archivo_Nombre&amp;"]Datos!"&amp;LEFT(SUBSTITUTE(ADDRESS(1,Formulas!U145+2),"$",""))&amp;Formulas!T145+1,
IFERROR(INDEX(Datos!$A$2:$L$101,Formulas!T145,Formulas!U145+2),"")))</f>
        <v>#VALUE!</v>
      </c>
      <c r="U147" s="5"/>
      <c r="V147" s="6"/>
      <c r="W147" s="24" t="str" cm="1">
        <f t="array" aca="1" ref="W147" ca="1">IF(OR(Formulas!Y144=0,Formulas!Y144="",RIGHT(Formulas!Z144)="0"),"",
HYPERLINK("["&amp;Archivo_Nombre&amp;"]Datos!"&amp;LEFT(SUBSTITUTE(ADDRESS(1,IF(Formulas!Y144=1,1,RIGHT(Formulas!Z144)+2)),"$",""))&amp;Formulas!X144+1,
IFERROR(INDEX(Datos!$A$1:$L$1,1,RIGHT(Formulas!Z144)+2)&amp;IF(Formulas!Y144=1," "&amp;Formulas!X144,"")&amp;":","")))</f>
        <v/>
      </c>
      <c r="X147" s="107" t="str" cm="1">
        <f t="array" aca="1" ref="X147" ca="1">IF(OR(Formulas!Y144=0,Formulas!Y144="",RIGHT(Formulas!Z144)="0"),"",
HYPERLINK("["&amp;Archivo_Nombre&amp;"]Datos!"&amp;LEFT(SUBSTITUTE(ADDRESS(1,RIGHT(Formulas!Z144)+2),"$",""))&amp;Formulas!X144+1,
IFERROR(INDEX(Datos!$A$2:$L$101,Formulas!X144,RIGHT(Formulas!Z144)+2),"")))</f>
        <v/>
      </c>
      <c r="Y147" s="107" t="str" cm="1">
        <f t="array" aca="1" ref="Y147" ca="1">IF(OR(Formulas!Z145=0,Formulas!Z145=""),"",HYPERLINK("["&amp;Archivo_Nombre&amp;"]Datos!"&amp;LEFT(SUBSTITUTE(ADDRESS(1,Formulas!Z145+2),"$",""))&amp;Formulas!Y145+1,
IFERROR(INDEX(Datos!$A$2:$L$101,Formulas!Y145,Formulas!Z145+2),"")))</f>
        <v/>
      </c>
      <c r="Z147" s="13"/>
      <c r="AA147" s="6"/>
      <c r="AB147" s="24" t="str" cm="1">
        <f t="array" aca="1" ref="AB147" ca="1">IF(OR(Formulas!AD144=0,Formulas!AD144="",RIGHT(Formulas!AE144)="0"),"",
HYPERLINK("["&amp;Archivo_Nombre&amp;"]Datos!"&amp;LEFT(SUBSTITUTE(ADDRESS(1,IF(Formulas!AD144=1,1,RIGHT(Formulas!AE144)+2)),"$",""))&amp;Formulas!AC144+1,
IFERROR(INDEX(Datos!$A$1:$L$1,1,RIGHT(Formulas!AE144)+2)&amp;IF(Formulas!AD144=1," "&amp;Formulas!AC144,"")&amp;":","")))</f>
        <v/>
      </c>
      <c r="AC147" s="107" t="str" cm="1">
        <f t="array" aca="1" ref="AC147" ca="1">IF(OR(Formulas!AD144=0,Formulas!AD144="",RIGHT(Formulas!AE144)="0"),"",
HYPERLINK("["&amp;Archivo_Nombre&amp;"]Datos!"&amp;LEFT(SUBSTITUTE(ADDRESS(1,RIGHT(Formulas!AE144)+2),"$",""))&amp;Formulas!AC144+1,
IFERROR(INDEX(Datos!$A$2:$L$101,Formulas!AC144,RIGHT(Formulas!AE144)+2),"")))</f>
        <v/>
      </c>
      <c r="AD147" s="107" t="str" cm="1">
        <f t="array" aca="1" ref="AD147" ca="1">IF(OR(Formulas!AE145=0,Formulas!AE145=""),"",HYPERLINK("["&amp;Archivo_Nombre&amp;"]Datos!"&amp;LEFT(SUBSTITUTE(ADDRESS(1,Formulas!AE145+2),"$",""))&amp;Formulas!AD145+1,
IFERROR(INDEX(Datos!$A$2:$L$101,Formulas!AD145,Formulas!AE145+2),"")))</f>
        <v/>
      </c>
      <c r="AE147" s="13"/>
      <c r="AF147" s="6"/>
      <c r="AG147" s="24" t="str" cm="1">
        <f t="array" aca="1" ref="AG147" ca="1">IF(OR(Formulas!AI144=0,Formulas!AI144="",RIGHT(Formulas!AJ144)="0"),"",
HYPERLINK("["&amp;Archivo_Nombre&amp;"]Datos!"&amp;LEFT(SUBSTITUTE(ADDRESS(1,IF(Formulas!AI144=1,1,RIGHT(Formulas!AJ144)+2)),"$",""))&amp;Formulas!AH144+1,
IFERROR(INDEX(Datos!$A$1:$L$1,1,RIGHT(Formulas!AJ144)+2)&amp;IF(Formulas!AI144=1," "&amp;Formulas!AH144,"")&amp;":","")))</f>
        <v/>
      </c>
      <c r="AH147" s="107" t="str" cm="1">
        <f t="array" aca="1" ref="AH147" ca="1">IF(OR(Formulas!AI144=0,Formulas!AI144="",RIGHT(Formulas!AJ144)="0"),"",
HYPERLINK("["&amp;Archivo_Nombre&amp;"]Datos!"&amp;LEFT(SUBSTITUTE(ADDRESS(1,RIGHT(Formulas!AJ144)+2),"$",""))&amp;Formulas!AH144+1,
IFERROR(INDEX(Datos!$A$2:$L$101,Formulas!AH144,RIGHT(Formulas!AJ144)+2),"")))</f>
        <v/>
      </c>
      <c r="AI147" s="107" t="str" cm="1">
        <f t="array" aca="1" ref="AI147" ca="1">IF(OR(Formulas!AJ145=0,Formulas!AJ145=""),"",HYPERLINK("["&amp;Archivo_Nombre&amp;"]Datos!"&amp;LEFT(SUBSTITUTE(ADDRESS(1,Formulas!AJ145+2),"$",""))&amp;Formulas!AI145+1,
IFERROR(INDEX(Datos!$A$2:$L$101,Formulas!AI145,Formulas!AJ145+2),"")))</f>
        <v/>
      </c>
      <c r="AJ147" s="13"/>
      <c r="AK147" s="6"/>
      <c r="AL147" s="24" t="str" cm="1">
        <f t="array" aca="1" ref="AL147" ca="1">IF(OR(Formulas!AN144=0,Formulas!AN144="",RIGHT(Formulas!AO144)="0"),"",
HYPERLINK("["&amp;Archivo_Nombre&amp;"]Datos!"&amp;LEFT(SUBSTITUTE(ADDRESS(1,IF(Formulas!AN144=1,1,RIGHT(Formulas!AO144)+2)),"$",""))&amp;Formulas!AM144+1,
IFERROR(INDEX(Datos!$A$1:$L$1,1,RIGHT(Formulas!AO144)+2)&amp;IF(Formulas!AN144=1," "&amp;Formulas!AM144,"")&amp;":","")))</f>
        <v/>
      </c>
      <c r="AM147" s="107" t="str" cm="1">
        <f t="array" aca="1" ref="AM147" ca="1">IF(OR(Formulas!AN144=0,Formulas!AN144="",RIGHT(Formulas!AO144)="0"),"",
HYPERLINK("["&amp;Archivo_Nombre&amp;"]Datos!"&amp;LEFT(SUBSTITUTE(ADDRESS(1,RIGHT(Formulas!AO144)+2),"$",""))&amp;Formulas!AM144+1,
IFERROR(INDEX(Datos!$A$2:$L$101,Formulas!AM144,RIGHT(Formulas!AO144)+2),"")))</f>
        <v/>
      </c>
      <c r="AN147" s="107" t="str" cm="1">
        <f t="array" aca="1" ref="AN147" ca="1">IF(OR(Formulas!AO145=0,Formulas!AO145=""),"",HYPERLINK("["&amp;Archivo_Nombre&amp;"]Datos!"&amp;LEFT(SUBSTITUTE(ADDRESS(1,Formulas!AO145+2),"$",""))&amp;Formulas!AN145+1,
IFERROR(INDEX(Datos!$A$2:$L$101,Formulas!AN145,Formulas!AO145+2),"")))</f>
        <v/>
      </c>
      <c r="AO147" s="13"/>
      <c r="AP147" s="6"/>
      <c r="AQ147" s="24" t="str" cm="1">
        <f t="array" aca="1" ref="AQ147" ca="1">IF(OR(Formulas!AS144=0,Formulas!AS144="",RIGHT(Formulas!AT144)="0"),"",
HYPERLINK("["&amp;Archivo_Nombre&amp;"]Datos!"&amp;LEFT(SUBSTITUTE(ADDRESS(1,IF(Formulas!AS144=1,1,RIGHT(Formulas!AT144)+2)),"$",""))&amp;Formulas!AR144+1,
IFERROR(INDEX(Datos!$A$1:$L$1,1,RIGHT(Formulas!AT144)+2)&amp;IF(Formulas!AS144=1," "&amp;Formulas!AR144,"")&amp;":","")))</f>
        <v/>
      </c>
      <c r="AR147" s="107" t="str" cm="1">
        <f t="array" aca="1" ref="AR147" ca="1">IF(OR(Formulas!AS144=0,Formulas!AS144="",RIGHT(Formulas!AT144)="0"),"",
HYPERLINK("["&amp;Archivo_Nombre&amp;"]Datos!"&amp;LEFT(SUBSTITUTE(ADDRESS(1,RIGHT(Formulas!AT144)+2),"$",""))&amp;Formulas!AR144+1,
IFERROR(INDEX(Datos!$A$2:$L$101,Formulas!AR144,RIGHT(Formulas!AT144)+2),"")))</f>
        <v/>
      </c>
      <c r="AS147" s="107" t="str" cm="1">
        <f t="array" aca="1" ref="AS147" ca="1">IF(OR(Formulas!AT145=0,Formulas!AT145=""),"",HYPERLINK("["&amp;Archivo_Nombre&amp;"]Datos!"&amp;LEFT(SUBSTITUTE(ADDRESS(1,Formulas!AT145+2),"$",""))&amp;Formulas!AS145+1,
IFERROR(INDEX(Datos!$A$2:$L$101,Formulas!AS145,Formulas!AT145+2),"")))</f>
        <v/>
      </c>
      <c r="AT147" s="13"/>
      <c r="AU147" s="6"/>
      <c r="AV147" s="24" t="str" cm="1">
        <f t="array" aca="1" ref="AV147" ca="1">IF(OR(Formulas!AX144=0,Formulas!AX144="",RIGHT(Formulas!AY144)="0"),"",
HYPERLINK("["&amp;Archivo_Nombre&amp;"]Datos!"&amp;LEFT(SUBSTITUTE(ADDRESS(1,IF(Formulas!AX144=1,1,RIGHT(Formulas!AY144)+2)),"$",""))&amp;Formulas!AW144+1,
IFERROR(INDEX(Datos!$A$1:$L$1,1,RIGHT(Formulas!AY144)+2)&amp;IF(Formulas!AX144=1," "&amp;Formulas!AW144,"")&amp;":","")))</f>
        <v/>
      </c>
      <c r="AW147" s="107" t="str" cm="1">
        <f t="array" aca="1" ref="AW147" ca="1">IF(OR(Formulas!AX144=0,Formulas!AX144="",RIGHT(Formulas!AY144)="0"),"",
HYPERLINK("["&amp;Archivo_Nombre&amp;"]Datos!"&amp;LEFT(SUBSTITUTE(ADDRESS(1,RIGHT(Formulas!AY144)+2),"$",""))&amp;Formulas!AW144+1,
IFERROR(INDEX(Datos!$A$2:$L$101,Formulas!AW144,RIGHT(Formulas!AY144)+2),"")))</f>
        <v/>
      </c>
      <c r="AX147" s="107" t="str" cm="1">
        <f t="array" aca="1" ref="AX147" ca="1">IF(OR(Formulas!AY145=0,Formulas!AY145=""),"",HYPERLINK("["&amp;Archivo_Nombre&amp;"]Datos!"&amp;LEFT(SUBSTITUTE(ADDRESS(1,Formulas!AY145+2),"$",""))&amp;Formulas!AX145+1,
IFERROR(INDEX(Datos!$A$2:$L$101,Formulas!AX145,Formulas!AY145+2),"")))</f>
        <v/>
      </c>
      <c r="AY147" s="13"/>
    </row>
    <row r="148" spans="2:51" x14ac:dyDescent="0.25">
      <c r="B148" s="11"/>
      <c r="C148" s="24" t="str" cm="1">
        <f t="array" aca="1" ref="C148" ca="1">IF(OR(Formulas!E145=0,Formulas!E145="",RIGHT(Formulas!F145)="0"),"",
HYPERLINK("["&amp;Archivo_Nombre&amp;"]Datos!"&amp;LEFT(SUBSTITUTE(ADDRESS(1,IF(Formulas!E145=1,1,RIGHT(Formulas!F145)+2)),"$",""))&amp;Formulas!D145+1,
IFERROR(INDEX(Datos!$A$1:$L$1,1,RIGHT(Formulas!F145)+2)&amp;IF(Formulas!E145=1," "&amp;Formulas!D145,"")&amp;":","")))</f>
        <v/>
      </c>
      <c r="D148" s="107" t="str" cm="1">
        <f t="array" aca="1" ref="D148" ca="1">IF(OR(Formulas!E145=0,Formulas!E145="",RIGHT(Formulas!F145)="0"),"",
HYPERLINK("["&amp;Archivo_Nombre&amp;"]Datos!"&amp;LEFT(SUBSTITUTE(ADDRESS(1,RIGHT(Formulas!F145)+2),"$",""))&amp;Formulas!D145+1,
IFERROR(INDEX(Datos!$A$2:$L$101,Formulas!D145,RIGHT(Formulas!F145)+2),"")))</f>
        <v/>
      </c>
      <c r="E148" s="107" t="str" cm="1">
        <f t="array" aca="1" ref="E148" ca="1">IF(OR(Formulas!F146=0,Formulas!F146=""),"",HYPERLINK("["&amp;Archivo_Nombre&amp;"]Datos!"&amp;LEFT(SUBSTITUTE(ADDRESS(1,Formulas!F146+2),"$",""))&amp;Formulas!E146+1,
IFERROR(INDEX(Datos!$A$2:$L$101,Formulas!E146,Formulas!F146+2),"")))</f>
        <v/>
      </c>
      <c r="F148" s="5"/>
      <c r="G148" s="6"/>
      <c r="H148" s="24" t="str" cm="1">
        <f t="array" aca="1" ref="H148" ca="1">IF(OR(Formulas!J145=0,Formulas!J145="",RIGHT(Formulas!K145)="0"),"",
HYPERLINK("["&amp;Archivo_Nombre&amp;"]Datos!"&amp;LEFT(SUBSTITUTE(ADDRESS(1,IF(Formulas!J145=1,1,RIGHT(Formulas!K145)+2)),"$",""))&amp;Formulas!I145+1,
IFERROR(INDEX(Datos!$A$1:$L$1,1,RIGHT(Formulas!K145)+2)&amp;IF(Formulas!J145=1," "&amp;Formulas!I145,"")&amp;":","")))</f>
        <v/>
      </c>
      <c r="I148" s="107" t="str" cm="1">
        <f t="array" aca="1" ref="I148" ca="1">IF(OR(Formulas!J145=0,Formulas!J145="",RIGHT(Formulas!K145)="0"),"",
HYPERLINK("["&amp;Archivo_Nombre&amp;"]Datos!"&amp;LEFT(SUBSTITUTE(ADDRESS(1,RIGHT(Formulas!K145)+2),"$",""))&amp;Formulas!I145+1,
IFERROR(INDEX(Datos!$A$2:$L$101,Formulas!I145,RIGHT(Formulas!K145)+2),"")))</f>
        <v/>
      </c>
      <c r="J148" s="107" t="str" cm="1">
        <f t="array" aca="1" ref="J148" ca="1">IF(OR(Formulas!K146=0,Formulas!K146=""),"",HYPERLINK("["&amp;Archivo_Nombre&amp;"]Datos!"&amp;LEFT(SUBSTITUTE(ADDRESS(1,Formulas!K146+2),"$",""))&amp;Formulas!J146+1,
IFERROR(INDEX(Datos!$A$2:$L$101,Formulas!J146,Formulas!K146+2),"")))</f>
        <v/>
      </c>
      <c r="K148" s="5"/>
      <c r="L148" s="6"/>
      <c r="M148" s="24" t="str" cm="1">
        <f t="array" aca="1" ref="M148" ca="1">IF(OR(Formulas!O145=0,Formulas!O145="",RIGHT(Formulas!P145)="0"),"",
HYPERLINK("["&amp;Archivo_Nombre&amp;"]Datos!"&amp;LEFT(SUBSTITUTE(ADDRESS(1,IF(Formulas!O145=1,1,RIGHT(Formulas!P145)+2)),"$",""))&amp;Formulas!N145+1,
IFERROR(INDEX(Datos!$A$1:$L$1,1,RIGHT(Formulas!P145)+2)&amp;IF(Formulas!O145=1," "&amp;Formulas!N145,"")&amp;":","")))</f>
        <v/>
      </c>
      <c r="N148" s="107" t="str" cm="1">
        <f t="array" aca="1" ref="N148" ca="1">IF(OR(Formulas!O145=0,Formulas!O145="",RIGHT(Formulas!P145)="0"),"",
HYPERLINK("["&amp;Archivo_Nombre&amp;"]Datos!"&amp;LEFT(SUBSTITUTE(ADDRESS(1,RIGHT(Formulas!P145)+2),"$",""))&amp;Formulas!N145+1,
IFERROR(INDEX(Datos!$A$2:$L$101,Formulas!N145,RIGHT(Formulas!P145)+2),"")))</f>
        <v/>
      </c>
      <c r="O148" s="107" t="str" cm="1">
        <f t="array" aca="1" ref="O148" ca="1">IF(OR(Formulas!P146=0,Formulas!P146=""),"",HYPERLINK("["&amp;Archivo_Nombre&amp;"]Datos!"&amp;LEFT(SUBSTITUTE(ADDRESS(1,Formulas!P146+2),"$",""))&amp;Formulas!O146+1,
IFERROR(INDEX(Datos!$A$2:$L$101,Formulas!O146,Formulas!P146+2),"")))</f>
        <v/>
      </c>
      <c r="P148" s="5"/>
      <c r="Q148" s="6"/>
      <c r="R148" s="24" t="str" cm="1">
        <f t="array" aca="1" ref="R148" ca="1">IF(OR(Formulas!T145=0,Formulas!T145="",RIGHT(Formulas!U145)="0"),"",
HYPERLINK("["&amp;Archivo_Nombre&amp;"]Datos!"&amp;LEFT(SUBSTITUTE(ADDRESS(1,IF(Formulas!T145=1,1,RIGHT(Formulas!U145)+2)),"$",""))&amp;Formulas!S145+1,
IFERROR(INDEX(Datos!$A$1:$L$1,1,RIGHT(Formulas!U145)+2)&amp;IF(Formulas!T145=1," "&amp;Formulas!S145,"")&amp;":","")))</f>
        <v>Descripción:</v>
      </c>
      <c r="S148" s="107" t="str" cm="1">
        <f t="array" aca="1" ref="S148" ca="1">IF(OR(Formulas!T145=0,Formulas!T145="",RIGHT(Formulas!U145)="0"),"",
HYPERLINK("["&amp;Archivo_Nombre&amp;"]Datos!"&amp;LEFT(SUBSTITUTE(ADDRESS(1,RIGHT(Formulas!U145)+2),"$",""))&amp;Formulas!S145+1,
IFERROR(INDEX(Datos!$A$2:$L$101,Formulas!S145,RIGHT(Formulas!U145)+2),"")))</f>
        <v>Realizar la  revisión de Sprint1</v>
      </c>
      <c r="T148" s="107" t="e" cm="1">
        <f t="array" aca="1" ref="T148" ca="1">IF(OR(Formulas!U146=0,Formulas!U146=""),"",HYPERLINK("["&amp;Archivo_Nombre&amp;"]Datos!"&amp;LEFT(SUBSTITUTE(ADDRESS(1,Formulas!U146+2),"$",""))&amp;Formulas!T146+1,
IFERROR(INDEX(Datos!$A$2:$L$101,Formulas!T146,Formulas!U146+2),"")))</f>
        <v>#VALUE!</v>
      </c>
      <c r="U148" s="5"/>
      <c r="V148" s="6"/>
      <c r="W148" s="24" t="str" cm="1">
        <f t="array" aca="1" ref="W148" ca="1">IF(OR(Formulas!Y145=0,Formulas!Y145="",RIGHT(Formulas!Z145)="0"),"",
HYPERLINK("["&amp;Archivo_Nombre&amp;"]Datos!"&amp;LEFT(SUBSTITUTE(ADDRESS(1,IF(Formulas!Y145=1,1,RIGHT(Formulas!Z145)+2)),"$",""))&amp;Formulas!X145+1,
IFERROR(INDEX(Datos!$A$1:$L$1,1,RIGHT(Formulas!Z145)+2)&amp;IF(Formulas!Y145=1," "&amp;Formulas!X145,"")&amp;":","")))</f>
        <v/>
      </c>
      <c r="X148" s="107" t="str" cm="1">
        <f t="array" aca="1" ref="X148" ca="1">IF(OR(Formulas!Y145=0,Formulas!Y145="",RIGHT(Formulas!Z145)="0"),"",
HYPERLINK("["&amp;Archivo_Nombre&amp;"]Datos!"&amp;LEFT(SUBSTITUTE(ADDRESS(1,RIGHT(Formulas!Z145)+2),"$",""))&amp;Formulas!X145+1,
IFERROR(INDEX(Datos!$A$2:$L$101,Formulas!X145,RIGHT(Formulas!Z145)+2),"")))</f>
        <v/>
      </c>
      <c r="Y148" s="107" t="str" cm="1">
        <f t="array" aca="1" ref="Y148" ca="1">IF(OR(Formulas!Z146=0,Formulas!Z146=""),"",HYPERLINK("["&amp;Archivo_Nombre&amp;"]Datos!"&amp;LEFT(SUBSTITUTE(ADDRESS(1,Formulas!Z146+2),"$",""))&amp;Formulas!Y146+1,
IFERROR(INDEX(Datos!$A$2:$L$101,Formulas!Y146,Formulas!Z146+2),"")))</f>
        <v/>
      </c>
      <c r="Z148" s="13"/>
      <c r="AA148" s="6"/>
      <c r="AB148" s="24" t="str" cm="1">
        <f t="array" aca="1" ref="AB148" ca="1">IF(OR(Formulas!AD145=0,Formulas!AD145="",RIGHT(Formulas!AE145)="0"),"",
HYPERLINK("["&amp;Archivo_Nombre&amp;"]Datos!"&amp;LEFT(SUBSTITUTE(ADDRESS(1,IF(Formulas!AD145=1,1,RIGHT(Formulas!AE145)+2)),"$",""))&amp;Formulas!AC145+1,
IFERROR(INDEX(Datos!$A$1:$L$1,1,RIGHT(Formulas!AE145)+2)&amp;IF(Formulas!AD145=1," "&amp;Formulas!AC145,"")&amp;":","")))</f>
        <v/>
      </c>
      <c r="AC148" s="107" t="str" cm="1">
        <f t="array" aca="1" ref="AC148" ca="1">IF(OR(Formulas!AD145=0,Formulas!AD145="",RIGHT(Formulas!AE145)="0"),"",
HYPERLINK("["&amp;Archivo_Nombre&amp;"]Datos!"&amp;LEFT(SUBSTITUTE(ADDRESS(1,RIGHT(Formulas!AE145)+2),"$",""))&amp;Formulas!AC145+1,
IFERROR(INDEX(Datos!$A$2:$L$101,Formulas!AC145,RIGHT(Formulas!AE145)+2),"")))</f>
        <v/>
      </c>
      <c r="AD148" s="107" t="str" cm="1">
        <f t="array" aca="1" ref="AD148" ca="1">IF(OR(Formulas!AE146=0,Formulas!AE146=""),"",HYPERLINK("["&amp;Archivo_Nombre&amp;"]Datos!"&amp;LEFT(SUBSTITUTE(ADDRESS(1,Formulas!AE146+2),"$",""))&amp;Formulas!AD146+1,
IFERROR(INDEX(Datos!$A$2:$L$101,Formulas!AD146,Formulas!AE146+2),"")))</f>
        <v/>
      </c>
      <c r="AE148" s="13"/>
      <c r="AF148" s="6"/>
      <c r="AG148" s="24" t="str" cm="1">
        <f t="array" aca="1" ref="AG148" ca="1">IF(OR(Formulas!AI145=0,Formulas!AI145="",RIGHT(Formulas!AJ145)="0"),"",
HYPERLINK("["&amp;Archivo_Nombre&amp;"]Datos!"&amp;LEFT(SUBSTITUTE(ADDRESS(1,IF(Formulas!AI145=1,1,RIGHT(Formulas!AJ145)+2)),"$",""))&amp;Formulas!AH145+1,
IFERROR(INDEX(Datos!$A$1:$L$1,1,RIGHT(Formulas!AJ145)+2)&amp;IF(Formulas!AI145=1," "&amp;Formulas!AH145,"")&amp;":","")))</f>
        <v/>
      </c>
      <c r="AH148" s="107" t="str" cm="1">
        <f t="array" aca="1" ref="AH148" ca="1">IF(OR(Formulas!AI145=0,Formulas!AI145="",RIGHT(Formulas!AJ145)="0"),"",
HYPERLINK("["&amp;Archivo_Nombre&amp;"]Datos!"&amp;LEFT(SUBSTITUTE(ADDRESS(1,RIGHT(Formulas!AJ145)+2),"$",""))&amp;Formulas!AH145+1,
IFERROR(INDEX(Datos!$A$2:$L$101,Formulas!AH145,RIGHT(Formulas!AJ145)+2),"")))</f>
        <v/>
      </c>
      <c r="AI148" s="107" t="str" cm="1">
        <f t="array" aca="1" ref="AI148" ca="1">IF(OR(Formulas!AJ146=0,Formulas!AJ146=""),"",HYPERLINK("["&amp;Archivo_Nombre&amp;"]Datos!"&amp;LEFT(SUBSTITUTE(ADDRESS(1,Formulas!AJ146+2),"$",""))&amp;Formulas!AI146+1,
IFERROR(INDEX(Datos!$A$2:$L$101,Formulas!AI146,Formulas!AJ146+2),"")))</f>
        <v/>
      </c>
      <c r="AJ148" s="13"/>
      <c r="AK148" s="6"/>
      <c r="AL148" s="24" t="str" cm="1">
        <f t="array" aca="1" ref="AL148" ca="1">IF(OR(Formulas!AN145=0,Formulas!AN145="",RIGHT(Formulas!AO145)="0"),"",
HYPERLINK("["&amp;Archivo_Nombre&amp;"]Datos!"&amp;LEFT(SUBSTITUTE(ADDRESS(1,IF(Formulas!AN145=1,1,RIGHT(Formulas!AO145)+2)),"$",""))&amp;Formulas!AM145+1,
IFERROR(INDEX(Datos!$A$1:$L$1,1,RIGHT(Formulas!AO145)+2)&amp;IF(Formulas!AN145=1," "&amp;Formulas!AM145,"")&amp;":","")))</f>
        <v/>
      </c>
      <c r="AM148" s="107" t="str" cm="1">
        <f t="array" aca="1" ref="AM148" ca="1">IF(OR(Formulas!AN145=0,Formulas!AN145="",RIGHT(Formulas!AO145)="0"),"",
HYPERLINK("["&amp;Archivo_Nombre&amp;"]Datos!"&amp;LEFT(SUBSTITUTE(ADDRESS(1,RIGHT(Formulas!AO145)+2),"$",""))&amp;Formulas!AM145+1,
IFERROR(INDEX(Datos!$A$2:$L$101,Formulas!AM145,RIGHT(Formulas!AO145)+2),"")))</f>
        <v/>
      </c>
      <c r="AN148" s="107" t="str" cm="1">
        <f t="array" aca="1" ref="AN148" ca="1">IF(OR(Formulas!AO146=0,Formulas!AO146=""),"",HYPERLINK("["&amp;Archivo_Nombre&amp;"]Datos!"&amp;LEFT(SUBSTITUTE(ADDRESS(1,Formulas!AO146+2),"$",""))&amp;Formulas!AN146+1,
IFERROR(INDEX(Datos!$A$2:$L$101,Formulas!AN146,Formulas!AO146+2),"")))</f>
        <v/>
      </c>
      <c r="AO148" s="13"/>
      <c r="AP148" s="6"/>
      <c r="AQ148" s="24" t="str" cm="1">
        <f t="array" aca="1" ref="AQ148" ca="1">IF(OR(Formulas!AS145=0,Formulas!AS145="",RIGHT(Formulas!AT145)="0"),"",
HYPERLINK("["&amp;Archivo_Nombre&amp;"]Datos!"&amp;LEFT(SUBSTITUTE(ADDRESS(1,IF(Formulas!AS145=1,1,RIGHT(Formulas!AT145)+2)),"$",""))&amp;Formulas!AR145+1,
IFERROR(INDEX(Datos!$A$1:$L$1,1,RIGHT(Formulas!AT145)+2)&amp;IF(Formulas!AS145=1," "&amp;Formulas!AR145,"")&amp;":","")))</f>
        <v/>
      </c>
      <c r="AR148" s="107" t="str" cm="1">
        <f t="array" aca="1" ref="AR148" ca="1">IF(OR(Formulas!AS145=0,Formulas!AS145="",RIGHT(Formulas!AT145)="0"),"",
HYPERLINK("["&amp;Archivo_Nombre&amp;"]Datos!"&amp;LEFT(SUBSTITUTE(ADDRESS(1,RIGHT(Formulas!AT145)+2),"$",""))&amp;Formulas!AR145+1,
IFERROR(INDEX(Datos!$A$2:$L$101,Formulas!AR145,RIGHT(Formulas!AT145)+2),"")))</f>
        <v/>
      </c>
      <c r="AS148" s="107" t="str" cm="1">
        <f t="array" aca="1" ref="AS148" ca="1">IF(OR(Formulas!AT146=0,Formulas!AT146=""),"",HYPERLINK("["&amp;Archivo_Nombre&amp;"]Datos!"&amp;LEFT(SUBSTITUTE(ADDRESS(1,Formulas!AT146+2),"$",""))&amp;Formulas!AS146+1,
IFERROR(INDEX(Datos!$A$2:$L$101,Formulas!AS146,Formulas!AT146+2),"")))</f>
        <v/>
      </c>
      <c r="AT148" s="13"/>
      <c r="AU148" s="6"/>
      <c r="AV148" s="24" t="str" cm="1">
        <f t="array" aca="1" ref="AV148" ca="1">IF(OR(Formulas!AX145=0,Formulas!AX145="",RIGHT(Formulas!AY145)="0"),"",
HYPERLINK("["&amp;Archivo_Nombre&amp;"]Datos!"&amp;LEFT(SUBSTITUTE(ADDRESS(1,IF(Formulas!AX145=1,1,RIGHT(Formulas!AY145)+2)),"$",""))&amp;Formulas!AW145+1,
IFERROR(INDEX(Datos!$A$1:$L$1,1,RIGHT(Formulas!AY145)+2)&amp;IF(Formulas!AX145=1," "&amp;Formulas!AW145,"")&amp;":","")))</f>
        <v/>
      </c>
      <c r="AW148" s="107" t="str" cm="1">
        <f t="array" aca="1" ref="AW148" ca="1">IF(OR(Formulas!AX145=0,Formulas!AX145="",RIGHT(Formulas!AY145)="0"),"",
HYPERLINK("["&amp;Archivo_Nombre&amp;"]Datos!"&amp;LEFT(SUBSTITUTE(ADDRESS(1,RIGHT(Formulas!AY145)+2),"$",""))&amp;Formulas!AW145+1,
IFERROR(INDEX(Datos!$A$2:$L$101,Formulas!AW145,RIGHT(Formulas!AY145)+2),"")))</f>
        <v/>
      </c>
      <c r="AX148" s="107" t="str" cm="1">
        <f t="array" aca="1" ref="AX148" ca="1">IF(OR(Formulas!AY146=0,Formulas!AY146=""),"",HYPERLINK("["&amp;Archivo_Nombre&amp;"]Datos!"&amp;LEFT(SUBSTITUTE(ADDRESS(1,Formulas!AY146+2),"$",""))&amp;Formulas!AX146+1,
IFERROR(INDEX(Datos!$A$2:$L$101,Formulas!AX146,Formulas!AY146+2),"")))</f>
        <v/>
      </c>
      <c r="AY148" s="13"/>
    </row>
    <row r="149" spans="2:51" x14ac:dyDescent="0.25">
      <c r="B149" s="11"/>
      <c r="C149" s="24" t="str" cm="1">
        <f t="array" aca="1" ref="C149" ca="1">IF(OR(Formulas!E146=0,Formulas!E146="",RIGHT(Formulas!F146)="0"),"",
HYPERLINK("["&amp;Archivo_Nombre&amp;"]Datos!"&amp;LEFT(SUBSTITUTE(ADDRESS(1,IF(Formulas!E146=1,1,RIGHT(Formulas!F146)+2)),"$",""))&amp;Formulas!D146+1,
IFERROR(INDEX(Datos!$A$1:$L$1,1,RIGHT(Formulas!F146)+2)&amp;IF(Formulas!E146=1," "&amp;Formulas!D146,"")&amp;":","")))</f>
        <v/>
      </c>
      <c r="D149" s="107" t="str" cm="1">
        <f t="array" aca="1" ref="D149" ca="1">IF(OR(Formulas!E146=0,Formulas!E146="",RIGHT(Formulas!F146)="0"),"",
HYPERLINK("["&amp;Archivo_Nombre&amp;"]Datos!"&amp;LEFT(SUBSTITUTE(ADDRESS(1,RIGHT(Formulas!F146)+2),"$",""))&amp;Formulas!D146+1,
IFERROR(INDEX(Datos!$A$2:$L$101,Formulas!D146,RIGHT(Formulas!F146)+2),"")))</f>
        <v/>
      </c>
      <c r="E149" s="107" t="str" cm="1">
        <f t="array" aca="1" ref="E149" ca="1">IF(OR(Formulas!F147=0,Formulas!F147=""),"",HYPERLINK("["&amp;Archivo_Nombre&amp;"]Datos!"&amp;LEFT(SUBSTITUTE(ADDRESS(1,Formulas!F147+2),"$",""))&amp;Formulas!E147+1,
IFERROR(INDEX(Datos!$A$2:$L$101,Formulas!E147,Formulas!F147+2),"")))</f>
        <v/>
      </c>
      <c r="F149" s="5"/>
      <c r="G149" s="6"/>
      <c r="H149" s="24" t="str" cm="1">
        <f t="array" aca="1" ref="H149" ca="1">IF(OR(Formulas!J146=0,Formulas!J146="",RIGHT(Formulas!K146)="0"),"",
HYPERLINK("["&amp;Archivo_Nombre&amp;"]Datos!"&amp;LEFT(SUBSTITUTE(ADDRESS(1,IF(Formulas!J146=1,1,RIGHT(Formulas!K146)+2)),"$",""))&amp;Formulas!I146+1,
IFERROR(INDEX(Datos!$A$1:$L$1,1,RIGHT(Formulas!K146)+2)&amp;IF(Formulas!J146=1," "&amp;Formulas!I146,"")&amp;":","")))</f>
        <v/>
      </c>
      <c r="I149" s="107" t="str" cm="1">
        <f t="array" aca="1" ref="I149" ca="1">IF(OR(Formulas!J146=0,Formulas!J146="",RIGHT(Formulas!K146)="0"),"",
HYPERLINK("["&amp;Archivo_Nombre&amp;"]Datos!"&amp;LEFT(SUBSTITUTE(ADDRESS(1,RIGHT(Formulas!K146)+2),"$",""))&amp;Formulas!I146+1,
IFERROR(INDEX(Datos!$A$2:$L$101,Formulas!I146,RIGHT(Formulas!K146)+2),"")))</f>
        <v/>
      </c>
      <c r="J149" s="107" t="str" cm="1">
        <f t="array" aca="1" ref="J149" ca="1">IF(OR(Formulas!K147=0,Formulas!K147=""),"",HYPERLINK("["&amp;Archivo_Nombre&amp;"]Datos!"&amp;LEFT(SUBSTITUTE(ADDRESS(1,Formulas!K147+2),"$",""))&amp;Formulas!J147+1,
IFERROR(INDEX(Datos!$A$2:$L$101,Formulas!J147,Formulas!K147+2),"")))</f>
        <v/>
      </c>
      <c r="K149" s="5"/>
      <c r="L149" s="6"/>
      <c r="M149" s="24" t="str" cm="1">
        <f t="array" aca="1" ref="M149" ca="1">IF(OR(Formulas!O146=0,Formulas!O146="",RIGHT(Formulas!P146)="0"),"",
HYPERLINK("["&amp;Archivo_Nombre&amp;"]Datos!"&amp;LEFT(SUBSTITUTE(ADDRESS(1,IF(Formulas!O146=1,1,RIGHT(Formulas!P146)+2)),"$",""))&amp;Formulas!N146+1,
IFERROR(INDEX(Datos!$A$1:$L$1,1,RIGHT(Formulas!P146)+2)&amp;IF(Formulas!O146=1," "&amp;Formulas!N146,"")&amp;":","")))</f>
        <v/>
      </c>
      <c r="N149" s="107" t="str" cm="1">
        <f t="array" aca="1" ref="N149" ca="1">IF(OR(Formulas!O146=0,Formulas!O146="",RIGHT(Formulas!P146)="0"),"",
HYPERLINK("["&amp;Archivo_Nombre&amp;"]Datos!"&amp;LEFT(SUBSTITUTE(ADDRESS(1,RIGHT(Formulas!P146)+2),"$",""))&amp;Formulas!N146+1,
IFERROR(INDEX(Datos!$A$2:$L$101,Formulas!N146,RIGHT(Formulas!P146)+2),"")))</f>
        <v/>
      </c>
      <c r="O149" s="107" t="str" cm="1">
        <f t="array" aca="1" ref="O149" ca="1">IF(OR(Formulas!P147=0,Formulas!P147=""),"",HYPERLINK("["&amp;Archivo_Nombre&amp;"]Datos!"&amp;LEFT(SUBSTITUTE(ADDRESS(1,Formulas!P147+2),"$",""))&amp;Formulas!O147+1,
IFERROR(INDEX(Datos!$A$2:$L$101,Formulas!O147,Formulas!P147+2),"")))</f>
        <v/>
      </c>
      <c r="P149" s="5"/>
      <c r="Q149" s="6"/>
      <c r="R149" s="24" t="str" cm="1">
        <f t="array" aca="1" ref="R149" ca="1">IF(OR(Formulas!T146=0,Formulas!T146="",RIGHT(Formulas!U146)="0"),"",
HYPERLINK("["&amp;Archivo_Nombre&amp;"]Datos!"&amp;LEFT(SUBSTITUTE(ADDRESS(1,IF(Formulas!T146=1,1,RIGHT(Formulas!U146)+2)),"$",""))&amp;Formulas!S146+1,
IFERROR(INDEX(Datos!$A$1:$L$1,1,RIGHT(Formulas!U146)+2)&amp;IF(Formulas!T146=1," "&amp;Formulas!S146,"")&amp;":","")))</f>
        <v>Inicio:</v>
      </c>
      <c r="S149" s="107" cm="1">
        <f t="array" aca="1" ref="S149" ca="1">IF(OR(Formulas!T146=0,Formulas!T146="",RIGHT(Formulas!U146)="0"),"",
HYPERLINK("["&amp;Archivo_Nombre&amp;"]Datos!"&amp;LEFT(SUBSTITUTE(ADDRESS(1,RIGHT(Formulas!U146)+2),"$",""))&amp;Formulas!S146+1,
IFERROR(INDEX(Datos!$A$2:$L$101,Formulas!S146,RIGHT(Formulas!U146)+2),"")))</f>
        <v>45600</v>
      </c>
      <c r="T149" s="107" t="e" cm="1">
        <f t="array" aca="1" ref="T149" ca="1">IF(OR(Formulas!U147=0,Formulas!U147=""),"",HYPERLINK("["&amp;Archivo_Nombre&amp;"]Datos!"&amp;LEFT(SUBSTITUTE(ADDRESS(1,Formulas!U147+2),"$",""))&amp;Formulas!T147+1,
IFERROR(INDEX(Datos!$A$2:$L$101,Formulas!T147,Formulas!U147+2),"")))</f>
        <v>#VALUE!</v>
      </c>
      <c r="U149" s="5"/>
      <c r="V149" s="6"/>
      <c r="W149" s="24" t="str" cm="1">
        <f t="array" aca="1" ref="W149" ca="1">IF(OR(Formulas!Y146=0,Formulas!Y146="",RIGHT(Formulas!Z146)="0"),"",
HYPERLINK("["&amp;Archivo_Nombre&amp;"]Datos!"&amp;LEFT(SUBSTITUTE(ADDRESS(1,IF(Formulas!Y146=1,1,RIGHT(Formulas!Z146)+2)),"$",""))&amp;Formulas!X146+1,
IFERROR(INDEX(Datos!$A$1:$L$1,1,RIGHT(Formulas!Z146)+2)&amp;IF(Formulas!Y146=1," "&amp;Formulas!X146,"")&amp;":","")))</f>
        <v/>
      </c>
      <c r="X149" s="107" t="str" cm="1">
        <f t="array" aca="1" ref="X149" ca="1">IF(OR(Formulas!Y146=0,Formulas!Y146="",RIGHT(Formulas!Z146)="0"),"",
HYPERLINK("["&amp;Archivo_Nombre&amp;"]Datos!"&amp;LEFT(SUBSTITUTE(ADDRESS(1,RIGHT(Formulas!Z146)+2),"$",""))&amp;Formulas!X146+1,
IFERROR(INDEX(Datos!$A$2:$L$101,Formulas!X146,RIGHT(Formulas!Z146)+2),"")))</f>
        <v/>
      </c>
      <c r="Y149" s="107" t="str" cm="1">
        <f t="array" aca="1" ref="Y149" ca="1">IF(OR(Formulas!Z147=0,Formulas!Z147=""),"",HYPERLINK("["&amp;Archivo_Nombre&amp;"]Datos!"&amp;LEFT(SUBSTITUTE(ADDRESS(1,Formulas!Z147+2),"$",""))&amp;Formulas!Y147+1,
IFERROR(INDEX(Datos!$A$2:$L$101,Formulas!Y147,Formulas!Z147+2),"")))</f>
        <v/>
      </c>
      <c r="Z149" s="13"/>
      <c r="AA149" s="6"/>
      <c r="AB149" s="24" t="str" cm="1">
        <f t="array" aca="1" ref="AB149" ca="1">IF(OR(Formulas!AD146=0,Formulas!AD146="",RIGHT(Formulas!AE146)="0"),"",
HYPERLINK("["&amp;Archivo_Nombre&amp;"]Datos!"&amp;LEFT(SUBSTITUTE(ADDRESS(1,IF(Formulas!AD146=1,1,RIGHT(Formulas!AE146)+2)),"$",""))&amp;Formulas!AC146+1,
IFERROR(INDEX(Datos!$A$1:$L$1,1,RIGHT(Formulas!AE146)+2)&amp;IF(Formulas!AD146=1," "&amp;Formulas!AC146,"")&amp;":","")))</f>
        <v/>
      </c>
      <c r="AC149" s="107" t="str" cm="1">
        <f t="array" aca="1" ref="AC149" ca="1">IF(OR(Formulas!AD146=0,Formulas!AD146="",RIGHT(Formulas!AE146)="0"),"",
HYPERLINK("["&amp;Archivo_Nombre&amp;"]Datos!"&amp;LEFT(SUBSTITUTE(ADDRESS(1,RIGHT(Formulas!AE146)+2),"$",""))&amp;Formulas!AC146+1,
IFERROR(INDEX(Datos!$A$2:$L$101,Formulas!AC146,RIGHT(Formulas!AE146)+2),"")))</f>
        <v/>
      </c>
      <c r="AD149" s="107" t="str" cm="1">
        <f t="array" aca="1" ref="AD149" ca="1">IF(OR(Formulas!AE147=0,Formulas!AE147=""),"",HYPERLINK("["&amp;Archivo_Nombre&amp;"]Datos!"&amp;LEFT(SUBSTITUTE(ADDRESS(1,Formulas!AE147+2),"$",""))&amp;Formulas!AD147+1,
IFERROR(INDEX(Datos!$A$2:$L$101,Formulas!AD147,Formulas!AE147+2),"")))</f>
        <v/>
      </c>
      <c r="AE149" s="13"/>
      <c r="AF149" s="6"/>
      <c r="AG149" s="24" t="str" cm="1">
        <f t="array" aca="1" ref="AG149" ca="1">IF(OR(Formulas!AI146=0,Formulas!AI146="",RIGHT(Formulas!AJ146)="0"),"",
HYPERLINK("["&amp;Archivo_Nombre&amp;"]Datos!"&amp;LEFT(SUBSTITUTE(ADDRESS(1,IF(Formulas!AI146=1,1,RIGHT(Formulas!AJ146)+2)),"$",""))&amp;Formulas!AH146+1,
IFERROR(INDEX(Datos!$A$1:$L$1,1,RIGHT(Formulas!AJ146)+2)&amp;IF(Formulas!AI146=1," "&amp;Formulas!AH146,"")&amp;":","")))</f>
        <v/>
      </c>
      <c r="AH149" s="107" t="str" cm="1">
        <f t="array" aca="1" ref="AH149" ca="1">IF(OR(Formulas!AI146=0,Formulas!AI146="",RIGHT(Formulas!AJ146)="0"),"",
HYPERLINK("["&amp;Archivo_Nombre&amp;"]Datos!"&amp;LEFT(SUBSTITUTE(ADDRESS(1,RIGHT(Formulas!AJ146)+2),"$",""))&amp;Formulas!AH146+1,
IFERROR(INDEX(Datos!$A$2:$L$101,Formulas!AH146,RIGHT(Formulas!AJ146)+2),"")))</f>
        <v/>
      </c>
      <c r="AI149" s="107" t="str" cm="1">
        <f t="array" aca="1" ref="AI149" ca="1">IF(OR(Formulas!AJ147=0,Formulas!AJ147=""),"",HYPERLINK("["&amp;Archivo_Nombre&amp;"]Datos!"&amp;LEFT(SUBSTITUTE(ADDRESS(1,Formulas!AJ147+2),"$",""))&amp;Formulas!AI147+1,
IFERROR(INDEX(Datos!$A$2:$L$101,Formulas!AI147,Formulas!AJ147+2),"")))</f>
        <v/>
      </c>
      <c r="AJ149" s="13"/>
      <c r="AK149" s="6"/>
      <c r="AL149" s="24" t="str" cm="1">
        <f t="array" aca="1" ref="AL149" ca="1">IF(OR(Formulas!AN146=0,Formulas!AN146="",RIGHT(Formulas!AO146)="0"),"",
HYPERLINK("["&amp;Archivo_Nombre&amp;"]Datos!"&amp;LEFT(SUBSTITUTE(ADDRESS(1,IF(Formulas!AN146=1,1,RIGHT(Formulas!AO146)+2)),"$",""))&amp;Formulas!AM146+1,
IFERROR(INDEX(Datos!$A$1:$L$1,1,RIGHT(Formulas!AO146)+2)&amp;IF(Formulas!AN146=1," "&amp;Formulas!AM146,"")&amp;":","")))</f>
        <v/>
      </c>
      <c r="AM149" s="107" t="str" cm="1">
        <f t="array" aca="1" ref="AM149" ca="1">IF(OR(Formulas!AN146=0,Formulas!AN146="",RIGHT(Formulas!AO146)="0"),"",
HYPERLINK("["&amp;Archivo_Nombre&amp;"]Datos!"&amp;LEFT(SUBSTITUTE(ADDRESS(1,RIGHT(Formulas!AO146)+2),"$",""))&amp;Formulas!AM146+1,
IFERROR(INDEX(Datos!$A$2:$L$101,Formulas!AM146,RIGHT(Formulas!AO146)+2),"")))</f>
        <v/>
      </c>
      <c r="AN149" s="107" t="str" cm="1">
        <f t="array" aca="1" ref="AN149" ca="1">IF(OR(Formulas!AO147=0,Formulas!AO147=""),"",HYPERLINK("["&amp;Archivo_Nombre&amp;"]Datos!"&amp;LEFT(SUBSTITUTE(ADDRESS(1,Formulas!AO147+2),"$",""))&amp;Formulas!AN147+1,
IFERROR(INDEX(Datos!$A$2:$L$101,Formulas!AN147,Formulas!AO147+2),"")))</f>
        <v/>
      </c>
      <c r="AO149" s="13"/>
      <c r="AP149" s="6"/>
      <c r="AQ149" s="24" t="str" cm="1">
        <f t="array" aca="1" ref="AQ149" ca="1">IF(OR(Formulas!AS146=0,Formulas!AS146="",RIGHT(Formulas!AT146)="0"),"",
HYPERLINK("["&amp;Archivo_Nombre&amp;"]Datos!"&amp;LEFT(SUBSTITUTE(ADDRESS(1,IF(Formulas!AS146=1,1,RIGHT(Formulas!AT146)+2)),"$",""))&amp;Formulas!AR146+1,
IFERROR(INDEX(Datos!$A$1:$L$1,1,RIGHT(Formulas!AT146)+2)&amp;IF(Formulas!AS146=1," "&amp;Formulas!AR146,"")&amp;":","")))</f>
        <v/>
      </c>
      <c r="AR149" s="107" t="str" cm="1">
        <f t="array" aca="1" ref="AR149" ca="1">IF(OR(Formulas!AS146=0,Formulas!AS146="",RIGHT(Formulas!AT146)="0"),"",
HYPERLINK("["&amp;Archivo_Nombre&amp;"]Datos!"&amp;LEFT(SUBSTITUTE(ADDRESS(1,RIGHT(Formulas!AT146)+2),"$",""))&amp;Formulas!AR146+1,
IFERROR(INDEX(Datos!$A$2:$L$101,Formulas!AR146,RIGHT(Formulas!AT146)+2),"")))</f>
        <v/>
      </c>
      <c r="AS149" s="107" t="str" cm="1">
        <f t="array" aca="1" ref="AS149" ca="1">IF(OR(Formulas!AT147=0,Formulas!AT147=""),"",HYPERLINK("["&amp;Archivo_Nombre&amp;"]Datos!"&amp;LEFT(SUBSTITUTE(ADDRESS(1,Formulas!AT147+2),"$",""))&amp;Formulas!AS147+1,
IFERROR(INDEX(Datos!$A$2:$L$101,Formulas!AS147,Formulas!AT147+2),"")))</f>
        <v/>
      </c>
      <c r="AT149" s="13"/>
      <c r="AU149" s="6"/>
      <c r="AV149" s="24" t="str" cm="1">
        <f t="array" aca="1" ref="AV149" ca="1">IF(OR(Formulas!AX146=0,Formulas!AX146="",RIGHT(Formulas!AY146)="0"),"",
HYPERLINK("["&amp;Archivo_Nombre&amp;"]Datos!"&amp;LEFT(SUBSTITUTE(ADDRESS(1,IF(Formulas!AX146=1,1,RIGHT(Formulas!AY146)+2)),"$",""))&amp;Formulas!AW146+1,
IFERROR(INDEX(Datos!$A$1:$L$1,1,RIGHT(Formulas!AY146)+2)&amp;IF(Formulas!AX146=1," "&amp;Formulas!AW146,"")&amp;":","")))</f>
        <v/>
      </c>
      <c r="AW149" s="107" t="str" cm="1">
        <f t="array" aca="1" ref="AW149" ca="1">IF(OR(Formulas!AX146=0,Formulas!AX146="",RIGHT(Formulas!AY146)="0"),"",
HYPERLINK("["&amp;Archivo_Nombre&amp;"]Datos!"&amp;LEFT(SUBSTITUTE(ADDRESS(1,RIGHT(Formulas!AY146)+2),"$",""))&amp;Formulas!AW146+1,
IFERROR(INDEX(Datos!$A$2:$L$101,Formulas!AW146,RIGHT(Formulas!AY146)+2),"")))</f>
        <v/>
      </c>
      <c r="AX149" s="107" t="str" cm="1">
        <f t="array" aca="1" ref="AX149" ca="1">IF(OR(Formulas!AY147=0,Formulas!AY147=""),"",HYPERLINK("["&amp;Archivo_Nombre&amp;"]Datos!"&amp;LEFT(SUBSTITUTE(ADDRESS(1,Formulas!AY147+2),"$",""))&amp;Formulas!AX147+1,
IFERROR(INDEX(Datos!$A$2:$L$101,Formulas!AX147,Formulas!AY147+2),"")))</f>
        <v/>
      </c>
      <c r="AY149" s="13"/>
    </row>
    <row r="150" spans="2:51" x14ac:dyDescent="0.25">
      <c r="B150" s="11"/>
      <c r="C150" s="24" t="str" cm="1">
        <f t="array" aca="1" ref="C150" ca="1">IF(OR(Formulas!E147=0,Formulas!E147="",RIGHT(Formulas!F147)="0"),"",
HYPERLINK("["&amp;Archivo_Nombre&amp;"]Datos!"&amp;LEFT(SUBSTITUTE(ADDRESS(1,IF(Formulas!E147=1,1,RIGHT(Formulas!F147)+2)),"$",""))&amp;Formulas!D147+1,
IFERROR(INDEX(Datos!$A$1:$L$1,1,RIGHT(Formulas!F147)+2)&amp;IF(Formulas!E147=1," "&amp;Formulas!D147,"")&amp;":","")))</f>
        <v/>
      </c>
      <c r="D150" s="107" t="str" cm="1">
        <f t="array" aca="1" ref="D150" ca="1">IF(OR(Formulas!E147=0,Formulas!E147="",RIGHT(Formulas!F147)="0"),"",
HYPERLINK("["&amp;Archivo_Nombre&amp;"]Datos!"&amp;LEFT(SUBSTITUTE(ADDRESS(1,RIGHT(Formulas!F147)+2),"$",""))&amp;Formulas!D147+1,
IFERROR(INDEX(Datos!$A$2:$L$101,Formulas!D147,RIGHT(Formulas!F147)+2),"")))</f>
        <v/>
      </c>
      <c r="E150" s="107" t="str" cm="1">
        <f t="array" aca="1" ref="E150" ca="1">IF(OR(Formulas!F148=0,Formulas!F148=""),"",HYPERLINK("["&amp;Archivo_Nombre&amp;"]Datos!"&amp;LEFT(SUBSTITUTE(ADDRESS(1,Formulas!F148+2),"$",""))&amp;Formulas!E148+1,
IFERROR(INDEX(Datos!$A$2:$L$101,Formulas!E148,Formulas!F148+2),"")))</f>
        <v/>
      </c>
      <c r="F150" s="5"/>
      <c r="G150" s="6"/>
      <c r="H150" s="24" t="str" cm="1">
        <f t="array" aca="1" ref="H150" ca="1">IF(OR(Formulas!J147=0,Formulas!J147="",RIGHT(Formulas!K147)="0"),"",
HYPERLINK("["&amp;Archivo_Nombre&amp;"]Datos!"&amp;LEFT(SUBSTITUTE(ADDRESS(1,IF(Formulas!J147=1,1,RIGHT(Formulas!K147)+2)),"$",""))&amp;Formulas!I147+1,
IFERROR(INDEX(Datos!$A$1:$L$1,1,RIGHT(Formulas!K147)+2)&amp;IF(Formulas!J147=1," "&amp;Formulas!I147,"")&amp;":","")))</f>
        <v/>
      </c>
      <c r="I150" s="107" t="str" cm="1">
        <f t="array" aca="1" ref="I150" ca="1">IF(OR(Formulas!J147=0,Formulas!J147="",RIGHT(Formulas!K147)="0"),"",
HYPERLINK("["&amp;Archivo_Nombre&amp;"]Datos!"&amp;LEFT(SUBSTITUTE(ADDRESS(1,RIGHT(Formulas!K147)+2),"$",""))&amp;Formulas!I147+1,
IFERROR(INDEX(Datos!$A$2:$L$101,Formulas!I147,RIGHT(Formulas!K147)+2),"")))</f>
        <v/>
      </c>
      <c r="J150" s="107" t="str" cm="1">
        <f t="array" aca="1" ref="J150" ca="1">IF(OR(Formulas!K148=0,Formulas!K148=""),"",HYPERLINK("["&amp;Archivo_Nombre&amp;"]Datos!"&amp;LEFT(SUBSTITUTE(ADDRESS(1,Formulas!K148+2),"$",""))&amp;Formulas!J148+1,
IFERROR(INDEX(Datos!$A$2:$L$101,Formulas!J148,Formulas!K148+2),"")))</f>
        <v/>
      </c>
      <c r="K150" s="5"/>
      <c r="L150" s="6"/>
      <c r="M150" s="24" t="str" cm="1">
        <f t="array" aca="1" ref="M150" ca="1">IF(OR(Formulas!O147=0,Formulas!O147="",RIGHT(Formulas!P147)="0"),"",
HYPERLINK("["&amp;Archivo_Nombre&amp;"]Datos!"&amp;LEFT(SUBSTITUTE(ADDRESS(1,IF(Formulas!O147=1,1,RIGHT(Formulas!P147)+2)),"$",""))&amp;Formulas!N147+1,
IFERROR(INDEX(Datos!$A$1:$L$1,1,RIGHT(Formulas!P147)+2)&amp;IF(Formulas!O147=1," "&amp;Formulas!N147,"")&amp;":","")))</f>
        <v/>
      </c>
      <c r="N150" s="107" t="str" cm="1">
        <f t="array" aca="1" ref="N150" ca="1">IF(OR(Formulas!O147=0,Formulas!O147="",RIGHT(Formulas!P147)="0"),"",
HYPERLINK("["&amp;Archivo_Nombre&amp;"]Datos!"&amp;LEFT(SUBSTITUTE(ADDRESS(1,RIGHT(Formulas!P147)+2),"$",""))&amp;Formulas!N147+1,
IFERROR(INDEX(Datos!$A$2:$L$101,Formulas!N147,RIGHT(Formulas!P147)+2),"")))</f>
        <v/>
      </c>
      <c r="O150" s="107" t="str" cm="1">
        <f t="array" aca="1" ref="O150" ca="1">IF(OR(Formulas!P148=0,Formulas!P148=""),"",HYPERLINK("["&amp;Archivo_Nombre&amp;"]Datos!"&amp;LEFT(SUBSTITUTE(ADDRESS(1,Formulas!P148+2),"$",""))&amp;Formulas!O148+1,
IFERROR(INDEX(Datos!$A$2:$L$101,Formulas!O148,Formulas!P148+2),"")))</f>
        <v/>
      </c>
      <c r="P150" s="5"/>
      <c r="Q150" s="6"/>
      <c r="R150" s="24" t="str" cm="1">
        <f t="array" aca="1" ref="R150" ca="1">IF(OR(Formulas!T147=0,Formulas!T147="",RIGHT(Formulas!U147)="0"),"",
HYPERLINK("["&amp;Archivo_Nombre&amp;"]Datos!"&amp;LEFT(SUBSTITUTE(ADDRESS(1,IF(Formulas!T147=1,1,RIGHT(Formulas!U147)+2)),"$",""))&amp;Formulas!S147+1,
IFERROR(INDEX(Datos!$A$1:$L$1,1,RIGHT(Formulas!U147)+2)&amp;IF(Formulas!T147=1," "&amp;Formulas!S147,"")&amp;":","")))</f>
        <v>Previsto:</v>
      </c>
      <c r="S150" s="107" cm="1">
        <f t="array" aca="1" ref="S150" ca="1">IF(OR(Formulas!T147=0,Formulas!T147="",RIGHT(Formulas!U147)="0"),"",
HYPERLINK("["&amp;Archivo_Nombre&amp;"]Datos!"&amp;LEFT(SUBSTITUTE(ADDRESS(1,RIGHT(Formulas!U147)+2),"$",""))&amp;Formulas!S147+1,
IFERROR(INDEX(Datos!$A$2:$L$101,Formulas!S147,RIGHT(Formulas!U147)+2),"")))</f>
        <v>45600</v>
      </c>
      <c r="T150" s="107" t="e" cm="1">
        <f t="array" aca="1" ref="T150" ca="1">IF(OR(Formulas!U148=0,Formulas!U148=""),"",HYPERLINK("["&amp;Archivo_Nombre&amp;"]Datos!"&amp;LEFT(SUBSTITUTE(ADDRESS(1,Formulas!U148+2),"$",""))&amp;Formulas!T148+1,
IFERROR(INDEX(Datos!$A$2:$L$101,Formulas!T148,Formulas!U148+2),"")))</f>
        <v>#VALUE!</v>
      </c>
      <c r="U150" s="5"/>
      <c r="V150" s="6"/>
      <c r="W150" s="24" t="str" cm="1">
        <f t="array" aca="1" ref="W150" ca="1">IF(OR(Formulas!Y147=0,Formulas!Y147="",RIGHT(Formulas!Z147)="0"),"",
HYPERLINK("["&amp;Archivo_Nombre&amp;"]Datos!"&amp;LEFT(SUBSTITUTE(ADDRESS(1,IF(Formulas!Y147=1,1,RIGHT(Formulas!Z147)+2)),"$",""))&amp;Formulas!X147+1,
IFERROR(INDEX(Datos!$A$1:$L$1,1,RIGHT(Formulas!Z147)+2)&amp;IF(Formulas!Y147=1," "&amp;Formulas!X147,"")&amp;":","")))</f>
        <v/>
      </c>
      <c r="X150" s="107" t="str" cm="1">
        <f t="array" aca="1" ref="X150" ca="1">IF(OR(Formulas!Y147=0,Formulas!Y147="",RIGHT(Formulas!Z147)="0"),"",
HYPERLINK("["&amp;Archivo_Nombre&amp;"]Datos!"&amp;LEFT(SUBSTITUTE(ADDRESS(1,RIGHT(Formulas!Z147)+2),"$",""))&amp;Formulas!X147+1,
IFERROR(INDEX(Datos!$A$2:$L$101,Formulas!X147,RIGHT(Formulas!Z147)+2),"")))</f>
        <v/>
      </c>
      <c r="Y150" s="107" t="str" cm="1">
        <f t="array" aca="1" ref="Y150" ca="1">IF(OR(Formulas!Z148=0,Formulas!Z148=""),"",HYPERLINK("["&amp;Archivo_Nombre&amp;"]Datos!"&amp;LEFT(SUBSTITUTE(ADDRESS(1,Formulas!Z148+2),"$",""))&amp;Formulas!Y148+1,
IFERROR(INDEX(Datos!$A$2:$L$101,Formulas!Y148,Formulas!Z148+2),"")))</f>
        <v/>
      </c>
      <c r="Z150" s="13"/>
      <c r="AA150" s="6"/>
      <c r="AB150" s="24" t="str" cm="1">
        <f t="array" aca="1" ref="AB150" ca="1">IF(OR(Formulas!AD147=0,Formulas!AD147="",RIGHT(Formulas!AE147)="0"),"",
HYPERLINK("["&amp;Archivo_Nombre&amp;"]Datos!"&amp;LEFT(SUBSTITUTE(ADDRESS(1,IF(Formulas!AD147=1,1,RIGHT(Formulas!AE147)+2)),"$",""))&amp;Formulas!AC147+1,
IFERROR(INDEX(Datos!$A$1:$L$1,1,RIGHT(Formulas!AE147)+2)&amp;IF(Formulas!AD147=1," "&amp;Formulas!AC147,"")&amp;":","")))</f>
        <v/>
      </c>
      <c r="AC150" s="107" t="str" cm="1">
        <f t="array" aca="1" ref="AC150" ca="1">IF(OR(Formulas!AD147=0,Formulas!AD147="",RIGHT(Formulas!AE147)="0"),"",
HYPERLINK("["&amp;Archivo_Nombre&amp;"]Datos!"&amp;LEFT(SUBSTITUTE(ADDRESS(1,RIGHT(Formulas!AE147)+2),"$",""))&amp;Formulas!AC147+1,
IFERROR(INDEX(Datos!$A$2:$L$101,Formulas!AC147,RIGHT(Formulas!AE147)+2),"")))</f>
        <v/>
      </c>
      <c r="AD150" s="107" t="str" cm="1">
        <f t="array" aca="1" ref="AD150" ca="1">IF(OR(Formulas!AE148=0,Formulas!AE148=""),"",HYPERLINK("["&amp;Archivo_Nombre&amp;"]Datos!"&amp;LEFT(SUBSTITUTE(ADDRESS(1,Formulas!AE148+2),"$",""))&amp;Formulas!AD148+1,
IFERROR(INDEX(Datos!$A$2:$L$101,Formulas!AD148,Formulas!AE148+2),"")))</f>
        <v/>
      </c>
      <c r="AE150" s="13"/>
      <c r="AF150" s="6"/>
      <c r="AG150" s="24" t="str" cm="1">
        <f t="array" aca="1" ref="AG150" ca="1">IF(OR(Formulas!AI147=0,Formulas!AI147="",RIGHT(Formulas!AJ147)="0"),"",
HYPERLINK("["&amp;Archivo_Nombre&amp;"]Datos!"&amp;LEFT(SUBSTITUTE(ADDRESS(1,IF(Formulas!AI147=1,1,RIGHT(Formulas!AJ147)+2)),"$",""))&amp;Formulas!AH147+1,
IFERROR(INDEX(Datos!$A$1:$L$1,1,RIGHT(Formulas!AJ147)+2)&amp;IF(Formulas!AI147=1," "&amp;Formulas!AH147,"")&amp;":","")))</f>
        <v/>
      </c>
      <c r="AH150" s="107" t="str" cm="1">
        <f t="array" aca="1" ref="AH150" ca="1">IF(OR(Formulas!AI147=0,Formulas!AI147="",RIGHT(Formulas!AJ147)="0"),"",
HYPERLINK("["&amp;Archivo_Nombre&amp;"]Datos!"&amp;LEFT(SUBSTITUTE(ADDRESS(1,RIGHT(Formulas!AJ147)+2),"$",""))&amp;Formulas!AH147+1,
IFERROR(INDEX(Datos!$A$2:$L$101,Formulas!AH147,RIGHT(Formulas!AJ147)+2),"")))</f>
        <v/>
      </c>
      <c r="AI150" s="107" t="str" cm="1">
        <f t="array" aca="1" ref="AI150" ca="1">IF(OR(Formulas!AJ148=0,Formulas!AJ148=""),"",HYPERLINK("["&amp;Archivo_Nombre&amp;"]Datos!"&amp;LEFT(SUBSTITUTE(ADDRESS(1,Formulas!AJ148+2),"$",""))&amp;Formulas!AI148+1,
IFERROR(INDEX(Datos!$A$2:$L$101,Formulas!AI148,Formulas!AJ148+2),"")))</f>
        <v/>
      </c>
      <c r="AJ150" s="13"/>
      <c r="AK150" s="6"/>
      <c r="AL150" s="24" t="str" cm="1">
        <f t="array" aca="1" ref="AL150" ca="1">IF(OR(Formulas!AN147=0,Formulas!AN147="",RIGHT(Formulas!AO147)="0"),"",
HYPERLINK("["&amp;Archivo_Nombre&amp;"]Datos!"&amp;LEFT(SUBSTITUTE(ADDRESS(1,IF(Formulas!AN147=1,1,RIGHT(Formulas!AO147)+2)),"$",""))&amp;Formulas!AM147+1,
IFERROR(INDEX(Datos!$A$1:$L$1,1,RIGHT(Formulas!AO147)+2)&amp;IF(Formulas!AN147=1," "&amp;Formulas!AM147,"")&amp;":","")))</f>
        <v/>
      </c>
      <c r="AM150" s="107" t="str" cm="1">
        <f t="array" aca="1" ref="AM150" ca="1">IF(OR(Formulas!AN147=0,Formulas!AN147="",RIGHT(Formulas!AO147)="0"),"",
HYPERLINK("["&amp;Archivo_Nombre&amp;"]Datos!"&amp;LEFT(SUBSTITUTE(ADDRESS(1,RIGHT(Formulas!AO147)+2),"$",""))&amp;Formulas!AM147+1,
IFERROR(INDEX(Datos!$A$2:$L$101,Formulas!AM147,RIGHT(Formulas!AO147)+2),"")))</f>
        <v/>
      </c>
      <c r="AN150" s="107" t="str" cm="1">
        <f t="array" aca="1" ref="AN150" ca="1">IF(OR(Formulas!AO148=0,Formulas!AO148=""),"",HYPERLINK("["&amp;Archivo_Nombre&amp;"]Datos!"&amp;LEFT(SUBSTITUTE(ADDRESS(1,Formulas!AO148+2),"$",""))&amp;Formulas!AN148+1,
IFERROR(INDEX(Datos!$A$2:$L$101,Formulas!AN148,Formulas!AO148+2),"")))</f>
        <v/>
      </c>
      <c r="AO150" s="13"/>
      <c r="AP150" s="6"/>
      <c r="AQ150" s="24" t="str" cm="1">
        <f t="array" aca="1" ref="AQ150" ca="1">IF(OR(Formulas!AS147=0,Formulas!AS147="",RIGHT(Formulas!AT147)="0"),"",
HYPERLINK("["&amp;Archivo_Nombre&amp;"]Datos!"&amp;LEFT(SUBSTITUTE(ADDRESS(1,IF(Formulas!AS147=1,1,RIGHT(Formulas!AT147)+2)),"$",""))&amp;Formulas!AR147+1,
IFERROR(INDEX(Datos!$A$1:$L$1,1,RIGHT(Formulas!AT147)+2)&amp;IF(Formulas!AS147=1," "&amp;Formulas!AR147,"")&amp;":","")))</f>
        <v/>
      </c>
      <c r="AR150" s="107" t="str" cm="1">
        <f t="array" aca="1" ref="AR150" ca="1">IF(OR(Formulas!AS147=0,Formulas!AS147="",RIGHT(Formulas!AT147)="0"),"",
HYPERLINK("["&amp;Archivo_Nombre&amp;"]Datos!"&amp;LEFT(SUBSTITUTE(ADDRESS(1,RIGHT(Formulas!AT147)+2),"$",""))&amp;Formulas!AR147+1,
IFERROR(INDEX(Datos!$A$2:$L$101,Formulas!AR147,RIGHT(Formulas!AT147)+2),"")))</f>
        <v/>
      </c>
      <c r="AS150" s="107" t="str" cm="1">
        <f t="array" aca="1" ref="AS150" ca="1">IF(OR(Formulas!AT148=0,Formulas!AT148=""),"",HYPERLINK("["&amp;Archivo_Nombre&amp;"]Datos!"&amp;LEFT(SUBSTITUTE(ADDRESS(1,Formulas!AT148+2),"$",""))&amp;Formulas!AS148+1,
IFERROR(INDEX(Datos!$A$2:$L$101,Formulas!AS148,Formulas!AT148+2),"")))</f>
        <v/>
      </c>
      <c r="AT150" s="13"/>
      <c r="AU150" s="6"/>
      <c r="AV150" s="24" t="str" cm="1">
        <f t="array" aca="1" ref="AV150" ca="1">IF(OR(Formulas!AX147=0,Formulas!AX147="",RIGHT(Formulas!AY147)="0"),"",
HYPERLINK("["&amp;Archivo_Nombre&amp;"]Datos!"&amp;LEFT(SUBSTITUTE(ADDRESS(1,IF(Formulas!AX147=1,1,RIGHT(Formulas!AY147)+2)),"$",""))&amp;Formulas!AW147+1,
IFERROR(INDEX(Datos!$A$1:$L$1,1,RIGHT(Formulas!AY147)+2)&amp;IF(Formulas!AX147=1," "&amp;Formulas!AW147,"")&amp;":","")))</f>
        <v/>
      </c>
      <c r="AW150" s="107" t="str" cm="1">
        <f t="array" aca="1" ref="AW150" ca="1">IF(OR(Formulas!AX147=0,Formulas!AX147="",RIGHT(Formulas!AY147)="0"),"",
HYPERLINK("["&amp;Archivo_Nombre&amp;"]Datos!"&amp;LEFT(SUBSTITUTE(ADDRESS(1,RIGHT(Formulas!AY147)+2),"$",""))&amp;Formulas!AW147+1,
IFERROR(INDEX(Datos!$A$2:$L$101,Formulas!AW147,RIGHT(Formulas!AY147)+2),"")))</f>
        <v/>
      </c>
      <c r="AX150" s="107" t="str" cm="1">
        <f t="array" aca="1" ref="AX150" ca="1">IF(OR(Formulas!AY148=0,Formulas!AY148=""),"",HYPERLINK("["&amp;Archivo_Nombre&amp;"]Datos!"&amp;LEFT(SUBSTITUTE(ADDRESS(1,Formulas!AY148+2),"$",""))&amp;Formulas!AX148+1,
IFERROR(INDEX(Datos!$A$2:$L$101,Formulas!AX148,Formulas!AY148+2),"")))</f>
        <v/>
      </c>
      <c r="AY150" s="13"/>
    </row>
    <row r="151" spans="2:51" x14ac:dyDescent="0.25">
      <c r="B151" s="11"/>
      <c r="C151" s="24" t="str" cm="1">
        <f t="array" aca="1" ref="C151" ca="1">IF(OR(Formulas!E148=0,Formulas!E148="",RIGHT(Formulas!F148)="0"),"",
HYPERLINK("["&amp;Archivo_Nombre&amp;"]Datos!"&amp;LEFT(SUBSTITUTE(ADDRESS(1,IF(Formulas!E148=1,1,RIGHT(Formulas!F148)+2)),"$",""))&amp;Formulas!D148+1,
IFERROR(INDEX(Datos!$A$1:$L$1,1,RIGHT(Formulas!F148)+2)&amp;IF(Formulas!E148=1," "&amp;Formulas!D148,"")&amp;":","")))</f>
        <v/>
      </c>
      <c r="D151" s="107" t="str" cm="1">
        <f t="array" aca="1" ref="D151" ca="1">IF(OR(Formulas!E148=0,Formulas!E148="",RIGHT(Formulas!F148)="0"),"",
HYPERLINK("["&amp;Archivo_Nombre&amp;"]Datos!"&amp;LEFT(SUBSTITUTE(ADDRESS(1,RIGHT(Formulas!F148)+2),"$",""))&amp;Formulas!D148+1,
IFERROR(INDEX(Datos!$A$2:$L$101,Formulas!D148,RIGHT(Formulas!F148)+2),"")))</f>
        <v/>
      </c>
      <c r="E151" s="107" t="str" cm="1">
        <f t="array" aca="1" ref="E151" ca="1">IF(OR(Formulas!F149=0,Formulas!F149=""),"",HYPERLINK("["&amp;Archivo_Nombre&amp;"]Datos!"&amp;LEFT(SUBSTITUTE(ADDRESS(1,Formulas!F149+2),"$",""))&amp;Formulas!E149+1,
IFERROR(INDEX(Datos!$A$2:$L$101,Formulas!E149,Formulas!F149+2),"")))</f>
        <v/>
      </c>
      <c r="F151" s="5"/>
      <c r="G151" s="6"/>
      <c r="H151" s="24" t="str" cm="1">
        <f t="array" aca="1" ref="H151" ca="1">IF(OR(Formulas!J148=0,Formulas!J148="",RIGHT(Formulas!K148)="0"),"",
HYPERLINK("["&amp;Archivo_Nombre&amp;"]Datos!"&amp;LEFT(SUBSTITUTE(ADDRESS(1,IF(Formulas!J148=1,1,RIGHT(Formulas!K148)+2)),"$",""))&amp;Formulas!I148+1,
IFERROR(INDEX(Datos!$A$1:$L$1,1,RIGHT(Formulas!K148)+2)&amp;IF(Formulas!J148=1," "&amp;Formulas!I148,"")&amp;":","")))</f>
        <v/>
      </c>
      <c r="I151" s="107" t="str" cm="1">
        <f t="array" aca="1" ref="I151" ca="1">IF(OR(Formulas!J148=0,Formulas!J148="",RIGHT(Formulas!K148)="0"),"",
HYPERLINK("["&amp;Archivo_Nombre&amp;"]Datos!"&amp;LEFT(SUBSTITUTE(ADDRESS(1,RIGHT(Formulas!K148)+2),"$",""))&amp;Formulas!I148+1,
IFERROR(INDEX(Datos!$A$2:$L$101,Formulas!I148,RIGHT(Formulas!K148)+2),"")))</f>
        <v/>
      </c>
      <c r="J151" s="107" t="str" cm="1">
        <f t="array" aca="1" ref="J151" ca="1">IF(OR(Formulas!K149=0,Formulas!K149=""),"",HYPERLINK("["&amp;Archivo_Nombre&amp;"]Datos!"&amp;LEFT(SUBSTITUTE(ADDRESS(1,Formulas!K149+2),"$",""))&amp;Formulas!J149+1,
IFERROR(INDEX(Datos!$A$2:$L$101,Formulas!J149,Formulas!K149+2),"")))</f>
        <v/>
      </c>
      <c r="K151" s="5"/>
      <c r="L151" s="6"/>
      <c r="M151" s="24" t="str" cm="1">
        <f t="array" aca="1" ref="M151" ca="1">IF(OR(Formulas!O148=0,Formulas!O148="",RIGHT(Formulas!P148)="0"),"",
HYPERLINK("["&amp;Archivo_Nombre&amp;"]Datos!"&amp;LEFT(SUBSTITUTE(ADDRESS(1,IF(Formulas!O148=1,1,RIGHT(Formulas!P148)+2)),"$",""))&amp;Formulas!N148+1,
IFERROR(INDEX(Datos!$A$1:$L$1,1,RIGHT(Formulas!P148)+2)&amp;IF(Formulas!O148=1," "&amp;Formulas!N148,"")&amp;":","")))</f>
        <v/>
      </c>
      <c r="N151" s="107" t="str" cm="1">
        <f t="array" aca="1" ref="N151" ca="1">IF(OR(Formulas!O148=0,Formulas!O148="",RIGHT(Formulas!P148)="0"),"",
HYPERLINK("["&amp;Archivo_Nombre&amp;"]Datos!"&amp;LEFT(SUBSTITUTE(ADDRESS(1,RIGHT(Formulas!P148)+2),"$",""))&amp;Formulas!N148+1,
IFERROR(INDEX(Datos!$A$2:$L$101,Formulas!N148,RIGHT(Formulas!P148)+2),"")))</f>
        <v/>
      </c>
      <c r="O151" s="107" t="str" cm="1">
        <f t="array" aca="1" ref="O151" ca="1">IF(OR(Formulas!P149=0,Formulas!P149=""),"",HYPERLINK("["&amp;Archivo_Nombre&amp;"]Datos!"&amp;LEFT(SUBSTITUTE(ADDRESS(1,Formulas!P149+2),"$",""))&amp;Formulas!O149+1,
IFERROR(INDEX(Datos!$A$2:$L$101,Formulas!O149,Formulas!P149+2),"")))</f>
        <v/>
      </c>
      <c r="P151" s="5"/>
      <c r="Q151" s="6"/>
      <c r="R151" s="24" t="str" cm="1">
        <f t="array" aca="1" ref="R151" ca="1">IF(OR(Formulas!T148=0,Formulas!T148="",RIGHT(Formulas!U148)="0"),"",
HYPERLINK("["&amp;Archivo_Nombre&amp;"]Datos!"&amp;LEFT(SUBSTITUTE(ADDRESS(1,IF(Formulas!T148=1,1,RIGHT(Formulas!U148)+2)),"$",""))&amp;Formulas!S148+1,
IFERROR(INDEX(Datos!$A$1:$L$1,1,RIGHT(Formulas!U148)+2)&amp;IF(Formulas!T148=1," "&amp;Formulas!S148,"")&amp;":","")))</f>
        <v>Final:</v>
      </c>
      <c r="S151" s="107" cm="1">
        <f t="array" aca="1" ref="S151" ca="1">IF(OR(Formulas!T148=0,Formulas!T148="",RIGHT(Formulas!U148)="0"),"",
HYPERLINK("["&amp;Archivo_Nombre&amp;"]Datos!"&amp;LEFT(SUBSTITUTE(ADDRESS(1,RIGHT(Formulas!U148)+2),"$",""))&amp;Formulas!S148+1,
IFERROR(INDEX(Datos!$A$2:$L$101,Formulas!S148,RIGHT(Formulas!U148)+2),"")))</f>
        <v>45600</v>
      </c>
      <c r="T151" s="107" t="e" cm="1">
        <f t="array" aca="1" ref="T151" ca="1">IF(OR(Formulas!U149=0,Formulas!U149=""),"",HYPERLINK("["&amp;Archivo_Nombre&amp;"]Datos!"&amp;LEFT(SUBSTITUTE(ADDRESS(1,Formulas!U149+2),"$",""))&amp;Formulas!T149+1,
IFERROR(INDEX(Datos!$A$2:$L$101,Formulas!T149,Formulas!U149+2),"")))</f>
        <v>#VALUE!</v>
      </c>
      <c r="U151" s="5"/>
      <c r="V151" s="6"/>
      <c r="W151" s="24" t="str" cm="1">
        <f t="array" aca="1" ref="W151" ca="1">IF(OR(Formulas!Y148=0,Formulas!Y148="",RIGHT(Formulas!Z148)="0"),"",
HYPERLINK("["&amp;Archivo_Nombre&amp;"]Datos!"&amp;LEFT(SUBSTITUTE(ADDRESS(1,IF(Formulas!Y148=1,1,RIGHT(Formulas!Z148)+2)),"$",""))&amp;Formulas!X148+1,
IFERROR(INDEX(Datos!$A$1:$L$1,1,RIGHT(Formulas!Z148)+2)&amp;IF(Formulas!Y148=1," "&amp;Formulas!X148,"")&amp;":","")))</f>
        <v/>
      </c>
      <c r="X151" s="107" t="str" cm="1">
        <f t="array" aca="1" ref="X151" ca="1">IF(OR(Formulas!Y148=0,Formulas!Y148="",RIGHT(Formulas!Z148)="0"),"",
HYPERLINK("["&amp;Archivo_Nombre&amp;"]Datos!"&amp;LEFT(SUBSTITUTE(ADDRESS(1,RIGHT(Formulas!Z148)+2),"$",""))&amp;Formulas!X148+1,
IFERROR(INDEX(Datos!$A$2:$L$101,Formulas!X148,RIGHT(Formulas!Z148)+2),"")))</f>
        <v/>
      </c>
      <c r="Y151" s="107" t="str" cm="1">
        <f t="array" aca="1" ref="Y151" ca="1">IF(OR(Formulas!Z149=0,Formulas!Z149=""),"",HYPERLINK("["&amp;Archivo_Nombre&amp;"]Datos!"&amp;LEFT(SUBSTITUTE(ADDRESS(1,Formulas!Z149+2),"$",""))&amp;Formulas!Y149+1,
IFERROR(INDEX(Datos!$A$2:$L$101,Formulas!Y149,Formulas!Z149+2),"")))</f>
        <v/>
      </c>
      <c r="Z151" s="13"/>
      <c r="AA151" s="6"/>
      <c r="AB151" s="24" t="str" cm="1">
        <f t="array" aca="1" ref="AB151" ca="1">IF(OR(Formulas!AD148=0,Formulas!AD148="",RIGHT(Formulas!AE148)="0"),"",
HYPERLINK("["&amp;Archivo_Nombre&amp;"]Datos!"&amp;LEFT(SUBSTITUTE(ADDRESS(1,IF(Formulas!AD148=1,1,RIGHT(Formulas!AE148)+2)),"$",""))&amp;Formulas!AC148+1,
IFERROR(INDEX(Datos!$A$1:$L$1,1,RIGHT(Formulas!AE148)+2)&amp;IF(Formulas!AD148=1," "&amp;Formulas!AC148,"")&amp;":","")))</f>
        <v/>
      </c>
      <c r="AC151" s="107" t="str" cm="1">
        <f t="array" aca="1" ref="AC151" ca="1">IF(OR(Formulas!AD148=0,Formulas!AD148="",RIGHT(Formulas!AE148)="0"),"",
HYPERLINK("["&amp;Archivo_Nombre&amp;"]Datos!"&amp;LEFT(SUBSTITUTE(ADDRESS(1,RIGHT(Formulas!AE148)+2),"$",""))&amp;Formulas!AC148+1,
IFERROR(INDEX(Datos!$A$2:$L$101,Formulas!AC148,RIGHT(Formulas!AE148)+2),"")))</f>
        <v/>
      </c>
      <c r="AD151" s="107" t="str" cm="1">
        <f t="array" aca="1" ref="AD151" ca="1">IF(OR(Formulas!AE149=0,Formulas!AE149=""),"",HYPERLINK("["&amp;Archivo_Nombre&amp;"]Datos!"&amp;LEFT(SUBSTITUTE(ADDRESS(1,Formulas!AE149+2),"$",""))&amp;Formulas!AD149+1,
IFERROR(INDEX(Datos!$A$2:$L$101,Formulas!AD149,Formulas!AE149+2),"")))</f>
        <v/>
      </c>
      <c r="AE151" s="13"/>
      <c r="AF151" s="6"/>
      <c r="AG151" s="24" t="str" cm="1">
        <f t="array" aca="1" ref="AG151" ca="1">IF(OR(Formulas!AI148=0,Formulas!AI148="",RIGHT(Formulas!AJ148)="0"),"",
HYPERLINK("["&amp;Archivo_Nombre&amp;"]Datos!"&amp;LEFT(SUBSTITUTE(ADDRESS(1,IF(Formulas!AI148=1,1,RIGHT(Formulas!AJ148)+2)),"$",""))&amp;Formulas!AH148+1,
IFERROR(INDEX(Datos!$A$1:$L$1,1,RIGHT(Formulas!AJ148)+2)&amp;IF(Formulas!AI148=1," "&amp;Formulas!AH148,"")&amp;":","")))</f>
        <v/>
      </c>
      <c r="AH151" s="107" t="str" cm="1">
        <f t="array" aca="1" ref="AH151" ca="1">IF(OR(Formulas!AI148=0,Formulas!AI148="",RIGHT(Formulas!AJ148)="0"),"",
HYPERLINK("["&amp;Archivo_Nombre&amp;"]Datos!"&amp;LEFT(SUBSTITUTE(ADDRESS(1,RIGHT(Formulas!AJ148)+2),"$",""))&amp;Formulas!AH148+1,
IFERROR(INDEX(Datos!$A$2:$L$101,Formulas!AH148,RIGHT(Formulas!AJ148)+2),"")))</f>
        <v/>
      </c>
      <c r="AI151" s="107" t="str" cm="1">
        <f t="array" aca="1" ref="AI151" ca="1">IF(OR(Formulas!AJ149=0,Formulas!AJ149=""),"",HYPERLINK("["&amp;Archivo_Nombre&amp;"]Datos!"&amp;LEFT(SUBSTITUTE(ADDRESS(1,Formulas!AJ149+2),"$",""))&amp;Formulas!AI149+1,
IFERROR(INDEX(Datos!$A$2:$L$101,Formulas!AI149,Formulas!AJ149+2),"")))</f>
        <v/>
      </c>
      <c r="AJ151" s="13"/>
      <c r="AK151" s="6"/>
      <c r="AL151" s="24" t="str" cm="1">
        <f t="array" aca="1" ref="AL151" ca="1">IF(OR(Formulas!AN148=0,Formulas!AN148="",RIGHT(Formulas!AO148)="0"),"",
HYPERLINK("["&amp;Archivo_Nombre&amp;"]Datos!"&amp;LEFT(SUBSTITUTE(ADDRESS(1,IF(Formulas!AN148=1,1,RIGHT(Formulas!AO148)+2)),"$",""))&amp;Formulas!AM148+1,
IFERROR(INDEX(Datos!$A$1:$L$1,1,RIGHT(Formulas!AO148)+2)&amp;IF(Formulas!AN148=1," "&amp;Formulas!AM148,"")&amp;":","")))</f>
        <v/>
      </c>
      <c r="AM151" s="107" t="str" cm="1">
        <f t="array" aca="1" ref="AM151" ca="1">IF(OR(Formulas!AN148=0,Formulas!AN148="",RIGHT(Formulas!AO148)="0"),"",
HYPERLINK("["&amp;Archivo_Nombre&amp;"]Datos!"&amp;LEFT(SUBSTITUTE(ADDRESS(1,RIGHT(Formulas!AO148)+2),"$",""))&amp;Formulas!AM148+1,
IFERROR(INDEX(Datos!$A$2:$L$101,Formulas!AM148,RIGHT(Formulas!AO148)+2),"")))</f>
        <v/>
      </c>
      <c r="AN151" s="107" t="str" cm="1">
        <f t="array" aca="1" ref="AN151" ca="1">IF(OR(Formulas!AO149=0,Formulas!AO149=""),"",HYPERLINK("["&amp;Archivo_Nombre&amp;"]Datos!"&amp;LEFT(SUBSTITUTE(ADDRESS(1,Formulas!AO149+2),"$",""))&amp;Formulas!AN149+1,
IFERROR(INDEX(Datos!$A$2:$L$101,Formulas!AN149,Formulas!AO149+2),"")))</f>
        <v/>
      </c>
      <c r="AO151" s="13"/>
      <c r="AP151" s="6"/>
      <c r="AQ151" s="24" t="str" cm="1">
        <f t="array" aca="1" ref="AQ151" ca="1">IF(OR(Formulas!AS148=0,Formulas!AS148="",RIGHT(Formulas!AT148)="0"),"",
HYPERLINK("["&amp;Archivo_Nombre&amp;"]Datos!"&amp;LEFT(SUBSTITUTE(ADDRESS(1,IF(Formulas!AS148=1,1,RIGHT(Formulas!AT148)+2)),"$",""))&amp;Formulas!AR148+1,
IFERROR(INDEX(Datos!$A$1:$L$1,1,RIGHT(Formulas!AT148)+2)&amp;IF(Formulas!AS148=1," "&amp;Formulas!AR148,"")&amp;":","")))</f>
        <v/>
      </c>
      <c r="AR151" s="107" t="str" cm="1">
        <f t="array" aca="1" ref="AR151" ca="1">IF(OR(Formulas!AS148=0,Formulas!AS148="",RIGHT(Formulas!AT148)="0"),"",
HYPERLINK("["&amp;Archivo_Nombre&amp;"]Datos!"&amp;LEFT(SUBSTITUTE(ADDRESS(1,RIGHT(Formulas!AT148)+2),"$",""))&amp;Formulas!AR148+1,
IFERROR(INDEX(Datos!$A$2:$L$101,Formulas!AR148,RIGHT(Formulas!AT148)+2),"")))</f>
        <v/>
      </c>
      <c r="AS151" s="107" t="str" cm="1">
        <f t="array" aca="1" ref="AS151" ca="1">IF(OR(Formulas!AT149=0,Formulas!AT149=""),"",HYPERLINK("["&amp;Archivo_Nombre&amp;"]Datos!"&amp;LEFT(SUBSTITUTE(ADDRESS(1,Formulas!AT149+2),"$",""))&amp;Formulas!AS149+1,
IFERROR(INDEX(Datos!$A$2:$L$101,Formulas!AS149,Formulas!AT149+2),"")))</f>
        <v/>
      </c>
      <c r="AT151" s="13"/>
      <c r="AU151" s="6"/>
      <c r="AV151" s="24" t="str" cm="1">
        <f t="array" aca="1" ref="AV151" ca="1">IF(OR(Formulas!AX148=0,Formulas!AX148="",RIGHT(Formulas!AY148)="0"),"",
HYPERLINK("["&amp;Archivo_Nombre&amp;"]Datos!"&amp;LEFT(SUBSTITUTE(ADDRESS(1,IF(Formulas!AX148=1,1,RIGHT(Formulas!AY148)+2)),"$",""))&amp;Formulas!AW148+1,
IFERROR(INDEX(Datos!$A$1:$L$1,1,RIGHT(Formulas!AY148)+2)&amp;IF(Formulas!AX148=1," "&amp;Formulas!AW148,"")&amp;":","")))</f>
        <v/>
      </c>
      <c r="AW151" s="107" t="str" cm="1">
        <f t="array" aca="1" ref="AW151" ca="1">IF(OR(Formulas!AX148=0,Formulas!AX148="",RIGHT(Formulas!AY148)="0"),"",
HYPERLINK("["&amp;Archivo_Nombre&amp;"]Datos!"&amp;LEFT(SUBSTITUTE(ADDRESS(1,RIGHT(Formulas!AY148)+2),"$",""))&amp;Formulas!AW148+1,
IFERROR(INDEX(Datos!$A$2:$L$101,Formulas!AW148,RIGHT(Formulas!AY148)+2),"")))</f>
        <v/>
      </c>
      <c r="AX151" s="107" t="str" cm="1">
        <f t="array" aca="1" ref="AX151" ca="1">IF(OR(Formulas!AY149=0,Formulas!AY149=""),"",HYPERLINK("["&amp;Archivo_Nombre&amp;"]Datos!"&amp;LEFT(SUBSTITUTE(ADDRESS(1,Formulas!AY149+2),"$",""))&amp;Formulas!AX149+1,
IFERROR(INDEX(Datos!$A$2:$L$101,Formulas!AX149,Formulas!AY149+2),"")))</f>
        <v/>
      </c>
      <c r="AY151" s="13"/>
    </row>
    <row r="152" spans="2:51" x14ac:dyDescent="0.25">
      <c r="B152" s="11"/>
      <c r="C152" s="24" t="str" cm="1">
        <f t="array" aca="1" ref="C152" ca="1">IF(OR(Formulas!E149=0,Formulas!E149="",RIGHT(Formulas!F149)="0"),"",
HYPERLINK("["&amp;Archivo_Nombre&amp;"]Datos!"&amp;LEFT(SUBSTITUTE(ADDRESS(1,IF(Formulas!E149=1,1,RIGHT(Formulas!F149)+2)),"$",""))&amp;Formulas!D149+1,
IFERROR(INDEX(Datos!$A$1:$L$1,1,RIGHT(Formulas!F149)+2)&amp;IF(Formulas!E149=1," "&amp;Formulas!D149,"")&amp;":","")))</f>
        <v/>
      </c>
      <c r="D152" s="107" t="str" cm="1">
        <f t="array" aca="1" ref="D152" ca="1">IF(OR(Formulas!E149=0,Formulas!E149="",RIGHT(Formulas!F149)="0"),"",
HYPERLINK("["&amp;Archivo_Nombre&amp;"]Datos!"&amp;LEFT(SUBSTITUTE(ADDRESS(1,RIGHT(Formulas!F149)+2),"$",""))&amp;Formulas!D149+1,
IFERROR(INDEX(Datos!$A$2:$L$101,Formulas!D149,RIGHT(Formulas!F149)+2),"")))</f>
        <v/>
      </c>
      <c r="E152" s="107" t="str" cm="1">
        <f t="array" aca="1" ref="E152" ca="1">IF(OR(Formulas!F150=0,Formulas!F150=""),"",HYPERLINK("["&amp;Archivo_Nombre&amp;"]Datos!"&amp;LEFT(SUBSTITUTE(ADDRESS(1,Formulas!F150+2),"$",""))&amp;Formulas!E150+1,
IFERROR(INDEX(Datos!$A$2:$L$101,Formulas!E150,Formulas!F150+2),"")))</f>
        <v/>
      </c>
      <c r="F152" s="5"/>
      <c r="G152" s="6"/>
      <c r="H152" s="24" t="str" cm="1">
        <f t="array" aca="1" ref="H152" ca="1">IF(OR(Formulas!J149=0,Formulas!J149="",RIGHT(Formulas!K149)="0"),"",
HYPERLINK("["&amp;Archivo_Nombre&amp;"]Datos!"&amp;LEFT(SUBSTITUTE(ADDRESS(1,IF(Formulas!J149=1,1,RIGHT(Formulas!K149)+2)),"$",""))&amp;Formulas!I149+1,
IFERROR(INDEX(Datos!$A$1:$L$1,1,RIGHT(Formulas!K149)+2)&amp;IF(Formulas!J149=1," "&amp;Formulas!I149,"")&amp;":","")))</f>
        <v/>
      </c>
      <c r="I152" s="107" t="str" cm="1">
        <f t="array" aca="1" ref="I152" ca="1">IF(OR(Formulas!J149=0,Formulas!J149="",RIGHT(Formulas!K149)="0"),"",
HYPERLINK("["&amp;Archivo_Nombre&amp;"]Datos!"&amp;LEFT(SUBSTITUTE(ADDRESS(1,RIGHT(Formulas!K149)+2),"$",""))&amp;Formulas!I149+1,
IFERROR(INDEX(Datos!$A$2:$L$101,Formulas!I149,RIGHT(Formulas!K149)+2),"")))</f>
        <v/>
      </c>
      <c r="J152" s="107" t="str" cm="1">
        <f t="array" aca="1" ref="J152" ca="1">IF(OR(Formulas!K150=0,Formulas!K150=""),"",HYPERLINK("["&amp;Archivo_Nombre&amp;"]Datos!"&amp;LEFT(SUBSTITUTE(ADDRESS(1,Formulas!K150+2),"$",""))&amp;Formulas!J150+1,
IFERROR(INDEX(Datos!$A$2:$L$101,Formulas!J150,Formulas!K150+2),"")))</f>
        <v/>
      </c>
      <c r="K152" s="5"/>
      <c r="L152" s="6"/>
      <c r="M152" s="24" t="str" cm="1">
        <f t="array" aca="1" ref="M152" ca="1">IF(OR(Formulas!O149=0,Formulas!O149="",RIGHT(Formulas!P149)="0"),"",
HYPERLINK("["&amp;Archivo_Nombre&amp;"]Datos!"&amp;LEFT(SUBSTITUTE(ADDRESS(1,IF(Formulas!O149=1,1,RIGHT(Formulas!P149)+2)),"$",""))&amp;Formulas!N149+1,
IFERROR(INDEX(Datos!$A$1:$L$1,1,RIGHT(Formulas!P149)+2)&amp;IF(Formulas!O149=1," "&amp;Formulas!N149,"")&amp;":","")))</f>
        <v/>
      </c>
      <c r="N152" s="107" t="str" cm="1">
        <f t="array" aca="1" ref="N152" ca="1">IF(OR(Formulas!O149=0,Formulas!O149="",RIGHT(Formulas!P149)="0"),"",
HYPERLINK("["&amp;Archivo_Nombre&amp;"]Datos!"&amp;LEFT(SUBSTITUTE(ADDRESS(1,RIGHT(Formulas!P149)+2),"$",""))&amp;Formulas!N149+1,
IFERROR(INDEX(Datos!$A$2:$L$101,Formulas!N149,RIGHT(Formulas!P149)+2),"")))</f>
        <v/>
      </c>
      <c r="O152" s="107" t="str" cm="1">
        <f t="array" aca="1" ref="O152" ca="1">IF(OR(Formulas!P150=0,Formulas!P150=""),"",HYPERLINK("["&amp;Archivo_Nombre&amp;"]Datos!"&amp;LEFT(SUBSTITUTE(ADDRESS(1,Formulas!P150+2),"$",""))&amp;Formulas!O150+1,
IFERROR(INDEX(Datos!$A$2:$L$101,Formulas!O150,Formulas!P150+2),"")))</f>
        <v/>
      </c>
      <c r="P152" s="5"/>
      <c r="Q152" s="6"/>
      <c r="R152" s="24" t="str" cm="1">
        <f t="array" aca="1" ref="R152" ca="1">IF(OR(Formulas!T149=0,Formulas!T149="",RIGHT(Formulas!U149)="0"),"",
HYPERLINK("["&amp;Archivo_Nombre&amp;"]Datos!"&amp;LEFT(SUBSTITUTE(ADDRESS(1,IF(Formulas!T149=1,1,RIGHT(Formulas!U149)+2)),"$",""))&amp;Formulas!S149+1,
IFERROR(INDEX(Datos!$A$1:$L$1,1,RIGHT(Formulas!U149)+2)&amp;IF(Formulas!T149=1," "&amp;Formulas!S149,"")&amp;":","")))</f>
        <v>Duración:</v>
      </c>
      <c r="S152" s="107" t="str" cm="1">
        <f t="array" aca="1" ref="S152" ca="1">IF(OR(Formulas!T149=0,Formulas!T149="",RIGHT(Formulas!U149)="0"),"",
HYPERLINK("["&amp;Archivo_Nombre&amp;"]Datos!"&amp;LEFT(SUBSTITUTE(ADDRESS(1,RIGHT(Formulas!U149)+2),"$",""))&amp;Formulas!S149+1,
IFERROR(INDEX(Datos!$A$2:$L$101,Formulas!S149,RIGHT(Formulas!U149)+2),"")))</f>
        <v>3 días</v>
      </c>
      <c r="T152" s="107" t="e" cm="1">
        <f t="array" aca="1" ref="T152" ca="1">IF(OR(Formulas!U150=0,Formulas!U150=""),"",HYPERLINK("["&amp;Archivo_Nombre&amp;"]Datos!"&amp;LEFT(SUBSTITUTE(ADDRESS(1,Formulas!U150+2),"$",""))&amp;Formulas!T150+1,
IFERROR(INDEX(Datos!$A$2:$L$101,Formulas!T150,Formulas!U150+2),"")))</f>
        <v>#VALUE!</v>
      </c>
      <c r="U152" s="5"/>
      <c r="V152" s="6"/>
      <c r="W152" s="24" t="str" cm="1">
        <f t="array" aca="1" ref="W152" ca="1">IF(OR(Formulas!Y149=0,Formulas!Y149="",RIGHT(Formulas!Z149)="0"),"",
HYPERLINK("["&amp;Archivo_Nombre&amp;"]Datos!"&amp;LEFT(SUBSTITUTE(ADDRESS(1,IF(Formulas!Y149=1,1,RIGHT(Formulas!Z149)+2)),"$",""))&amp;Formulas!X149+1,
IFERROR(INDEX(Datos!$A$1:$L$1,1,RIGHT(Formulas!Z149)+2)&amp;IF(Formulas!Y149=1," "&amp;Formulas!X149,"")&amp;":","")))</f>
        <v/>
      </c>
      <c r="X152" s="107" t="str" cm="1">
        <f t="array" aca="1" ref="X152" ca="1">IF(OR(Formulas!Y149=0,Formulas!Y149="",RIGHT(Formulas!Z149)="0"),"",
HYPERLINK("["&amp;Archivo_Nombre&amp;"]Datos!"&amp;LEFT(SUBSTITUTE(ADDRESS(1,RIGHT(Formulas!Z149)+2),"$",""))&amp;Formulas!X149+1,
IFERROR(INDEX(Datos!$A$2:$L$101,Formulas!X149,RIGHT(Formulas!Z149)+2),"")))</f>
        <v/>
      </c>
      <c r="Y152" s="107" t="str" cm="1">
        <f t="array" aca="1" ref="Y152" ca="1">IF(OR(Formulas!Z150=0,Formulas!Z150=""),"",HYPERLINK("["&amp;Archivo_Nombre&amp;"]Datos!"&amp;LEFT(SUBSTITUTE(ADDRESS(1,Formulas!Z150+2),"$",""))&amp;Formulas!Y150+1,
IFERROR(INDEX(Datos!$A$2:$L$101,Formulas!Y150,Formulas!Z150+2),"")))</f>
        <v/>
      </c>
      <c r="Z152" s="13"/>
      <c r="AA152" s="6"/>
      <c r="AB152" s="24" t="str" cm="1">
        <f t="array" aca="1" ref="AB152" ca="1">IF(OR(Formulas!AD149=0,Formulas!AD149="",RIGHT(Formulas!AE149)="0"),"",
HYPERLINK("["&amp;Archivo_Nombre&amp;"]Datos!"&amp;LEFT(SUBSTITUTE(ADDRESS(1,IF(Formulas!AD149=1,1,RIGHT(Formulas!AE149)+2)),"$",""))&amp;Formulas!AC149+1,
IFERROR(INDEX(Datos!$A$1:$L$1,1,RIGHT(Formulas!AE149)+2)&amp;IF(Formulas!AD149=1," "&amp;Formulas!AC149,"")&amp;":","")))</f>
        <v/>
      </c>
      <c r="AC152" s="107" t="str" cm="1">
        <f t="array" aca="1" ref="AC152" ca="1">IF(OR(Formulas!AD149=0,Formulas!AD149="",RIGHT(Formulas!AE149)="0"),"",
HYPERLINK("["&amp;Archivo_Nombre&amp;"]Datos!"&amp;LEFT(SUBSTITUTE(ADDRESS(1,RIGHT(Formulas!AE149)+2),"$",""))&amp;Formulas!AC149+1,
IFERROR(INDEX(Datos!$A$2:$L$101,Formulas!AC149,RIGHT(Formulas!AE149)+2),"")))</f>
        <v/>
      </c>
      <c r="AD152" s="107" t="str" cm="1">
        <f t="array" aca="1" ref="AD152" ca="1">IF(OR(Formulas!AE150=0,Formulas!AE150=""),"",HYPERLINK("["&amp;Archivo_Nombre&amp;"]Datos!"&amp;LEFT(SUBSTITUTE(ADDRESS(1,Formulas!AE150+2),"$",""))&amp;Formulas!AD150+1,
IFERROR(INDEX(Datos!$A$2:$L$101,Formulas!AD150,Formulas!AE150+2),"")))</f>
        <v/>
      </c>
      <c r="AE152" s="13"/>
      <c r="AF152" s="6"/>
      <c r="AG152" s="24" t="str" cm="1">
        <f t="array" aca="1" ref="AG152" ca="1">IF(OR(Formulas!AI149=0,Formulas!AI149="",RIGHT(Formulas!AJ149)="0"),"",
HYPERLINK("["&amp;Archivo_Nombre&amp;"]Datos!"&amp;LEFT(SUBSTITUTE(ADDRESS(1,IF(Formulas!AI149=1,1,RIGHT(Formulas!AJ149)+2)),"$",""))&amp;Formulas!AH149+1,
IFERROR(INDEX(Datos!$A$1:$L$1,1,RIGHT(Formulas!AJ149)+2)&amp;IF(Formulas!AI149=1," "&amp;Formulas!AH149,"")&amp;":","")))</f>
        <v/>
      </c>
      <c r="AH152" s="107" t="str" cm="1">
        <f t="array" aca="1" ref="AH152" ca="1">IF(OR(Formulas!AI149=0,Formulas!AI149="",RIGHT(Formulas!AJ149)="0"),"",
HYPERLINK("["&amp;Archivo_Nombre&amp;"]Datos!"&amp;LEFT(SUBSTITUTE(ADDRESS(1,RIGHT(Formulas!AJ149)+2),"$",""))&amp;Formulas!AH149+1,
IFERROR(INDEX(Datos!$A$2:$L$101,Formulas!AH149,RIGHT(Formulas!AJ149)+2),"")))</f>
        <v/>
      </c>
      <c r="AI152" s="107" t="str" cm="1">
        <f t="array" aca="1" ref="AI152" ca="1">IF(OR(Formulas!AJ150=0,Formulas!AJ150=""),"",HYPERLINK("["&amp;Archivo_Nombre&amp;"]Datos!"&amp;LEFT(SUBSTITUTE(ADDRESS(1,Formulas!AJ150+2),"$",""))&amp;Formulas!AI150+1,
IFERROR(INDEX(Datos!$A$2:$L$101,Formulas!AI150,Formulas!AJ150+2),"")))</f>
        <v/>
      </c>
      <c r="AJ152" s="13"/>
      <c r="AK152" s="6"/>
      <c r="AL152" s="24" t="str" cm="1">
        <f t="array" aca="1" ref="AL152" ca="1">IF(OR(Formulas!AN149=0,Formulas!AN149="",RIGHT(Formulas!AO149)="0"),"",
HYPERLINK("["&amp;Archivo_Nombre&amp;"]Datos!"&amp;LEFT(SUBSTITUTE(ADDRESS(1,IF(Formulas!AN149=1,1,RIGHT(Formulas!AO149)+2)),"$",""))&amp;Formulas!AM149+1,
IFERROR(INDEX(Datos!$A$1:$L$1,1,RIGHT(Formulas!AO149)+2)&amp;IF(Formulas!AN149=1," "&amp;Formulas!AM149,"")&amp;":","")))</f>
        <v/>
      </c>
      <c r="AM152" s="107" t="str" cm="1">
        <f t="array" aca="1" ref="AM152" ca="1">IF(OR(Formulas!AN149=0,Formulas!AN149="",RIGHT(Formulas!AO149)="0"),"",
HYPERLINK("["&amp;Archivo_Nombre&amp;"]Datos!"&amp;LEFT(SUBSTITUTE(ADDRESS(1,RIGHT(Formulas!AO149)+2),"$",""))&amp;Formulas!AM149+1,
IFERROR(INDEX(Datos!$A$2:$L$101,Formulas!AM149,RIGHT(Formulas!AO149)+2),"")))</f>
        <v/>
      </c>
      <c r="AN152" s="107" t="str" cm="1">
        <f t="array" aca="1" ref="AN152" ca="1">IF(OR(Formulas!AO150=0,Formulas!AO150=""),"",HYPERLINK("["&amp;Archivo_Nombre&amp;"]Datos!"&amp;LEFT(SUBSTITUTE(ADDRESS(1,Formulas!AO150+2),"$",""))&amp;Formulas!AN150+1,
IFERROR(INDEX(Datos!$A$2:$L$101,Formulas!AN150,Formulas!AO150+2),"")))</f>
        <v/>
      </c>
      <c r="AO152" s="13"/>
      <c r="AP152" s="6"/>
      <c r="AQ152" s="24" t="str" cm="1">
        <f t="array" aca="1" ref="AQ152" ca="1">IF(OR(Formulas!AS149=0,Formulas!AS149="",RIGHT(Formulas!AT149)="0"),"",
HYPERLINK("["&amp;Archivo_Nombre&amp;"]Datos!"&amp;LEFT(SUBSTITUTE(ADDRESS(1,IF(Formulas!AS149=1,1,RIGHT(Formulas!AT149)+2)),"$",""))&amp;Formulas!AR149+1,
IFERROR(INDEX(Datos!$A$1:$L$1,1,RIGHT(Formulas!AT149)+2)&amp;IF(Formulas!AS149=1," "&amp;Formulas!AR149,"")&amp;":","")))</f>
        <v/>
      </c>
      <c r="AR152" s="107" t="str" cm="1">
        <f t="array" aca="1" ref="AR152" ca="1">IF(OR(Formulas!AS149=0,Formulas!AS149="",RIGHT(Formulas!AT149)="0"),"",
HYPERLINK("["&amp;Archivo_Nombre&amp;"]Datos!"&amp;LEFT(SUBSTITUTE(ADDRESS(1,RIGHT(Formulas!AT149)+2),"$",""))&amp;Formulas!AR149+1,
IFERROR(INDEX(Datos!$A$2:$L$101,Formulas!AR149,RIGHT(Formulas!AT149)+2),"")))</f>
        <v/>
      </c>
      <c r="AS152" s="107" t="str" cm="1">
        <f t="array" aca="1" ref="AS152" ca="1">IF(OR(Formulas!AT150=0,Formulas!AT150=""),"",HYPERLINK("["&amp;Archivo_Nombre&amp;"]Datos!"&amp;LEFT(SUBSTITUTE(ADDRESS(1,Formulas!AT150+2),"$",""))&amp;Formulas!AS150+1,
IFERROR(INDEX(Datos!$A$2:$L$101,Formulas!AS150,Formulas!AT150+2),"")))</f>
        <v/>
      </c>
      <c r="AT152" s="13"/>
      <c r="AU152" s="6"/>
      <c r="AV152" s="24" t="str" cm="1">
        <f t="array" aca="1" ref="AV152" ca="1">IF(OR(Formulas!AX149=0,Formulas!AX149="",RIGHT(Formulas!AY149)="0"),"",
HYPERLINK("["&amp;Archivo_Nombre&amp;"]Datos!"&amp;LEFT(SUBSTITUTE(ADDRESS(1,IF(Formulas!AX149=1,1,RIGHT(Formulas!AY149)+2)),"$",""))&amp;Formulas!AW149+1,
IFERROR(INDEX(Datos!$A$1:$L$1,1,RIGHT(Formulas!AY149)+2)&amp;IF(Formulas!AX149=1," "&amp;Formulas!AW149,"")&amp;":","")))</f>
        <v/>
      </c>
      <c r="AW152" s="107" t="str" cm="1">
        <f t="array" aca="1" ref="AW152" ca="1">IF(OR(Formulas!AX149=0,Formulas!AX149="",RIGHT(Formulas!AY149)="0"),"",
HYPERLINK("["&amp;Archivo_Nombre&amp;"]Datos!"&amp;LEFT(SUBSTITUTE(ADDRESS(1,RIGHT(Formulas!AY149)+2),"$",""))&amp;Formulas!AW149+1,
IFERROR(INDEX(Datos!$A$2:$L$101,Formulas!AW149,RIGHT(Formulas!AY149)+2),"")))</f>
        <v/>
      </c>
      <c r="AX152" s="107" t="str" cm="1">
        <f t="array" aca="1" ref="AX152" ca="1">IF(OR(Formulas!AY150=0,Formulas!AY150=""),"",HYPERLINK("["&amp;Archivo_Nombre&amp;"]Datos!"&amp;LEFT(SUBSTITUTE(ADDRESS(1,Formulas!AY150+2),"$",""))&amp;Formulas!AX150+1,
IFERROR(INDEX(Datos!$A$2:$L$101,Formulas!AX150,Formulas!AY150+2),"")))</f>
        <v/>
      </c>
      <c r="AY152" s="13"/>
    </row>
    <row r="153" spans="2:51" x14ac:dyDescent="0.25">
      <c r="B153" s="11"/>
      <c r="C153" s="24" t="str" cm="1">
        <f t="array" aca="1" ref="C153" ca="1">IF(OR(Formulas!E150=0,Formulas!E150="",RIGHT(Formulas!F150)="0"),"",
HYPERLINK("["&amp;Archivo_Nombre&amp;"]Datos!"&amp;LEFT(SUBSTITUTE(ADDRESS(1,IF(Formulas!E150=1,1,RIGHT(Formulas!F150)+2)),"$",""))&amp;Formulas!D150+1,
IFERROR(INDEX(Datos!$A$1:$L$1,1,RIGHT(Formulas!F150)+2)&amp;IF(Formulas!E150=1," "&amp;Formulas!D150,"")&amp;":","")))</f>
        <v/>
      </c>
      <c r="D153" s="107" t="str" cm="1">
        <f t="array" aca="1" ref="D153" ca="1">IF(OR(Formulas!E150=0,Formulas!E150="",RIGHT(Formulas!F150)="0"),"",
HYPERLINK("["&amp;Archivo_Nombre&amp;"]Datos!"&amp;LEFT(SUBSTITUTE(ADDRESS(1,RIGHT(Formulas!F150)+2),"$",""))&amp;Formulas!D150+1,
IFERROR(INDEX(Datos!$A$2:$L$101,Formulas!D150,RIGHT(Formulas!F150)+2),"")))</f>
        <v/>
      </c>
      <c r="E153" s="107" t="str" cm="1">
        <f t="array" aca="1" ref="E153" ca="1">IF(OR(Formulas!F151=0,Formulas!F151=""),"",HYPERLINK("["&amp;Archivo_Nombre&amp;"]Datos!"&amp;LEFT(SUBSTITUTE(ADDRESS(1,Formulas!F151+2),"$",""))&amp;Formulas!E151+1,
IFERROR(INDEX(Datos!$A$2:$L$101,Formulas!E151,Formulas!F151+2),"")))</f>
        <v/>
      </c>
      <c r="F153" s="5"/>
      <c r="G153" s="6"/>
      <c r="H153" s="24" t="str" cm="1">
        <f t="array" aca="1" ref="H153" ca="1">IF(OR(Formulas!J150=0,Formulas!J150="",RIGHT(Formulas!K150)="0"),"",
HYPERLINK("["&amp;Archivo_Nombre&amp;"]Datos!"&amp;LEFT(SUBSTITUTE(ADDRESS(1,IF(Formulas!J150=1,1,RIGHT(Formulas!K150)+2)),"$",""))&amp;Formulas!I150+1,
IFERROR(INDEX(Datos!$A$1:$L$1,1,RIGHT(Formulas!K150)+2)&amp;IF(Formulas!J150=1," "&amp;Formulas!I150,"")&amp;":","")))</f>
        <v/>
      </c>
      <c r="I153" s="107" t="str" cm="1">
        <f t="array" aca="1" ref="I153" ca="1">IF(OR(Formulas!J150=0,Formulas!J150="",RIGHT(Formulas!K150)="0"),"",
HYPERLINK("["&amp;Archivo_Nombre&amp;"]Datos!"&amp;LEFT(SUBSTITUTE(ADDRESS(1,RIGHT(Formulas!K150)+2),"$",""))&amp;Formulas!I150+1,
IFERROR(INDEX(Datos!$A$2:$L$101,Formulas!I150,RIGHT(Formulas!K150)+2),"")))</f>
        <v/>
      </c>
      <c r="J153" s="107" t="str" cm="1">
        <f t="array" aca="1" ref="J153" ca="1">IF(OR(Formulas!K151=0,Formulas!K151=""),"",HYPERLINK("["&amp;Archivo_Nombre&amp;"]Datos!"&amp;LEFT(SUBSTITUTE(ADDRESS(1,Formulas!K151+2),"$",""))&amp;Formulas!J151+1,
IFERROR(INDEX(Datos!$A$2:$L$101,Formulas!J151,Formulas!K151+2),"")))</f>
        <v/>
      </c>
      <c r="K153" s="5"/>
      <c r="L153" s="6"/>
      <c r="M153" s="24" t="str" cm="1">
        <f t="array" aca="1" ref="M153" ca="1">IF(OR(Formulas!O150=0,Formulas!O150="",RIGHT(Formulas!P150)="0"),"",
HYPERLINK("["&amp;Archivo_Nombre&amp;"]Datos!"&amp;LEFT(SUBSTITUTE(ADDRESS(1,IF(Formulas!O150=1,1,RIGHT(Formulas!P150)+2)),"$",""))&amp;Formulas!N150+1,
IFERROR(INDEX(Datos!$A$1:$L$1,1,RIGHT(Formulas!P150)+2)&amp;IF(Formulas!O150=1," "&amp;Formulas!N150,"")&amp;":","")))</f>
        <v/>
      </c>
      <c r="N153" s="107" t="str" cm="1">
        <f t="array" aca="1" ref="N153" ca="1">IF(OR(Formulas!O150=0,Formulas!O150="",RIGHT(Formulas!P150)="0"),"",
HYPERLINK("["&amp;Archivo_Nombre&amp;"]Datos!"&amp;LEFT(SUBSTITUTE(ADDRESS(1,RIGHT(Formulas!P150)+2),"$",""))&amp;Formulas!N150+1,
IFERROR(INDEX(Datos!$A$2:$L$101,Formulas!N150,RIGHT(Formulas!P150)+2),"")))</f>
        <v/>
      </c>
      <c r="O153" s="107" t="str" cm="1">
        <f t="array" aca="1" ref="O153" ca="1">IF(OR(Formulas!P151=0,Formulas!P151=""),"",HYPERLINK("["&amp;Archivo_Nombre&amp;"]Datos!"&amp;LEFT(SUBSTITUTE(ADDRESS(1,Formulas!P151+2),"$",""))&amp;Formulas!O151+1,
IFERROR(INDEX(Datos!$A$2:$L$101,Formulas!O151,Formulas!P151+2),"")))</f>
        <v/>
      </c>
      <c r="P153" s="5"/>
      <c r="Q153" s="6"/>
      <c r="R153" s="24" t="str" cm="1">
        <f t="array" aca="1" ref="R153" ca="1">IF(OR(Formulas!T150=0,Formulas!T150="",RIGHT(Formulas!U150)="0"),"",
HYPERLINK("["&amp;Archivo_Nombre&amp;"]Datos!"&amp;LEFT(SUBSTITUTE(ADDRESS(1,IF(Formulas!T150=1,1,RIGHT(Formulas!U150)+2)),"$",""))&amp;Formulas!S150+1,
IFERROR(INDEX(Datos!$A$1:$L$1,1,RIGHT(Formulas!U150)+2)&amp;IF(Formulas!T150=1," "&amp;Formulas!S150,"")&amp;":","")))</f>
        <v>Retraso:</v>
      </c>
      <c r="S153" s="107" t="str" cm="1">
        <f t="array" aca="1" ref="S153" ca="1">IF(OR(Formulas!T150=0,Formulas!T150="",RIGHT(Formulas!U150)="0"),"",
HYPERLINK("["&amp;Archivo_Nombre&amp;"]Datos!"&amp;LEFT(SUBSTITUTE(ADDRESS(1,RIGHT(Formulas!U150)+2),"$",""))&amp;Formulas!S150+1,
IFERROR(INDEX(Datos!$A$2:$L$101,Formulas!S150,RIGHT(Formulas!U150)+2),"")))</f>
        <v>0 días</v>
      </c>
      <c r="T153" s="107" t="e" cm="1">
        <f t="array" aca="1" ref="T153" ca="1">IF(OR(Formulas!U151=0,Formulas!U151=""),"",HYPERLINK("["&amp;Archivo_Nombre&amp;"]Datos!"&amp;LEFT(SUBSTITUTE(ADDRESS(1,Formulas!U151+2),"$",""))&amp;Formulas!T151+1,
IFERROR(INDEX(Datos!$A$2:$L$101,Formulas!T151,Formulas!U151+2),"")))</f>
        <v>#VALUE!</v>
      </c>
      <c r="U153" s="5"/>
      <c r="V153" s="6"/>
      <c r="W153" s="24" t="str" cm="1">
        <f t="array" aca="1" ref="W153" ca="1">IF(OR(Formulas!Y150=0,Formulas!Y150="",RIGHT(Formulas!Z150)="0"),"",
HYPERLINK("["&amp;Archivo_Nombre&amp;"]Datos!"&amp;LEFT(SUBSTITUTE(ADDRESS(1,IF(Formulas!Y150=1,1,RIGHT(Formulas!Z150)+2)),"$",""))&amp;Formulas!X150+1,
IFERROR(INDEX(Datos!$A$1:$L$1,1,RIGHT(Formulas!Z150)+2)&amp;IF(Formulas!Y150=1," "&amp;Formulas!X150,"")&amp;":","")))</f>
        <v/>
      </c>
      <c r="X153" s="107" t="str" cm="1">
        <f t="array" aca="1" ref="X153" ca="1">IF(OR(Formulas!Y150=0,Formulas!Y150="",RIGHT(Formulas!Z150)="0"),"",
HYPERLINK("["&amp;Archivo_Nombre&amp;"]Datos!"&amp;LEFT(SUBSTITUTE(ADDRESS(1,RIGHT(Formulas!Z150)+2),"$",""))&amp;Formulas!X150+1,
IFERROR(INDEX(Datos!$A$2:$L$101,Formulas!X150,RIGHT(Formulas!Z150)+2),"")))</f>
        <v/>
      </c>
      <c r="Y153" s="107" t="str" cm="1">
        <f t="array" aca="1" ref="Y153" ca="1">IF(OR(Formulas!Z151=0,Formulas!Z151=""),"",HYPERLINK("["&amp;Archivo_Nombre&amp;"]Datos!"&amp;LEFT(SUBSTITUTE(ADDRESS(1,Formulas!Z151+2),"$",""))&amp;Formulas!Y151+1,
IFERROR(INDEX(Datos!$A$2:$L$101,Formulas!Y151,Formulas!Z151+2),"")))</f>
        <v/>
      </c>
      <c r="Z153" s="13"/>
      <c r="AA153" s="6"/>
      <c r="AB153" s="24" t="str" cm="1">
        <f t="array" aca="1" ref="AB153" ca="1">IF(OR(Formulas!AD150=0,Formulas!AD150="",RIGHT(Formulas!AE150)="0"),"",
HYPERLINK("["&amp;Archivo_Nombre&amp;"]Datos!"&amp;LEFT(SUBSTITUTE(ADDRESS(1,IF(Formulas!AD150=1,1,RIGHT(Formulas!AE150)+2)),"$",""))&amp;Formulas!AC150+1,
IFERROR(INDEX(Datos!$A$1:$L$1,1,RIGHT(Formulas!AE150)+2)&amp;IF(Formulas!AD150=1," "&amp;Formulas!AC150,"")&amp;":","")))</f>
        <v/>
      </c>
      <c r="AC153" s="107" t="str" cm="1">
        <f t="array" aca="1" ref="AC153" ca="1">IF(OR(Formulas!AD150=0,Formulas!AD150="",RIGHT(Formulas!AE150)="0"),"",
HYPERLINK("["&amp;Archivo_Nombre&amp;"]Datos!"&amp;LEFT(SUBSTITUTE(ADDRESS(1,RIGHT(Formulas!AE150)+2),"$",""))&amp;Formulas!AC150+1,
IFERROR(INDEX(Datos!$A$2:$L$101,Formulas!AC150,RIGHT(Formulas!AE150)+2),"")))</f>
        <v/>
      </c>
      <c r="AD153" s="107" t="str" cm="1">
        <f t="array" aca="1" ref="AD153" ca="1">IF(OR(Formulas!AE151=0,Formulas!AE151=""),"",HYPERLINK("["&amp;Archivo_Nombre&amp;"]Datos!"&amp;LEFT(SUBSTITUTE(ADDRESS(1,Formulas!AE151+2),"$",""))&amp;Formulas!AD151+1,
IFERROR(INDEX(Datos!$A$2:$L$101,Formulas!AD151,Formulas!AE151+2),"")))</f>
        <v/>
      </c>
      <c r="AE153" s="13"/>
      <c r="AF153" s="6"/>
      <c r="AG153" s="24" t="str" cm="1">
        <f t="array" aca="1" ref="AG153" ca="1">IF(OR(Formulas!AI150=0,Formulas!AI150="",RIGHT(Formulas!AJ150)="0"),"",
HYPERLINK("["&amp;Archivo_Nombre&amp;"]Datos!"&amp;LEFT(SUBSTITUTE(ADDRESS(1,IF(Formulas!AI150=1,1,RIGHT(Formulas!AJ150)+2)),"$",""))&amp;Formulas!AH150+1,
IFERROR(INDEX(Datos!$A$1:$L$1,1,RIGHT(Formulas!AJ150)+2)&amp;IF(Formulas!AI150=1," "&amp;Formulas!AH150,"")&amp;":","")))</f>
        <v/>
      </c>
      <c r="AH153" s="107" t="str" cm="1">
        <f t="array" aca="1" ref="AH153" ca="1">IF(OR(Formulas!AI150=0,Formulas!AI150="",RIGHT(Formulas!AJ150)="0"),"",
HYPERLINK("["&amp;Archivo_Nombre&amp;"]Datos!"&amp;LEFT(SUBSTITUTE(ADDRESS(1,RIGHT(Formulas!AJ150)+2),"$",""))&amp;Formulas!AH150+1,
IFERROR(INDEX(Datos!$A$2:$L$101,Formulas!AH150,RIGHT(Formulas!AJ150)+2),"")))</f>
        <v/>
      </c>
      <c r="AI153" s="107" t="str" cm="1">
        <f t="array" aca="1" ref="AI153" ca="1">IF(OR(Formulas!AJ151=0,Formulas!AJ151=""),"",HYPERLINK("["&amp;Archivo_Nombre&amp;"]Datos!"&amp;LEFT(SUBSTITUTE(ADDRESS(1,Formulas!AJ151+2),"$",""))&amp;Formulas!AI151+1,
IFERROR(INDEX(Datos!$A$2:$L$101,Formulas!AI151,Formulas!AJ151+2),"")))</f>
        <v/>
      </c>
      <c r="AJ153" s="13"/>
      <c r="AK153" s="6"/>
      <c r="AL153" s="24" t="str" cm="1">
        <f t="array" aca="1" ref="AL153" ca="1">IF(OR(Formulas!AN150=0,Formulas!AN150="",RIGHT(Formulas!AO150)="0"),"",
HYPERLINK("["&amp;Archivo_Nombre&amp;"]Datos!"&amp;LEFT(SUBSTITUTE(ADDRESS(1,IF(Formulas!AN150=1,1,RIGHT(Formulas!AO150)+2)),"$",""))&amp;Formulas!AM150+1,
IFERROR(INDEX(Datos!$A$1:$L$1,1,RIGHT(Formulas!AO150)+2)&amp;IF(Formulas!AN150=1," "&amp;Formulas!AM150,"")&amp;":","")))</f>
        <v/>
      </c>
      <c r="AM153" s="107" t="str" cm="1">
        <f t="array" aca="1" ref="AM153" ca="1">IF(OR(Formulas!AN150=0,Formulas!AN150="",RIGHT(Formulas!AO150)="0"),"",
HYPERLINK("["&amp;Archivo_Nombre&amp;"]Datos!"&amp;LEFT(SUBSTITUTE(ADDRESS(1,RIGHT(Formulas!AO150)+2),"$",""))&amp;Formulas!AM150+1,
IFERROR(INDEX(Datos!$A$2:$L$101,Formulas!AM150,RIGHT(Formulas!AO150)+2),"")))</f>
        <v/>
      </c>
      <c r="AN153" s="107" t="str" cm="1">
        <f t="array" aca="1" ref="AN153" ca="1">IF(OR(Formulas!AO151=0,Formulas!AO151=""),"",HYPERLINK("["&amp;Archivo_Nombre&amp;"]Datos!"&amp;LEFT(SUBSTITUTE(ADDRESS(1,Formulas!AO151+2),"$",""))&amp;Formulas!AN151+1,
IFERROR(INDEX(Datos!$A$2:$L$101,Formulas!AN151,Formulas!AO151+2),"")))</f>
        <v/>
      </c>
      <c r="AO153" s="13"/>
      <c r="AP153" s="6"/>
      <c r="AQ153" s="24" t="str" cm="1">
        <f t="array" aca="1" ref="AQ153" ca="1">IF(OR(Formulas!AS150=0,Formulas!AS150="",RIGHT(Formulas!AT150)="0"),"",
HYPERLINK("["&amp;Archivo_Nombre&amp;"]Datos!"&amp;LEFT(SUBSTITUTE(ADDRESS(1,IF(Formulas!AS150=1,1,RIGHT(Formulas!AT150)+2)),"$",""))&amp;Formulas!AR150+1,
IFERROR(INDEX(Datos!$A$1:$L$1,1,RIGHT(Formulas!AT150)+2)&amp;IF(Formulas!AS150=1," "&amp;Formulas!AR150,"")&amp;":","")))</f>
        <v/>
      </c>
      <c r="AR153" s="107" t="str" cm="1">
        <f t="array" aca="1" ref="AR153" ca="1">IF(OR(Formulas!AS150=0,Formulas!AS150="",RIGHT(Formulas!AT150)="0"),"",
HYPERLINK("["&amp;Archivo_Nombre&amp;"]Datos!"&amp;LEFT(SUBSTITUTE(ADDRESS(1,RIGHT(Formulas!AT150)+2),"$",""))&amp;Formulas!AR150+1,
IFERROR(INDEX(Datos!$A$2:$L$101,Formulas!AR150,RIGHT(Formulas!AT150)+2),"")))</f>
        <v/>
      </c>
      <c r="AS153" s="107" t="str" cm="1">
        <f t="array" aca="1" ref="AS153" ca="1">IF(OR(Formulas!AT151=0,Formulas!AT151=""),"",HYPERLINK("["&amp;Archivo_Nombre&amp;"]Datos!"&amp;LEFT(SUBSTITUTE(ADDRESS(1,Formulas!AT151+2),"$",""))&amp;Formulas!AS151+1,
IFERROR(INDEX(Datos!$A$2:$L$101,Formulas!AS151,Formulas!AT151+2),"")))</f>
        <v/>
      </c>
      <c r="AT153" s="13"/>
      <c r="AU153" s="6"/>
      <c r="AV153" s="24" t="str" cm="1">
        <f t="array" aca="1" ref="AV153" ca="1">IF(OR(Formulas!AX150=0,Formulas!AX150="",RIGHT(Formulas!AY150)="0"),"",
HYPERLINK("["&amp;Archivo_Nombre&amp;"]Datos!"&amp;LEFT(SUBSTITUTE(ADDRESS(1,IF(Formulas!AX150=1,1,RIGHT(Formulas!AY150)+2)),"$",""))&amp;Formulas!AW150+1,
IFERROR(INDEX(Datos!$A$1:$L$1,1,RIGHT(Formulas!AY150)+2)&amp;IF(Formulas!AX150=1," "&amp;Formulas!AW150,"")&amp;":","")))</f>
        <v/>
      </c>
      <c r="AW153" s="107" t="str" cm="1">
        <f t="array" aca="1" ref="AW153" ca="1">IF(OR(Formulas!AX150=0,Formulas!AX150="",RIGHT(Formulas!AY150)="0"),"",
HYPERLINK("["&amp;Archivo_Nombre&amp;"]Datos!"&amp;LEFT(SUBSTITUTE(ADDRESS(1,RIGHT(Formulas!AY150)+2),"$",""))&amp;Formulas!AW150+1,
IFERROR(INDEX(Datos!$A$2:$L$101,Formulas!AW150,RIGHT(Formulas!AY150)+2),"")))</f>
        <v/>
      </c>
      <c r="AX153" s="107" t="str" cm="1">
        <f t="array" aca="1" ref="AX153" ca="1">IF(OR(Formulas!AY151=0,Formulas!AY151=""),"",HYPERLINK("["&amp;Archivo_Nombre&amp;"]Datos!"&amp;LEFT(SUBSTITUTE(ADDRESS(1,Formulas!AY151+2),"$",""))&amp;Formulas!AX151+1,
IFERROR(INDEX(Datos!$A$2:$L$101,Formulas!AX151,Formulas!AY151+2),"")))</f>
        <v/>
      </c>
      <c r="AY153" s="13"/>
    </row>
    <row r="154" spans="2:51" x14ac:dyDescent="0.25">
      <c r="B154" s="11"/>
      <c r="C154" s="24" t="str" cm="1">
        <f t="array" aca="1" ref="C154" ca="1">IF(OR(Formulas!E151=0,Formulas!E151="",RIGHT(Formulas!F151)="0"),"",
HYPERLINK("["&amp;Archivo_Nombre&amp;"]Datos!"&amp;LEFT(SUBSTITUTE(ADDRESS(1,IF(Formulas!E151=1,1,RIGHT(Formulas!F151)+2)),"$",""))&amp;Formulas!D151+1,
IFERROR(INDEX(Datos!$A$1:$L$1,1,RIGHT(Formulas!F151)+2)&amp;IF(Formulas!E151=1," "&amp;Formulas!D151,"")&amp;":","")))</f>
        <v/>
      </c>
      <c r="D154" s="107" t="str" cm="1">
        <f t="array" aca="1" ref="D154" ca="1">IF(OR(Formulas!E151=0,Formulas!E151="",RIGHT(Formulas!F151)="0"),"",
HYPERLINK("["&amp;Archivo_Nombre&amp;"]Datos!"&amp;LEFT(SUBSTITUTE(ADDRESS(1,RIGHT(Formulas!F151)+2),"$",""))&amp;Formulas!D151+1,
IFERROR(INDEX(Datos!$A$2:$L$101,Formulas!D151,RIGHT(Formulas!F151)+2),"")))</f>
        <v/>
      </c>
      <c r="E154" s="107" t="str" cm="1">
        <f t="array" aca="1" ref="E154" ca="1">IF(OR(Formulas!F152=0,Formulas!F152=""),"",HYPERLINK("["&amp;Archivo_Nombre&amp;"]Datos!"&amp;LEFT(SUBSTITUTE(ADDRESS(1,Formulas!F152+2),"$",""))&amp;Formulas!E152+1,
IFERROR(INDEX(Datos!$A$2:$L$101,Formulas!E152,Formulas!F152+2),"")))</f>
        <v/>
      </c>
      <c r="F154" s="5"/>
      <c r="G154" s="6"/>
      <c r="H154" s="24" t="str" cm="1">
        <f t="array" aca="1" ref="H154" ca="1">IF(OR(Formulas!J151=0,Formulas!J151="",RIGHT(Formulas!K151)="0"),"",
HYPERLINK("["&amp;Archivo_Nombre&amp;"]Datos!"&amp;LEFT(SUBSTITUTE(ADDRESS(1,IF(Formulas!J151=1,1,RIGHT(Formulas!K151)+2)),"$",""))&amp;Formulas!I151+1,
IFERROR(INDEX(Datos!$A$1:$L$1,1,RIGHT(Formulas!K151)+2)&amp;IF(Formulas!J151=1," "&amp;Formulas!I151,"")&amp;":","")))</f>
        <v/>
      </c>
      <c r="I154" s="107" t="str" cm="1">
        <f t="array" aca="1" ref="I154" ca="1">IF(OR(Formulas!J151=0,Formulas!J151="",RIGHT(Formulas!K151)="0"),"",
HYPERLINK("["&amp;Archivo_Nombre&amp;"]Datos!"&amp;LEFT(SUBSTITUTE(ADDRESS(1,RIGHT(Formulas!K151)+2),"$",""))&amp;Formulas!I151+1,
IFERROR(INDEX(Datos!$A$2:$L$101,Formulas!I151,RIGHT(Formulas!K151)+2),"")))</f>
        <v/>
      </c>
      <c r="J154" s="107" t="str" cm="1">
        <f t="array" aca="1" ref="J154" ca="1">IF(OR(Formulas!K152=0,Formulas!K152=""),"",HYPERLINK("["&amp;Archivo_Nombre&amp;"]Datos!"&amp;LEFT(SUBSTITUTE(ADDRESS(1,Formulas!K152+2),"$",""))&amp;Formulas!J152+1,
IFERROR(INDEX(Datos!$A$2:$L$101,Formulas!J152,Formulas!K152+2),"")))</f>
        <v/>
      </c>
      <c r="K154" s="5"/>
      <c r="L154" s="6"/>
      <c r="M154" s="24" t="str" cm="1">
        <f t="array" aca="1" ref="M154" ca="1">IF(OR(Formulas!O151=0,Formulas!O151="",RIGHT(Formulas!P151)="0"),"",
HYPERLINK("["&amp;Archivo_Nombre&amp;"]Datos!"&amp;LEFT(SUBSTITUTE(ADDRESS(1,IF(Formulas!O151=1,1,RIGHT(Formulas!P151)+2)),"$",""))&amp;Formulas!N151+1,
IFERROR(INDEX(Datos!$A$1:$L$1,1,RIGHT(Formulas!P151)+2)&amp;IF(Formulas!O151=1," "&amp;Formulas!N151,"")&amp;":","")))</f>
        <v/>
      </c>
      <c r="N154" s="107" t="str" cm="1">
        <f t="array" aca="1" ref="N154" ca="1">IF(OR(Formulas!O151=0,Formulas!O151="",RIGHT(Formulas!P151)="0"),"",
HYPERLINK("["&amp;Archivo_Nombre&amp;"]Datos!"&amp;LEFT(SUBSTITUTE(ADDRESS(1,RIGHT(Formulas!P151)+2),"$",""))&amp;Formulas!N151+1,
IFERROR(INDEX(Datos!$A$2:$L$101,Formulas!N151,RIGHT(Formulas!P151)+2),"")))</f>
        <v/>
      </c>
      <c r="O154" s="107" t="str" cm="1">
        <f t="array" aca="1" ref="O154" ca="1">IF(OR(Formulas!P152=0,Formulas!P152=""),"",HYPERLINK("["&amp;Archivo_Nombre&amp;"]Datos!"&amp;LEFT(SUBSTITUTE(ADDRESS(1,Formulas!P152+2),"$",""))&amp;Formulas!O152+1,
IFERROR(INDEX(Datos!$A$2:$L$101,Formulas!O152,Formulas!P152+2),"")))</f>
        <v/>
      </c>
      <c r="P154" s="5"/>
      <c r="Q154" s="6"/>
      <c r="R154" s="24" t="str" cm="1">
        <f t="array" aca="1" ref="R154" ca="1">IF(OR(Formulas!T151=0,Formulas!T151="",RIGHT(Formulas!U151)="0"),"",
HYPERLINK("["&amp;Archivo_Nombre&amp;"]Datos!"&amp;LEFT(SUBSTITUTE(ADDRESS(1,IF(Formulas!T151=1,1,RIGHT(Formulas!U151)+2)),"$",""))&amp;Formulas!S151+1,
IFERROR(INDEX(Datos!$A$1:$L$1,1,RIGHT(Formulas!U151)+2)&amp;IF(Formulas!T151=1," "&amp;Formulas!S151,"")&amp;":","")))</f>
        <v/>
      </c>
      <c r="S154" s="107" t="str" cm="1">
        <f t="array" aca="1" ref="S154" ca="1">IF(OR(Formulas!T151=0,Formulas!T151="",RIGHT(Formulas!U151)="0"),"",
HYPERLINK("["&amp;Archivo_Nombre&amp;"]Datos!"&amp;LEFT(SUBSTITUTE(ADDRESS(1,RIGHT(Formulas!U151)+2),"$",""))&amp;Formulas!S151+1,
IFERROR(INDEX(Datos!$A$2:$L$101,Formulas!S151,RIGHT(Formulas!U151)+2),"")))</f>
        <v/>
      </c>
      <c r="T154" s="107" t="str" cm="1">
        <f t="array" aca="1" ref="T154" ca="1">IF(OR(Formulas!U152=0,Formulas!U152=""),"",HYPERLINK("["&amp;Archivo_Nombre&amp;"]Datos!"&amp;LEFT(SUBSTITUTE(ADDRESS(1,Formulas!U152+2),"$",""))&amp;Formulas!T152+1,
IFERROR(INDEX(Datos!$A$2:$L$101,Formulas!T152,Formulas!U152+2),"")))</f>
        <v/>
      </c>
      <c r="U154" s="5"/>
      <c r="V154" s="6"/>
      <c r="W154" s="24" t="str" cm="1">
        <f t="array" aca="1" ref="W154" ca="1">IF(OR(Formulas!Y151=0,Formulas!Y151="",RIGHT(Formulas!Z151)="0"),"",
HYPERLINK("["&amp;Archivo_Nombre&amp;"]Datos!"&amp;LEFT(SUBSTITUTE(ADDRESS(1,IF(Formulas!Y151=1,1,RIGHT(Formulas!Z151)+2)),"$",""))&amp;Formulas!X151+1,
IFERROR(INDEX(Datos!$A$1:$L$1,1,RIGHT(Formulas!Z151)+2)&amp;IF(Formulas!Y151=1," "&amp;Formulas!X151,"")&amp;":","")))</f>
        <v/>
      </c>
      <c r="X154" s="107" t="str" cm="1">
        <f t="array" aca="1" ref="X154" ca="1">IF(OR(Formulas!Y151=0,Formulas!Y151="",RIGHT(Formulas!Z151)="0"),"",
HYPERLINK("["&amp;Archivo_Nombre&amp;"]Datos!"&amp;LEFT(SUBSTITUTE(ADDRESS(1,RIGHT(Formulas!Z151)+2),"$",""))&amp;Formulas!X151+1,
IFERROR(INDEX(Datos!$A$2:$L$101,Formulas!X151,RIGHT(Formulas!Z151)+2),"")))</f>
        <v/>
      </c>
      <c r="Y154" s="107" t="str" cm="1">
        <f t="array" aca="1" ref="Y154" ca="1">IF(OR(Formulas!Z152=0,Formulas!Z152=""),"",HYPERLINK("["&amp;Archivo_Nombre&amp;"]Datos!"&amp;LEFT(SUBSTITUTE(ADDRESS(1,Formulas!Z152+2),"$",""))&amp;Formulas!Y152+1,
IFERROR(INDEX(Datos!$A$2:$L$101,Formulas!Y152,Formulas!Z152+2),"")))</f>
        <v/>
      </c>
      <c r="Z154" s="13"/>
      <c r="AA154" s="6"/>
      <c r="AB154" s="24" t="str" cm="1">
        <f t="array" aca="1" ref="AB154" ca="1">IF(OR(Formulas!AD151=0,Formulas!AD151="",RIGHT(Formulas!AE151)="0"),"",
HYPERLINK("["&amp;Archivo_Nombre&amp;"]Datos!"&amp;LEFT(SUBSTITUTE(ADDRESS(1,IF(Formulas!AD151=1,1,RIGHT(Formulas!AE151)+2)),"$",""))&amp;Formulas!AC151+1,
IFERROR(INDEX(Datos!$A$1:$L$1,1,RIGHT(Formulas!AE151)+2)&amp;IF(Formulas!AD151=1," "&amp;Formulas!AC151,"")&amp;":","")))</f>
        <v/>
      </c>
      <c r="AC154" s="107" t="str" cm="1">
        <f t="array" aca="1" ref="AC154" ca="1">IF(OR(Formulas!AD151=0,Formulas!AD151="",RIGHT(Formulas!AE151)="0"),"",
HYPERLINK("["&amp;Archivo_Nombre&amp;"]Datos!"&amp;LEFT(SUBSTITUTE(ADDRESS(1,RIGHT(Formulas!AE151)+2),"$",""))&amp;Formulas!AC151+1,
IFERROR(INDEX(Datos!$A$2:$L$101,Formulas!AC151,RIGHT(Formulas!AE151)+2),"")))</f>
        <v/>
      </c>
      <c r="AD154" s="107" t="str" cm="1">
        <f t="array" aca="1" ref="AD154" ca="1">IF(OR(Formulas!AE152=0,Formulas!AE152=""),"",HYPERLINK("["&amp;Archivo_Nombre&amp;"]Datos!"&amp;LEFT(SUBSTITUTE(ADDRESS(1,Formulas!AE152+2),"$",""))&amp;Formulas!AD152+1,
IFERROR(INDEX(Datos!$A$2:$L$101,Formulas!AD152,Formulas!AE152+2),"")))</f>
        <v/>
      </c>
      <c r="AE154" s="13"/>
      <c r="AF154" s="6"/>
      <c r="AG154" s="24" t="str" cm="1">
        <f t="array" aca="1" ref="AG154" ca="1">IF(OR(Formulas!AI151=0,Formulas!AI151="",RIGHT(Formulas!AJ151)="0"),"",
HYPERLINK("["&amp;Archivo_Nombre&amp;"]Datos!"&amp;LEFT(SUBSTITUTE(ADDRESS(1,IF(Formulas!AI151=1,1,RIGHT(Formulas!AJ151)+2)),"$",""))&amp;Formulas!AH151+1,
IFERROR(INDEX(Datos!$A$1:$L$1,1,RIGHT(Formulas!AJ151)+2)&amp;IF(Formulas!AI151=1," "&amp;Formulas!AH151,"")&amp;":","")))</f>
        <v/>
      </c>
      <c r="AH154" s="107" t="str" cm="1">
        <f t="array" aca="1" ref="AH154" ca="1">IF(OR(Formulas!AI151=0,Formulas!AI151="",RIGHT(Formulas!AJ151)="0"),"",
HYPERLINK("["&amp;Archivo_Nombre&amp;"]Datos!"&amp;LEFT(SUBSTITUTE(ADDRESS(1,RIGHT(Formulas!AJ151)+2),"$",""))&amp;Formulas!AH151+1,
IFERROR(INDEX(Datos!$A$2:$L$101,Formulas!AH151,RIGHT(Formulas!AJ151)+2),"")))</f>
        <v/>
      </c>
      <c r="AI154" s="107" t="str" cm="1">
        <f t="array" aca="1" ref="AI154" ca="1">IF(OR(Formulas!AJ152=0,Formulas!AJ152=""),"",HYPERLINK("["&amp;Archivo_Nombre&amp;"]Datos!"&amp;LEFT(SUBSTITUTE(ADDRESS(1,Formulas!AJ152+2),"$",""))&amp;Formulas!AI152+1,
IFERROR(INDEX(Datos!$A$2:$L$101,Formulas!AI152,Formulas!AJ152+2),"")))</f>
        <v/>
      </c>
      <c r="AJ154" s="13"/>
      <c r="AK154" s="6"/>
      <c r="AL154" s="24" t="str" cm="1">
        <f t="array" aca="1" ref="AL154" ca="1">IF(OR(Formulas!AN151=0,Formulas!AN151="",RIGHT(Formulas!AO151)="0"),"",
HYPERLINK("["&amp;Archivo_Nombre&amp;"]Datos!"&amp;LEFT(SUBSTITUTE(ADDRESS(1,IF(Formulas!AN151=1,1,RIGHT(Formulas!AO151)+2)),"$",""))&amp;Formulas!AM151+1,
IFERROR(INDEX(Datos!$A$1:$L$1,1,RIGHT(Formulas!AO151)+2)&amp;IF(Formulas!AN151=1," "&amp;Formulas!AM151,"")&amp;":","")))</f>
        <v/>
      </c>
      <c r="AM154" s="107" t="str" cm="1">
        <f t="array" aca="1" ref="AM154" ca="1">IF(OR(Formulas!AN151=0,Formulas!AN151="",RIGHT(Formulas!AO151)="0"),"",
HYPERLINK("["&amp;Archivo_Nombre&amp;"]Datos!"&amp;LEFT(SUBSTITUTE(ADDRESS(1,RIGHT(Formulas!AO151)+2),"$",""))&amp;Formulas!AM151+1,
IFERROR(INDEX(Datos!$A$2:$L$101,Formulas!AM151,RIGHT(Formulas!AO151)+2),"")))</f>
        <v/>
      </c>
      <c r="AN154" s="107" t="str" cm="1">
        <f t="array" aca="1" ref="AN154" ca="1">IF(OR(Formulas!AO152=0,Formulas!AO152=""),"",HYPERLINK("["&amp;Archivo_Nombre&amp;"]Datos!"&amp;LEFT(SUBSTITUTE(ADDRESS(1,Formulas!AO152+2),"$",""))&amp;Formulas!AN152+1,
IFERROR(INDEX(Datos!$A$2:$L$101,Formulas!AN152,Formulas!AO152+2),"")))</f>
        <v/>
      </c>
      <c r="AO154" s="13"/>
      <c r="AP154" s="6"/>
      <c r="AQ154" s="24" t="str" cm="1">
        <f t="array" aca="1" ref="AQ154" ca="1">IF(OR(Formulas!AS151=0,Formulas!AS151="",RIGHT(Formulas!AT151)="0"),"",
HYPERLINK("["&amp;Archivo_Nombre&amp;"]Datos!"&amp;LEFT(SUBSTITUTE(ADDRESS(1,IF(Formulas!AS151=1,1,RIGHT(Formulas!AT151)+2)),"$",""))&amp;Formulas!AR151+1,
IFERROR(INDEX(Datos!$A$1:$L$1,1,RIGHT(Formulas!AT151)+2)&amp;IF(Formulas!AS151=1," "&amp;Formulas!AR151,"")&amp;":","")))</f>
        <v/>
      </c>
      <c r="AR154" s="107" t="str" cm="1">
        <f t="array" aca="1" ref="AR154" ca="1">IF(OR(Formulas!AS151=0,Formulas!AS151="",RIGHT(Formulas!AT151)="0"),"",
HYPERLINK("["&amp;Archivo_Nombre&amp;"]Datos!"&amp;LEFT(SUBSTITUTE(ADDRESS(1,RIGHT(Formulas!AT151)+2),"$",""))&amp;Formulas!AR151+1,
IFERROR(INDEX(Datos!$A$2:$L$101,Formulas!AR151,RIGHT(Formulas!AT151)+2),"")))</f>
        <v/>
      </c>
      <c r="AS154" s="107" t="str" cm="1">
        <f t="array" aca="1" ref="AS154" ca="1">IF(OR(Formulas!AT152=0,Formulas!AT152=""),"",HYPERLINK("["&amp;Archivo_Nombre&amp;"]Datos!"&amp;LEFT(SUBSTITUTE(ADDRESS(1,Formulas!AT152+2),"$",""))&amp;Formulas!AS152+1,
IFERROR(INDEX(Datos!$A$2:$L$101,Formulas!AS152,Formulas!AT152+2),"")))</f>
        <v/>
      </c>
      <c r="AT154" s="13"/>
      <c r="AU154" s="6"/>
      <c r="AV154" s="24" t="str" cm="1">
        <f t="array" aca="1" ref="AV154" ca="1">IF(OR(Formulas!AX151=0,Formulas!AX151="",RIGHT(Formulas!AY151)="0"),"",
HYPERLINK("["&amp;Archivo_Nombre&amp;"]Datos!"&amp;LEFT(SUBSTITUTE(ADDRESS(1,IF(Formulas!AX151=1,1,RIGHT(Formulas!AY151)+2)),"$",""))&amp;Formulas!AW151+1,
IFERROR(INDEX(Datos!$A$1:$L$1,1,RIGHT(Formulas!AY151)+2)&amp;IF(Formulas!AX151=1," "&amp;Formulas!AW151,"")&amp;":","")))</f>
        <v/>
      </c>
      <c r="AW154" s="107" t="str" cm="1">
        <f t="array" aca="1" ref="AW154" ca="1">IF(OR(Formulas!AX151=0,Formulas!AX151="",RIGHT(Formulas!AY151)="0"),"",
HYPERLINK("["&amp;Archivo_Nombre&amp;"]Datos!"&amp;LEFT(SUBSTITUTE(ADDRESS(1,RIGHT(Formulas!AY151)+2),"$",""))&amp;Formulas!AW151+1,
IFERROR(INDEX(Datos!$A$2:$L$101,Formulas!AW151,RIGHT(Formulas!AY151)+2),"")))</f>
        <v/>
      </c>
      <c r="AX154" s="107" t="str" cm="1">
        <f t="array" aca="1" ref="AX154" ca="1">IF(OR(Formulas!AY152=0,Formulas!AY152=""),"",HYPERLINK("["&amp;Archivo_Nombre&amp;"]Datos!"&amp;LEFT(SUBSTITUTE(ADDRESS(1,Formulas!AY152+2),"$",""))&amp;Formulas!AX152+1,
IFERROR(INDEX(Datos!$A$2:$L$101,Formulas!AX152,Formulas!AY152+2),"")))</f>
        <v/>
      </c>
      <c r="AY154" s="13"/>
    </row>
    <row r="155" spans="2:51" x14ac:dyDescent="0.25">
      <c r="B155" s="11"/>
      <c r="C155" s="24" t="str" cm="1">
        <f t="array" aca="1" ref="C155" ca="1">IF(OR(Formulas!E152=0,Formulas!E152="",RIGHT(Formulas!F152)="0"),"",
HYPERLINK("["&amp;Archivo_Nombre&amp;"]Datos!"&amp;LEFT(SUBSTITUTE(ADDRESS(1,IF(Formulas!E152=1,1,RIGHT(Formulas!F152)+2)),"$",""))&amp;Formulas!D152+1,
IFERROR(INDEX(Datos!$A$1:$L$1,1,RIGHT(Formulas!F152)+2)&amp;IF(Formulas!E152=1," "&amp;Formulas!D152,"")&amp;":","")))</f>
        <v/>
      </c>
      <c r="D155" s="107" t="str" cm="1">
        <f t="array" aca="1" ref="D155" ca="1">IF(OR(Formulas!E152=0,Formulas!E152="",RIGHT(Formulas!F152)="0"),"",
HYPERLINK("["&amp;Archivo_Nombre&amp;"]Datos!"&amp;LEFT(SUBSTITUTE(ADDRESS(1,RIGHT(Formulas!F152)+2),"$",""))&amp;Formulas!D152+1,
IFERROR(INDEX(Datos!$A$2:$L$101,Formulas!D152,RIGHT(Formulas!F152)+2),"")))</f>
        <v/>
      </c>
      <c r="E155" s="107" t="str" cm="1">
        <f t="array" aca="1" ref="E155" ca="1">IF(OR(Formulas!F153=0,Formulas!F153=""),"",HYPERLINK("["&amp;Archivo_Nombre&amp;"]Datos!"&amp;LEFT(SUBSTITUTE(ADDRESS(1,Formulas!F153+2),"$",""))&amp;Formulas!E153+1,
IFERROR(INDEX(Datos!$A$2:$L$101,Formulas!E153,Formulas!F153+2),"")))</f>
        <v/>
      </c>
      <c r="F155" s="5"/>
      <c r="G155" s="6"/>
      <c r="H155" s="24" t="str" cm="1">
        <f t="array" aca="1" ref="H155" ca="1">IF(OR(Formulas!J152=0,Formulas!J152="",RIGHT(Formulas!K152)="0"),"",
HYPERLINK("["&amp;Archivo_Nombre&amp;"]Datos!"&amp;LEFT(SUBSTITUTE(ADDRESS(1,IF(Formulas!J152=1,1,RIGHT(Formulas!K152)+2)),"$",""))&amp;Formulas!I152+1,
IFERROR(INDEX(Datos!$A$1:$L$1,1,RIGHT(Formulas!K152)+2)&amp;IF(Formulas!J152=1," "&amp;Formulas!I152,"")&amp;":","")))</f>
        <v/>
      </c>
      <c r="I155" s="107" t="str" cm="1">
        <f t="array" aca="1" ref="I155" ca="1">IF(OR(Formulas!J152=0,Formulas!J152="",RIGHT(Formulas!K152)="0"),"",
HYPERLINK("["&amp;Archivo_Nombre&amp;"]Datos!"&amp;LEFT(SUBSTITUTE(ADDRESS(1,RIGHT(Formulas!K152)+2),"$",""))&amp;Formulas!I152+1,
IFERROR(INDEX(Datos!$A$2:$L$101,Formulas!I152,RIGHT(Formulas!K152)+2),"")))</f>
        <v/>
      </c>
      <c r="J155" s="107" t="str" cm="1">
        <f t="array" aca="1" ref="J155" ca="1">IF(OR(Formulas!K153=0,Formulas!K153=""),"",HYPERLINK("["&amp;Archivo_Nombre&amp;"]Datos!"&amp;LEFT(SUBSTITUTE(ADDRESS(1,Formulas!K153+2),"$",""))&amp;Formulas!J153+1,
IFERROR(INDEX(Datos!$A$2:$L$101,Formulas!J153,Formulas!K153+2),"")))</f>
        <v/>
      </c>
      <c r="K155" s="5"/>
      <c r="L155" s="6"/>
      <c r="M155" s="24" t="str" cm="1">
        <f t="array" aca="1" ref="M155" ca="1">IF(OR(Formulas!O152=0,Formulas!O152="",RIGHT(Formulas!P152)="0"),"",
HYPERLINK("["&amp;Archivo_Nombre&amp;"]Datos!"&amp;LEFT(SUBSTITUTE(ADDRESS(1,IF(Formulas!O152=1,1,RIGHT(Formulas!P152)+2)),"$",""))&amp;Formulas!N152+1,
IFERROR(INDEX(Datos!$A$1:$L$1,1,RIGHT(Formulas!P152)+2)&amp;IF(Formulas!O152=1," "&amp;Formulas!N152,"")&amp;":","")))</f>
        <v/>
      </c>
      <c r="N155" s="107" t="str" cm="1">
        <f t="array" aca="1" ref="N155" ca="1">IF(OR(Formulas!O152=0,Formulas!O152="",RIGHT(Formulas!P152)="0"),"",
HYPERLINK("["&amp;Archivo_Nombre&amp;"]Datos!"&amp;LEFT(SUBSTITUTE(ADDRESS(1,RIGHT(Formulas!P152)+2),"$",""))&amp;Formulas!N152+1,
IFERROR(INDEX(Datos!$A$2:$L$101,Formulas!N152,RIGHT(Formulas!P152)+2),"")))</f>
        <v/>
      </c>
      <c r="O155" s="107" t="str" cm="1">
        <f t="array" aca="1" ref="O155" ca="1">IF(OR(Formulas!P153=0,Formulas!P153=""),"",HYPERLINK("["&amp;Archivo_Nombre&amp;"]Datos!"&amp;LEFT(SUBSTITUTE(ADDRESS(1,Formulas!P153+2),"$",""))&amp;Formulas!O153+1,
IFERROR(INDEX(Datos!$A$2:$L$101,Formulas!O153,Formulas!P153+2),"")))</f>
        <v/>
      </c>
      <c r="P155" s="5"/>
      <c r="Q155" s="6"/>
      <c r="R155" s="24" t="str" cm="1">
        <f t="array" aca="1" ref="R155" ca="1">IF(OR(Formulas!T152=0,Formulas!T152="",RIGHT(Formulas!U152)="0"),"",
HYPERLINK("["&amp;Archivo_Nombre&amp;"]Datos!"&amp;LEFT(SUBSTITUTE(ADDRESS(1,IF(Formulas!T152=1,1,RIGHT(Formulas!U152)+2)),"$",""))&amp;Formulas!S152+1,
IFERROR(INDEX(Datos!$A$1:$L$1,1,RIGHT(Formulas!U152)+2)&amp;IF(Formulas!T152=1," "&amp;Formulas!S152,"")&amp;":","")))</f>
        <v/>
      </c>
      <c r="S155" s="107" t="str" cm="1">
        <f t="array" aca="1" ref="S155" ca="1">IF(OR(Formulas!T152=0,Formulas!T152="",RIGHT(Formulas!U152)="0"),"",
HYPERLINK("["&amp;Archivo_Nombre&amp;"]Datos!"&amp;LEFT(SUBSTITUTE(ADDRESS(1,RIGHT(Formulas!U152)+2),"$",""))&amp;Formulas!S152+1,
IFERROR(INDEX(Datos!$A$2:$L$101,Formulas!S152,RIGHT(Formulas!U152)+2),"")))</f>
        <v/>
      </c>
      <c r="T155" s="107" t="e" cm="1">
        <f t="array" aca="1" ref="T155" ca="1">IF(OR(Formulas!U153=0,Formulas!U153=""),"",HYPERLINK("["&amp;Archivo_Nombre&amp;"]Datos!"&amp;LEFT(SUBSTITUTE(ADDRESS(1,Formulas!U153+2),"$",""))&amp;Formulas!T153+1,
IFERROR(INDEX(Datos!$A$2:$L$101,Formulas!T153,Formulas!U153+2),"")))</f>
        <v>#VALUE!</v>
      </c>
      <c r="U155" s="5"/>
      <c r="V155" s="6"/>
      <c r="W155" s="24" t="str" cm="1">
        <f t="array" aca="1" ref="W155" ca="1">IF(OR(Formulas!Y152=0,Formulas!Y152="",RIGHT(Formulas!Z152)="0"),"",
HYPERLINK("["&amp;Archivo_Nombre&amp;"]Datos!"&amp;LEFT(SUBSTITUTE(ADDRESS(1,IF(Formulas!Y152=1,1,RIGHT(Formulas!Z152)+2)),"$",""))&amp;Formulas!X152+1,
IFERROR(INDEX(Datos!$A$1:$L$1,1,RIGHT(Formulas!Z152)+2)&amp;IF(Formulas!Y152=1," "&amp;Formulas!X152,"")&amp;":","")))</f>
        <v/>
      </c>
      <c r="X155" s="107" t="str" cm="1">
        <f t="array" aca="1" ref="X155" ca="1">IF(OR(Formulas!Y152=0,Formulas!Y152="",RIGHT(Formulas!Z152)="0"),"",
HYPERLINK("["&amp;Archivo_Nombre&amp;"]Datos!"&amp;LEFT(SUBSTITUTE(ADDRESS(1,RIGHT(Formulas!Z152)+2),"$",""))&amp;Formulas!X152+1,
IFERROR(INDEX(Datos!$A$2:$L$101,Formulas!X152,RIGHT(Formulas!Z152)+2),"")))</f>
        <v/>
      </c>
      <c r="Y155" s="107" t="str" cm="1">
        <f t="array" aca="1" ref="Y155" ca="1">IF(OR(Formulas!Z153=0,Formulas!Z153=""),"",HYPERLINK("["&amp;Archivo_Nombre&amp;"]Datos!"&amp;LEFT(SUBSTITUTE(ADDRESS(1,Formulas!Z153+2),"$",""))&amp;Formulas!Y153+1,
IFERROR(INDEX(Datos!$A$2:$L$101,Formulas!Y153,Formulas!Z153+2),"")))</f>
        <v/>
      </c>
      <c r="Z155" s="13"/>
      <c r="AA155" s="6"/>
      <c r="AB155" s="24" t="str" cm="1">
        <f t="array" aca="1" ref="AB155" ca="1">IF(OR(Formulas!AD152=0,Formulas!AD152="",RIGHT(Formulas!AE152)="0"),"",
HYPERLINK("["&amp;Archivo_Nombre&amp;"]Datos!"&amp;LEFT(SUBSTITUTE(ADDRESS(1,IF(Formulas!AD152=1,1,RIGHT(Formulas!AE152)+2)),"$",""))&amp;Formulas!AC152+1,
IFERROR(INDEX(Datos!$A$1:$L$1,1,RIGHT(Formulas!AE152)+2)&amp;IF(Formulas!AD152=1," "&amp;Formulas!AC152,"")&amp;":","")))</f>
        <v/>
      </c>
      <c r="AC155" s="107" t="str" cm="1">
        <f t="array" aca="1" ref="AC155" ca="1">IF(OR(Formulas!AD152=0,Formulas!AD152="",RIGHT(Formulas!AE152)="0"),"",
HYPERLINK("["&amp;Archivo_Nombre&amp;"]Datos!"&amp;LEFT(SUBSTITUTE(ADDRESS(1,RIGHT(Formulas!AE152)+2),"$",""))&amp;Formulas!AC152+1,
IFERROR(INDEX(Datos!$A$2:$L$101,Formulas!AC152,RIGHT(Formulas!AE152)+2),"")))</f>
        <v/>
      </c>
      <c r="AD155" s="107" t="str" cm="1">
        <f t="array" aca="1" ref="AD155" ca="1">IF(OR(Formulas!AE153=0,Formulas!AE153=""),"",HYPERLINK("["&amp;Archivo_Nombre&amp;"]Datos!"&amp;LEFT(SUBSTITUTE(ADDRESS(1,Formulas!AE153+2),"$",""))&amp;Formulas!AD153+1,
IFERROR(INDEX(Datos!$A$2:$L$101,Formulas!AD153,Formulas!AE153+2),"")))</f>
        <v/>
      </c>
      <c r="AE155" s="13"/>
      <c r="AF155" s="6"/>
      <c r="AG155" s="24" t="str" cm="1">
        <f t="array" aca="1" ref="AG155" ca="1">IF(OR(Formulas!AI152=0,Formulas!AI152="",RIGHT(Formulas!AJ152)="0"),"",
HYPERLINK("["&amp;Archivo_Nombre&amp;"]Datos!"&amp;LEFT(SUBSTITUTE(ADDRESS(1,IF(Formulas!AI152=1,1,RIGHT(Formulas!AJ152)+2)),"$",""))&amp;Formulas!AH152+1,
IFERROR(INDEX(Datos!$A$1:$L$1,1,RIGHT(Formulas!AJ152)+2)&amp;IF(Formulas!AI152=1," "&amp;Formulas!AH152,"")&amp;":","")))</f>
        <v/>
      </c>
      <c r="AH155" s="107" t="str" cm="1">
        <f t="array" aca="1" ref="AH155" ca="1">IF(OR(Formulas!AI152=0,Formulas!AI152="",RIGHT(Formulas!AJ152)="0"),"",
HYPERLINK("["&amp;Archivo_Nombre&amp;"]Datos!"&amp;LEFT(SUBSTITUTE(ADDRESS(1,RIGHT(Formulas!AJ152)+2),"$",""))&amp;Formulas!AH152+1,
IFERROR(INDEX(Datos!$A$2:$L$101,Formulas!AH152,RIGHT(Formulas!AJ152)+2),"")))</f>
        <v/>
      </c>
      <c r="AI155" s="107" t="str" cm="1">
        <f t="array" aca="1" ref="AI155" ca="1">IF(OR(Formulas!AJ153=0,Formulas!AJ153=""),"",HYPERLINK("["&amp;Archivo_Nombre&amp;"]Datos!"&amp;LEFT(SUBSTITUTE(ADDRESS(1,Formulas!AJ153+2),"$",""))&amp;Formulas!AI153+1,
IFERROR(INDEX(Datos!$A$2:$L$101,Formulas!AI153,Formulas!AJ153+2),"")))</f>
        <v/>
      </c>
      <c r="AJ155" s="13"/>
      <c r="AK155" s="6"/>
      <c r="AL155" s="24" t="str" cm="1">
        <f t="array" aca="1" ref="AL155" ca="1">IF(OR(Formulas!AN152=0,Formulas!AN152="",RIGHT(Formulas!AO152)="0"),"",
HYPERLINK("["&amp;Archivo_Nombre&amp;"]Datos!"&amp;LEFT(SUBSTITUTE(ADDRESS(1,IF(Formulas!AN152=1,1,RIGHT(Formulas!AO152)+2)),"$",""))&amp;Formulas!AM152+1,
IFERROR(INDEX(Datos!$A$1:$L$1,1,RIGHT(Formulas!AO152)+2)&amp;IF(Formulas!AN152=1," "&amp;Formulas!AM152,"")&amp;":","")))</f>
        <v/>
      </c>
      <c r="AM155" s="107" t="str" cm="1">
        <f t="array" aca="1" ref="AM155" ca="1">IF(OR(Formulas!AN152=0,Formulas!AN152="",RIGHT(Formulas!AO152)="0"),"",
HYPERLINK("["&amp;Archivo_Nombre&amp;"]Datos!"&amp;LEFT(SUBSTITUTE(ADDRESS(1,RIGHT(Formulas!AO152)+2),"$",""))&amp;Formulas!AM152+1,
IFERROR(INDEX(Datos!$A$2:$L$101,Formulas!AM152,RIGHT(Formulas!AO152)+2),"")))</f>
        <v/>
      </c>
      <c r="AN155" s="107" t="str" cm="1">
        <f t="array" aca="1" ref="AN155" ca="1">IF(OR(Formulas!AO153=0,Formulas!AO153=""),"",HYPERLINK("["&amp;Archivo_Nombre&amp;"]Datos!"&amp;LEFT(SUBSTITUTE(ADDRESS(1,Formulas!AO153+2),"$",""))&amp;Formulas!AN153+1,
IFERROR(INDEX(Datos!$A$2:$L$101,Formulas!AN153,Formulas!AO153+2),"")))</f>
        <v/>
      </c>
      <c r="AO155" s="13"/>
      <c r="AP155" s="6"/>
      <c r="AQ155" s="24" t="str" cm="1">
        <f t="array" aca="1" ref="AQ155" ca="1">IF(OR(Formulas!AS152=0,Formulas!AS152="",RIGHT(Formulas!AT152)="0"),"",
HYPERLINK("["&amp;Archivo_Nombre&amp;"]Datos!"&amp;LEFT(SUBSTITUTE(ADDRESS(1,IF(Formulas!AS152=1,1,RIGHT(Formulas!AT152)+2)),"$",""))&amp;Formulas!AR152+1,
IFERROR(INDEX(Datos!$A$1:$L$1,1,RIGHT(Formulas!AT152)+2)&amp;IF(Formulas!AS152=1," "&amp;Formulas!AR152,"")&amp;":","")))</f>
        <v/>
      </c>
      <c r="AR155" s="107" t="str" cm="1">
        <f t="array" aca="1" ref="AR155" ca="1">IF(OR(Formulas!AS152=0,Formulas!AS152="",RIGHT(Formulas!AT152)="0"),"",
HYPERLINK("["&amp;Archivo_Nombre&amp;"]Datos!"&amp;LEFT(SUBSTITUTE(ADDRESS(1,RIGHT(Formulas!AT152)+2),"$",""))&amp;Formulas!AR152+1,
IFERROR(INDEX(Datos!$A$2:$L$101,Formulas!AR152,RIGHT(Formulas!AT152)+2),"")))</f>
        <v/>
      </c>
      <c r="AS155" s="107" t="str" cm="1">
        <f t="array" aca="1" ref="AS155" ca="1">IF(OR(Formulas!AT153=0,Formulas!AT153=""),"",HYPERLINK("["&amp;Archivo_Nombre&amp;"]Datos!"&amp;LEFT(SUBSTITUTE(ADDRESS(1,Formulas!AT153+2),"$",""))&amp;Formulas!AS153+1,
IFERROR(INDEX(Datos!$A$2:$L$101,Formulas!AS153,Formulas!AT153+2),"")))</f>
        <v/>
      </c>
      <c r="AT155" s="13"/>
      <c r="AU155" s="6"/>
      <c r="AV155" s="24" t="str" cm="1">
        <f t="array" aca="1" ref="AV155" ca="1">IF(OR(Formulas!AX152=0,Formulas!AX152="",RIGHT(Formulas!AY152)="0"),"",
HYPERLINK("["&amp;Archivo_Nombre&amp;"]Datos!"&amp;LEFT(SUBSTITUTE(ADDRESS(1,IF(Formulas!AX152=1,1,RIGHT(Formulas!AY152)+2)),"$",""))&amp;Formulas!AW152+1,
IFERROR(INDEX(Datos!$A$1:$L$1,1,RIGHT(Formulas!AY152)+2)&amp;IF(Formulas!AX152=1," "&amp;Formulas!AW152,"")&amp;":","")))</f>
        <v/>
      </c>
      <c r="AW155" s="107" t="str" cm="1">
        <f t="array" aca="1" ref="AW155" ca="1">IF(OR(Formulas!AX152=0,Formulas!AX152="",RIGHT(Formulas!AY152)="0"),"",
HYPERLINK("["&amp;Archivo_Nombre&amp;"]Datos!"&amp;LEFT(SUBSTITUTE(ADDRESS(1,RIGHT(Formulas!AY152)+2),"$",""))&amp;Formulas!AW152+1,
IFERROR(INDEX(Datos!$A$2:$L$101,Formulas!AW152,RIGHT(Formulas!AY152)+2),"")))</f>
        <v/>
      </c>
      <c r="AX155" s="107" t="str" cm="1">
        <f t="array" aca="1" ref="AX155" ca="1">IF(OR(Formulas!AY153=0,Formulas!AY153=""),"",HYPERLINK("["&amp;Archivo_Nombre&amp;"]Datos!"&amp;LEFT(SUBSTITUTE(ADDRESS(1,Formulas!AY153+2),"$",""))&amp;Formulas!AX153+1,
IFERROR(INDEX(Datos!$A$2:$L$101,Formulas!AX153,Formulas!AY153+2),"")))</f>
        <v/>
      </c>
      <c r="AY155" s="13"/>
    </row>
    <row r="156" spans="2:51" x14ac:dyDescent="0.25">
      <c r="B156" s="11"/>
      <c r="C156" s="24" t="str" cm="1">
        <f t="array" aca="1" ref="C156" ca="1">IF(OR(Formulas!E153=0,Formulas!E153="",RIGHT(Formulas!F153)="0"),"",
HYPERLINK("["&amp;Archivo_Nombre&amp;"]Datos!"&amp;LEFT(SUBSTITUTE(ADDRESS(1,IF(Formulas!E153=1,1,RIGHT(Formulas!F153)+2)),"$",""))&amp;Formulas!D153+1,
IFERROR(INDEX(Datos!$A$1:$L$1,1,RIGHT(Formulas!F153)+2)&amp;IF(Formulas!E153=1," "&amp;Formulas!D153,"")&amp;":","")))</f>
        <v/>
      </c>
      <c r="D156" s="107" t="str" cm="1">
        <f t="array" aca="1" ref="D156" ca="1">IF(OR(Formulas!E153=0,Formulas!E153="",RIGHT(Formulas!F153)="0"),"",
HYPERLINK("["&amp;Archivo_Nombre&amp;"]Datos!"&amp;LEFT(SUBSTITUTE(ADDRESS(1,RIGHT(Formulas!F153)+2),"$",""))&amp;Formulas!D153+1,
IFERROR(INDEX(Datos!$A$2:$L$101,Formulas!D153,RIGHT(Formulas!F153)+2),"")))</f>
        <v/>
      </c>
      <c r="E156" s="107" t="str" cm="1">
        <f t="array" aca="1" ref="E156" ca="1">IF(OR(Formulas!F154=0,Formulas!F154=""),"",HYPERLINK("["&amp;Archivo_Nombre&amp;"]Datos!"&amp;LEFT(SUBSTITUTE(ADDRESS(1,Formulas!F154+2),"$",""))&amp;Formulas!E154+1,
IFERROR(INDEX(Datos!$A$2:$L$101,Formulas!E154,Formulas!F154+2),"")))</f>
        <v/>
      </c>
      <c r="F156" s="5"/>
      <c r="G156" s="6"/>
      <c r="H156" s="24" t="str" cm="1">
        <f t="array" aca="1" ref="H156" ca="1">IF(OR(Formulas!J153=0,Formulas!J153="",RIGHT(Formulas!K153)="0"),"",
HYPERLINK("["&amp;Archivo_Nombre&amp;"]Datos!"&amp;LEFT(SUBSTITUTE(ADDRESS(1,IF(Formulas!J153=1,1,RIGHT(Formulas!K153)+2)),"$",""))&amp;Formulas!I153+1,
IFERROR(INDEX(Datos!$A$1:$L$1,1,RIGHT(Formulas!K153)+2)&amp;IF(Formulas!J153=1," "&amp;Formulas!I153,"")&amp;":","")))</f>
        <v/>
      </c>
      <c r="I156" s="107" t="str" cm="1">
        <f t="array" aca="1" ref="I156" ca="1">IF(OR(Formulas!J153=0,Formulas!J153="",RIGHT(Formulas!K153)="0"),"",
HYPERLINK("["&amp;Archivo_Nombre&amp;"]Datos!"&amp;LEFT(SUBSTITUTE(ADDRESS(1,RIGHT(Formulas!K153)+2),"$",""))&amp;Formulas!I153+1,
IFERROR(INDEX(Datos!$A$2:$L$101,Formulas!I153,RIGHT(Formulas!K153)+2),"")))</f>
        <v/>
      </c>
      <c r="J156" s="107" t="str" cm="1">
        <f t="array" aca="1" ref="J156" ca="1">IF(OR(Formulas!K154=0,Formulas!K154=""),"",HYPERLINK("["&amp;Archivo_Nombre&amp;"]Datos!"&amp;LEFT(SUBSTITUTE(ADDRESS(1,Formulas!K154+2),"$",""))&amp;Formulas!J154+1,
IFERROR(INDEX(Datos!$A$2:$L$101,Formulas!J154,Formulas!K154+2),"")))</f>
        <v/>
      </c>
      <c r="K156" s="5"/>
      <c r="L156" s="6"/>
      <c r="M156" s="24" t="str" cm="1">
        <f t="array" aca="1" ref="M156" ca="1">IF(OR(Formulas!O153=0,Formulas!O153="",RIGHT(Formulas!P153)="0"),"",
HYPERLINK("["&amp;Archivo_Nombre&amp;"]Datos!"&amp;LEFT(SUBSTITUTE(ADDRESS(1,IF(Formulas!O153=1,1,RIGHT(Formulas!P153)+2)),"$",""))&amp;Formulas!N153+1,
IFERROR(INDEX(Datos!$A$1:$L$1,1,RIGHT(Formulas!P153)+2)&amp;IF(Formulas!O153=1," "&amp;Formulas!N153,"")&amp;":","")))</f>
        <v/>
      </c>
      <c r="N156" s="107" t="str" cm="1">
        <f t="array" aca="1" ref="N156" ca="1">IF(OR(Formulas!O153=0,Formulas!O153="",RIGHT(Formulas!P153)="0"),"",
HYPERLINK("["&amp;Archivo_Nombre&amp;"]Datos!"&amp;LEFT(SUBSTITUTE(ADDRESS(1,RIGHT(Formulas!P153)+2),"$",""))&amp;Formulas!N153+1,
IFERROR(INDEX(Datos!$A$2:$L$101,Formulas!N153,RIGHT(Formulas!P153)+2),"")))</f>
        <v/>
      </c>
      <c r="O156" s="107" t="str" cm="1">
        <f t="array" aca="1" ref="O156" ca="1">IF(OR(Formulas!P154=0,Formulas!P154=""),"",HYPERLINK("["&amp;Archivo_Nombre&amp;"]Datos!"&amp;LEFT(SUBSTITUTE(ADDRESS(1,Formulas!P154+2),"$",""))&amp;Formulas!O154+1,
IFERROR(INDEX(Datos!$A$2:$L$101,Formulas!O154,Formulas!P154+2),"")))</f>
        <v/>
      </c>
      <c r="P156" s="5"/>
      <c r="Q156" s="6"/>
      <c r="R156" s="24" t="str" cm="1">
        <f t="array" aca="1" ref="R156" ca="1">IF(OR(Formulas!T153=0,Formulas!T153="",RIGHT(Formulas!U153)="0"),"",
HYPERLINK("["&amp;Archivo_Nombre&amp;"]Datos!"&amp;LEFT(SUBSTITUTE(ADDRESS(1,IF(Formulas!T153=1,1,RIGHT(Formulas!U153)+2)),"$",""))&amp;Formulas!S153+1,
IFERROR(INDEX(Datos!$A$1:$L$1,1,RIGHT(Formulas!U153)+2)&amp;IF(Formulas!T153=1," "&amp;Formulas!S153,"")&amp;":","")))</f>
        <v>ORDEN PCRONOLOGICO 14:</v>
      </c>
      <c r="S156" s="107" cm="1">
        <f t="array" aca="1" ref="S156" ca="1">IF(OR(Formulas!T153=0,Formulas!T153="",RIGHT(Formulas!U153)="0"),"",
HYPERLINK("["&amp;Archivo_Nombre&amp;"]Datos!"&amp;LEFT(SUBSTITUTE(ADDRESS(1,RIGHT(Formulas!U153)+2),"$",""))&amp;Formulas!S153+1,
IFERROR(INDEX(Datos!$A$2:$L$101,Formulas!S153,RIGHT(Formulas!U153)+2),"")))</f>
        <v>14</v>
      </c>
      <c r="T156" s="107" t="e" cm="1">
        <f t="array" aca="1" ref="T156" ca="1">IF(OR(Formulas!U154=0,Formulas!U154=""),"",HYPERLINK("["&amp;Archivo_Nombre&amp;"]Datos!"&amp;LEFT(SUBSTITUTE(ADDRESS(1,Formulas!U154+2),"$",""))&amp;Formulas!T154+1,
IFERROR(INDEX(Datos!$A$2:$L$101,Formulas!T154,Formulas!U154+2),"")))</f>
        <v>#VALUE!</v>
      </c>
      <c r="U156" s="5"/>
      <c r="V156" s="6"/>
      <c r="W156" s="24" t="str" cm="1">
        <f t="array" aca="1" ref="W156" ca="1">IF(OR(Formulas!Y153=0,Formulas!Y153="",RIGHT(Formulas!Z153)="0"),"",
HYPERLINK("["&amp;Archivo_Nombre&amp;"]Datos!"&amp;LEFT(SUBSTITUTE(ADDRESS(1,IF(Formulas!Y153=1,1,RIGHT(Formulas!Z153)+2)),"$",""))&amp;Formulas!X153+1,
IFERROR(INDEX(Datos!$A$1:$L$1,1,RIGHT(Formulas!Z153)+2)&amp;IF(Formulas!Y153=1," "&amp;Formulas!X153,"")&amp;":","")))</f>
        <v/>
      </c>
      <c r="X156" s="107" t="str" cm="1">
        <f t="array" aca="1" ref="X156" ca="1">IF(OR(Formulas!Y153=0,Formulas!Y153="",RIGHT(Formulas!Z153)="0"),"",
HYPERLINK("["&amp;Archivo_Nombre&amp;"]Datos!"&amp;LEFT(SUBSTITUTE(ADDRESS(1,RIGHT(Formulas!Z153)+2),"$",""))&amp;Formulas!X153+1,
IFERROR(INDEX(Datos!$A$2:$L$101,Formulas!X153,RIGHT(Formulas!Z153)+2),"")))</f>
        <v/>
      </c>
      <c r="Y156" s="107" t="str" cm="1">
        <f t="array" aca="1" ref="Y156" ca="1">IF(OR(Formulas!Z154=0,Formulas!Z154=""),"",HYPERLINK("["&amp;Archivo_Nombre&amp;"]Datos!"&amp;LEFT(SUBSTITUTE(ADDRESS(1,Formulas!Z154+2),"$",""))&amp;Formulas!Y154+1,
IFERROR(INDEX(Datos!$A$2:$L$101,Formulas!Y154,Formulas!Z154+2),"")))</f>
        <v/>
      </c>
      <c r="Z156" s="13"/>
      <c r="AA156" s="6"/>
      <c r="AB156" s="24" t="str" cm="1">
        <f t="array" aca="1" ref="AB156" ca="1">IF(OR(Formulas!AD153=0,Formulas!AD153="",RIGHT(Formulas!AE153)="0"),"",
HYPERLINK("["&amp;Archivo_Nombre&amp;"]Datos!"&amp;LEFT(SUBSTITUTE(ADDRESS(1,IF(Formulas!AD153=1,1,RIGHT(Formulas!AE153)+2)),"$",""))&amp;Formulas!AC153+1,
IFERROR(INDEX(Datos!$A$1:$L$1,1,RIGHT(Formulas!AE153)+2)&amp;IF(Formulas!AD153=1," "&amp;Formulas!AC153,"")&amp;":","")))</f>
        <v/>
      </c>
      <c r="AC156" s="107" t="str" cm="1">
        <f t="array" aca="1" ref="AC156" ca="1">IF(OR(Formulas!AD153=0,Formulas!AD153="",RIGHT(Formulas!AE153)="0"),"",
HYPERLINK("["&amp;Archivo_Nombre&amp;"]Datos!"&amp;LEFT(SUBSTITUTE(ADDRESS(1,RIGHT(Formulas!AE153)+2),"$",""))&amp;Formulas!AC153+1,
IFERROR(INDEX(Datos!$A$2:$L$101,Formulas!AC153,RIGHT(Formulas!AE153)+2),"")))</f>
        <v/>
      </c>
      <c r="AD156" s="107" t="str" cm="1">
        <f t="array" aca="1" ref="AD156" ca="1">IF(OR(Formulas!AE154=0,Formulas!AE154=""),"",HYPERLINK("["&amp;Archivo_Nombre&amp;"]Datos!"&amp;LEFT(SUBSTITUTE(ADDRESS(1,Formulas!AE154+2),"$",""))&amp;Formulas!AD154+1,
IFERROR(INDEX(Datos!$A$2:$L$101,Formulas!AD154,Formulas!AE154+2),"")))</f>
        <v/>
      </c>
      <c r="AE156" s="13"/>
      <c r="AF156" s="6"/>
      <c r="AG156" s="24" t="str" cm="1">
        <f t="array" aca="1" ref="AG156" ca="1">IF(OR(Formulas!AI153=0,Formulas!AI153="",RIGHT(Formulas!AJ153)="0"),"",
HYPERLINK("["&amp;Archivo_Nombre&amp;"]Datos!"&amp;LEFT(SUBSTITUTE(ADDRESS(1,IF(Formulas!AI153=1,1,RIGHT(Formulas!AJ153)+2)),"$",""))&amp;Formulas!AH153+1,
IFERROR(INDEX(Datos!$A$1:$L$1,1,RIGHT(Formulas!AJ153)+2)&amp;IF(Formulas!AI153=1," "&amp;Formulas!AH153,"")&amp;":","")))</f>
        <v/>
      </c>
      <c r="AH156" s="107" t="str" cm="1">
        <f t="array" aca="1" ref="AH156" ca="1">IF(OR(Formulas!AI153=0,Formulas!AI153="",RIGHT(Formulas!AJ153)="0"),"",
HYPERLINK("["&amp;Archivo_Nombre&amp;"]Datos!"&amp;LEFT(SUBSTITUTE(ADDRESS(1,RIGHT(Formulas!AJ153)+2),"$",""))&amp;Formulas!AH153+1,
IFERROR(INDEX(Datos!$A$2:$L$101,Formulas!AH153,RIGHT(Formulas!AJ153)+2),"")))</f>
        <v/>
      </c>
      <c r="AI156" s="107" t="str" cm="1">
        <f t="array" aca="1" ref="AI156" ca="1">IF(OR(Formulas!AJ154=0,Formulas!AJ154=""),"",HYPERLINK("["&amp;Archivo_Nombre&amp;"]Datos!"&amp;LEFT(SUBSTITUTE(ADDRESS(1,Formulas!AJ154+2),"$",""))&amp;Formulas!AI154+1,
IFERROR(INDEX(Datos!$A$2:$L$101,Formulas!AI154,Formulas!AJ154+2),"")))</f>
        <v/>
      </c>
      <c r="AJ156" s="13"/>
      <c r="AK156" s="6"/>
      <c r="AL156" s="24" t="str" cm="1">
        <f t="array" aca="1" ref="AL156" ca="1">IF(OR(Formulas!AN153=0,Formulas!AN153="",RIGHT(Formulas!AO153)="0"),"",
HYPERLINK("["&amp;Archivo_Nombre&amp;"]Datos!"&amp;LEFT(SUBSTITUTE(ADDRESS(1,IF(Formulas!AN153=1,1,RIGHT(Formulas!AO153)+2)),"$",""))&amp;Formulas!AM153+1,
IFERROR(INDEX(Datos!$A$1:$L$1,1,RIGHT(Formulas!AO153)+2)&amp;IF(Formulas!AN153=1," "&amp;Formulas!AM153,"")&amp;":","")))</f>
        <v/>
      </c>
      <c r="AM156" s="107" t="str" cm="1">
        <f t="array" aca="1" ref="AM156" ca="1">IF(OR(Formulas!AN153=0,Formulas!AN153="",RIGHT(Formulas!AO153)="0"),"",
HYPERLINK("["&amp;Archivo_Nombre&amp;"]Datos!"&amp;LEFT(SUBSTITUTE(ADDRESS(1,RIGHT(Formulas!AO153)+2),"$",""))&amp;Formulas!AM153+1,
IFERROR(INDEX(Datos!$A$2:$L$101,Formulas!AM153,RIGHT(Formulas!AO153)+2),"")))</f>
        <v/>
      </c>
      <c r="AN156" s="107" t="str" cm="1">
        <f t="array" aca="1" ref="AN156" ca="1">IF(OR(Formulas!AO154=0,Formulas!AO154=""),"",HYPERLINK("["&amp;Archivo_Nombre&amp;"]Datos!"&amp;LEFT(SUBSTITUTE(ADDRESS(1,Formulas!AO154+2),"$",""))&amp;Formulas!AN154+1,
IFERROR(INDEX(Datos!$A$2:$L$101,Formulas!AN154,Formulas!AO154+2),"")))</f>
        <v/>
      </c>
      <c r="AO156" s="13"/>
      <c r="AP156" s="6"/>
      <c r="AQ156" s="24" t="str" cm="1">
        <f t="array" aca="1" ref="AQ156" ca="1">IF(OR(Formulas!AS153=0,Formulas!AS153="",RIGHT(Formulas!AT153)="0"),"",
HYPERLINK("["&amp;Archivo_Nombre&amp;"]Datos!"&amp;LEFT(SUBSTITUTE(ADDRESS(1,IF(Formulas!AS153=1,1,RIGHT(Formulas!AT153)+2)),"$",""))&amp;Formulas!AR153+1,
IFERROR(INDEX(Datos!$A$1:$L$1,1,RIGHT(Formulas!AT153)+2)&amp;IF(Formulas!AS153=1," "&amp;Formulas!AR153,"")&amp;":","")))</f>
        <v/>
      </c>
      <c r="AR156" s="107" t="str" cm="1">
        <f t="array" aca="1" ref="AR156" ca="1">IF(OR(Formulas!AS153=0,Formulas!AS153="",RIGHT(Formulas!AT153)="0"),"",
HYPERLINK("["&amp;Archivo_Nombre&amp;"]Datos!"&amp;LEFT(SUBSTITUTE(ADDRESS(1,RIGHT(Formulas!AT153)+2),"$",""))&amp;Formulas!AR153+1,
IFERROR(INDEX(Datos!$A$2:$L$101,Formulas!AR153,RIGHT(Formulas!AT153)+2),"")))</f>
        <v/>
      </c>
      <c r="AS156" s="107" t="str" cm="1">
        <f t="array" aca="1" ref="AS156" ca="1">IF(OR(Formulas!AT154=0,Formulas!AT154=""),"",HYPERLINK("["&amp;Archivo_Nombre&amp;"]Datos!"&amp;LEFT(SUBSTITUTE(ADDRESS(1,Formulas!AT154+2),"$",""))&amp;Formulas!AS154+1,
IFERROR(INDEX(Datos!$A$2:$L$101,Formulas!AS154,Formulas!AT154+2),"")))</f>
        <v/>
      </c>
      <c r="AT156" s="13"/>
      <c r="AU156" s="6"/>
      <c r="AV156" s="24" t="str" cm="1">
        <f t="array" aca="1" ref="AV156" ca="1">IF(OR(Formulas!AX153=0,Formulas!AX153="",RIGHT(Formulas!AY153)="0"),"",
HYPERLINK("["&amp;Archivo_Nombre&amp;"]Datos!"&amp;LEFT(SUBSTITUTE(ADDRESS(1,IF(Formulas!AX153=1,1,RIGHT(Formulas!AY153)+2)),"$",""))&amp;Formulas!AW153+1,
IFERROR(INDEX(Datos!$A$1:$L$1,1,RIGHT(Formulas!AY153)+2)&amp;IF(Formulas!AX153=1," "&amp;Formulas!AW153,"")&amp;":","")))</f>
        <v/>
      </c>
      <c r="AW156" s="107" t="str" cm="1">
        <f t="array" aca="1" ref="AW156" ca="1">IF(OR(Formulas!AX153=0,Formulas!AX153="",RIGHT(Formulas!AY153)="0"),"",
HYPERLINK("["&amp;Archivo_Nombre&amp;"]Datos!"&amp;LEFT(SUBSTITUTE(ADDRESS(1,RIGHT(Formulas!AY153)+2),"$",""))&amp;Formulas!AW153+1,
IFERROR(INDEX(Datos!$A$2:$L$101,Formulas!AW153,RIGHT(Formulas!AY153)+2),"")))</f>
        <v/>
      </c>
      <c r="AX156" s="107" t="str" cm="1">
        <f t="array" aca="1" ref="AX156" ca="1">IF(OR(Formulas!AY154=0,Formulas!AY154=""),"",HYPERLINK("["&amp;Archivo_Nombre&amp;"]Datos!"&amp;LEFT(SUBSTITUTE(ADDRESS(1,Formulas!AY154+2),"$",""))&amp;Formulas!AX154+1,
IFERROR(INDEX(Datos!$A$2:$L$101,Formulas!AX154,Formulas!AY154+2),"")))</f>
        <v/>
      </c>
      <c r="AY156" s="13"/>
    </row>
    <row r="157" spans="2:51" x14ac:dyDescent="0.25">
      <c r="B157" s="11"/>
      <c r="C157" s="24" t="str" cm="1">
        <f t="array" aca="1" ref="C157" ca="1">IF(OR(Formulas!E154=0,Formulas!E154="",RIGHT(Formulas!F154)="0"),"",
HYPERLINK("["&amp;Archivo_Nombre&amp;"]Datos!"&amp;LEFT(SUBSTITUTE(ADDRESS(1,IF(Formulas!E154=1,1,RIGHT(Formulas!F154)+2)),"$",""))&amp;Formulas!D154+1,
IFERROR(INDEX(Datos!$A$1:$L$1,1,RIGHT(Formulas!F154)+2)&amp;IF(Formulas!E154=1," "&amp;Formulas!D154,"")&amp;":","")))</f>
        <v/>
      </c>
      <c r="D157" s="107" t="str" cm="1">
        <f t="array" aca="1" ref="D157" ca="1">IF(OR(Formulas!E154=0,Formulas!E154="",RIGHT(Formulas!F154)="0"),"",
HYPERLINK("["&amp;Archivo_Nombre&amp;"]Datos!"&amp;LEFT(SUBSTITUTE(ADDRESS(1,RIGHT(Formulas!F154)+2),"$",""))&amp;Formulas!D154+1,
IFERROR(INDEX(Datos!$A$2:$L$101,Formulas!D154,RIGHT(Formulas!F154)+2),"")))</f>
        <v/>
      </c>
      <c r="E157" s="107" t="str" cm="1">
        <f t="array" aca="1" ref="E157" ca="1">IF(OR(Formulas!F155=0,Formulas!F155=""),"",HYPERLINK("["&amp;Archivo_Nombre&amp;"]Datos!"&amp;LEFT(SUBSTITUTE(ADDRESS(1,Formulas!F155+2),"$",""))&amp;Formulas!E155+1,
IFERROR(INDEX(Datos!$A$2:$L$101,Formulas!E155,Formulas!F155+2),"")))</f>
        <v/>
      </c>
      <c r="F157" s="5"/>
      <c r="G157" s="6"/>
      <c r="H157" s="24" t="str" cm="1">
        <f t="array" aca="1" ref="H157" ca="1">IF(OR(Formulas!J154=0,Formulas!J154="",RIGHT(Formulas!K154)="0"),"",
HYPERLINK("["&amp;Archivo_Nombre&amp;"]Datos!"&amp;LEFT(SUBSTITUTE(ADDRESS(1,IF(Formulas!J154=1,1,RIGHT(Formulas!K154)+2)),"$",""))&amp;Formulas!I154+1,
IFERROR(INDEX(Datos!$A$1:$L$1,1,RIGHT(Formulas!K154)+2)&amp;IF(Formulas!J154=1," "&amp;Formulas!I154,"")&amp;":","")))</f>
        <v/>
      </c>
      <c r="I157" s="107" t="str" cm="1">
        <f t="array" aca="1" ref="I157" ca="1">IF(OR(Formulas!J154=0,Formulas!J154="",RIGHT(Formulas!K154)="0"),"",
HYPERLINK("["&amp;Archivo_Nombre&amp;"]Datos!"&amp;LEFT(SUBSTITUTE(ADDRESS(1,RIGHT(Formulas!K154)+2),"$",""))&amp;Formulas!I154+1,
IFERROR(INDEX(Datos!$A$2:$L$101,Formulas!I154,RIGHT(Formulas!K154)+2),"")))</f>
        <v/>
      </c>
      <c r="J157" s="107" t="str" cm="1">
        <f t="array" aca="1" ref="J157" ca="1">IF(OR(Formulas!K155=0,Formulas!K155=""),"",HYPERLINK("["&amp;Archivo_Nombre&amp;"]Datos!"&amp;LEFT(SUBSTITUTE(ADDRESS(1,Formulas!K155+2),"$",""))&amp;Formulas!J155+1,
IFERROR(INDEX(Datos!$A$2:$L$101,Formulas!J155,Formulas!K155+2),"")))</f>
        <v/>
      </c>
      <c r="K157" s="5"/>
      <c r="L157" s="6"/>
      <c r="M157" s="24" t="str" cm="1">
        <f t="array" aca="1" ref="M157" ca="1">IF(OR(Formulas!O154=0,Formulas!O154="",RIGHT(Formulas!P154)="0"),"",
HYPERLINK("["&amp;Archivo_Nombre&amp;"]Datos!"&amp;LEFT(SUBSTITUTE(ADDRESS(1,IF(Formulas!O154=1,1,RIGHT(Formulas!P154)+2)),"$",""))&amp;Formulas!N154+1,
IFERROR(INDEX(Datos!$A$1:$L$1,1,RIGHT(Formulas!P154)+2)&amp;IF(Formulas!O154=1," "&amp;Formulas!N154,"")&amp;":","")))</f>
        <v/>
      </c>
      <c r="N157" s="107" t="str" cm="1">
        <f t="array" aca="1" ref="N157" ca="1">IF(OR(Formulas!O154=0,Formulas!O154="",RIGHT(Formulas!P154)="0"),"",
HYPERLINK("["&amp;Archivo_Nombre&amp;"]Datos!"&amp;LEFT(SUBSTITUTE(ADDRESS(1,RIGHT(Formulas!P154)+2),"$",""))&amp;Formulas!N154+1,
IFERROR(INDEX(Datos!$A$2:$L$101,Formulas!N154,RIGHT(Formulas!P154)+2),"")))</f>
        <v/>
      </c>
      <c r="O157" s="107" t="str" cm="1">
        <f t="array" aca="1" ref="O157" ca="1">IF(OR(Formulas!P155=0,Formulas!P155=""),"",HYPERLINK("["&amp;Archivo_Nombre&amp;"]Datos!"&amp;LEFT(SUBSTITUTE(ADDRESS(1,Formulas!P155+2),"$",""))&amp;Formulas!O155+1,
IFERROR(INDEX(Datos!$A$2:$L$101,Formulas!O155,Formulas!P155+2),"")))</f>
        <v/>
      </c>
      <c r="P157" s="5"/>
      <c r="Q157" s="6"/>
      <c r="R157" s="24" t="str" cm="1">
        <f t="array" aca="1" ref="R157" ca="1">IF(OR(Formulas!T154=0,Formulas!T154="",RIGHT(Formulas!U154)="0"),"",
HYPERLINK("["&amp;Archivo_Nombre&amp;"]Datos!"&amp;LEFT(SUBSTITUTE(ADDRESS(1,IF(Formulas!T154=1,1,RIGHT(Formulas!U154)+2)),"$",""))&amp;Formulas!S154+1,
IFERROR(INDEX(Datos!$A$1:$L$1,1,RIGHT(Formulas!U154)+2)&amp;IF(Formulas!T154=1," "&amp;Formulas!S154,"")&amp;":","")))</f>
        <v>Tarea:</v>
      </c>
      <c r="S157" s="107" t="str" cm="1">
        <f t="array" aca="1" ref="S157" ca="1">IF(OR(Formulas!T154=0,Formulas!T154="",RIGHT(Formulas!U154)="0"),"",
HYPERLINK("["&amp;Archivo_Nombre&amp;"]Datos!"&amp;LEFT(SUBSTITUTE(ADDRESS(1,RIGHT(Formulas!U154)+2),"$",""))&amp;Formulas!S154+1,
IFERROR(INDEX(Datos!$A$2:$L$101,Formulas!S154,RIGHT(Formulas!U154)+2),"")))</f>
        <v>Corrección del marco de trabajo en Excel</v>
      </c>
      <c r="T157" s="107" t="e" cm="1">
        <f t="array" aca="1" ref="T157" ca="1">IF(OR(Formulas!U155=0,Formulas!U155=""),"",HYPERLINK("["&amp;Archivo_Nombre&amp;"]Datos!"&amp;LEFT(SUBSTITUTE(ADDRESS(1,Formulas!U155+2),"$",""))&amp;Formulas!T155+1,
IFERROR(INDEX(Datos!$A$2:$L$101,Formulas!T155,Formulas!U155+2),"")))</f>
        <v>#VALUE!</v>
      </c>
      <c r="U157" s="5"/>
      <c r="V157" s="6"/>
      <c r="W157" s="24" t="str" cm="1">
        <f t="array" aca="1" ref="W157" ca="1">IF(OR(Formulas!Y154=0,Formulas!Y154="",RIGHT(Formulas!Z154)="0"),"",
HYPERLINK("["&amp;Archivo_Nombre&amp;"]Datos!"&amp;LEFT(SUBSTITUTE(ADDRESS(1,IF(Formulas!Y154=1,1,RIGHT(Formulas!Z154)+2)),"$",""))&amp;Formulas!X154+1,
IFERROR(INDEX(Datos!$A$1:$L$1,1,RIGHT(Formulas!Z154)+2)&amp;IF(Formulas!Y154=1," "&amp;Formulas!X154,"")&amp;":","")))</f>
        <v/>
      </c>
      <c r="X157" s="107" t="str" cm="1">
        <f t="array" aca="1" ref="X157" ca="1">IF(OR(Formulas!Y154=0,Formulas!Y154="",RIGHT(Formulas!Z154)="0"),"",
HYPERLINK("["&amp;Archivo_Nombre&amp;"]Datos!"&amp;LEFT(SUBSTITUTE(ADDRESS(1,RIGHT(Formulas!Z154)+2),"$",""))&amp;Formulas!X154+1,
IFERROR(INDEX(Datos!$A$2:$L$101,Formulas!X154,RIGHT(Formulas!Z154)+2),"")))</f>
        <v/>
      </c>
      <c r="Y157" s="107" t="str" cm="1">
        <f t="array" aca="1" ref="Y157" ca="1">IF(OR(Formulas!Z155=0,Formulas!Z155=""),"",HYPERLINK("["&amp;Archivo_Nombre&amp;"]Datos!"&amp;LEFT(SUBSTITUTE(ADDRESS(1,Formulas!Z155+2),"$",""))&amp;Formulas!Y155+1,
IFERROR(INDEX(Datos!$A$2:$L$101,Formulas!Y155,Formulas!Z155+2),"")))</f>
        <v/>
      </c>
      <c r="Z157" s="13"/>
      <c r="AA157" s="6"/>
      <c r="AB157" s="24" t="str" cm="1">
        <f t="array" aca="1" ref="AB157" ca="1">IF(OR(Formulas!AD154=0,Formulas!AD154="",RIGHT(Formulas!AE154)="0"),"",
HYPERLINK("["&amp;Archivo_Nombre&amp;"]Datos!"&amp;LEFT(SUBSTITUTE(ADDRESS(1,IF(Formulas!AD154=1,1,RIGHT(Formulas!AE154)+2)),"$",""))&amp;Formulas!AC154+1,
IFERROR(INDEX(Datos!$A$1:$L$1,1,RIGHT(Formulas!AE154)+2)&amp;IF(Formulas!AD154=1," "&amp;Formulas!AC154,"")&amp;":","")))</f>
        <v/>
      </c>
      <c r="AC157" s="107" t="str" cm="1">
        <f t="array" aca="1" ref="AC157" ca="1">IF(OR(Formulas!AD154=0,Formulas!AD154="",RIGHT(Formulas!AE154)="0"),"",
HYPERLINK("["&amp;Archivo_Nombre&amp;"]Datos!"&amp;LEFT(SUBSTITUTE(ADDRESS(1,RIGHT(Formulas!AE154)+2),"$",""))&amp;Formulas!AC154+1,
IFERROR(INDEX(Datos!$A$2:$L$101,Formulas!AC154,RIGHT(Formulas!AE154)+2),"")))</f>
        <v/>
      </c>
      <c r="AD157" s="107" t="str" cm="1">
        <f t="array" aca="1" ref="AD157" ca="1">IF(OR(Formulas!AE155=0,Formulas!AE155=""),"",HYPERLINK("["&amp;Archivo_Nombre&amp;"]Datos!"&amp;LEFT(SUBSTITUTE(ADDRESS(1,Formulas!AE155+2),"$",""))&amp;Formulas!AD155+1,
IFERROR(INDEX(Datos!$A$2:$L$101,Formulas!AD155,Formulas!AE155+2),"")))</f>
        <v/>
      </c>
      <c r="AE157" s="13"/>
      <c r="AF157" s="6"/>
      <c r="AG157" s="24" t="str" cm="1">
        <f t="array" aca="1" ref="AG157" ca="1">IF(OR(Formulas!AI154=0,Formulas!AI154="",RIGHT(Formulas!AJ154)="0"),"",
HYPERLINK("["&amp;Archivo_Nombre&amp;"]Datos!"&amp;LEFT(SUBSTITUTE(ADDRESS(1,IF(Formulas!AI154=1,1,RIGHT(Formulas!AJ154)+2)),"$",""))&amp;Formulas!AH154+1,
IFERROR(INDEX(Datos!$A$1:$L$1,1,RIGHT(Formulas!AJ154)+2)&amp;IF(Formulas!AI154=1," "&amp;Formulas!AH154,"")&amp;":","")))</f>
        <v/>
      </c>
      <c r="AH157" s="107" t="str" cm="1">
        <f t="array" aca="1" ref="AH157" ca="1">IF(OR(Formulas!AI154=0,Formulas!AI154="",RIGHT(Formulas!AJ154)="0"),"",
HYPERLINK("["&amp;Archivo_Nombre&amp;"]Datos!"&amp;LEFT(SUBSTITUTE(ADDRESS(1,RIGHT(Formulas!AJ154)+2),"$",""))&amp;Formulas!AH154+1,
IFERROR(INDEX(Datos!$A$2:$L$101,Formulas!AH154,RIGHT(Formulas!AJ154)+2),"")))</f>
        <v/>
      </c>
      <c r="AI157" s="107" t="str" cm="1">
        <f t="array" aca="1" ref="AI157" ca="1">IF(OR(Formulas!AJ155=0,Formulas!AJ155=""),"",HYPERLINK("["&amp;Archivo_Nombre&amp;"]Datos!"&amp;LEFT(SUBSTITUTE(ADDRESS(1,Formulas!AJ155+2),"$",""))&amp;Formulas!AI155+1,
IFERROR(INDEX(Datos!$A$2:$L$101,Formulas!AI155,Formulas!AJ155+2),"")))</f>
        <v/>
      </c>
      <c r="AJ157" s="13"/>
      <c r="AK157" s="6"/>
      <c r="AL157" s="24" t="str" cm="1">
        <f t="array" aca="1" ref="AL157" ca="1">IF(OR(Formulas!AN154=0,Formulas!AN154="",RIGHT(Formulas!AO154)="0"),"",
HYPERLINK("["&amp;Archivo_Nombre&amp;"]Datos!"&amp;LEFT(SUBSTITUTE(ADDRESS(1,IF(Formulas!AN154=1,1,RIGHT(Formulas!AO154)+2)),"$",""))&amp;Formulas!AM154+1,
IFERROR(INDEX(Datos!$A$1:$L$1,1,RIGHT(Formulas!AO154)+2)&amp;IF(Formulas!AN154=1," "&amp;Formulas!AM154,"")&amp;":","")))</f>
        <v/>
      </c>
      <c r="AM157" s="107" t="str" cm="1">
        <f t="array" aca="1" ref="AM157" ca="1">IF(OR(Formulas!AN154=0,Formulas!AN154="",RIGHT(Formulas!AO154)="0"),"",
HYPERLINK("["&amp;Archivo_Nombre&amp;"]Datos!"&amp;LEFT(SUBSTITUTE(ADDRESS(1,RIGHT(Formulas!AO154)+2),"$",""))&amp;Formulas!AM154+1,
IFERROR(INDEX(Datos!$A$2:$L$101,Formulas!AM154,RIGHT(Formulas!AO154)+2),"")))</f>
        <v/>
      </c>
      <c r="AN157" s="107" t="str" cm="1">
        <f t="array" aca="1" ref="AN157" ca="1">IF(OR(Formulas!AO155=0,Formulas!AO155=""),"",HYPERLINK("["&amp;Archivo_Nombre&amp;"]Datos!"&amp;LEFT(SUBSTITUTE(ADDRESS(1,Formulas!AO155+2),"$",""))&amp;Formulas!AN155+1,
IFERROR(INDEX(Datos!$A$2:$L$101,Formulas!AN155,Formulas!AO155+2),"")))</f>
        <v/>
      </c>
      <c r="AO157" s="13"/>
      <c r="AP157" s="6"/>
      <c r="AQ157" s="24" t="str" cm="1">
        <f t="array" aca="1" ref="AQ157" ca="1">IF(OR(Formulas!AS154=0,Formulas!AS154="",RIGHT(Formulas!AT154)="0"),"",
HYPERLINK("["&amp;Archivo_Nombre&amp;"]Datos!"&amp;LEFT(SUBSTITUTE(ADDRESS(1,IF(Formulas!AS154=1,1,RIGHT(Formulas!AT154)+2)),"$",""))&amp;Formulas!AR154+1,
IFERROR(INDEX(Datos!$A$1:$L$1,1,RIGHT(Formulas!AT154)+2)&amp;IF(Formulas!AS154=1," "&amp;Formulas!AR154,"")&amp;":","")))</f>
        <v/>
      </c>
      <c r="AR157" s="107" t="str" cm="1">
        <f t="array" aca="1" ref="AR157" ca="1">IF(OR(Formulas!AS154=0,Formulas!AS154="",RIGHT(Formulas!AT154)="0"),"",
HYPERLINK("["&amp;Archivo_Nombre&amp;"]Datos!"&amp;LEFT(SUBSTITUTE(ADDRESS(1,RIGHT(Formulas!AT154)+2),"$",""))&amp;Formulas!AR154+1,
IFERROR(INDEX(Datos!$A$2:$L$101,Formulas!AR154,RIGHT(Formulas!AT154)+2),"")))</f>
        <v/>
      </c>
      <c r="AS157" s="107" t="str" cm="1">
        <f t="array" aca="1" ref="AS157" ca="1">IF(OR(Formulas!AT155=0,Formulas!AT155=""),"",HYPERLINK("["&amp;Archivo_Nombre&amp;"]Datos!"&amp;LEFT(SUBSTITUTE(ADDRESS(1,Formulas!AT155+2),"$",""))&amp;Formulas!AS155+1,
IFERROR(INDEX(Datos!$A$2:$L$101,Formulas!AS155,Formulas!AT155+2),"")))</f>
        <v/>
      </c>
      <c r="AT157" s="13"/>
      <c r="AU157" s="6"/>
      <c r="AV157" s="24" t="str" cm="1">
        <f t="array" aca="1" ref="AV157" ca="1">IF(OR(Formulas!AX154=0,Formulas!AX154="",RIGHT(Formulas!AY154)="0"),"",
HYPERLINK("["&amp;Archivo_Nombre&amp;"]Datos!"&amp;LEFT(SUBSTITUTE(ADDRESS(1,IF(Formulas!AX154=1,1,RIGHT(Formulas!AY154)+2)),"$",""))&amp;Formulas!AW154+1,
IFERROR(INDEX(Datos!$A$1:$L$1,1,RIGHT(Formulas!AY154)+2)&amp;IF(Formulas!AX154=1," "&amp;Formulas!AW154,"")&amp;":","")))</f>
        <v/>
      </c>
      <c r="AW157" s="107" t="str" cm="1">
        <f t="array" aca="1" ref="AW157" ca="1">IF(OR(Formulas!AX154=0,Formulas!AX154="",RIGHT(Formulas!AY154)="0"),"",
HYPERLINK("["&amp;Archivo_Nombre&amp;"]Datos!"&amp;LEFT(SUBSTITUTE(ADDRESS(1,RIGHT(Formulas!AY154)+2),"$",""))&amp;Formulas!AW154+1,
IFERROR(INDEX(Datos!$A$2:$L$101,Formulas!AW154,RIGHT(Formulas!AY154)+2),"")))</f>
        <v/>
      </c>
      <c r="AX157" s="107" t="str" cm="1">
        <f t="array" aca="1" ref="AX157" ca="1">IF(OR(Formulas!AY155=0,Formulas!AY155=""),"",HYPERLINK("["&amp;Archivo_Nombre&amp;"]Datos!"&amp;LEFT(SUBSTITUTE(ADDRESS(1,Formulas!AY155+2),"$",""))&amp;Formulas!AX155+1,
IFERROR(INDEX(Datos!$A$2:$L$101,Formulas!AX155,Formulas!AY155+2),"")))</f>
        <v/>
      </c>
      <c r="AY157" s="13"/>
    </row>
    <row r="158" spans="2:51" x14ac:dyDescent="0.25">
      <c r="B158" s="11"/>
      <c r="C158" s="24" t="str" cm="1">
        <f t="array" aca="1" ref="C158" ca="1">IF(OR(Formulas!E155=0,Formulas!E155="",RIGHT(Formulas!F155)="0"),"",
HYPERLINK("["&amp;Archivo_Nombre&amp;"]Datos!"&amp;LEFT(SUBSTITUTE(ADDRESS(1,IF(Formulas!E155=1,1,RIGHT(Formulas!F155)+2)),"$",""))&amp;Formulas!D155+1,
IFERROR(INDEX(Datos!$A$1:$L$1,1,RIGHT(Formulas!F155)+2)&amp;IF(Formulas!E155=1," "&amp;Formulas!D155,"")&amp;":","")))</f>
        <v/>
      </c>
      <c r="D158" s="107" t="str" cm="1">
        <f t="array" aca="1" ref="D158" ca="1">IF(OR(Formulas!E155=0,Formulas!E155="",RIGHT(Formulas!F155)="0"),"",
HYPERLINK("["&amp;Archivo_Nombre&amp;"]Datos!"&amp;LEFT(SUBSTITUTE(ADDRESS(1,RIGHT(Formulas!F155)+2),"$",""))&amp;Formulas!D155+1,
IFERROR(INDEX(Datos!$A$2:$L$101,Formulas!D155,RIGHT(Formulas!F155)+2),"")))</f>
        <v/>
      </c>
      <c r="E158" s="107" t="str" cm="1">
        <f t="array" aca="1" ref="E158" ca="1">IF(OR(Formulas!F156=0,Formulas!F156=""),"",HYPERLINK("["&amp;Archivo_Nombre&amp;"]Datos!"&amp;LEFT(SUBSTITUTE(ADDRESS(1,Formulas!F156+2),"$",""))&amp;Formulas!E156+1,
IFERROR(INDEX(Datos!$A$2:$L$101,Formulas!E156,Formulas!F156+2),"")))</f>
        <v/>
      </c>
      <c r="F158" s="5"/>
      <c r="G158" s="6"/>
      <c r="H158" s="24" t="str" cm="1">
        <f t="array" aca="1" ref="H158" ca="1">IF(OR(Formulas!J155=0,Formulas!J155="",RIGHT(Formulas!K155)="0"),"",
HYPERLINK("["&amp;Archivo_Nombre&amp;"]Datos!"&amp;LEFT(SUBSTITUTE(ADDRESS(1,IF(Formulas!J155=1,1,RIGHT(Formulas!K155)+2)),"$",""))&amp;Formulas!I155+1,
IFERROR(INDEX(Datos!$A$1:$L$1,1,RIGHT(Formulas!K155)+2)&amp;IF(Formulas!J155=1," "&amp;Formulas!I155,"")&amp;":","")))</f>
        <v/>
      </c>
      <c r="I158" s="107" t="str" cm="1">
        <f t="array" aca="1" ref="I158" ca="1">IF(OR(Formulas!J155=0,Formulas!J155="",RIGHT(Formulas!K155)="0"),"",
HYPERLINK("["&amp;Archivo_Nombre&amp;"]Datos!"&amp;LEFT(SUBSTITUTE(ADDRESS(1,RIGHT(Formulas!K155)+2),"$",""))&amp;Formulas!I155+1,
IFERROR(INDEX(Datos!$A$2:$L$101,Formulas!I155,RIGHT(Formulas!K155)+2),"")))</f>
        <v/>
      </c>
      <c r="J158" s="107" t="str" cm="1">
        <f t="array" aca="1" ref="J158" ca="1">IF(OR(Formulas!K156=0,Formulas!K156=""),"",HYPERLINK("["&amp;Archivo_Nombre&amp;"]Datos!"&amp;LEFT(SUBSTITUTE(ADDRESS(1,Formulas!K156+2),"$",""))&amp;Formulas!J156+1,
IFERROR(INDEX(Datos!$A$2:$L$101,Formulas!J156,Formulas!K156+2),"")))</f>
        <v/>
      </c>
      <c r="K158" s="5"/>
      <c r="L158" s="6"/>
      <c r="M158" s="24" t="str" cm="1">
        <f t="array" aca="1" ref="M158" ca="1">IF(OR(Formulas!O155=0,Formulas!O155="",RIGHT(Formulas!P155)="0"),"",
HYPERLINK("["&amp;Archivo_Nombre&amp;"]Datos!"&amp;LEFT(SUBSTITUTE(ADDRESS(1,IF(Formulas!O155=1,1,RIGHT(Formulas!P155)+2)),"$",""))&amp;Formulas!N155+1,
IFERROR(INDEX(Datos!$A$1:$L$1,1,RIGHT(Formulas!P155)+2)&amp;IF(Formulas!O155=1," "&amp;Formulas!N155,"")&amp;":","")))</f>
        <v/>
      </c>
      <c r="N158" s="107" t="str" cm="1">
        <f t="array" aca="1" ref="N158" ca="1">IF(OR(Formulas!O155=0,Formulas!O155="",RIGHT(Formulas!P155)="0"),"",
HYPERLINK("["&amp;Archivo_Nombre&amp;"]Datos!"&amp;LEFT(SUBSTITUTE(ADDRESS(1,RIGHT(Formulas!P155)+2),"$",""))&amp;Formulas!N155+1,
IFERROR(INDEX(Datos!$A$2:$L$101,Formulas!N155,RIGHT(Formulas!P155)+2),"")))</f>
        <v/>
      </c>
      <c r="O158" s="107" t="str" cm="1">
        <f t="array" aca="1" ref="O158" ca="1">IF(OR(Formulas!P156=0,Formulas!P156=""),"",HYPERLINK("["&amp;Archivo_Nombre&amp;"]Datos!"&amp;LEFT(SUBSTITUTE(ADDRESS(1,Formulas!P156+2),"$",""))&amp;Formulas!O156+1,
IFERROR(INDEX(Datos!$A$2:$L$101,Formulas!O156,Formulas!P156+2),"")))</f>
        <v/>
      </c>
      <c r="P158" s="5"/>
      <c r="Q158" s="6"/>
      <c r="R158" s="24" t="str" cm="1">
        <f t="array" aca="1" ref="R158" ca="1">IF(OR(Formulas!T155=0,Formulas!T155="",RIGHT(Formulas!U155)="0"),"",
HYPERLINK("["&amp;Archivo_Nombre&amp;"]Datos!"&amp;LEFT(SUBSTITUTE(ADDRESS(1,IF(Formulas!T155=1,1,RIGHT(Formulas!U155)+2)),"$",""))&amp;Formulas!S155+1,
IFERROR(INDEX(Datos!$A$1:$L$1,1,RIGHT(Formulas!U155)+2)&amp;IF(Formulas!T155=1," "&amp;Formulas!S155,"")&amp;":","")))</f>
        <v>Descripción:</v>
      </c>
      <c r="S158" s="107" t="str" cm="1">
        <f t="array" aca="1" ref="S158" ca="1">IF(OR(Formulas!T155=0,Formulas!T155="",RIGHT(Formulas!U155)="0"),"",
HYPERLINK("["&amp;Archivo_Nombre&amp;"]Datos!"&amp;LEFT(SUBSTITUTE(ADDRESS(1,RIGHT(Formulas!U155)+2),"$",""))&amp;Formulas!S155+1,
IFERROR(INDEX(Datos!$A$2:$L$101,Formulas!S155,RIGHT(Formulas!U155)+2),"")))</f>
        <v>Corrección del marco de trabajo en Excel</v>
      </c>
      <c r="T158" s="107" t="e" cm="1">
        <f t="array" aca="1" ref="T158" ca="1">IF(OR(Formulas!U156=0,Formulas!U156=""),"",HYPERLINK("["&amp;Archivo_Nombre&amp;"]Datos!"&amp;LEFT(SUBSTITUTE(ADDRESS(1,Formulas!U156+2),"$",""))&amp;Formulas!T156+1,
IFERROR(INDEX(Datos!$A$2:$L$101,Formulas!T156,Formulas!U156+2),"")))</f>
        <v>#VALUE!</v>
      </c>
      <c r="U158" s="5"/>
      <c r="V158" s="6"/>
      <c r="W158" s="24" t="str" cm="1">
        <f t="array" aca="1" ref="W158" ca="1">IF(OR(Formulas!Y155=0,Formulas!Y155="",RIGHT(Formulas!Z155)="0"),"",
HYPERLINK("["&amp;Archivo_Nombre&amp;"]Datos!"&amp;LEFT(SUBSTITUTE(ADDRESS(1,IF(Formulas!Y155=1,1,RIGHT(Formulas!Z155)+2)),"$",""))&amp;Formulas!X155+1,
IFERROR(INDEX(Datos!$A$1:$L$1,1,RIGHT(Formulas!Z155)+2)&amp;IF(Formulas!Y155=1," "&amp;Formulas!X155,"")&amp;":","")))</f>
        <v/>
      </c>
      <c r="X158" s="107" t="str" cm="1">
        <f t="array" aca="1" ref="X158" ca="1">IF(OR(Formulas!Y155=0,Formulas!Y155="",RIGHT(Formulas!Z155)="0"),"",
HYPERLINK("["&amp;Archivo_Nombre&amp;"]Datos!"&amp;LEFT(SUBSTITUTE(ADDRESS(1,RIGHT(Formulas!Z155)+2),"$",""))&amp;Formulas!X155+1,
IFERROR(INDEX(Datos!$A$2:$L$101,Formulas!X155,RIGHT(Formulas!Z155)+2),"")))</f>
        <v/>
      </c>
      <c r="Y158" s="107" t="str" cm="1">
        <f t="array" aca="1" ref="Y158" ca="1">IF(OR(Formulas!Z156=0,Formulas!Z156=""),"",HYPERLINK("["&amp;Archivo_Nombre&amp;"]Datos!"&amp;LEFT(SUBSTITUTE(ADDRESS(1,Formulas!Z156+2),"$",""))&amp;Formulas!Y156+1,
IFERROR(INDEX(Datos!$A$2:$L$101,Formulas!Y156,Formulas!Z156+2),"")))</f>
        <v/>
      </c>
      <c r="Z158" s="13"/>
      <c r="AA158" s="6"/>
      <c r="AB158" s="24" t="str" cm="1">
        <f t="array" aca="1" ref="AB158" ca="1">IF(OR(Formulas!AD155=0,Formulas!AD155="",RIGHT(Formulas!AE155)="0"),"",
HYPERLINK("["&amp;Archivo_Nombre&amp;"]Datos!"&amp;LEFT(SUBSTITUTE(ADDRESS(1,IF(Formulas!AD155=1,1,RIGHT(Formulas!AE155)+2)),"$",""))&amp;Formulas!AC155+1,
IFERROR(INDEX(Datos!$A$1:$L$1,1,RIGHT(Formulas!AE155)+2)&amp;IF(Formulas!AD155=1," "&amp;Formulas!AC155,"")&amp;":","")))</f>
        <v/>
      </c>
      <c r="AC158" s="107" t="str" cm="1">
        <f t="array" aca="1" ref="AC158" ca="1">IF(OR(Formulas!AD155=0,Formulas!AD155="",RIGHT(Formulas!AE155)="0"),"",
HYPERLINK("["&amp;Archivo_Nombre&amp;"]Datos!"&amp;LEFT(SUBSTITUTE(ADDRESS(1,RIGHT(Formulas!AE155)+2),"$",""))&amp;Formulas!AC155+1,
IFERROR(INDEX(Datos!$A$2:$L$101,Formulas!AC155,RIGHT(Formulas!AE155)+2),"")))</f>
        <v/>
      </c>
      <c r="AD158" s="107" t="str" cm="1">
        <f t="array" aca="1" ref="AD158" ca="1">IF(OR(Formulas!AE156=0,Formulas!AE156=""),"",HYPERLINK("["&amp;Archivo_Nombre&amp;"]Datos!"&amp;LEFT(SUBSTITUTE(ADDRESS(1,Formulas!AE156+2),"$",""))&amp;Formulas!AD156+1,
IFERROR(INDEX(Datos!$A$2:$L$101,Formulas!AD156,Formulas!AE156+2),"")))</f>
        <v/>
      </c>
      <c r="AE158" s="13"/>
      <c r="AF158" s="6"/>
      <c r="AG158" s="24" t="str" cm="1">
        <f t="array" aca="1" ref="AG158" ca="1">IF(OR(Formulas!AI155=0,Formulas!AI155="",RIGHT(Formulas!AJ155)="0"),"",
HYPERLINK("["&amp;Archivo_Nombre&amp;"]Datos!"&amp;LEFT(SUBSTITUTE(ADDRESS(1,IF(Formulas!AI155=1,1,RIGHT(Formulas!AJ155)+2)),"$",""))&amp;Formulas!AH155+1,
IFERROR(INDEX(Datos!$A$1:$L$1,1,RIGHT(Formulas!AJ155)+2)&amp;IF(Formulas!AI155=1," "&amp;Formulas!AH155,"")&amp;":","")))</f>
        <v/>
      </c>
      <c r="AH158" s="107" t="str" cm="1">
        <f t="array" aca="1" ref="AH158" ca="1">IF(OR(Formulas!AI155=0,Formulas!AI155="",RIGHT(Formulas!AJ155)="0"),"",
HYPERLINK("["&amp;Archivo_Nombre&amp;"]Datos!"&amp;LEFT(SUBSTITUTE(ADDRESS(1,RIGHT(Formulas!AJ155)+2),"$",""))&amp;Formulas!AH155+1,
IFERROR(INDEX(Datos!$A$2:$L$101,Formulas!AH155,RIGHT(Formulas!AJ155)+2),"")))</f>
        <v/>
      </c>
      <c r="AI158" s="107" t="str" cm="1">
        <f t="array" aca="1" ref="AI158" ca="1">IF(OR(Formulas!AJ156=0,Formulas!AJ156=""),"",HYPERLINK("["&amp;Archivo_Nombre&amp;"]Datos!"&amp;LEFT(SUBSTITUTE(ADDRESS(1,Formulas!AJ156+2),"$",""))&amp;Formulas!AI156+1,
IFERROR(INDEX(Datos!$A$2:$L$101,Formulas!AI156,Formulas!AJ156+2),"")))</f>
        <v/>
      </c>
      <c r="AJ158" s="13"/>
      <c r="AK158" s="6"/>
      <c r="AL158" s="24" t="str" cm="1">
        <f t="array" aca="1" ref="AL158" ca="1">IF(OR(Formulas!AN155=0,Formulas!AN155="",RIGHT(Formulas!AO155)="0"),"",
HYPERLINK("["&amp;Archivo_Nombre&amp;"]Datos!"&amp;LEFT(SUBSTITUTE(ADDRESS(1,IF(Formulas!AN155=1,1,RIGHT(Formulas!AO155)+2)),"$",""))&amp;Formulas!AM155+1,
IFERROR(INDEX(Datos!$A$1:$L$1,1,RIGHT(Formulas!AO155)+2)&amp;IF(Formulas!AN155=1," "&amp;Formulas!AM155,"")&amp;":","")))</f>
        <v/>
      </c>
      <c r="AM158" s="107" t="str" cm="1">
        <f t="array" aca="1" ref="AM158" ca="1">IF(OR(Formulas!AN155=0,Formulas!AN155="",RIGHT(Formulas!AO155)="0"),"",
HYPERLINK("["&amp;Archivo_Nombre&amp;"]Datos!"&amp;LEFT(SUBSTITUTE(ADDRESS(1,RIGHT(Formulas!AO155)+2),"$",""))&amp;Formulas!AM155+1,
IFERROR(INDEX(Datos!$A$2:$L$101,Formulas!AM155,RIGHT(Formulas!AO155)+2),"")))</f>
        <v/>
      </c>
      <c r="AN158" s="107" t="str" cm="1">
        <f t="array" aca="1" ref="AN158" ca="1">IF(OR(Formulas!AO156=0,Formulas!AO156=""),"",HYPERLINK("["&amp;Archivo_Nombre&amp;"]Datos!"&amp;LEFT(SUBSTITUTE(ADDRESS(1,Formulas!AO156+2),"$",""))&amp;Formulas!AN156+1,
IFERROR(INDEX(Datos!$A$2:$L$101,Formulas!AN156,Formulas!AO156+2),"")))</f>
        <v/>
      </c>
      <c r="AO158" s="13"/>
      <c r="AP158" s="6"/>
      <c r="AQ158" s="24" t="str" cm="1">
        <f t="array" aca="1" ref="AQ158" ca="1">IF(OR(Formulas!AS155=0,Formulas!AS155="",RIGHT(Formulas!AT155)="0"),"",
HYPERLINK("["&amp;Archivo_Nombre&amp;"]Datos!"&amp;LEFT(SUBSTITUTE(ADDRESS(1,IF(Formulas!AS155=1,1,RIGHT(Formulas!AT155)+2)),"$",""))&amp;Formulas!AR155+1,
IFERROR(INDEX(Datos!$A$1:$L$1,1,RIGHT(Formulas!AT155)+2)&amp;IF(Formulas!AS155=1," "&amp;Formulas!AR155,"")&amp;":","")))</f>
        <v/>
      </c>
      <c r="AR158" s="107" t="str" cm="1">
        <f t="array" aca="1" ref="AR158" ca="1">IF(OR(Formulas!AS155=0,Formulas!AS155="",RIGHT(Formulas!AT155)="0"),"",
HYPERLINK("["&amp;Archivo_Nombre&amp;"]Datos!"&amp;LEFT(SUBSTITUTE(ADDRESS(1,RIGHT(Formulas!AT155)+2),"$",""))&amp;Formulas!AR155+1,
IFERROR(INDEX(Datos!$A$2:$L$101,Formulas!AR155,RIGHT(Formulas!AT155)+2),"")))</f>
        <v/>
      </c>
      <c r="AS158" s="107" t="str" cm="1">
        <f t="array" aca="1" ref="AS158" ca="1">IF(OR(Formulas!AT156=0,Formulas!AT156=""),"",HYPERLINK("["&amp;Archivo_Nombre&amp;"]Datos!"&amp;LEFT(SUBSTITUTE(ADDRESS(1,Formulas!AT156+2),"$",""))&amp;Formulas!AS156+1,
IFERROR(INDEX(Datos!$A$2:$L$101,Formulas!AS156,Formulas!AT156+2),"")))</f>
        <v/>
      </c>
      <c r="AT158" s="13"/>
      <c r="AU158" s="6"/>
      <c r="AV158" s="24" t="str" cm="1">
        <f t="array" aca="1" ref="AV158" ca="1">IF(OR(Formulas!AX155=0,Formulas!AX155="",RIGHT(Formulas!AY155)="0"),"",
HYPERLINK("["&amp;Archivo_Nombre&amp;"]Datos!"&amp;LEFT(SUBSTITUTE(ADDRESS(1,IF(Formulas!AX155=1,1,RIGHT(Formulas!AY155)+2)),"$",""))&amp;Formulas!AW155+1,
IFERROR(INDEX(Datos!$A$1:$L$1,1,RIGHT(Formulas!AY155)+2)&amp;IF(Formulas!AX155=1," "&amp;Formulas!AW155,"")&amp;":","")))</f>
        <v/>
      </c>
      <c r="AW158" s="107" t="str" cm="1">
        <f t="array" aca="1" ref="AW158" ca="1">IF(OR(Formulas!AX155=0,Formulas!AX155="",RIGHT(Formulas!AY155)="0"),"",
HYPERLINK("["&amp;Archivo_Nombre&amp;"]Datos!"&amp;LEFT(SUBSTITUTE(ADDRESS(1,RIGHT(Formulas!AY155)+2),"$",""))&amp;Formulas!AW155+1,
IFERROR(INDEX(Datos!$A$2:$L$101,Formulas!AW155,RIGHT(Formulas!AY155)+2),"")))</f>
        <v/>
      </c>
      <c r="AX158" s="107" t="str" cm="1">
        <f t="array" aca="1" ref="AX158" ca="1">IF(OR(Formulas!AY156=0,Formulas!AY156=""),"",HYPERLINK("["&amp;Archivo_Nombre&amp;"]Datos!"&amp;LEFT(SUBSTITUTE(ADDRESS(1,Formulas!AY156+2),"$",""))&amp;Formulas!AX156+1,
IFERROR(INDEX(Datos!$A$2:$L$101,Formulas!AX156,Formulas!AY156+2),"")))</f>
        <v/>
      </c>
      <c r="AY158" s="13"/>
    </row>
    <row r="159" spans="2:51" x14ac:dyDescent="0.25">
      <c r="B159" s="11"/>
      <c r="C159" s="24" t="str" cm="1">
        <f t="array" aca="1" ref="C159" ca="1">IF(OR(Formulas!E156=0,Formulas!E156="",RIGHT(Formulas!F156)="0"),"",
HYPERLINK("["&amp;Archivo_Nombre&amp;"]Datos!"&amp;LEFT(SUBSTITUTE(ADDRESS(1,IF(Formulas!E156=1,1,RIGHT(Formulas!F156)+2)),"$",""))&amp;Formulas!D156+1,
IFERROR(INDEX(Datos!$A$1:$L$1,1,RIGHT(Formulas!F156)+2)&amp;IF(Formulas!E156=1," "&amp;Formulas!D156,"")&amp;":","")))</f>
        <v/>
      </c>
      <c r="D159" s="107" t="str" cm="1">
        <f t="array" aca="1" ref="D159" ca="1">IF(OR(Formulas!E156=0,Formulas!E156="",RIGHT(Formulas!F156)="0"),"",
HYPERLINK("["&amp;Archivo_Nombre&amp;"]Datos!"&amp;LEFT(SUBSTITUTE(ADDRESS(1,RIGHT(Formulas!F156)+2),"$",""))&amp;Formulas!D156+1,
IFERROR(INDEX(Datos!$A$2:$L$101,Formulas!D156,RIGHT(Formulas!F156)+2),"")))</f>
        <v/>
      </c>
      <c r="E159" s="107" t="str" cm="1">
        <f t="array" aca="1" ref="E159" ca="1">IF(OR(Formulas!F157=0,Formulas!F157=""),"",HYPERLINK("["&amp;Archivo_Nombre&amp;"]Datos!"&amp;LEFT(SUBSTITUTE(ADDRESS(1,Formulas!F157+2),"$",""))&amp;Formulas!E157+1,
IFERROR(INDEX(Datos!$A$2:$L$101,Formulas!E157,Formulas!F157+2),"")))</f>
        <v/>
      </c>
      <c r="F159" s="5"/>
      <c r="G159" s="6"/>
      <c r="H159" s="24" t="str" cm="1">
        <f t="array" aca="1" ref="H159" ca="1">IF(OR(Formulas!J156=0,Formulas!J156="",RIGHT(Formulas!K156)="0"),"",
HYPERLINK("["&amp;Archivo_Nombre&amp;"]Datos!"&amp;LEFT(SUBSTITUTE(ADDRESS(1,IF(Formulas!J156=1,1,RIGHT(Formulas!K156)+2)),"$",""))&amp;Formulas!I156+1,
IFERROR(INDEX(Datos!$A$1:$L$1,1,RIGHT(Formulas!K156)+2)&amp;IF(Formulas!J156=1," "&amp;Formulas!I156,"")&amp;":","")))</f>
        <v/>
      </c>
      <c r="I159" s="107" t="str" cm="1">
        <f t="array" aca="1" ref="I159" ca="1">IF(OR(Formulas!J156=0,Formulas!J156="",RIGHT(Formulas!K156)="0"),"",
HYPERLINK("["&amp;Archivo_Nombre&amp;"]Datos!"&amp;LEFT(SUBSTITUTE(ADDRESS(1,RIGHT(Formulas!K156)+2),"$",""))&amp;Formulas!I156+1,
IFERROR(INDEX(Datos!$A$2:$L$101,Formulas!I156,RIGHT(Formulas!K156)+2),"")))</f>
        <v/>
      </c>
      <c r="J159" s="107" t="str" cm="1">
        <f t="array" aca="1" ref="J159" ca="1">IF(OR(Formulas!K157=0,Formulas!K157=""),"",HYPERLINK("["&amp;Archivo_Nombre&amp;"]Datos!"&amp;LEFT(SUBSTITUTE(ADDRESS(1,Formulas!K157+2),"$",""))&amp;Formulas!J157+1,
IFERROR(INDEX(Datos!$A$2:$L$101,Formulas!J157,Formulas!K157+2),"")))</f>
        <v/>
      </c>
      <c r="K159" s="5"/>
      <c r="L159" s="6"/>
      <c r="M159" s="24" t="str" cm="1">
        <f t="array" aca="1" ref="M159" ca="1">IF(OR(Formulas!O156=0,Formulas!O156="",RIGHT(Formulas!P156)="0"),"",
HYPERLINK("["&amp;Archivo_Nombre&amp;"]Datos!"&amp;LEFT(SUBSTITUTE(ADDRESS(1,IF(Formulas!O156=1,1,RIGHT(Formulas!P156)+2)),"$",""))&amp;Formulas!N156+1,
IFERROR(INDEX(Datos!$A$1:$L$1,1,RIGHT(Formulas!P156)+2)&amp;IF(Formulas!O156=1," "&amp;Formulas!N156,"")&amp;":","")))</f>
        <v/>
      </c>
      <c r="N159" s="107" t="str" cm="1">
        <f t="array" aca="1" ref="N159" ca="1">IF(OR(Formulas!O156=0,Formulas!O156="",RIGHT(Formulas!P156)="0"),"",
HYPERLINK("["&amp;Archivo_Nombre&amp;"]Datos!"&amp;LEFT(SUBSTITUTE(ADDRESS(1,RIGHT(Formulas!P156)+2),"$",""))&amp;Formulas!N156+1,
IFERROR(INDEX(Datos!$A$2:$L$101,Formulas!N156,RIGHT(Formulas!P156)+2),"")))</f>
        <v/>
      </c>
      <c r="O159" s="107" t="str" cm="1">
        <f t="array" aca="1" ref="O159" ca="1">IF(OR(Formulas!P157=0,Formulas!P157=""),"",HYPERLINK("["&amp;Archivo_Nombre&amp;"]Datos!"&amp;LEFT(SUBSTITUTE(ADDRESS(1,Formulas!P157+2),"$",""))&amp;Formulas!O157+1,
IFERROR(INDEX(Datos!$A$2:$L$101,Formulas!O157,Formulas!P157+2),"")))</f>
        <v/>
      </c>
      <c r="P159" s="5"/>
      <c r="Q159" s="6"/>
      <c r="R159" s="24" t="str" cm="1">
        <f t="array" aca="1" ref="R159" ca="1">IF(OR(Formulas!T156=0,Formulas!T156="",RIGHT(Formulas!U156)="0"),"",
HYPERLINK("["&amp;Archivo_Nombre&amp;"]Datos!"&amp;LEFT(SUBSTITUTE(ADDRESS(1,IF(Formulas!T156=1,1,RIGHT(Formulas!U156)+2)),"$",""))&amp;Formulas!S156+1,
IFERROR(INDEX(Datos!$A$1:$L$1,1,RIGHT(Formulas!U156)+2)&amp;IF(Formulas!T156=1," "&amp;Formulas!S156,"")&amp;":","")))</f>
        <v>Inicio:</v>
      </c>
      <c r="S159" s="107" cm="1">
        <f t="array" aca="1" ref="S159" ca="1">IF(OR(Formulas!T156=0,Formulas!T156="",RIGHT(Formulas!U156)="0"),"",
HYPERLINK("["&amp;Archivo_Nombre&amp;"]Datos!"&amp;LEFT(SUBSTITUTE(ADDRESS(1,RIGHT(Formulas!U156)+2),"$",""))&amp;Formulas!S156+1,
IFERROR(INDEX(Datos!$A$2:$L$101,Formulas!S156,RIGHT(Formulas!U156)+2),"")))</f>
        <v>45788</v>
      </c>
      <c r="T159" s="107" t="e" cm="1">
        <f t="array" aca="1" ref="T159" ca="1">IF(OR(Formulas!U157=0,Formulas!U157=""),"",HYPERLINK("["&amp;Archivo_Nombre&amp;"]Datos!"&amp;LEFT(SUBSTITUTE(ADDRESS(1,Formulas!U157+2),"$",""))&amp;Formulas!T157+1,
IFERROR(INDEX(Datos!$A$2:$L$101,Formulas!T157,Formulas!U157+2),"")))</f>
        <v>#VALUE!</v>
      </c>
      <c r="U159" s="5"/>
      <c r="V159" s="6"/>
      <c r="W159" s="24" t="str" cm="1">
        <f t="array" aca="1" ref="W159" ca="1">IF(OR(Formulas!Y156=0,Formulas!Y156="",RIGHT(Formulas!Z156)="0"),"",
HYPERLINK("["&amp;Archivo_Nombre&amp;"]Datos!"&amp;LEFT(SUBSTITUTE(ADDRESS(1,IF(Formulas!Y156=1,1,RIGHT(Formulas!Z156)+2)),"$",""))&amp;Formulas!X156+1,
IFERROR(INDEX(Datos!$A$1:$L$1,1,RIGHT(Formulas!Z156)+2)&amp;IF(Formulas!Y156=1," "&amp;Formulas!X156,"")&amp;":","")))</f>
        <v/>
      </c>
      <c r="X159" s="107" t="str" cm="1">
        <f t="array" aca="1" ref="X159" ca="1">IF(OR(Formulas!Y156=0,Formulas!Y156="",RIGHT(Formulas!Z156)="0"),"",
HYPERLINK("["&amp;Archivo_Nombre&amp;"]Datos!"&amp;LEFT(SUBSTITUTE(ADDRESS(1,RIGHT(Formulas!Z156)+2),"$",""))&amp;Formulas!X156+1,
IFERROR(INDEX(Datos!$A$2:$L$101,Formulas!X156,RIGHT(Formulas!Z156)+2),"")))</f>
        <v/>
      </c>
      <c r="Y159" s="107" t="str" cm="1">
        <f t="array" aca="1" ref="Y159" ca="1">IF(OR(Formulas!Z157=0,Formulas!Z157=""),"",HYPERLINK("["&amp;Archivo_Nombre&amp;"]Datos!"&amp;LEFT(SUBSTITUTE(ADDRESS(1,Formulas!Z157+2),"$",""))&amp;Formulas!Y157+1,
IFERROR(INDEX(Datos!$A$2:$L$101,Formulas!Y157,Formulas!Z157+2),"")))</f>
        <v/>
      </c>
      <c r="Z159" s="13"/>
      <c r="AA159" s="6"/>
      <c r="AB159" s="24" t="str" cm="1">
        <f t="array" aca="1" ref="AB159" ca="1">IF(OR(Formulas!AD156=0,Formulas!AD156="",RIGHT(Formulas!AE156)="0"),"",
HYPERLINK("["&amp;Archivo_Nombre&amp;"]Datos!"&amp;LEFT(SUBSTITUTE(ADDRESS(1,IF(Formulas!AD156=1,1,RIGHT(Formulas!AE156)+2)),"$",""))&amp;Formulas!AC156+1,
IFERROR(INDEX(Datos!$A$1:$L$1,1,RIGHT(Formulas!AE156)+2)&amp;IF(Formulas!AD156=1," "&amp;Formulas!AC156,"")&amp;":","")))</f>
        <v/>
      </c>
      <c r="AC159" s="107" t="str" cm="1">
        <f t="array" aca="1" ref="AC159" ca="1">IF(OR(Formulas!AD156=0,Formulas!AD156="",RIGHT(Formulas!AE156)="0"),"",
HYPERLINK("["&amp;Archivo_Nombre&amp;"]Datos!"&amp;LEFT(SUBSTITUTE(ADDRESS(1,RIGHT(Formulas!AE156)+2),"$",""))&amp;Formulas!AC156+1,
IFERROR(INDEX(Datos!$A$2:$L$101,Formulas!AC156,RIGHT(Formulas!AE156)+2),"")))</f>
        <v/>
      </c>
      <c r="AD159" s="107" t="str" cm="1">
        <f t="array" aca="1" ref="AD159" ca="1">IF(OR(Formulas!AE157=0,Formulas!AE157=""),"",HYPERLINK("["&amp;Archivo_Nombre&amp;"]Datos!"&amp;LEFT(SUBSTITUTE(ADDRESS(1,Formulas!AE157+2),"$",""))&amp;Formulas!AD157+1,
IFERROR(INDEX(Datos!$A$2:$L$101,Formulas!AD157,Formulas!AE157+2),"")))</f>
        <v/>
      </c>
      <c r="AE159" s="13"/>
      <c r="AF159" s="6"/>
      <c r="AG159" s="24" t="str" cm="1">
        <f t="array" aca="1" ref="AG159" ca="1">IF(OR(Formulas!AI156=0,Formulas!AI156="",RIGHT(Formulas!AJ156)="0"),"",
HYPERLINK("["&amp;Archivo_Nombre&amp;"]Datos!"&amp;LEFT(SUBSTITUTE(ADDRESS(1,IF(Formulas!AI156=1,1,RIGHT(Formulas!AJ156)+2)),"$",""))&amp;Formulas!AH156+1,
IFERROR(INDEX(Datos!$A$1:$L$1,1,RIGHT(Formulas!AJ156)+2)&amp;IF(Formulas!AI156=1," "&amp;Formulas!AH156,"")&amp;":","")))</f>
        <v/>
      </c>
      <c r="AH159" s="107" t="str" cm="1">
        <f t="array" aca="1" ref="AH159" ca="1">IF(OR(Formulas!AI156=0,Formulas!AI156="",RIGHT(Formulas!AJ156)="0"),"",
HYPERLINK("["&amp;Archivo_Nombre&amp;"]Datos!"&amp;LEFT(SUBSTITUTE(ADDRESS(1,RIGHT(Formulas!AJ156)+2),"$",""))&amp;Formulas!AH156+1,
IFERROR(INDEX(Datos!$A$2:$L$101,Formulas!AH156,RIGHT(Formulas!AJ156)+2),"")))</f>
        <v/>
      </c>
      <c r="AI159" s="107" t="str" cm="1">
        <f t="array" aca="1" ref="AI159" ca="1">IF(OR(Formulas!AJ157=0,Formulas!AJ157=""),"",HYPERLINK("["&amp;Archivo_Nombre&amp;"]Datos!"&amp;LEFT(SUBSTITUTE(ADDRESS(1,Formulas!AJ157+2),"$",""))&amp;Formulas!AI157+1,
IFERROR(INDEX(Datos!$A$2:$L$101,Formulas!AI157,Formulas!AJ157+2),"")))</f>
        <v/>
      </c>
      <c r="AJ159" s="13"/>
      <c r="AK159" s="6"/>
      <c r="AL159" s="24" t="str" cm="1">
        <f t="array" aca="1" ref="AL159" ca="1">IF(OR(Formulas!AN156=0,Formulas!AN156="",RIGHT(Formulas!AO156)="0"),"",
HYPERLINK("["&amp;Archivo_Nombre&amp;"]Datos!"&amp;LEFT(SUBSTITUTE(ADDRESS(1,IF(Formulas!AN156=1,1,RIGHT(Formulas!AO156)+2)),"$",""))&amp;Formulas!AM156+1,
IFERROR(INDEX(Datos!$A$1:$L$1,1,RIGHT(Formulas!AO156)+2)&amp;IF(Formulas!AN156=1," "&amp;Formulas!AM156,"")&amp;":","")))</f>
        <v/>
      </c>
      <c r="AM159" s="107" t="str" cm="1">
        <f t="array" aca="1" ref="AM159" ca="1">IF(OR(Formulas!AN156=0,Formulas!AN156="",RIGHT(Formulas!AO156)="0"),"",
HYPERLINK("["&amp;Archivo_Nombre&amp;"]Datos!"&amp;LEFT(SUBSTITUTE(ADDRESS(1,RIGHT(Formulas!AO156)+2),"$",""))&amp;Formulas!AM156+1,
IFERROR(INDEX(Datos!$A$2:$L$101,Formulas!AM156,RIGHT(Formulas!AO156)+2),"")))</f>
        <v/>
      </c>
      <c r="AN159" s="107" t="str" cm="1">
        <f t="array" aca="1" ref="AN159" ca="1">IF(OR(Formulas!AO157=0,Formulas!AO157=""),"",HYPERLINK("["&amp;Archivo_Nombre&amp;"]Datos!"&amp;LEFT(SUBSTITUTE(ADDRESS(1,Formulas!AO157+2),"$",""))&amp;Formulas!AN157+1,
IFERROR(INDEX(Datos!$A$2:$L$101,Formulas!AN157,Formulas!AO157+2),"")))</f>
        <v/>
      </c>
      <c r="AO159" s="13"/>
      <c r="AP159" s="6"/>
      <c r="AQ159" s="24" t="str" cm="1">
        <f t="array" aca="1" ref="AQ159" ca="1">IF(OR(Formulas!AS156=0,Formulas!AS156="",RIGHT(Formulas!AT156)="0"),"",
HYPERLINK("["&amp;Archivo_Nombre&amp;"]Datos!"&amp;LEFT(SUBSTITUTE(ADDRESS(1,IF(Formulas!AS156=1,1,RIGHT(Formulas!AT156)+2)),"$",""))&amp;Formulas!AR156+1,
IFERROR(INDEX(Datos!$A$1:$L$1,1,RIGHT(Formulas!AT156)+2)&amp;IF(Formulas!AS156=1," "&amp;Formulas!AR156,"")&amp;":","")))</f>
        <v/>
      </c>
      <c r="AR159" s="107" t="str" cm="1">
        <f t="array" aca="1" ref="AR159" ca="1">IF(OR(Formulas!AS156=0,Formulas!AS156="",RIGHT(Formulas!AT156)="0"),"",
HYPERLINK("["&amp;Archivo_Nombre&amp;"]Datos!"&amp;LEFT(SUBSTITUTE(ADDRESS(1,RIGHT(Formulas!AT156)+2),"$",""))&amp;Formulas!AR156+1,
IFERROR(INDEX(Datos!$A$2:$L$101,Formulas!AR156,RIGHT(Formulas!AT156)+2),"")))</f>
        <v/>
      </c>
      <c r="AS159" s="107" t="str" cm="1">
        <f t="array" aca="1" ref="AS159" ca="1">IF(OR(Formulas!AT157=0,Formulas!AT157=""),"",HYPERLINK("["&amp;Archivo_Nombre&amp;"]Datos!"&amp;LEFT(SUBSTITUTE(ADDRESS(1,Formulas!AT157+2),"$",""))&amp;Formulas!AS157+1,
IFERROR(INDEX(Datos!$A$2:$L$101,Formulas!AS157,Formulas!AT157+2),"")))</f>
        <v/>
      </c>
      <c r="AT159" s="13"/>
      <c r="AU159" s="6"/>
      <c r="AV159" s="24" t="str" cm="1">
        <f t="array" aca="1" ref="AV159" ca="1">IF(OR(Formulas!AX156=0,Formulas!AX156="",RIGHT(Formulas!AY156)="0"),"",
HYPERLINK("["&amp;Archivo_Nombre&amp;"]Datos!"&amp;LEFT(SUBSTITUTE(ADDRESS(1,IF(Formulas!AX156=1,1,RIGHT(Formulas!AY156)+2)),"$",""))&amp;Formulas!AW156+1,
IFERROR(INDEX(Datos!$A$1:$L$1,1,RIGHT(Formulas!AY156)+2)&amp;IF(Formulas!AX156=1," "&amp;Formulas!AW156,"")&amp;":","")))</f>
        <v/>
      </c>
      <c r="AW159" s="107" t="str" cm="1">
        <f t="array" aca="1" ref="AW159" ca="1">IF(OR(Formulas!AX156=0,Formulas!AX156="",RIGHT(Formulas!AY156)="0"),"",
HYPERLINK("["&amp;Archivo_Nombre&amp;"]Datos!"&amp;LEFT(SUBSTITUTE(ADDRESS(1,RIGHT(Formulas!AY156)+2),"$",""))&amp;Formulas!AW156+1,
IFERROR(INDEX(Datos!$A$2:$L$101,Formulas!AW156,RIGHT(Formulas!AY156)+2),"")))</f>
        <v/>
      </c>
      <c r="AX159" s="107" t="str" cm="1">
        <f t="array" aca="1" ref="AX159" ca="1">IF(OR(Formulas!AY157=0,Formulas!AY157=""),"",HYPERLINK("["&amp;Archivo_Nombre&amp;"]Datos!"&amp;LEFT(SUBSTITUTE(ADDRESS(1,Formulas!AY157+2),"$",""))&amp;Formulas!AX157+1,
IFERROR(INDEX(Datos!$A$2:$L$101,Formulas!AX157,Formulas!AY157+2),"")))</f>
        <v/>
      </c>
      <c r="AY159" s="13"/>
    </row>
    <row r="160" spans="2:51" x14ac:dyDescent="0.25">
      <c r="B160" s="11"/>
      <c r="C160" s="24" t="str" cm="1">
        <f t="array" aca="1" ref="C160" ca="1">IF(OR(Formulas!E157=0,Formulas!E157="",RIGHT(Formulas!F157)="0"),"",
HYPERLINK("["&amp;Archivo_Nombre&amp;"]Datos!"&amp;LEFT(SUBSTITUTE(ADDRESS(1,IF(Formulas!E157=1,1,RIGHT(Formulas!F157)+2)),"$",""))&amp;Formulas!D157+1,
IFERROR(INDEX(Datos!$A$1:$L$1,1,RIGHT(Formulas!F157)+2)&amp;IF(Formulas!E157=1," "&amp;Formulas!D157,"")&amp;":","")))</f>
        <v/>
      </c>
      <c r="D160" s="107" t="str" cm="1">
        <f t="array" aca="1" ref="D160" ca="1">IF(OR(Formulas!E157=0,Formulas!E157="",RIGHT(Formulas!F157)="0"),"",
HYPERLINK("["&amp;Archivo_Nombre&amp;"]Datos!"&amp;LEFT(SUBSTITUTE(ADDRESS(1,RIGHT(Formulas!F157)+2),"$",""))&amp;Formulas!D157+1,
IFERROR(INDEX(Datos!$A$2:$L$101,Formulas!D157,RIGHT(Formulas!F157)+2),"")))</f>
        <v/>
      </c>
      <c r="E160" s="107" t="str" cm="1">
        <f t="array" aca="1" ref="E160" ca="1">IF(OR(Formulas!F158=0,Formulas!F158=""),"",HYPERLINK("["&amp;Archivo_Nombre&amp;"]Datos!"&amp;LEFT(SUBSTITUTE(ADDRESS(1,Formulas!F158+2),"$",""))&amp;Formulas!E158+1,
IFERROR(INDEX(Datos!$A$2:$L$101,Formulas!E158,Formulas!F158+2),"")))</f>
        <v/>
      </c>
      <c r="F160" s="5"/>
      <c r="G160" s="6"/>
      <c r="H160" s="24" t="str" cm="1">
        <f t="array" aca="1" ref="H160" ca="1">IF(OR(Formulas!J157=0,Formulas!J157="",RIGHT(Formulas!K157)="0"),"",
HYPERLINK("["&amp;Archivo_Nombre&amp;"]Datos!"&amp;LEFT(SUBSTITUTE(ADDRESS(1,IF(Formulas!J157=1,1,RIGHT(Formulas!K157)+2)),"$",""))&amp;Formulas!I157+1,
IFERROR(INDEX(Datos!$A$1:$L$1,1,RIGHT(Formulas!K157)+2)&amp;IF(Formulas!J157=1," "&amp;Formulas!I157,"")&amp;":","")))</f>
        <v/>
      </c>
      <c r="I160" s="107" t="str" cm="1">
        <f t="array" aca="1" ref="I160" ca="1">IF(OR(Formulas!J157=0,Formulas!J157="",RIGHT(Formulas!K157)="0"),"",
HYPERLINK("["&amp;Archivo_Nombre&amp;"]Datos!"&amp;LEFT(SUBSTITUTE(ADDRESS(1,RIGHT(Formulas!K157)+2),"$",""))&amp;Formulas!I157+1,
IFERROR(INDEX(Datos!$A$2:$L$101,Formulas!I157,RIGHT(Formulas!K157)+2),"")))</f>
        <v/>
      </c>
      <c r="J160" s="107" t="str" cm="1">
        <f t="array" aca="1" ref="J160" ca="1">IF(OR(Formulas!K158=0,Formulas!K158=""),"",HYPERLINK("["&amp;Archivo_Nombre&amp;"]Datos!"&amp;LEFT(SUBSTITUTE(ADDRESS(1,Formulas!K158+2),"$",""))&amp;Formulas!J158+1,
IFERROR(INDEX(Datos!$A$2:$L$101,Formulas!J158,Formulas!K158+2),"")))</f>
        <v/>
      </c>
      <c r="K160" s="5"/>
      <c r="L160" s="6"/>
      <c r="M160" s="24" t="str" cm="1">
        <f t="array" aca="1" ref="M160" ca="1">IF(OR(Formulas!O157=0,Formulas!O157="",RIGHT(Formulas!P157)="0"),"",
HYPERLINK("["&amp;Archivo_Nombre&amp;"]Datos!"&amp;LEFT(SUBSTITUTE(ADDRESS(1,IF(Formulas!O157=1,1,RIGHT(Formulas!P157)+2)),"$",""))&amp;Formulas!N157+1,
IFERROR(INDEX(Datos!$A$1:$L$1,1,RIGHT(Formulas!P157)+2)&amp;IF(Formulas!O157=1," "&amp;Formulas!N157,"")&amp;":","")))</f>
        <v/>
      </c>
      <c r="N160" s="107" t="str" cm="1">
        <f t="array" aca="1" ref="N160" ca="1">IF(OR(Formulas!O157=0,Formulas!O157="",RIGHT(Formulas!P157)="0"),"",
HYPERLINK("["&amp;Archivo_Nombre&amp;"]Datos!"&amp;LEFT(SUBSTITUTE(ADDRESS(1,RIGHT(Formulas!P157)+2),"$",""))&amp;Formulas!N157+1,
IFERROR(INDEX(Datos!$A$2:$L$101,Formulas!N157,RIGHT(Formulas!P157)+2),"")))</f>
        <v/>
      </c>
      <c r="O160" s="107" t="str" cm="1">
        <f t="array" aca="1" ref="O160" ca="1">IF(OR(Formulas!P158=0,Formulas!P158=""),"",HYPERLINK("["&amp;Archivo_Nombre&amp;"]Datos!"&amp;LEFT(SUBSTITUTE(ADDRESS(1,Formulas!P158+2),"$",""))&amp;Formulas!O158+1,
IFERROR(INDEX(Datos!$A$2:$L$101,Formulas!O158,Formulas!P158+2),"")))</f>
        <v/>
      </c>
      <c r="P160" s="5"/>
      <c r="Q160" s="6"/>
      <c r="R160" s="24" t="str" cm="1">
        <f t="array" aca="1" ref="R160" ca="1">IF(OR(Formulas!T157=0,Formulas!T157="",RIGHT(Formulas!U157)="0"),"",
HYPERLINK("["&amp;Archivo_Nombre&amp;"]Datos!"&amp;LEFT(SUBSTITUTE(ADDRESS(1,IF(Formulas!T157=1,1,RIGHT(Formulas!U157)+2)),"$",""))&amp;Formulas!S157+1,
IFERROR(INDEX(Datos!$A$1:$L$1,1,RIGHT(Formulas!U157)+2)&amp;IF(Formulas!T157=1," "&amp;Formulas!S157,"")&amp;":","")))</f>
        <v>Previsto:</v>
      </c>
      <c r="S160" s="107" cm="1">
        <f t="array" aca="1" ref="S160" ca="1">IF(OR(Formulas!T157=0,Formulas!T157="",RIGHT(Formulas!U157)="0"),"",
HYPERLINK("["&amp;Archivo_Nombre&amp;"]Datos!"&amp;LEFT(SUBSTITUTE(ADDRESS(1,RIGHT(Formulas!U157)+2),"$",""))&amp;Formulas!S157+1,
IFERROR(INDEX(Datos!$A$2:$L$101,Formulas!S157,RIGHT(Formulas!U157)+2),"")))</f>
        <v>45789</v>
      </c>
      <c r="T160" s="107" t="e" cm="1">
        <f t="array" aca="1" ref="T160" ca="1">IF(OR(Formulas!U158=0,Formulas!U158=""),"",HYPERLINK("["&amp;Archivo_Nombre&amp;"]Datos!"&amp;LEFT(SUBSTITUTE(ADDRESS(1,Formulas!U158+2),"$",""))&amp;Formulas!T158+1,
IFERROR(INDEX(Datos!$A$2:$L$101,Formulas!T158,Formulas!U158+2),"")))</f>
        <v>#VALUE!</v>
      </c>
      <c r="U160" s="5"/>
      <c r="V160" s="6"/>
      <c r="W160" s="24" t="str" cm="1">
        <f t="array" aca="1" ref="W160" ca="1">IF(OR(Formulas!Y157=0,Formulas!Y157="",RIGHT(Formulas!Z157)="0"),"",
HYPERLINK("["&amp;Archivo_Nombre&amp;"]Datos!"&amp;LEFT(SUBSTITUTE(ADDRESS(1,IF(Formulas!Y157=1,1,RIGHT(Formulas!Z157)+2)),"$",""))&amp;Formulas!X157+1,
IFERROR(INDEX(Datos!$A$1:$L$1,1,RIGHT(Formulas!Z157)+2)&amp;IF(Formulas!Y157=1," "&amp;Formulas!X157,"")&amp;":","")))</f>
        <v/>
      </c>
      <c r="X160" s="107" t="str" cm="1">
        <f t="array" aca="1" ref="X160" ca="1">IF(OR(Formulas!Y157=0,Formulas!Y157="",RIGHT(Formulas!Z157)="0"),"",
HYPERLINK("["&amp;Archivo_Nombre&amp;"]Datos!"&amp;LEFT(SUBSTITUTE(ADDRESS(1,RIGHT(Formulas!Z157)+2),"$",""))&amp;Formulas!X157+1,
IFERROR(INDEX(Datos!$A$2:$L$101,Formulas!X157,RIGHT(Formulas!Z157)+2),"")))</f>
        <v/>
      </c>
      <c r="Y160" s="107" t="str" cm="1">
        <f t="array" aca="1" ref="Y160" ca="1">IF(OR(Formulas!Z158=0,Formulas!Z158=""),"",HYPERLINK("["&amp;Archivo_Nombre&amp;"]Datos!"&amp;LEFT(SUBSTITUTE(ADDRESS(1,Formulas!Z158+2),"$",""))&amp;Formulas!Y158+1,
IFERROR(INDEX(Datos!$A$2:$L$101,Formulas!Y158,Formulas!Z158+2),"")))</f>
        <v/>
      </c>
      <c r="Z160" s="13"/>
      <c r="AA160" s="6"/>
      <c r="AB160" s="24" t="str" cm="1">
        <f t="array" aca="1" ref="AB160" ca="1">IF(OR(Formulas!AD157=0,Formulas!AD157="",RIGHT(Formulas!AE157)="0"),"",
HYPERLINK("["&amp;Archivo_Nombre&amp;"]Datos!"&amp;LEFT(SUBSTITUTE(ADDRESS(1,IF(Formulas!AD157=1,1,RIGHT(Formulas!AE157)+2)),"$",""))&amp;Formulas!AC157+1,
IFERROR(INDEX(Datos!$A$1:$L$1,1,RIGHT(Formulas!AE157)+2)&amp;IF(Formulas!AD157=1," "&amp;Formulas!AC157,"")&amp;":","")))</f>
        <v/>
      </c>
      <c r="AC160" s="107" t="str" cm="1">
        <f t="array" aca="1" ref="AC160" ca="1">IF(OR(Formulas!AD157=0,Formulas!AD157="",RIGHT(Formulas!AE157)="0"),"",
HYPERLINK("["&amp;Archivo_Nombre&amp;"]Datos!"&amp;LEFT(SUBSTITUTE(ADDRESS(1,RIGHT(Formulas!AE157)+2),"$",""))&amp;Formulas!AC157+1,
IFERROR(INDEX(Datos!$A$2:$L$101,Formulas!AC157,RIGHT(Formulas!AE157)+2),"")))</f>
        <v/>
      </c>
      <c r="AD160" s="107" t="str" cm="1">
        <f t="array" aca="1" ref="AD160" ca="1">IF(OR(Formulas!AE158=0,Formulas!AE158=""),"",HYPERLINK("["&amp;Archivo_Nombre&amp;"]Datos!"&amp;LEFT(SUBSTITUTE(ADDRESS(1,Formulas!AE158+2),"$",""))&amp;Formulas!AD158+1,
IFERROR(INDEX(Datos!$A$2:$L$101,Formulas!AD158,Formulas!AE158+2),"")))</f>
        <v/>
      </c>
      <c r="AE160" s="13"/>
      <c r="AF160" s="6"/>
      <c r="AG160" s="24" t="str" cm="1">
        <f t="array" aca="1" ref="AG160" ca="1">IF(OR(Formulas!AI157=0,Formulas!AI157="",RIGHT(Formulas!AJ157)="0"),"",
HYPERLINK("["&amp;Archivo_Nombre&amp;"]Datos!"&amp;LEFT(SUBSTITUTE(ADDRESS(1,IF(Formulas!AI157=1,1,RIGHT(Formulas!AJ157)+2)),"$",""))&amp;Formulas!AH157+1,
IFERROR(INDEX(Datos!$A$1:$L$1,1,RIGHT(Formulas!AJ157)+2)&amp;IF(Formulas!AI157=1," "&amp;Formulas!AH157,"")&amp;":","")))</f>
        <v/>
      </c>
      <c r="AH160" s="107" t="str" cm="1">
        <f t="array" aca="1" ref="AH160" ca="1">IF(OR(Formulas!AI157=0,Formulas!AI157="",RIGHT(Formulas!AJ157)="0"),"",
HYPERLINK("["&amp;Archivo_Nombre&amp;"]Datos!"&amp;LEFT(SUBSTITUTE(ADDRESS(1,RIGHT(Formulas!AJ157)+2),"$",""))&amp;Formulas!AH157+1,
IFERROR(INDEX(Datos!$A$2:$L$101,Formulas!AH157,RIGHT(Formulas!AJ157)+2),"")))</f>
        <v/>
      </c>
      <c r="AI160" s="107" t="str" cm="1">
        <f t="array" aca="1" ref="AI160" ca="1">IF(OR(Formulas!AJ158=0,Formulas!AJ158=""),"",HYPERLINK("["&amp;Archivo_Nombre&amp;"]Datos!"&amp;LEFT(SUBSTITUTE(ADDRESS(1,Formulas!AJ158+2),"$",""))&amp;Formulas!AI158+1,
IFERROR(INDEX(Datos!$A$2:$L$101,Formulas!AI158,Formulas!AJ158+2),"")))</f>
        <v/>
      </c>
      <c r="AJ160" s="13"/>
      <c r="AK160" s="6"/>
      <c r="AL160" s="24" t="str" cm="1">
        <f t="array" aca="1" ref="AL160" ca="1">IF(OR(Formulas!AN157=0,Formulas!AN157="",RIGHT(Formulas!AO157)="0"),"",
HYPERLINK("["&amp;Archivo_Nombre&amp;"]Datos!"&amp;LEFT(SUBSTITUTE(ADDRESS(1,IF(Formulas!AN157=1,1,RIGHT(Formulas!AO157)+2)),"$",""))&amp;Formulas!AM157+1,
IFERROR(INDEX(Datos!$A$1:$L$1,1,RIGHT(Formulas!AO157)+2)&amp;IF(Formulas!AN157=1," "&amp;Formulas!AM157,"")&amp;":","")))</f>
        <v/>
      </c>
      <c r="AM160" s="107" t="str" cm="1">
        <f t="array" aca="1" ref="AM160" ca="1">IF(OR(Formulas!AN157=0,Formulas!AN157="",RIGHT(Formulas!AO157)="0"),"",
HYPERLINK("["&amp;Archivo_Nombre&amp;"]Datos!"&amp;LEFT(SUBSTITUTE(ADDRESS(1,RIGHT(Formulas!AO157)+2),"$",""))&amp;Formulas!AM157+1,
IFERROR(INDEX(Datos!$A$2:$L$101,Formulas!AM157,RIGHT(Formulas!AO157)+2),"")))</f>
        <v/>
      </c>
      <c r="AN160" s="107" t="str" cm="1">
        <f t="array" aca="1" ref="AN160" ca="1">IF(OR(Formulas!AO158=0,Formulas!AO158=""),"",HYPERLINK("["&amp;Archivo_Nombre&amp;"]Datos!"&amp;LEFT(SUBSTITUTE(ADDRESS(1,Formulas!AO158+2),"$",""))&amp;Formulas!AN158+1,
IFERROR(INDEX(Datos!$A$2:$L$101,Formulas!AN158,Formulas!AO158+2),"")))</f>
        <v/>
      </c>
      <c r="AO160" s="13"/>
      <c r="AP160" s="6"/>
      <c r="AQ160" s="24" t="str" cm="1">
        <f t="array" aca="1" ref="AQ160" ca="1">IF(OR(Formulas!AS157=0,Formulas!AS157="",RIGHT(Formulas!AT157)="0"),"",
HYPERLINK("["&amp;Archivo_Nombre&amp;"]Datos!"&amp;LEFT(SUBSTITUTE(ADDRESS(1,IF(Formulas!AS157=1,1,RIGHT(Formulas!AT157)+2)),"$",""))&amp;Formulas!AR157+1,
IFERROR(INDEX(Datos!$A$1:$L$1,1,RIGHT(Formulas!AT157)+2)&amp;IF(Formulas!AS157=1," "&amp;Formulas!AR157,"")&amp;":","")))</f>
        <v/>
      </c>
      <c r="AR160" s="107" t="str" cm="1">
        <f t="array" aca="1" ref="AR160" ca="1">IF(OR(Formulas!AS157=0,Formulas!AS157="",RIGHT(Formulas!AT157)="0"),"",
HYPERLINK("["&amp;Archivo_Nombre&amp;"]Datos!"&amp;LEFT(SUBSTITUTE(ADDRESS(1,RIGHT(Formulas!AT157)+2),"$",""))&amp;Formulas!AR157+1,
IFERROR(INDEX(Datos!$A$2:$L$101,Formulas!AR157,RIGHT(Formulas!AT157)+2),"")))</f>
        <v/>
      </c>
      <c r="AS160" s="107" t="str" cm="1">
        <f t="array" aca="1" ref="AS160" ca="1">IF(OR(Formulas!AT158=0,Formulas!AT158=""),"",HYPERLINK("["&amp;Archivo_Nombre&amp;"]Datos!"&amp;LEFT(SUBSTITUTE(ADDRESS(1,Formulas!AT158+2),"$",""))&amp;Formulas!AS158+1,
IFERROR(INDEX(Datos!$A$2:$L$101,Formulas!AS158,Formulas!AT158+2),"")))</f>
        <v/>
      </c>
      <c r="AT160" s="13"/>
      <c r="AU160" s="6"/>
      <c r="AV160" s="24" t="str" cm="1">
        <f t="array" aca="1" ref="AV160" ca="1">IF(OR(Formulas!AX157=0,Formulas!AX157="",RIGHT(Formulas!AY157)="0"),"",
HYPERLINK("["&amp;Archivo_Nombre&amp;"]Datos!"&amp;LEFT(SUBSTITUTE(ADDRESS(1,IF(Formulas!AX157=1,1,RIGHT(Formulas!AY157)+2)),"$",""))&amp;Formulas!AW157+1,
IFERROR(INDEX(Datos!$A$1:$L$1,1,RIGHT(Formulas!AY157)+2)&amp;IF(Formulas!AX157=1," "&amp;Formulas!AW157,"")&amp;":","")))</f>
        <v/>
      </c>
      <c r="AW160" s="107" t="str" cm="1">
        <f t="array" aca="1" ref="AW160" ca="1">IF(OR(Formulas!AX157=0,Formulas!AX157="",RIGHT(Formulas!AY157)="0"),"",
HYPERLINK("["&amp;Archivo_Nombre&amp;"]Datos!"&amp;LEFT(SUBSTITUTE(ADDRESS(1,RIGHT(Formulas!AY157)+2),"$",""))&amp;Formulas!AW157+1,
IFERROR(INDEX(Datos!$A$2:$L$101,Formulas!AW157,RIGHT(Formulas!AY157)+2),"")))</f>
        <v/>
      </c>
      <c r="AX160" s="107" t="str" cm="1">
        <f t="array" aca="1" ref="AX160" ca="1">IF(OR(Formulas!AY158=0,Formulas!AY158=""),"",HYPERLINK("["&amp;Archivo_Nombre&amp;"]Datos!"&amp;LEFT(SUBSTITUTE(ADDRESS(1,Formulas!AY158+2),"$",""))&amp;Formulas!AX158+1,
IFERROR(INDEX(Datos!$A$2:$L$101,Formulas!AX158,Formulas!AY158+2),"")))</f>
        <v/>
      </c>
      <c r="AY160" s="13"/>
    </row>
    <row r="161" spans="2:51" x14ac:dyDescent="0.25">
      <c r="B161" s="11"/>
      <c r="C161" s="24" t="str" cm="1">
        <f t="array" aca="1" ref="C161" ca="1">IF(OR(Formulas!E158=0,Formulas!E158="",RIGHT(Formulas!F158)="0"),"",
HYPERLINK("["&amp;Archivo_Nombre&amp;"]Datos!"&amp;LEFT(SUBSTITUTE(ADDRESS(1,IF(Formulas!E158=1,1,RIGHT(Formulas!F158)+2)),"$",""))&amp;Formulas!D158+1,
IFERROR(INDEX(Datos!$A$1:$L$1,1,RIGHT(Formulas!F158)+2)&amp;IF(Formulas!E158=1," "&amp;Formulas!D158,"")&amp;":","")))</f>
        <v/>
      </c>
      <c r="D161" s="107" t="str" cm="1">
        <f t="array" aca="1" ref="D161" ca="1">IF(OR(Formulas!E158=0,Formulas!E158="",RIGHT(Formulas!F158)="0"),"",
HYPERLINK("["&amp;Archivo_Nombre&amp;"]Datos!"&amp;LEFT(SUBSTITUTE(ADDRESS(1,RIGHT(Formulas!F158)+2),"$",""))&amp;Formulas!D158+1,
IFERROR(INDEX(Datos!$A$2:$L$101,Formulas!D158,RIGHT(Formulas!F158)+2),"")))</f>
        <v/>
      </c>
      <c r="E161" s="107" t="str" cm="1">
        <f t="array" aca="1" ref="E161" ca="1">IF(OR(Formulas!F159=0,Formulas!F159=""),"",HYPERLINK("["&amp;Archivo_Nombre&amp;"]Datos!"&amp;LEFT(SUBSTITUTE(ADDRESS(1,Formulas!F159+2),"$",""))&amp;Formulas!E159+1,
IFERROR(INDEX(Datos!$A$2:$L$101,Formulas!E159,Formulas!F159+2),"")))</f>
        <v/>
      </c>
      <c r="F161" s="5"/>
      <c r="G161" s="6"/>
      <c r="H161" s="24" t="str" cm="1">
        <f t="array" aca="1" ref="H161" ca="1">IF(OR(Formulas!J158=0,Formulas!J158="",RIGHT(Formulas!K158)="0"),"",
HYPERLINK("["&amp;Archivo_Nombre&amp;"]Datos!"&amp;LEFT(SUBSTITUTE(ADDRESS(1,IF(Formulas!J158=1,1,RIGHT(Formulas!K158)+2)),"$",""))&amp;Formulas!I158+1,
IFERROR(INDEX(Datos!$A$1:$L$1,1,RIGHT(Formulas!K158)+2)&amp;IF(Formulas!J158=1," "&amp;Formulas!I158,"")&amp;":","")))</f>
        <v/>
      </c>
      <c r="I161" s="107" t="str" cm="1">
        <f t="array" aca="1" ref="I161" ca="1">IF(OR(Formulas!J158=0,Formulas!J158="",RIGHT(Formulas!K158)="0"),"",
HYPERLINK("["&amp;Archivo_Nombre&amp;"]Datos!"&amp;LEFT(SUBSTITUTE(ADDRESS(1,RIGHT(Formulas!K158)+2),"$",""))&amp;Formulas!I158+1,
IFERROR(INDEX(Datos!$A$2:$L$101,Formulas!I158,RIGHT(Formulas!K158)+2),"")))</f>
        <v/>
      </c>
      <c r="J161" s="107" t="str" cm="1">
        <f t="array" aca="1" ref="J161" ca="1">IF(OR(Formulas!K159=0,Formulas!K159=""),"",HYPERLINK("["&amp;Archivo_Nombre&amp;"]Datos!"&amp;LEFT(SUBSTITUTE(ADDRESS(1,Formulas!K159+2),"$",""))&amp;Formulas!J159+1,
IFERROR(INDEX(Datos!$A$2:$L$101,Formulas!J159,Formulas!K159+2),"")))</f>
        <v/>
      </c>
      <c r="K161" s="5"/>
      <c r="L161" s="6"/>
      <c r="M161" s="24" t="str" cm="1">
        <f t="array" aca="1" ref="M161" ca="1">IF(OR(Formulas!O158=0,Formulas!O158="",RIGHT(Formulas!P158)="0"),"",
HYPERLINK("["&amp;Archivo_Nombre&amp;"]Datos!"&amp;LEFT(SUBSTITUTE(ADDRESS(1,IF(Formulas!O158=1,1,RIGHT(Formulas!P158)+2)),"$",""))&amp;Formulas!N158+1,
IFERROR(INDEX(Datos!$A$1:$L$1,1,RIGHT(Formulas!P158)+2)&amp;IF(Formulas!O158=1," "&amp;Formulas!N158,"")&amp;":","")))</f>
        <v/>
      </c>
      <c r="N161" s="107" t="str" cm="1">
        <f t="array" aca="1" ref="N161" ca="1">IF(OR(Formulas!O158=0,Formulas!O158="",RIGHT(Formulas!P158)="0"),"",
HYPERLINK("["&amp;Archivo_Nombre&amp;"]Datos!"&amp;LEFT(SUBSTITUTE(ADDRESS(1,RIGHT(Formulas!P158)+2),"$",""))&amp;Formulas!N158+1,
IFERROR(INDEX(Datos!$A$2:$L$101,Formulas!N158,RIGHT(Formulas!P158)+2),"")))</f>
        <v/>
      </c>
      <c r="O161" s="107" t="str" cm="1">
        <f t="array" aca="1" ref="O161" ca="1">IF(OR(Formulas!P159=0,Formulas!P159=""),"",HYPERLINK("["&amp;Archivo_Nombre&amp;"]Datos!"&amp;LEFT(SUBSTITUTE(ADDRESS(1,Formulas!P159+2),"$",""))&amp;Formulas!O159+1,
IFERROR(INDEX(Datos!$A$2:$L$101,Formulas!O159,Formulas!P159+2),"")))</f>
        <v/>
      </c>
      <c r="P161" s="5"/>
      <c r="Q161" s="6"/>
      <c r="R161" s="24" t="str" cm="1">
        <f t="array" aca="1" ref="R161" ca="1">IF(OR(Formulas!T158=0,Formulas!T158="",RIGHT(Formulas!U158)="0"),"",
HYPERLINK("["&amp;Archivo_Nombre&amp;"]Datos!"&amp;LEFT(SUBSTITUTE(ADDRESS(1,IF(Formulas!T158=1,1,RIGHT(Formulas!U158)+2)),"$",""))&amp;Formulas!S158+1,
IFERROR(INDEX(Datos!$A$1:$L$1,1,RIGHT(Formulas!U158)+2)&amp;IF(Formulas!T158=1," "&amp;Formulas!S158,"")&amp;":","")))</f>
        <v>Final:</v>
      </c>
      <c r="S161" s="107" cm="1">
        <f t="array" aca="1" ref="S161" ca="1">IF(OR(Formulas!T158=0,Formulas!T158="",RIGHT(Formulas!U158)="0"),"",
HYPERLINK("["&amp;Archivo_Nombre&amp;"]Datos!"&amp;LEFT(SUBSTITUTE(ADDRESS(1,RIGHT(Formulas!U158)+2),"$",""))&amp;Formulas!S158+1,
IFERROR(INDEX(Datos!$A$2:$L$101,Formulas!S158,RIGHT(Formulas!U158)+2),"")))</f>
        <v>45789</v>
      </c>
      <c r="T161" s="107" t="e" cm="1">
        <f t="array" aca="1" ref="T161" ca="1">IF(OR(Formulas!U159=0,Formulas!U159=""),"",HYPERLINK("["&amp;Archivo_Nombre&amp;"]Datos!"&amp;LEFT(SUBSTITUTE(ADDRESS(1,Formulas!U159+2),"$",""))&amp;Formulas!T159+1,
IFERROR(INDEX(Datos!$A$2:$L$101,Formulas!T159,Formulas!U159+2),"")))</f>
        <v>#VALUE!</v>
      </c>
      <c r="U161" s="5"/>
      <c r="V161" s="6"/>
      <c r="W161" s="24" t="str" cm="1">
        <f t="array" aca="1" ref="W161" ca="1">IF(OR(Formulas!Y158=0,Formulas!Y158="",RIGHT(Formulas!Z158)="0"),"",
HYPERLINK("["&amp;Archivo_Nombre&amp;"]Datos!"&amp;LEFT(SUBSTITUTE(ADDRESS(1,IF(Formulas!Y158=1,1,RIGHT(Formulas!Z158)+2)),"$",""))&amp;Formulas!X158+1,
IFERROR(INDEX(Datos!$A$1:$L$1,1,RIGHT(Formulas!Z158)+2)&amp;IF(Formulas!Y158=1," "&amp;Formulas!X158,"")&amp;":","")))</f>
        <v/>
      </c>
      <c r="X161" s="107" t="str" cm="1">
        <f t="array" aca="1" ref="X161" ca="1">IF(OR(Formulas!Y158=0,Formulas!Y158="",RIGHT(Formulas!Z158)="0"),"",
HYPERLINK("["&amp;Archivo_Nombre&amp;"]Datos!"&amp;LEFT(SUBSTITUTE(ADDRESS(1,RIGHT(Formulas!Z158)+2),"$",""))&amp;Formulas!X158+1,
IFERROR(INDEX(Datos!$A$2:$L$101,Formulas!X158,RIGHT(Formulas!Z158)+2),"")))</f>
        <v/>
      </c>
      <c r="Y161" s="107" t="str" cm="1">
        <f t="array" aca="1" ref="Y161" ca="1">IF(OR(Formulas!Z159=0,Formulas!Z159=""),"",HYPERLINK("["&amp;Archivo_Nombre&amp;"]Datos!"&amp;LEFT(SUBSTITUTE(ADDRESS(1,Formulas!Z159+2),"$",""))&amp;Formulas!Y159+1,
IFERROR(INDEX(Datos!$A$2:$L$101,Formulas!Y159,Formulas!Z159+2),"")))</f>
        <v/>
      </c>
      <c r="Z161" s="13"/>
      <c r="AA161" s="6"/>
      <c r="AB161" s="24" t="str" cm="1">
        <f t="array" aca="1" ref="AB161" ca="1">IF(OR(Formulas!AD158=0,Formulas!AD158="",RIGHT(Formulas!AE158)="0"),"",
HYPERLINK("["&amp;Archivo_Nombre&amp;"]Datos!"&amp;LEFT(SUBSTITUTE(ADDRESS(1,IF(Formulas!AD158=1,1,RIGHT(Formulas!AE158)+2)),"$",""))&amp;Formulas!AC158+1,
IFERROR(INDEX(Datos!$A$1:$L$1,1,RIGHT(Formulas!AE158)+2)&amp;IF(Formulas!AD158=1," "&amp;Formulas!AC158,"")&amp;":","")))</f>
        <v/>
      </c>
      <c r="AC161" s="107" t="str" cm="1">
        <f t="array" aca="1" ref="AC161" ca="1">IF(OR(Formulas!AD158=0,Formulas!AD158="",RIGHT(Formulas!AE158)="0"),"",
HYPERLINK("["&amp;Archivo_Nombre&amp;"]Datos!"&amp;LEFT(SUBSTITUTE(ADDRESS(1,RIGHT(Formulas!AE158)+2),"$",""))&amp;Formulas!AC158+1,
IFERROR(INDEX(Datos!$A$2:$L$101,Formulas!AC158,RIGHT(Formulas!AE158)+2),"")))</f>
        <v/>
      </c>
      <c r="AD161" s="107" t="str" cm="1">
        <f t="array" aca="1" ref="AD161" ca="1">IF(OR(Formulas!AE159=0,Formulas!AE159=""),"",HYPERLINK("["&amp;Archivo_Nombre&amp;"]Datos!"&amp;LEFT(SUBSTITUTE(ADDRESS(1,Formulas!AE159+2),"$",""))&amp;Formulas!AD159+1,
IFERROR(INDEX(Datos!$A$2:$L$101,Formulas!AD159,Formulas!AE159+2),"")))</f>
        <v/>
      </c>
      <c r="AE161" s="13"/>
      <c r="AF161" s="6"/>
      <c r="AG161" s="24" t="str" cm="1">
        <f t="array" aca="1" ref="AG161" ca="1">IF(OR(Formulas!AI158=0,Formulas!AI158="",RIGHT(Formulas!AJ158)="0"),"",
HYPERLINK("["&amp;Archivo_Nombre&amp;"]Datos!"&amp;LEFT(SUBSTITUTE(ADDRESS(1,IF(Formulas!AI158=1,1,RIGHT(Formulas!AJ158)+2)),"$",""))&amp;Formulas!AH158+1,
IFERROR(INDEX(Datos!$A$1:$L$1,1,RIGHT(Formulas!AJ158)+2)&amp;IF(Formulas!AI158=1," "&amp;Formulas!AH158,"")&amp;":","")))</f>
        <v/>
      </c>
      <c r="AH161" s="107" t="str" cm="1">
        <f t="array" aca="1" ref="AH161" ca="1">IF(OR(Formulas!AI158=0,Formulas!AI158="",RIGHT(Formulas!AJ158)="0"),"",
HYPERLINK("["&amp;Archivo_Nombre&amp;"]Datos!"&amp;LEFT(SUBSTITUTE(ADDRESS(1,RIGHT(Formulas!AJ158)+2),"$",""))&amp;Formulas!AH158+1,
IFERROR(INDEX(Datos!$A$2:$L$101,Formulas!AH158,RIGHT(Formulas!AJ158)+2),"")))</f>
        <v/>
      </c>
      <c r="AI161" s="107" t="str" cm="1">
        <f t="array" aca="1" ref="AI161" ca="1">IF(OR(Formulas!AJ159=0,Formulas!AJ159=""),"",HYPERLINK("["&amp;Archivo_Nombre&amp;"]Datos!"&amp;LEFT(SUBSTITUTE(ADDRESS(1,Formulas!AJ159+2),"$",""))&amp;Formulas!AI159+1,
IFERROR(INDEX(Datos!$A$2:$L$101,Formulas!AI159,Formulas!AJ159+2),"")))</f>
        <v/>
      </c>
      <c r="AJ161" s="13"/>
      <c r="AK161" s="6"/>
      <c r="AL161" s="24" t="str" cm="1">
        <f t="array" aca="1" ref="AL161" ca="1">IF(OR(Formulas!AN158=0,Formulas!AN158="",RIGHT(Formulas!AO158)="0"),"",
HYPERLINK("["&amp;Archivo_Nombre&amp;"]Datos!"&amp;LEFT(SUBSTITUTE(ADDRESS(1,IF(Formulas!AN158=1,1,RIGHT(Formulas!AO158)+2)),"$",""))&amp;Formulas!AM158+1,
IFERROR(INDEX(Datos!$A$1:$L$1,1,RIGHT(Formulas!AO158)+2)&amp;IF(Formulas!AN158=1," "&amp;Formulas!AM158,"")&amp;":","")))</f>
        <v/>
      </c>
      <c r="AM161" s="107" t="str" cm="1">
        <f t="array" aca="1" ref="AM161" ca="1">IF(OR(Formulas!AN158=0,Formulas!AN158="",RIGHT(Formulas!AO158)="0"),"",
HYPERLINK("["&amp;Archivo_Nombre&amp;"]Datos!"&amp;LEFT(SUBSTITUTE(ADDRESS(1,RIGHT(Formulas!AO158)+2),"$",""))&amp;Formulas!AM158+1,
IFERROR(INDEX(Datos!$A$2:$L$101,Formulas!AM158,RIGHT(Formulas!AO158)+2),"")))</f>
        <v/>
      </c>
      <c r="AN161" s="107" t="str" cm="1">
        <f t="array" aca="1" ref="AN161" ca="1">IF(OR(Formulas!AO159=0,Formulas!AO159=""),"",HYPERLINK("["&amp;Archivo_Nombre&amp;"]Datos!"&amp;LEFT(SUBSTITUTE(ADDRESS(1,Formulas!AO159+2),"$",""))&amp;Formulas!AN159+1,
IFERROR(INDEX(Datos!$A$2:$L$101,Formulas!AN159,Formulas!AO159+2),"")))</f>
        <v/>
      </c>
      <c r="AO161" s="13"/>
      <c r="AP161" s="6"/>
      <c r="AQ161" s="24" t="str" cm="1">
        <f t="array" aca="1" ref="AQ161" ca="1">IF(OR(Formulas!AS158=0,Formulas!AS158="",RIGHT(Formulas!AT158)="0"),"",
HYPERLINK("["&amp;Archivo_Nombre&amp;"]Datos!"&amp;LEFT(SUBSTITUTE(ADDRESS(1,IF(Formulas!AS158=1,1,RIGHT(Formulas!AT158)+2)),"$",""))&amp;Formulas!AR158+1,
IFERROR(INDEX(Datos!$A$1:$L$1,1,RIGHT(Formulas!AT158)+2)&amp;IF(Formulas!AS158=1," "&amp;Formulas!AR158,"")&amp;":","")))</f>
        <v/>
      </c>
      <c r="AR161" s="107" t="str" cm="1">
        <f t="array" aca="1" ref="AR161" ca="1">IF(OR(Formulas!AS158=0,Formulas!AS158="",RIGHT(Formulas!AT158)="0"),"",
HYPERLINK("["&amp;Archivo_Nombre&amp;"]Datos!"&amp;LEFT(SUBSTITUTE(ADDRESS(1,RIGHT(Formulas!AT158)+2),"$",""))&amp;Formulas!AR158+1,
IFERROR(INDEX(Datos!$A$2:$L$101,Formulas!AR158,RIGHT(Formulas!AT158)+2),"")))</f>
        <v/>
      </c>
      <c r="AS161" s="107" t="str" cm="1">
        <f t="array" aca="1" ref="AS161" ca="1">IF(OR(Formulas!AT159=0,Formulas!AT159=""),"",HYPERLINK("["&amp;Archivo_Nombre&amp;"]Datos!"&amp;LEFT(SUBSTITUTE(ADDRESS(1,Formulas!AT159+2),"$",""))&amp;Formulas!AS159+1,
IFERROR(INDEX(Datos!$A$2:$L$101,Formulas!AS159,Formulas!AT159+2),"")))</f>
        <v/>
      </c>
      <c r="AT161" s="13"/>
      <c r="AU161" s="6"/>
      <c r="AV161" s="24" t="str" cm="1">
        <f t="array" aca="1" ref="AV161" ca="1">IF(OR(Formulas!AX158=0,Formulas!AX158="",RIGHT(Formulas!AY158)="0"),"",
HYPERLINK("["&amp;Archivo_Nombre&amp;"]Datos!"&amp;LEFT(SUBSTITUTE(ADDRESS(1,IF(Formulas!AX158=1,1,RIGHT(Formulas!AY158)+2)),"$",""))&amp;Formulas!AW158+1,
IFERROR(INDEX(Datos!$A$1:$L$1,1,RIGHT(Formulas!AY158)+2)&amp;IF(Formulas!AX158=1," "&amp;Formulas!AW158,"")&amp;":","")))</f>
        <v/>
      </c>
      <c r="AW161" s="107" t="str" cm="1">
        <f t="array" aca="1" ref="AW161" ca="1">IF(OR(Formulas!AX158=0,Formulas!AX158="",RIGHT(Formulas!AY158)="0"),"",
HYPERLINK("["&amp;Archivo_Nombre&amp;"]Datos!"&amp;LEFT(SUBSTITUTE(ADDRESS(1,RIGHT(Formulas!AY158)+2),"$",""))&amp;Formulas!AW158+1,
IFERROR(INDEX(Datos!$A$2:$L$101,Formulas!AW158,RIGHT(Formulas!AY158)+2),"")))</f>
        <v/>
      </c>
      <c r="AX161" s="107" t="str" cm="1">
        <f t="array" aca="1" ref="AX161" ca="1">IF(OR(Formulas!AY159=0,Formulas!AY159=""),"",HYPERLINK("["&amp;Archivo_Nombre&amp;"]Datos!"&amp;LEFT(SUBSTITUTE(ADDRESS(1,Formulas!AY159+2),"$",""))&amp;Formulas!AX159+1,
IFERROR(INDEX(Datos!$A$2:$L$101,Formulas!AX159,Formulas!AY159+2),"")))</f>
        <v/>
      </c>
      <c r="AY161" s="13"/>
    </row>
    <row r="162" spans="2:51" x14ac:dyDescent="0.25">
      <c r="B162" s="11"/>
      <c r="C162" s="24" t="str" cm="1">
        <f t="array" aca="1" ref="C162" ca="1">IF(OR(Formulas!E159=0,Formulas!E159="",RIGHT(Formulas!F159)="0"),"",
HYPERLINK("["&amp;Archivo_Nombre&amp;"]Datos!"&amp;LEFT(SUBSTITUTE(ADDRESS(1,IF(Formulas!E159=1,1,RIGHT(Formulas!F159)+2)),"$",""))&amp;Formulas!D159+1,
IFERROR(INDEX(Datos!$A$1:$L$1,1,RIGHT(Formulas!F159)+2)&amp;IF(Formulas!E159=1," "&amp;Formulas!D159,"")&amp;":","")))</f>
        <v/>
      </c>
      <c r="D162" s="107" t="str" cm="1">
        <f t="array" aca="1" ref="D162" ca="1">IF(OR(Formulas!E159=0,Formulas!E159="",RIGHT(Formulas!F159)="0"),"",
HYPERLINK("["&amp;Archivo_Nombre&amp;"]Datos!"&amp;LEFT(SUBSTITUTE(ADDRESS(1,RIGHT(Formulas!F159)+2),"$",""))&amp;Formulas!D159+1,
IFERROR(INDEX(Datos!$A$2:$L$101,Formulas!D159,RIGHT(Formulas!F159)+2),"")))</f>
        <v/>
      </c>
      <c r="E162" s="107" t="str" cm="1">
        <f t="array" aca="1" ref="E162" ca="1">IF(OR(Formulas!F160=0,Formulas!F160=""),"",HYPERLINK("["&amp;Archivo_Nombre&amp;"]Datos!"&amp;LEFT(SUBSTITUTE(ADDRESS(1,Formulas!F160+2),"$",""))&amp;Formulas!E160+1,
IFERROR(INDEX(Datos!$A$2:$L$101,Formulas!E160,Formulas!F160+2),"")))</f>
        <v/>
      </c>
      <c r="F162" s="5"/>
      <c r="G162" s="6"/>
      <c r="H162" s="24" t="str" cm="1">
        <f t="array" aca="1" ref="H162" ca="1">IF(OR(Formulas!J159=0,Formulas!J159="",RIGHT(Formulas!K159)="0"),"",
HYPERLINK("["&amp;Archivo_Nombre&amp;"]Datos!"&amp;LEFT(SUBSTITUTE(ADDRESS(1,IF(Formulas!J159=1,1,RIGHT(Formulas!K159)+2)),"$",""))&amp;Formulas!I159+1,
IFERROR(INDEX(Datos!$A$1:$L$1,1,RIGHT(Formulas!K159)+2)&amp;IF(Formulas!J159=1," "&amp;Formulas!I159,"")&amp;":","")))</f>
        <v/>
      </c>
      <c r="I162" s="107" t="str" cm="1">
        <f t="array" aca="1" ref="I162" ca="1">IF(OR(Formulas!J159=0,Formulas!J159="",RIGHT(Formulas!K159)="0"),"",
HYPERLINK("["&amp;Archivo_Nombre&amp;"]Datos!"&amp;LEFT(SUBSTITUTE(ADDRESS(1,RIGHT(Formulas!K159)+2),"$",""))&amp;Formulas!I159+1,
IFERROR(INDEX(Datos!$A$2:$L$101,Formulas!I159,RIGHT(Formulas!K159)+2),"")))</f>
        <v/>
      </c>
      <c r="J162" s="107" t="str" cm="1">
        <f t="array" aca="1" ref="J162" ca="1">IF(OR(Formulas!K160=0,Formulas!K160=""),"",HYPERLINK("["&amp;Archivo_Nombre&amp;"]Datos!"&amp;LEFT(SUBSTITUTE(ADDRESS(1,Formulas!K160+2),"$",""))&amp;Formulas!J160+1,
IFERROR(INDEX(Datos!$A$2:$L$101,Formulas!J160,Formulas!K160+2),"")))</f>
        <v/>
      </c>
      <c r="K162" s="5"/>
      <c r="L162" s="6"/>
      <c r="M162" s="24" t="str" cm="1">
        <f t="array" aca="1" ref="M162" ca="1">IF(OR(Formulas!O159=0,Formulas!O159="",RIGHT(Formulas!P159)="0"),"",
HYPERLINK("["&amp;Archivo_Nombre&amp;"]Datos!"&amp;LEFT(SUBSTITUTE(ADDRESS(1,IF(Formulas!O159=1,1,RIGHT(Formulas!P159)+2)),"$",""))&amp;Formulas!N159+1,
IFERROR(INDEX(Datos!$A$1:$L$1,1,RIGHT(Formulas!P159)+2)&amp;IF(Formulas!O159=1," "&amp;Formulas!N159,"")&amp;":","")))</f>
        <v/>
      </c>
      <c r="N162" s="107" t="str" cm="1">
        <f t="array" aca="1" ref="N162" ca="1">IF(OR(Formulas!O159=0,Formulas!O159="",RIGHT(Formulas!P159)="0"),"",
HYPERLINK("["&amp;Archivo_Nombre&amp;"]Datos!"&amp;LEFT(SUBSTITUTE(ADDRESS(1,RIGHT(Formulas!P159)+2),"$",""))&amp;Formulas!N159+1,
IFERROR(INDEX(Datos!$A$2:$L$101,Formulas!N159,RIGHT(Formulas!P159)+2),"")))</f>
        <v/>
      </c>
      <c r="O162" s="107" t="str" cm="1">
        <f t="array" aca="1" ref="O162" ca="1">IF(OR(Formulas!P160=0,Formulas!P160=""),"",HYPERLINK("["&amp;Archivo_Nombre&amp;"]Datos!"&amp;LEFT(SUBSTITUTE(ADDRESS(1,Formulas!P160+2),"$",""))&amp;Formulas!O160+1,
IFERROR(INDEX(Datos!$A$2:$L$101,Formulas!O160,Formulas!P160+2),"")))</f>
        <v/>
      </c>
      <c r="P162" s="5"/>
      <c r="Q162" s="6"/>
      <c r="R162" s="24" t="str" cm="1">
        <f t="array" aca="1" ref="R162" ca="1">IF(OR(Formulas!T159=0,Formulas!T159="",RIGHT(Formulas!U159)="0"),"",
HYPERLINK("["&amp;Archivo_Nombre&amp;"]Datos!"&amp;LEFT(SUBSTITUTE(ADDRESS(1,IF(Formulas!T159=1,1,RIGHT(Formulas!U159)+2)),"$",""))&amp;Formulas!S159+1,
IFERROR(INDEX(Datos!$A$1:$L$1,1,RIGHT(Formulas!U159)+2)&amp;IF(Formulas!T159=1," "&amp;Formulas!S159,"")&amp;":","")))</f>
        <v>Duración:</v>
      </c>
      <c r="S162" s="107" t="str" cm="1">
        <f t="array" aca="1" ref="S162" ca="1">IF(OR(Formulas!T159=0,Formulas!T159="",RIGHT(Formulas!U159)="0"),"",
HYPERLINK("["&amp;Archivo_Nombre&amp;"]Datos!"&amp;LEFT(SUBSTITUTE(ADDRESS(1,RIGHT(Formulas!U159)+2),"$",""))&amp;Formulas!S159+1,
IFERROR(INDEX(Datos!$A$2:$L$101,Formulas!S159,RIGHT(Formulas!U159)+2),"")))</f>
        <v>2 días</v>
      </c>
      <c r="T162" s="107" t="e" cm="1">
        <f t="array" aca="1" ref="T162" ca="1">IF(OR(Formulas!U160=0,Formulas!U160=""),"",HYPERLINK("["&amp;Archivo_Nombre&amp;"]Datos!"&amp;LEFT(SUBSTITUTE(ADDRESS(1,Formulas!U160+2),"$",""))&amp;Formulas!T160+1,
IFERROR(INDEX(Datos!$A$2:$L$101,Formulas!T160,Formulas!U160+2),"")))</f>
        <v>#VALUE!</v>
      </c>
      <c r="U162" s="5"/>
      <c r="V162" s="6"/>
      <c r="W162" s="24" t="str" cm="1">
        <f t="array" aca="1" ref="W162" ca="1">IF(OR(Formulas!Y159=0,Formulas!Y159="",RIGHT(Formulas!Z159)="0"),"",
HYPERLINK("["&amp;Archivo_Nombre&amp;"]Datos!"&amp;LEFT(SUBSTITUTE(ADDRESS(1,IF(Formulas!Y159=1,1,RIGHT(Formulas!Z159)+2)),"$",""))&amp;Formulas!X159+1,
IFERROR(INDEX(Datos!$A$1:$L$1,1,RIGHT(Formulas!Z159)+2)&amp;IF(Formulas!Y159=1," "&amp;Formulas!X159,"")&amp;":","")))</f>
        <v/>
      </c>
      <c r="X162" s="107" t="str" cm="1">
        <f t="array" aca="1" ref="X162" ca="1">IF(OR(Formulas!Y159=0,Formulas!Y159="",RIGHT(Formulas!Z159)="0"),"",
HYPERLINK("["&amp;Archivo_Nombre&amp;"]Datos!"&amp;LEFT(SUBSTITUTE(ADDRESS(1,RIGHT(Formulas!Z159)+2),"$",""))&amp;Formulas!X159+1,
IFERROR(INDEX(Datos!$A$2:$L$101,Formulas!X159,RIGHT(Formulas!Z159)+2),"")))</f>
        <v/>
      </c>
      <c r="Y162" s="107" t="str" cm="1">
        <f t="array" aca="1" ref="Y162" ca="1">IF(OR(Formulas!Z160=0,Formulas!Z160=""),"",HYPERLINK("["&amp;Archivo_Nombre&amp;"]Datos!"&amp;LEFT(SUBSTITUTE(ADDRESS(1,Formulas!Z160+2),"$",""))&amp;Formulas!Y160+1,
IFERROR(INDEX(Datos!$A$2:$L$101,Formulas!Y160,Formulas!Z160+2),"")))</f>
        <v/>
      </c>
      <c r="Z162" s="13"/>
      <c r="AA162" s="6"/>
      <c r="AB162" s="24" t="str" cm="1">
        <f t="array" aca="1" ref="AB162" ca="1">IF(OR(Formulas!AD159=0,Formulas!AD159="",RIGHT(Formulas!AE159)="0"),"",
HYPERLINK("["&amp;Archivo_Nombre&amp;"]Datos!"&amp;LEFT(SUBSTITUTE(ADDRESS(1,IF(Formulas!AD159=1,1,RIGHT(Formulas!AE159)+2)),"$",""))&amp;Formulas!AC159+1,
IFERROR(INDEX(Datos!$A$1:$L$1,1,RIGHT(Formulas!AE159)+2)&amp;IF(Formulas!AD159=1," "&amp;Formulas!AC159,"")&amp;":","")))</f>
        <v/>
      </c>
      <c r="AC162" s="107" t="str" cm="1">
        <f t="array" aca="1" ref="AC162" ca="1">IF(OR(Formulas!AD159=0,Formulas!AD159="",RIGHT(Formulas!AE159)="0"),"",
HYPERLINK("["&amp;Archivo_Nombre&amp;"]Datos!"&amp;LEFT(SUBSTITUTE(ADDRESS(1,RIGHT(Formulas!AE159)+2),"$",""))&amp;Formulas!AC159+1,
IFERROR(INDEX(Datos!$A$2:$L$101,Formulas!AC159,RIGHT(Formulas!AE159)+2),"")))</f>
        <v/>
      </c>
      <c r="AD162" s="107" t="str" cm="1">
        <f t="array" aca="1" ref="AD162" ca="1">IF(OR(Formulas!AE160=0,Formulas!AE160=""),"",HYPERLINK("["&amp;Archivo_Nombre&amp;"]Datos!"&amp;LEFT(SUBSTITUTE(ADDRESS(1,Formulas!AE160+2),"$",""))&amp;Formulas!AD160+1,
IFERROR(INDEX(Datos!$A$2:$L$101,Formulas!AD160,Formulas!AE160+2),"")))</f>
        <v/>
      </c>
      <c r="AE162" s="13"/>
      <c r="AF162" s="6"/>
      <c r="AG162" s="24" t="str" cm="1">
        <f t="array" aca="1" ref="AG162" ca="1">IF(OR(Formulas!AI159=0,Formulas!AI159="",RIGHT(Formulas!AJ159)="0"),"",
HYPERLINK("["&amp;Archivo_Nombre&amp;"]Datos!"&amp;LEFT(SUBSTITUTE(ADDRESS(1,IF(Formulas!AI159=1,1,RIGHT(Formulas!AJ159)+2)),"$",""))&amp;Formulas!AH159+1,
IFERROR(INDEX(Datos!$A$1:$L$1,1,RIGHT(Formulas!AJ159)+2)&amp;IF(Formulas!AI159=1," "&amp;Formulas!AH159,"")&amp;":","")))</f>
        <v/>
      </c>
      <c r="AH162" s="107" t="str" cm="1">
        <f t="array" aca="1" ref="AH162" ca="1">IF(OR(Formulas!AI159=0,Formulas!AI159="",RIGHT(Formulas!AJ159)="0"),"",
HYPERLINK("["&amp;Archivo_Nombre&amp;"]Datos!"&amp;LEFT(SUBSTITUTE(ADDRESS(1,RIGHT(Formulas!AJ159)+2),"$",""))&amp;Formulas!AH159+1,
IFERROR(INDEX(Datos!$A$2:$L$101,Formulas!AH159,RIGHT(Formulas!AJ159)+2),"")))</f>
        <v/>
      </c>
      <c r="AI162" s="107" t="str" cm="1">
        <f t="array" aca="1" ref="AI162" ca="1">IF(OR(Formulas!AJ160=0,Formulas!AJ160=""),"",HYPERLINK("["&amp;Archivo_Nombre&amp;"]Datos!"&amp;LEFT(SUBSTITUTE(ADDRESS(1,Formulas!AJ160+2),"$",""))&amp;Formulas!AI160+1,
IFERROR(INDEX(Datos!$A$2:$L$101,Formulas!AI160,Formulas!AJ160+2),"")))</f>
        <v/>
      </c>
      <c r="AJ162" s="13"/>
      <c r="AK162" s="6"/>
      <c r="AL162" s="24" t="str" cm="1">
        <f t="array" aca="1" ref="AL162" ca="1">IF(OR(Formulas!AN159=0,Formulas!AN159="",RIGHT(Formulas!AO159)="0"),"",
HYPERLINK("["&amp;Archivo_Nombre&amp;"]Datos!"&amp;LEFT(SUBSTITUTE(ADDRESS(1,IF(Formulas!AN159=1,1,RIGHT(Formulas!AO159)+2)),"$",""))&amp;Formulas!AM159+1,
IFERROR(INDEX(Datos!$A$1:$L$1,1,RIGHT(Formulas!AO159)+2)&amp;IF(Formulas!AN159=1," "&amp;Formulas!AM159,"")&amp;":","")))</f>
        <v/>
      </c>
      <c r="AM162" s="107" t="str" cm="1">
        <f t="array" aca="1" ref="AM162" ca="1">IF(OR(Formulas!AN159=0,Formulas!AN159="",RIGHT(Formulas!AO159)="0"),"",
HYPERLINK("["&amp;Archivo_Nombre&amp;"]Datos!"&amp;LEFT(SUBSTITUTE(ADDRESS(1,RIGHT(Formulas!AO159)+2),"$",""))&amp;Formulas!AM159+1,
IFERROR(INDEX(Datos!$A$2:$L$101,Formulas!AM159,RIGHT(Formulas!AO159)+2),"")))</f>
        <v/>
      </c>
      <c r="AN162" s="107" t="str" cm="1">
        <f t="array" aca="1" ref="AN162" ca="1">IF(OR(Formulas!AO160=0,Formulas!AO160=""),"",HYPERLINK("["&amp;Archivo_Nombre&amp;"]Datos!"&amp;LEFT(SUBSTITUTE(ADDRESS(1,Formulas!AO160+2),"$",""))&amp;Formulas!AN160+1,
IFERROR(INDEX(Datos!$A$2:$L$101,Formulas!AN160,Formulas!AO160+2),"")))</f>
        <v/>
      </c>
      <c r="AO162" s="13"/>
      <c r="AP162" s="6"/>
      <c r="AQ162" s="24" t="str" cm="1">
        <f t="array" aca="1" ref="AQ162" ca="1">IF(OR(Formulas!AS159=0,Formulas!AS159="",RIGHT(Formulas!AT159)="0"),"",
HYPERLINK("["&amp;Archivo_Nombre&amp;"]Datos!"&amp;LEFT(SUBSTITUTE(ADDRESS(1,IF(Formulas!AS159=1,1,RIGHT(Formulas!AT159)+2)),"$",""))&amp;Formulas!AR159+1,
IFERROR(INDEX(Datos!$A$1:$L$1,1,RIGHT(Formulas!AT159)+2)&amp;IF(Formulas!AS159=1," "&amp;Formulas!AR159,"")&amp;":","")))</f>
        <v/>
      </c>
      <c r="AR162" s="107" t="str" cm="1">
        <f t="array" aca="1" ref="AR162" ca="1">IF(OR(Formulas!AS159=0,Formulas!AS159="",RIGHT(Formulas!AT159)="0"),"",
HYPERLINK("["&amp;Archivo_Nombre&amp;"]Datos!"&amp;LEFT(SUBSTITUTE(ADDRESS(1,RIGHT(Formulas!AT159)+2),"$",""))&amp;Formulas!AR159+1,
IFERROR(INDEX(Datos!$A$2:$L$101,Formulas!AR159,RIGHT(Formulas!AT159)+2),"")))</f>
        <v/>
      </c>
      <c r="AS162" s="107" t="str" cm="1">
        <f t="array" aca="1" ref="AS162" ca="1">IF(OR(Formulas!AT160=0,Formulas!AT160=""),"",HYPERLINK("["&amp;Archivo_Nombre&amp;"]Datos!"&amp;LEFT(SUBSTITUTE(ADDRESS(1,Formulas!AT160+2),"$",""))&amp;Formulas!AS160+1,
IFERROR(INDEX(Datos!$A$2:$L$101,Formulas!AS160,Formulas!AT160+2),"")))</f>
        <v/>
      </c>
      <c r="AT162" s="13"/>
      <c r="AU162" s="6"/>
      <c r="AV162" s="24" t="str" cm="1">
        <f t="array" aca="1" ref="AV162" ca="1">IF(OR(Formulas!AX159=0,Formulas!AX159="",RIGHT(Formulas!AY159)="0"),"",
HYPERLINK("["&amp;Archivo_Nombre&amp;"]Datos!"&amp;LEFT(SUBSTITUTE(ADDRESS(1,IF(Formulas!AX159=1,1,RIGHT(Formulas!AY159)+2)),"$",""))&amp;Formulas!AW159+1,
IFERROR(INDEX(Datos!$A$1:$L$1,1,RIGHT(Formulas!AY159)+2)&amp;IF(Formulas!AX159=1," "&amp;Formulas!AW159,"")&amp;":","")))</f>
        <v/>
      </c>
      <c r="AW162" s="107" t="str" cm="1">
        <f t="array" aca="1" ref="AW162" ca="1">IF(OR(Formulas!AX159=0,Formulas!AX159="",RIGHT(Formulas!AY159)="0"),"",
HYPERLINK("["&amp;Archivo_Nombre&amp;"]Datos!"&amp;LEFT(SUBSTITUTE(ADDRESS(1,RIGHT(Formulas!AY159)+2),"$",""))&amp;Formulas!AW159+1,
IFERROR(INDEX(Datos!$A$2:$L$101,Formulas!AW159,RIGHT(Formulas!AY159)+2),"")))</f>
        <v/>
      </c>
      <c r="AX162" s="107" t="str" cm="1">
        <f t="array" aca="1" ref="AX162" ca="1">IF(OR(Formulas!AY160=0,Formulas!AY160=""),"",HYPERLINK("["&amp;Archivo_Nombre&amp;"]Datos!"&amp;LEFT(SUBSTITUTE(ADDRESS(1,Formulas!AY160+2),"$",""))&amp;Formulas!AX160+1,
IFERROR(INDEX(Datos!$A$2:$L$101,Formulas!AX160,Formulas!AY160+2),"")))</f>
        <v/>
      </c>
      <c r="AY162" s="13"/>
    </row>
    <row r="163" spans="2:51" x14ac:dyDescent="0.25">
      <c r="B163" s="11"/>
      <c r="C163" s="24" t="str" cm="1">
        <f t="array" aca="1" ref="C163" ca="1">IF(OR(Formulas!E160=0,Formulas!E160="",RIGHT(Formulas!F160)="0"),"",
HYPERLINK("["&amp;Archivo_Nombre&amp;"]Datos!"&amp;LEFT(SUBSTITUTE(ADDRESS(1,IF(Formulas!E160=1,1,RIGHT(Formulas!F160)+2)),"$",""))&amp;Formulas!D160+1,
IFERROR(INDEX(Datos!$A$1:$L$1,1,RIGHT(Formulas!F160)+2)&amp;IF(Formulas!E160=1," "&amp;Formulas!D160,"")&amp;":","")))</f>
        <v/>
      </c>
      <c r="D163" s="107" t="str" cm="1">
        <f t="array" aca="1" ref="D163" ca="1">IF(OR(Formulas!E160=0,Formulas!E160="",RIGHT(Formulas!F160)="0"),"",
HYPERLINK("["&amp;Archivo_Nombre&amp;"]Datos!"&amp;LEFT(SUBSTITUTE(ADDRESS(1,RIGHT(Formulas!F160)+2),"$",""))&amp;Formulas!D160+1,
IFERROR(INDEX(Datos!$A$2:$L$101,Formulas!D160,RIGHT(Formulas!F160)+2),"")))</f>
        <v/>
      </c>
      <c r="E163" s="107" t="str" cm="1">
        <f t="array" aca="1" ref="E163" ca="1">IF(OR(Formulas!F161=0,Formulas!F161=""),"",HYPERLINK("["&amp;Archivo_Nombre&amp;"]Datos!"&amp;LEFT(SUBSTITUTE(ADDRESS(1,Formulas!F161+2),"$",""))&amp;Formulas!E161+1,
IFERROR(INDEX(Datos!$A$2:$L$101,Formulas!E161,Formulas!F161+2),"")))</f>
        <v/>
      </c>
      <c r="F163" s="5"/>
      <c r="G163" s="6"/>
      <c r="H163" s="24" t="str" cm="1">
        <f t="array" aca="1" ref="H163" ca="1">IF(OR(Formulas!J160=0,Formulas!J160="",RIGHT(Formulas!K160)="0"),"",
HYPERLINK("["&amp;Archivo_Nombre&amp;"]Datos!"&amp;LEFT(SUBSTITUTE(ADDRESS(1,IF(Formulas!J160=1,1,RIGHT(Formulas!K160)+2)),"$",""))&amp;Formulas!I160+1,
IFERROR(INDEX(Datos!$A$1:$L$1,1,RIGHT(Formulas!K160)+2)&amp;IF(Formulas!J160=1," "&amp;Formulas!I160,"")&amp;":","")))</f>
        <v/>
      </c>
      <c r="I163" s="107" t="str" cm="1">
        <f t="array" aca="1" ref="I163" ca="1">IF(OR(Formulas!J160=0,Formulas!J160="",RIGHT(Formulas!K160)="0"),"",
HYPERLINK("["&amp;Archivo_Nombre&amp;"]Datos!"&amp;LEFT(SUBSTITUTE(ADDRESS(1,RIGHT(Formulas!K160)+2),"$",""))&amp;Formulas!I160+1,
IFERROR(INDEX(Datos!$A$2:$L$101,Formulas!I160,RIGHT(Formulas!K160)+2),"")))</f>
        <v/>
      </c>
      <c r="J163" s="107" t="str" cm="1">
        <f t="array" aca="1" ref="J163" ca="1">IF(OR(Formulas!K161=0,Formulas!K161=""),"",HYPERLINK("["&amp;Archivo_Nombre&amp;"]Datos!"&amp;LEFT(SUBSTITUTE(ADDRESS(1,Formulas!K161+2),"$",""))&amp;Formulas!J161+1,
IFERROR(INDEX(Datos!$A$2:$L$101,Formulas!J161,Formulas!K161+2),"")))</f>
        <v/>
      </c>
      <c r="K163" s="5"/>
      <c r="L163" s="6"/>
      <c r="M163" s="24" t="str" cm="1">
        <f t="array" aca="1" ref="M163" ca="1">IF(OR(Formulas!O160=0,Formulas!O160="",RIGHT(Formulas!P160)="0"),"",
HYPERLINK("["&amp;Archivo_Nombre&amp;"]Datos!"&amp;LEFT(SUBSTITUTE(ADDRESS(1,IF(Formulas!O160=1,1,RIGHT(Formulas!P160)+2)),"$",""))&amp;Formulas!N160+1,
IFERROR(INDEX(Datos!$A$1:$L$1,1,RIGHT(Formulas!P160)+2)&amp;IF(Formulas!O160=1," "&amp;Formulas!N160,"")&amp;":","")))</f>
        <v/>
      </c>
      <c r="N163" s="107" t="str" cm="1">
        <f t="array" aca="1" ref="N163" ca="1">IF(OR(Formulas!O160=0,Formulas!O160="",RIGHT(Formulas!P160)="0"),"",
HYPERLINK("["&amp;Archivo_Nombre&amp;"]Datos!"&amp;LEFT(SUBSTITUTE(ADDRESS(1,RIGHT(Formulas!P160)+2),"$",""))&amp;Formulas!N160+1,
IFERROR(INDEX(Datos!$A$2:$L$101,Formulas!N160,RIGHT(Formulas!P160)+2),"")))</f>
        <v/>
      </c>
      <c r="O163" s="107" t="str" cm="1">
        <f t="array" aca="1" ref="O163" ca="1">IF(OR(Formulas!P161=0,Formulas!P161=""),"",HYPERLINK("["&amp;Archivo_Nombre&amp;"]Datos!"&amp;LEFT(SUBSTITUTE(ADDRESS(1,Formulas!P161+2),"$",""))&amp;Formulas!O161+1,
IFERROR(INDEX(Datos!$A$2:$L$101,Formulas!O161,Formulas!P161+2),"")))</f>
        <v/>
      </c>
      <c r="P163" s="5"/>
      <c r="Q163" s="6"/>
      <c r="R163" s="24" t="str" cm="1">
        <f t="array" aca="1" ref="R163" ca="1">IF(OR(Formulas!T160=0,Formulas!T160="",RIGHT(Formulas!U160)="0"),"",
HYPERLINK("["&amp;Archivo_Nombre&amp;"]Datos!"&amp;LEFT(SUBSTITUTE(ADDRESS(1,IF(Formulas!T160=1,1,RIGHT(Formulas!U160)+2)),"$",""))&amp;Formulas!S160+1,
IFERROR(INDEX(Datos!$A$1:$L$1,1,RIGHT(Formulas!U160)+2)&amp;IF(Formulas!T160=1," "&amp;Formulas!S160,"")&amp;":","")))</f>
        <v>Retraso:</v>
      </c>
      <c r="S163" s="107" t="str" cm="1">
        <f t="array" aca="1" ref="S163" ca="1">IF(OR(Formulas!T160=0,Formulas!T160="",RIGHT(Formulas!U160)="0"),"",
HYPERLINK("["&amp;Archivo_Nombre&amp;"]Datos!"&amp;LEFT(SUBSTITUTE(ADDRESS(1,RIGHT(Formulas!U160)+2),"$",""))&amp;Formulas!S160+1,
IFERROR(INDEX(Datos!$A$2:$L$101,Formulas!S160,RIGHT(Formulas!U160)+2),"")))</f>
        <v>0 días</v>
      </c>
      <c r="T163" s="107" t="e" cm="1">
        <f t="array" aca="1" ref="T163" ca="1">IF(OR(Formulas!U161=0,Formulas!U161=""),"",HYPERLINK("["&amp;Archivo_Nombre&amp;"]Datos!"&amp;LEFT(SUBSTITUTE(ADDRESS(1,Formulas!U161+2),"$",""))&amp;Formulas!T161+1,
IFERROR(INDEX(Datos!$A$2:$L$101,Formulas!T161,Formulas!U161+2),"")))</f>
        <v>#VALUE!</v>
      </c>
      <c r="U163" s="5"/>
      <c r="V163" s="6"/>
      <c r="W163" s="24" t="str" cm="1">
        <f t="array" aca="1" ref="W163" ca="1">IF(OR(Formulas!Y160=0,Formulas!Y160="",RIGHT(Formulas!Z160)="0"),"",
HYPERLINK("["&amp;Archivo_Nombre&amp;"]Datos!"&amp;LEFT(SUBSTITUTE(ADDRESS(1,IF(Formulas!Y160=1,1,RIGHT(Formulas!Z160)+2)),"$",""))&amp;Formulas!X160+1,
IFERROR(INDEX(Datos!$A$1:$L$1,1,RIGHT(Formulas!Z160)+2)&amp;IF(Formulas!Y160=1," "&amp;Formulas!X160,"")&amp;":","")))</f>
        <v/>
      </c>
      <c r="X163" s="107" t="str" cm="1">
        <f t="array" aca="1" ref="X163" ca="1">IF(OR(Formulas!Y160=0,Formulas!Y160="",RIGHT(Formulas!Z160)="0"),"",
HYPERLINK("["&amp;Archivo_Nombre&amp;"]Datos!"&amp;LEFT(SUBSTITUTE(ADDRESS(1,RIGHT(Formulas!Z160)+2),"$",""))&amp;Formulas!X160+1,
IFERROR(INDEX(Datos!$A$2:$L$101,Formulas!X160,RIGHT(Formulas!Z160)+2),"")))</f>
        <v/>
      </c>
      <c r="Y163" s="107" t="str" cm="1">
        <f t="array" aca="1" ref="Y163" ca="1">IF(OR(Formulas!Z161=0,Formulas!Z161=""),"",HYPERLINK("["&amp;Archivo_Nombre&amp;"]Datos!"&amp;LEFT(SUBSTITUTE(ADDRESS(1,Formulas!Z161+2),"$",""))&amp;Formulas!Y161+1,
IFERROR(INDEX(Datos!$A$2:$L$101,Formulas!Y161,Formulas!Z161+2),"")))</f>
        <v/>
      </c>
      <c r="Z163" s="13"/>
      <c r="AA163" s="6"/>
      <c r="AB163" s="24" t="str" cm="1">
        <f t="array" aca="1" ref="AB163" ca="1">IF(OR(Formulas!AD160=0,Formulas!AD160="",RIGHT(Formulas!AE160)="0"),"",
HYPERLINK("["&amp;Archivo_Nombre&amp;"]Datos!"&amp;LEFT(SUBSTITUTE(ADDRESS(1,IF(Formulas!AD160=1,1,RIGHT(Formulas!AE160)+2)),"$",""))&amp;Formulas!AC160+1,
IFERROR(INDEX(Datos!$A$1:$L$1,1,RIGHT(Formulas!AE160)+2)&amp;IF(Formulas!AD160=1," "&amp;Formulas!AC160,"")&amp;":","")))</f>
        <v/>
      </c>
      <c r="AC163" s="107" t="str" cm="1">
        <f t="array" aca="1" ref="AC163" ca="1">IF(OR(Formulas!AD160=0,Formulas!AD160="",RIGHT(Formulas!AE160)="0"),"",
HYPERLINK("["&amp;Archivo_Nombre&amp;"]Datos!"&amp;LEFT(SUBSTITUTE(ADDRESS(1,RIGHT(Formulas!AE160)+2),"$",""))&amp;Formulas!AC160+1,
IFERROR(INDEX(Datos!$A$2:$L$101,Formulas!AC160,RIGHT(Formulas!AE160)+2),"")))</f>
        <v/>
      </c>
      <c r="AD163" s="107" t="str" cm="1">
        <f t="array" aca="1" ref="AD163" ca="1">IF(OR(Formulas!AE161=0,Formulas!AE161=""),"",HYPERLINK("["&amp;Archivo_Nombre&amp;"]Datos!"&amp;LEFT(SUBSTITUTE(ADDRESS(1,Formulas!AE161+2),"$",""))&amp;Formulas!AD161+1,
IFERROR(INDEX(Datos!$A$2:$L$101,Formulas!AD161,Formulas!AE161+2),"")))</f>
        <v/>
      </c>
      <c r="AE163" s="13"/>
      <c r="AF163" s="6"/>
      <c r="AG163" s="24" t="str" cm="1">
        <f t="array" aca="1" ref="AG163" ca="1">IF(OR(Formulas!AI160=0,Formulas!AI160="",RIGHT(Formulas!AJ160)="0"),"",
HYPERLINK("["&amp;Archivo_Nombre&amp;"]Datos!"&amp;LEFT(SUBSTITUTE(ADDRESS(1,IF(Formulas!AI160=1,1,RIGHT(Formulas!AJ160)+2)),"$",""))&amp;Formulas!AH160+1,
IFERROR(INDEX(Datos!$A$1:$L$1,1,RIGHT(Formulas!AJ160)+2)&amp;IF(Formulas!AI160=1," "&amp;Formulas!AH160,"")&amp;":","")))</f>
        <v/>
      </c>
      <c r="AH163" s="107" t="str" cm="1">
        <f t="array" aca="1" ref="AH163" ca="1">IF(OR(Formulas!AI160=0,Formulas!AI160="",RIGHT(Formulas!AJ160)="0"),"",
HYPERLINK("["&amp;Archivo_Nombre&amp;"]Datos!"&amp;LEFT(SUBSTITUTE(ADDRESS(1,RIGHT(Formulas!AJ160)+2),"$",""))&amp;Formulas!AH160+1,
IFERROR(INDEX(Datos!$A$2:$L$101,Formulas!AH160,RIGHT(Formulas!AJ160)+2),"")))</f>
        <v/>
      </c>
      <c r="AI163" s="107" t="str" cm="1">
        <f t="array" aca="1" ref="AI163" ca="1">IF(OR(Formulas!AJ161=0,Formulas!AJ161=""),"",HYPERLINK("["&amp;Archivo_Nombre&amp;"]Datos!"&amp;LEFT(SUBSTITUTE(ADDRESS(1,Formulas!AJ161+2),"$",""))&amp;Formulas!AI161+1,
IFERROR(INDEX(Datos!$A$2:$L$101,Formulas!AI161,Formulas!AJ161+2),"")))</f>
        <v/>
      </c>
      <c r="AJ163" s="13"/>
      <c r="AK163" s="6"/>
      <c r="AL163" s="24" t="str" cm="1">
        <f t="array" aca="1" ref="AL163" ca="1">IF(OR(Formulas!AN160=0,Formulas!AN160="",RIGHT(Formulas!AO160)="0"),"",
HYPERLINK("["&amp;Archivo_Nombre&amp;"]Datos!"&amp;LEFT(SUBSTITUTE(ADDRESS(1,IF(Formulas!AN160=1,1,RIGHT(Formulas!AO160)+2)),"$",""))&amp;Formulas!AM160+1,
IFERROR(INDEX(Datos!$A$1:$L$1,1,RIGHT(Formulas!AO160)+2)&amp;IF(Formulas!AN160=1," "&amp;Formulas!AM160,"")&amp;":","")))</f>
        <v/>
      </c>
      <c r="AM163" s="107" t="str" cm="1">
        <f t="array" aca="1" ref="AM163" ca="1">IF(OR(Formulas!AN160=0,Formulas!AN160="",RIGHT(Formulas!AO160)="0"),"",
HYPERLINK("["&amp;Archivo_Nombre&amp;"]Datos!"&amp;LEFT(SUBSTITUTE(ADDRESS(1,RIGHT(Formulas!AO160)+2),"$",""))&amp;Formulas!AM160+1,
IFERROR(INDEX(Datos!$A$2:$L$101,Formulas!AM160,RIGHT(Formulas!AO160)+2),"")))</f>
        <v/>
      </c>
      <c r="AN163" s="107" t="str" cm="1">
        <f t="array" aca="1" ref="AN163" ca="1">IF(OR(Formulas!AO161=0,Formulas!AO161=""),"",HYPERLINK("["&amp;Archivo_Nombre&amp;"]Datos!"&amp;LEFT(SUBSTITUTE(ADDRESS(1,Formulas!AO161+2),"$",""))&amp;Formulas!AN161+1,
IFERROR(INDEX(Datos!$A$2:$L$101,Formulas!AN161,Formulas!AO161+2),"")))</f>
        <v/>
      </c>
      <c r="AO163" s="13"/>
      <c r="AP163" s="6"/>
      <c r="AQ163" s="24" t="str" cm="1">
        <f t="array" aca="1" ref="AQ163" ca="1">IF(OR(Formulas!AS160=0,Formulas!AS160="",RIGHT(Formulas!AT160)="0"),"",
HYPERLINK("["&amp;Archivo_Nombre&amp;"]Datos!"&amp;LEFT(SUBSTITUTE(ADDRESS(1,IF(Formulas!AS160=1,1,RIGHT(Formulas!AT160)+2)),"$",""))&amp;Formulas!AR160+1,
IFERROR(INDEX(Datos!$A$1:$L$1,1,RIGHT(Formulas!AT160)+2)&amp;IF(Formulas!AS160=1," "&amp;Formulas!AR160,"")&amp;":","")))</f>
        <v/>
      </c>
      <c r="AR163" s="107" t="str" cm="1">
        <f t="array" aca="1" ref="AR163" ca="1">IF(OR(Formulas!AS160=0,Formulas!AS160="",RIGHT(Formulas!AT160)="0"),"",
HYPERLINK("["&amp;Archivo_Nombre&amp;"]Datos!"&amp;LEFT(SUBSTITUTE(ADDRESS(1,RIGHT(Formulas!AT160)+2),"$",""))&amp;Formulas!AR160+1,
IFERROR(INDEX(Datos!$A$2:$L$101,Formulas!AR160,RIGHT(Formulas!AT160)+2),"")))</f>
        <v/>
      </c>
      <c r="AS163" s="107" t="str" cm="1">
        <f t="array" aca="1" ref="AS163" ca="1">IF(OR(Formulas!AT161=0,Formulas!AT161=""),"",HYPERLINK("["&amp;Archivo_Nombre&amp;"]Datos!"&amp;LEFT(SUBSTITUTE(ADDRESS(1,Formulas!AT161+2),"$",""))&amp;Formulas!AS161+1,
IFERROR(INDEX(Datos!$A$2:$L$101,Formulas!AS161,Formulas!AT161+2),"")))</f>
        <v/>
      </c>
      <c r="AT163" s="13"/>
      <c r="AU163" s="6"/>
      <c r="AV163" s="24" t="str" cm="1">
        <f t="array" aca="1" ref="AV163" ca="1">IF(OR(Formulas!AX160=0,Formulas!AX160="",RIGHT(Formulas!AY160)="0"),"",
HYPERLINK("["&amp;Archivo_Nombre&amp;"]Datos!"&amp;LEFT(SUBSTITUTE(ADDRESS(1,IF(Formulas!AX160=1,1,RIGHT(Formulas!AY160)+2)),"$",""))&amp;Formulas!AW160+1,
IFERROR(INDEX(Datos!$A$1:$L$1,1,RIGHT(Formulas!AY160)+2)&amp;IF(Formulas!AX160=1," "&amp;Formulas!AW160,"")&amp;":","")))</f>
        <v/>
      </c>
      <c r="AW163" s="107" t="str" cm="1">
        <f t="array" aca="1" ref="AW163" ca="1">IF(OR(Formulas!AX160=0,Formulas!AX160="",RIGHT(Formulas!AY160)="0"),"",
HYPERLINK("["&amp;Archivo_Nombre&amp;"]Datos!"&amp;LEFT(SUBSTITUTE(ADDRESS(1,RIGHT(Formulas!AY160)+2),"$",""))&amp;Formulas!AW160+1,
IFERROR(INDEX(Datos!$A$2:$L$101,Formulas!AW160,RIGHT(Formulas!AY160)+2),"")))</f>
        <v/>
      </c>
      <c r="AX163" s="107" t="str" cm="1">
        <f t="array" aca="1" ref="AX163" ca="1">IF(OR(Formulas!AY161=0,Formulas!AY161=""),"",HYPERLINK("["&amp;Archivo_Nombre&amp;"]Datos!"&amp;LEFT(SUBSTITUTE(ADDRESS(1,Formulas!AY161+2),"$",""))&amp;Formulas!AX161+1,
IFERROR(INDEX(Datos!$A$2:$L$101,Formulas!AX161,Formulas!AY161+2),"")))</f>
        <v/>
      </c>
      <c r="AY163" s="13"/>
    </row>
    <row r="164" spans="2:51" x14ac:dyDescent="0.25">
      <c r="B164" s="11"/>
      <c r="C164" s="24" t="str" cm="1">
        <f t="array" aca="1" ref="C164" ca="1">IF(OR(Formulas!E161=0,Formulas!E161="",RIGHT(Formulas!F161)="0"),"",
HYPERLINK("["&amp;Archivo_Nombre&amp;"]Datos!"&amp;LEFT(SUBSTITUTE(ADDRESS(1,IF(Formulas!E161=1,1,RIGHT(Formulas!F161)+2)),"$",""))&amp;Formulas!D161+1,
IFERROR(INDEX(Datos!$A$1:$L$1,1,RIGHT(Formulas!F161)+2)&amp;IF(Formulas!E161=1," "&amp;Formulas!D161,"")&amp;":","")))</f>
        <v/>
      </c>
      <c r="D164" s="107" t="str" cm="1">
        <f t="array" aca="1" ref="D164" ca="1">IF(OR(Formulas!E161=0,Formulas!E161="",RIGHT(Formulas!F161)="0"),"",
HYPERLINK("["&amp;Archivo_Nombre&amp;"]Datos!"&amp;LEFT(SUBSTITUTE(ADDRESS(1,RIGHT(Formulas!F161)+2),"$",""))&amp;Formulas!D161+1,
IFERROR(INDEX(Datos!$A$2:$L$101,Formulas!D161,RIGHT(Formulas!F161)+2),"")))</f>
        <v/>
      </c>
      <c r="E164" s="107" t="str" cm="1">
        <f t="array" aca="1" ref="E164" ca="1">IF(OR(Formulas!F162=0,Formulas!F162=""),"",HYPERLINK("["&amp;Archivo_Nombre&amp;"]Datos!"&amp;LEFT(SUBSTITUTE(ADDRESS(1,Formulas!F162+2),"$",""))&amp;Formulas!E162+1,
IFERROR(INDEX(Datos!$A$2:$L$101,Formulas!E162,Formulas!F162+2),"")))</f>
        <v/>
      </c>
      <c r="F164" s="5"/>
      <c r="G164" s="6"/>
      <c r="H164" s="24" t="str" cm="1">
        <f t="array" aca="1" ref="H164" ca="1">IF(OR(Formulas!J161=0,Formulas!J161="",RIGHT(Formulas!K161)="0"),"",
HYPERLINK("["&amp;Archivo_Nombre&amp;"]Datos!"&amp;LEFT(SUBSTITUTE(ADDRESS(1,IF(Formulas!J161=1,1,RIGHT(Formulas!K161)+2)),"$",""))&amp;Formulas!I161+1,
IFERROR(INDEX(Datos!$A$1:$L$1,1,RIGHT(Formulas!K161)+2)&amp;IF(Formulas!J161=1," "&amp;Formulas!I161,"")&amp;":","")))</f>
        <v/>
      </c>
      <c r="I164" s="107" t="str" cm="1">
        <f t="array" aca="1" ref="I164" ca="1">IF(OR(Formulas!J161=0,Formulas!J161="",RIGHT(Formulas!K161)="0"),"",
HYPERLINK("["&amp;Archivo_Nombre&amp;"]Datos!"&amp;LEFT(SUBSTITUTE(ADDRESS(1,RIGHT(Formulas!K161)+2),"$",""))&amp;Formulas!I161+1,
IFERROR(INDEX(Datos!$A$2:$L$101,Formulas!I161,RIGHT(Formulas!K161)+2),"")))</f>
        <v/>
      </c>
      <c r="J164" s="107" t="str" cm="1">
        <f t="array" aca="1" ref="J164" ca="1">IF(OR(Formulas!K162=0,Formulas!K162=""),"",HYPERLINK("["&amp;Archivo_Nombre&amp;"]Datos!"&amp;LEFT(SUBSTITUTE(ADDRESS(1,Formulas!K162+2),"$",""))&amp;Formulas!J162+1,
IFERROR(INDEX(Datos!$A$2:$L$101,Formulas!J162,Formulas!K162+2),"")))</f>
        <v/>
      </c>
      <c r="K164" s="5"/>
      <c r="L164" s="6"/>
      <c r="M164" s="24" t="str" cm="1">
        <f t="array" aca="1" ref="M164" ca="1">IF(OR(Formulas!O161=0,Formulas!O161="",RIGHT(Formulas!P161)="0"),"",
HYPERLINK("["&amp;Archivo_Nombre&amp;"]Datos!"&amp;LEFT(SUBSTITUTE(ADDRESS(1,IF(Formulas!O161=1,1,RIGHT(Formulas!P161)+2)),"$",""))&amp;Formulas!N161+1,
IFERROR(INDEX(Datos!$A$1:$L$1,1,RIGHT(Formulas!P161)+2)&amp;IF(Formulas!O161=1," "&amp;Formulas!N161,"")&amp;":","")))</f>
        <v/>
      </c>
      <c r="N164" s="107" t="str" cm="1">
        <f t="array" aca="1" ref="N164" ca="1">IF(OR(Formulas!O161=0,Formulas!O161="",RIGHT(Formulas!P161)="0"),"",
HYPERLINK("["&amp;Archivo_Nombre&amp;"]Datos!"&amp;LEFT(SUBSTITUTE(ADDRESS(1,RIGHT(Formulas!P161)+2),"$",""))&amp;Formulas!N161+1,
IFERROR(INDEX(Datos!$A$2:$L$101,Formulas!N161,RIGHT(Formulas!P161)+2),"")))</f>
        <v/>
      </c>
      <c r="O164" s="107" t="str" cm="1">
        <f t="array" aca="1" ref="O164" ca="1">IF(OR(Formulas!P162=0,Formulas!P162=""),"",HYPERLINK("["&amp;Archivo_Nombre&amp;"]Datos!"&amp;LEFT(SUBSTITUTE(ADDRESS(1,Formulas!P162+2),"$",""))&amp;Formulas!O162+1,
IFERROR(INDEX(Datos!$A$2:$L$101,Formulas!O162,Formulas!P162+2),"")))</f>
        <v/>
      </c>
      <c r="P164" s="5"/>
      <c r="Q164" s="6"/>
      <c r="R164" s="24" t="str" cm="1">
        <f t="array" aca="1" ref="R164" ca="1">IF(OR(Formulas!T161=0,Formulas!T161="",RIGHT(Formulas!U161)="0"),"",
HYPERLINK("["&amp;Archivo_Nombre&amp;"]Datos!"&amp;LEFT(SUBSTITUTE(ADDRESS(1,IF(Formulas!T161=1,1,RIGHT(Formulas!U161)+2)),"$",""))&amp;Formulas!S161+1,
IFERROR(INDEX(Datos!$A$1:$L$1,1,RIGHT(Formulas!U161)+2)&amp;IF(Formulas!T161=1," "&amp;Formulas!S161,"")&amp;":","")))</f>
        <v/>
      </c>
      <c r="S164" s="107" t="str" cm="1">
        <f t="array" aca="1" ref="S164" ca="1">IF(OR(Formulas!T161=0,Formulas!T161="",RIGHT(Formulas!U161)="0"),"",
HYPERLINK("["&amp;Archivo_Nombre&amp;"]Datos!"&amp;LEFT(SUBSTITUTE(ADDRESS(1,RIGHT(Formulas!U161)+2),"$",""))&amp;Formulas!S161+1,
IFERROR(INDEX(Datos!$A$2:$L$101,Formulas!S161,RIGHT(Formulas!U161)+2),"")))</f>
        <v/>
      </c>
      <c r="T164" s="107" t="str" cm="1">
        <f t="array" aca="1" ref="T164" ca="1">IF(OR(Formulas!U162=0,Formulas!U162=""),"",HYPERLINK("["&amp;Archivo_Nombre&amp;"]Datos!"&amp;LEFT(SUBSTITUTE(ADDRESS(1,Formulas!U162+2),"$",""))&amp;Formulas!T162+1,
IFERROR(INDEX(Datos!$A$2:$L$101,Formulas!T162,Formulas!U162+2),"")))</f>
        <v/>
      </c>
      <c r="U164" s="5"/>
      <c r="V164" s="6"/>
      <c r="W164" s="24" t="str" cm="1">
        <f t="array" aca="1" ref="W164" ca="1">IF(OR(Formulas!Y161=0,Formulas!Y161="",RIGHT(Formulas!Z161)="0"),"",
HYPERLINK("["&amp;Archivo_Nombre&amp;"]Datos!"&amp;LEFT(SUBSTITUTE(ADDRESS(1,IF(Formulas!Y161=1,1,RIGHT(Formulas!Z161)+2)),"$",""))&amp;Formulas!X161+1,
IFERROR(INDEX(Datos!$A$1:$L$1,1,RIGHT(Formulas!Z161)+2)&amp;IF(Formulas!Y161=1," "&amp;Formulas!X161,"")&amp;":","")))</f>
        <v/>
      </c>
      <c r="X164" s="107" t="str" cm="1">
        <f t="array" aca="1" ref="X164" ca="1">IF(OR(Formulas!Y161=0,Formulas!Y161="",RIGHT(Formulas!Z161)="0"),"",
HYPERLINK("["&amp;Archivo_Nombre&amp;"]Datos!"&amp;LEFT(SUBSTITUTE(ADDRESS(1,RIGHT(Formulas!Z161)+2),"$",""))&amp;Formulas!X161+1,
IFERROR(INDEX(Datos!$A$2:$L$101,Formulas!X161,RIGHT(Formulas!Z161)+2),"")))</f>
        <v/>
      </c>
      <c r="Y164" s="107" t="str" cm="1">
        <f t="array" aca="1" ref="Y164" ca="1">IF(OR(Formulas!Z162=0,Formulas!Z162=""),"",HYPERLINK("["&amp;Archivo_Nombre&amp;"]Datos!"&amp;LEFT(SUBSTITUTE(ADDRESS(1,Formulas!Z162+2),"$",""))&amp;Formulas!Y162+1,
IFERROR(INDEX(Datos!$A$2:$L$101,Formulas!Y162,Formulas!Z162+2),"")))</f>
        <v/>
      </c>
      <c r="Z164" s="13"/>
      <c r="AA164" s="6"/>
      <c r="AB164" s="24" t="str" cm="1">
        <f t="array" aca="1" ref="AB164" ca="1">IF(OR(Formulas!AD161=0,Formulas!AD161="",RIGHT(Formulas!AE161)="0"),"",
HYPERLINK("["&amp;Archivo_Nombre&amp;"]Datos!"&amp;LEFT(SUBSTITUTE(ADDRESS(1,IF(Formulas!AD161=1,1,RIGHT(Formulas!AE161)+2)),"$",""))&amp;Formulas!AC161+1,
IFERROR(INDEX(Datos!$A$1:$L$1,1,RIGHT(Formulas!AE161)+2)&amp;IF(Formulas!AD161=1," "&amp;Formulas!AC161,"")&amp;":","")))</f>
        <v/>
      </c>
      <c r="AC164" s="107" t="str" cm="1">
        <f t="array" aca="1" ref="AC164" ca="1">IF(OR(Formulas!AD161=0,Formulas!AD161="",RIGHT(Formulas!AE161)="0"),"",
HYPERLINK("["&amp;Archivo_Nombre&amp;"]Datos!"&amp;LEFT(SUBSTITUTE(ADDRESS(1,RIGHT(Formulas!AE161)+2),"$",""))&amp;Formulas!AC161+1,
IFERROR(INDEX(Datos!$A$2:$L$101,Formulas!AC161,RIGHT(Formulas!AE161)+2),"")))</f>
        <v/>
      </c>
      <c r="AD164" s="107" t="str" cm="1">
        <f t="array" aca="1" ref="AD164" ca="1">IF(OR(Formulas!AE162=0,Formulas!AE162=""),"",HYPERLINK("["&amp;Archivo_Nombre&amp;"]Datos!"&amp;LEFT(SUBSTITUTE(ADDRESS(1,Formulas!AE162+2),"$",""))&amp;Formulas!AD162+1,
IFERROR(INDEX(Datos!$A$2:$L$101,Formulas!AD162,Formulas!AE162+2),"")))</f>
        <v/>
      </c>
      <c r="AE164" s="13"/>
      <c r="AF164" s="6"/>
      <c r="AG164" s="24" t="str" cm="1">
        <f t="array" aca="1" ref="AG164" ca="1">IF(OR(Formulas!AI161=0,Formulas!AI161="",RIGHT(Formulas!AJ161)="0"),"",
HYPERLINK("["&amp;Archivo_Nombre&amp;"]Datos!"&amp;LEFT(SUBSTITUTE(ADDRESS(1,IF(Formulas!AI161=1,1,RIGHT(Formulas!AJ161)+2)),"$",""))&amp;Formulas!AH161+1,
IFERROR(INDEX(Datos!$A$1:$L$1,1,RIGHT(Formulas!AJ161)+2)&amp;IF(Formulas!AI161=1," "&amp;Formulas!AH161,"")&amp;":","")))</f>
        <v/>
      </c>
      <c r="AH164" s="107" t="str" cm="1">
        <f t="array" aca="1" ref="AH164" ca="1">IF(OR(Formulas!AI161=0,Formulas!AI161="",RIGHT(Formulas!AJ161)="0"),"",
HYPERLINK("["&amp;Archivo_Nombre&amp;"]Datos!"&amp;LEFT(SUBSTITUTE(ADDRESS(1,RIGHT(Formulas!AJ161)+2),"$",""))&amp;Formulas!AH161+1,
IFERROR(INDEX(Datos!$A$2:$L$101,Formulas!AH161,RIGHT(Formulas!AJ161)+2),"")))</f>
        <v/>
      </c>
      <c r="AI164" s="107" t="str" cm="1">
        <f t="array" aca="1" ref="AI164" ca="1">IF(OR(Formulas!AJ162=0,Formulas!AJ162=""),"",HYPERLINK("["&amp;Archivo_Nombre&amp;"]Datos!"&amp;LEFT(SUBSTITUTE(ADDRESS(1,Formulas!AJ162+2),"$",""))&amp;Formulas!AI162+1,
IFERROR(INDEX(Datos!$A$2:$L$101,Formulas!AI162,Formulas!AJ162+2),"")))</f>
        <v/>
      </c>
      <c r="AJ164" s="13"/>
      <c r="AK164" s="6"/>
      <c r="AL164" s="24" t="str" cm="1">
        <f t="array" aca="1" ref="AL164" ca="1">IF(OR(Formulas!AN161=0,Formulas!AN161="",RIGHT(Formulas!AO161)="0"),"",
HYPERLINK("["&amp;Archivo_Nombre&amp;"]Datos!"&amp;LEFT(SUBSTITUTE(ADDRESS(1,IF(Formulas!AN161=1,1,RIGHT(Formulas!AO161)+2)),"$",""))&amp;Formulas!AM161+1,
IFERROR(INDEX(Datos!$A$1:$L$1,1,RIGHT(Formulas!AO161)+2)&amp;IF(Formulas!AN161=1," "&amp;Formulas!AM161,"")&amp;":","")))</f>
        <v/>
      </c>
      <c r="AM164" s="107" t="str" cm="1">
        <f t="array" aca="1" ref="AM164" ca="1">IF(OR(Formulas!AN161=0,Formulas!AN161="",RIGHT(Formulas!AO161)="0"),"",
HYPERLINK("["&amp;Archivo_Nombre&amp;"]Datos!"&amp;LEFT(SUBSTITUTE(ADDRESS(1,RIGHT(Formulas!AO161)+2),"$",""))&amp;Formulas!AM161+1,
IFERROR(INDEX(Datos!$A$2:$L$101,Formulas!AM161,RIGHT(Formulas!AO161)+2),"")))</f>
        <v/>
      </c>
      <c r="AN164" s="107" t="str" cm="1">
        <f t="array" aca="1" ref="AN164" ca="1">IF(OR(Formulas!AO162=0,Formulas!AO162=""),"",HYPERLINK("["&amp;Archivo_Nombre&amp;"]Datos!"&amp;LEFT(SUBSTITUTE(ADDRESS(1,Formulas!AO162+2),"$",""))&amp;Formulas!AN162+1,
IFERROR(INDEX(Datos!$A$2:$L$101,Formulas!AN162,Formulas!AO162+2),"")))</f>
        <v/>
      </c>
      <c r="AO164" s="13"/>
      <c r="AP164" s="6"/>
      <c r="AQ164" s="24" t="str" cm="1">
        <f t="array" aca="1" ref="AQ164" ca="1">IF(OR(Formulas!AS161=0,Formulas!AS161="",RIGHT(Formulas!AT161)="0"),"",
HYPERLINK("["&amp;Archivo_Nombre&amp;"]Datos!"&amp;LEFT(SUBSTITUTE(ADDRESS(1,IF(Formulas!AS161=1,1,RIGHT(Formulas!AT161)+2)),"$",""))&amp;Formulas!AR161+1,
IFERROR(INDEX(Datos!$A$1:$L$1,1,RIGHT(Formulas!AT161)+2)&amp;IF(Formulas!AS161=1," "&amp;Formulas!AR161,"")&amp;":","")))</f>
        <v/>
      </c>
      <c r="AR164" s="107" t="str" cm="1">
        <f t="array" aca="1" ref="AR164" ca="1">IF(OR(Formulas!AS161=0,Formulas!AS161="",RIGHT(Formulas!AT161)="0"),"",
HYPERLINK("["&amp;Archivo_Nombre&amp;"]Datos!"&amp;LEFT(SUBSTITUTE(ADDRESS(1,RIGHT(Formulas!AT161)+2),"$",""))&amp;Formulas!AR161+1,
IFERROR(INDEX(Datos!$A$2:$L$101,Formulas!AR161,RIGHT(Formulas!AT161)+2),"")))</f>
        <v/>
      </c>
      <c r="AS164" s="107" t="str" cm="1">
        <f t="array" aca="1" ref="AS164" ca="1">IF(OR(Formulas!AT162=0,Formulas!AT162=""),"",HYPERLINK("["&amp;Archivo_Nombre&amp;"]Datos!"&amp;LEFT(SUBSTITUTE(ADDRESS(1,Formulas!AT162+2),"$",""))&amp;Formulas!AS162+1,
IFERROR(INDEX(Datos!$A$2:$L$101,Formulas!AS162,Formulas!AT162+2),"")))</f>
        <v/>
      </c>
      <c r="AT164" s="13"/>
      <c r="AU164" s="6"/>
      <c r="AV164" s="24" t="str" cm="1">
        <f t="array" aca="1" ref="AV164" ca="1">IF(OR(Formulas!AX161=0,Formulas!AX161="",RIGHT(Formulas!AY161)="0"),"",
HYPERLINK("["&amp;Archivo_Nombre&amp;"]Datos!"&amp;LEFT(SUBSTITUTE(ADDRESS(1,IF(Formulas!AX161=1,1,RIGHT(Formulas!AY161)+2)),"$",""))&amp;Formulas!AW161+1,
IFERROR(INDEX(Datos!$A$1:$L$1,1,RIGHT(Formulas!AY161)+2)&amp;IF(Formulas!AX161=1," "&amp;Formulas!AW161,"")&amp;":","")))</f>
        <v/>
      </c>
      <c r="AW164" s="107" t="str" cm="1">
        <f t="array" aca="1" ref="AW164" ca="1">IF(OR(Formulas!AX161=0,Formulas!AX161="",RIGHT(Formulas!AY161)="0"),"",
HYPERLINK("["&amp;Archivo_Nombre&amp;"]Datos!"&amp;LEFT(SUBSTITUTE(ADDRESS(1,RIGHT(Formulas!AY161)+2),"$",""))&amp;Formulas!AW161+1,
IFERROR(INDEX(Datos!$A$2:$L$101,Formulas!AW161,RIGHT(Formulas!AY161)+2),"")))</f>
        <v/>
      </c>
      <c r="AX164" s="107" t="str" cm="1">
        <f t="array" aca="1" ref="AX164" ca="1">IF(OR(Formulas!AY162=0,Formulas!AY162=""),"",HYPERLINK("["&amp;Archivo_Nombre&amp;"]Datos!"&amp;LEFT(SUBSTITUTE(ADDRESS(1,Formulas!AY162+2),"$",""))&amp;Formulas!AX162+1,
IFERROR(INDEX(Datos!$A$2:$L$101,Formulas!AX162,Formulas!AY162+2),"")))</f>
        <v/>
      </c>
      <c r="AY164" s="13"/>
    </row>
    <row r="165" spans="2:51" x14ac:dyDescent="0.25">
      <c r="B165" s="11"/>
      <c r="C165" s="24" t="str" cm="1">
        <f t="array" aca="1" ref="C165" ca="1">IF(OR(Formulas!E162=0,Formulas!E162="",RIGHT(Formulas!F162)="0"),"",
HYPERLINK("["&amp;Archivo_Nombre&amp;"]Datos!"&amp;LEFT(SUBSTITUTE(ADDRESS(1,IF(Formulas!E162=1,1,RIGHT(Formulas!F162)+2)),"$",""))&amp;Formulas!D162+1,
IFERROR(INDEX(Datos!$A$1:$L$1,1,RIGHT(Formulas!F162)+2)&amp;IF(Formulas!E162=1," "&amp;Formulas!D162,"")&amp;":","")))</f>
        <v/>
      </c>
      <c r="D165" s="107" t="str" cm="1">
        <f t="array" aca="1" ref="D165" ca="1">IF(OR(Formulas!E162=0,Formulas!E162="",RIGHT(Formulas!F162)="0"),"",
HYPERLINK("["&amp;Archivo_Nombre&amp;"]Datos!"&amp;LEFT(SUBSTITUTE(ADDRESS(1,RIGHT(Formulas!F162)+2),"$",""))&amp;Formulas!D162+1,
IFERROR(INDEX(Datos!$A$2:$L$101,Formulas!D162,RIGHT(Formulas!F162)+2),"")))</f>
        <v/>
      </c>
      <c r="E165" s="107" t="str" cm="1">
        <f t="array" aca="1" ref="E165" ca="1">IF(OR(Formulas!F163=0,Formulas!F163=""),"",HYPERLINK("["&amp;Archivo_Nombre&amp;"]Datos!"&amp;LEFT(SUBSTITUTE(ADDRESS(1,Formulas!F163+2),"$",""))&amp;Formulas!E163+1,
IFERROR(INDEX(Datos!$A$2:$L$101,Formulas!E163,Formulas!F163+2),"")))</f>
        <v/>
      </c>
      <c r="F165" s="5"/>
      <c r="G165" s="6"/>
      <c r="H165" s="24" t="str" cm="1">
        <f t="array" aca="1" ref="H165" ca="1">IF(OR(Formulas!J162=0,Formulas!J162="",RIGHT(Formulas!K162)="0"),"",
HYPERLINK("["&amp;Archivo_Nombre&amp;"]Datos!"&amp;LEFT(SUBSTITUTE(ADDRESS(1,IF(Formulas!J162=1,1,RIGHT(Formulas!K162)+2)),"$",""))&amp;Formulas!I162+1,
IFERROR(INDEX(Datos!$A$1:$L$1,1,RIGHT(Formulas!K162)+2)&amp;IF(Formulas!J162=1," "&amp;Formulas!I162,"")&amp;":","")))</f>
        <v/>
      </c>
      <c r="I165" s="107" t="str" cm="1">
        <f t="array" aca="1" ref="I165" ca="1">IF(OR(Formulas!J162=0,Formulas!J162="",RIGHT(Formulas!K162)="0"),"",
HYPERLINK("["&amp;Archivo_Nombre&amp;"]Datos!"&amp;LEFT(SUBSTITUTE(ADDRESS(1,RIGHT(Formulas!K162)+2),"$",""))&amp;Formulas!I162+1,
IFERROR(INDEX(Datos!$A$2:$L$101,Formulas!I162,RIGHT(Formulas!K162)+2),"")))</f>
        <v/>
      </c>
      <c r="J165" s="107" t="str" cm="1">
        <f t="array" aca="1" ref="J165" ca="1">IF(OR(Formulas!K163=0,Formulas!K163=""),"",HYPERLINK("["&amp;Archivo_Nombre&amp;"]Datos!"&amp;LEFT(SUBSTITUTE(ADDRESS(1,Formulas!K163+2),"$",""))&amp;Formulas!J163+1,
IFERROR(INDEX(Datos!$A$2:$L$101,Formulas!J163,Formulas!K163+2),"")))</f>
        <v/>
      </c>
      <c r="K165" s="5"/>
      <c r="L165" s="6"/>
      <c r="M165" s="24" t="str" cm="1">
        <f t="array" aca="1" ref="M165" ca="1">IF(OR(Formulas!O162=0,Formulas!O162="",RIGHT(Formulas!P162)="0"),"",
HYPERLINK("["&amp;Archivo_Nombre&amp;"]Datos!"&amp;LEFT(SUBSTITUTE(ADDRESS(1,IF(Formulas!O162=1,1,RIGHT(Formulas!P162)+2)),"$",""))&amp;Formulas!N162+1,
IFERROR(INDEX(Datos!$A$1:$L$1,1,RIGHT(Formulas!P162)+2)&amp;IF(Formulas!O162=1," "&amp;Formulas!N162,"")&amp;":","")))</f>
        <v/>
      </c>
      <c r="N165" s="107" t="str" cm="1">
        <f t="array" aca="1" ref="N165" ca="1">IF(OR(Formulas!O162=0,Formulas!O162="",RIGHT(Formulas!P162)="0"),"",
HYPERLINK("["&amp;Archivo_Nombre&amp;"]Datos!"&amp;LEFT(SUBSTITUTE(ADDRESS(1,RIGHT(Formulas!P162)+2),"$",""))&amp;Formulas!N162+1,
IFERROR(INDEX(Datos!$A$2:$L$101,Formulas!N162,RIGHT(Formulas!P162)+2),"")))</f>
        <v/>
      </c>
      <c r="O165" s="107" t="str" cm="1">
        <f t="array" aca="1" ref="O165" ca="1">IF(OR(Formulas!P163=0,Formulas!P163=""),"",HYPERLINK("["&amp;Archivo_Nombre&amp;"]Datos!"&amp;LEFT(SUBSTITUTE(ADDRESS(1,Formulas!P163+2),"$",""))&amp;Formulas!O163+1,
IFERROR(INDEX(Datos!$A$2:$L$101,Formulas!O163,Formulas!P163+2),"")))</f>
        <v/>
      </c>
      <c r="P165" s="5"/>
      <c r="Q165" s="6"/>
      <c r="R165" s="24" t="str" cm="1">
        <f t="array" aca="1" ref="R165" ca="1">IF(OR(Formulas!T162=0,Formulas!T162="",RIGHT(Formulas!U162)="0"),"",
HYPERLINK("["&amp;Archivo_Nombre&amp;"]Datos!"&amp;LEFT(SUBSTITUTE(ADDRESS(1,IF(Formulas!T162=1,1,RIGHT(Formulas!U162)+2)),"$",""))&amp;Formulas!S162+1,
IFERROR(INDEX(Datos!$A$1:$L$1,1,RIGHT(Formulas!U162)+2)&amp;IF(Formulas!T162=1," "&amp;Formulas!S162,"")&amp;":","")))</f>
        <v/>
      </c>
      <c r="S165" s="107" t="str" cm="1">
        <f t="array" aca="1" ref="S165" ca="1">IF(OR(Formulas!T162=0,Formulas!T162="",RIGHT(Formulas!U162)="0"),"",
HYPERLINK("["&amp;Archivo_Nombre&amp;"]Datos!"&amp;LEFT(SUBSTITUTE(ADDRESS(1,RIGHT(Formulas!U162)+2),"$",""))&amp;Formulas!S162+1,
IFERROR(INDEX(Datos!$A$2:$L$101,Formulas!S162,RIGHT(Formulas!U162)+2),"")))</f>
        <v/>
      </c>
      <c r="T165" s="107" t="e" cm="1">
        <f t="array" aca="1" ref="T165" ca="1">IF(OR(Formulas!U163=0,Formulas!U163=""),"",HYPERLINK("["&amp;Archivo_Nombre&amp;"]Datos!"&amp;LEFT(SUBSTITUTE(ADDRESS(1,Formulas!U163+2),"$",""))&amp;Formulas!T163+1,
IFERROR(INDEX(Datos!$A$2:$L$101,Formulas!T163,Formulas!U163+2),"")))</f>
        <v>#VALUE!</v>
      </c>
      <c r="U165" s="5"/>
      <c r="V165" s="6"/>
      <c r="W165" s="24" t="str" cm="1">
        <f t="array" aca="1" ref="W165" ca="1">IF(OR(Formulas!Y162=0,Formulas!Y162="",RIGHT(Formulas!Z162)="0"),"",
HYPERLINK("["&amp;Archivo_Nombre&amp;"]Datos!"&amp;LEFT(SUBSTITUTE(ADDRESS(1,IF(Formulas!Y162=1,1,RIGHT(Formulas!Z162)+2)),"$",""))&amp;Formulas!X162+1,
IFERROR(INDEX(Datos!$A$1:$L$1,1,RIGHT(Formulas!Z162)+2)&amp;IF(Formulas!Y162=1," "&amp;Formulas!X162,"")&amp;":","")))</f>
        <v/>
      </c>
      <c r="X165" s="107" t="str" cm="1">
        <f t="array" aca="1" ref="X165" ca="1">IF(OR(Formulas!Y162=0,Formulas!Y162="",RIGHT(Formulas!Z162)="0"),"",
HYPERLINK("["&amp;Archivo_Nombre&amp;"]Datos!"&amp;LEFT(SUBSTITUTE(ADDRESS(1,RIGHT(Formulas!Z162)+2),"$",""))&amp;Formulas!X162+1,
IFERROR(INDEX(Datos!$A$2:$L$101,Formulas!X162,RIGHT(Formulas!Z162)+2),"")))</f>
        <v/>
      </c>
      <c r="Y165" s="107" t="str" cm="1">
        <f t="array" aca="1" ref="Y165" ca="1">IF(OR(Formulas!Z163=0,Formulas!Z163=""),"",HYPERLINK("["&amp;Archivo_Nombre&amp;"]Datos!"&amp;LEFT(SUBSTITUTE(ADDRESS(1,Formulas!Z163+2),"$",""))&amp;Formulas!Y163+1,
IFERROR(INDEX(Datos!$A$2:$L$101,Formulas!Y163,Formulas!Z163+2),"")))</f>
        <v/>
      </c>
      <c r="Z165" s="13"/>
      <c r="AA165" s="6"/>
      <c r="AB165" s="24" t="str" cm="1">
        <f t="array" aca="1" ref="AB165" ca="1">IF(OR(Formulas!AD162=0,Formulas!AD162="",RIGHT(Formulas!AE162)="0"),"",
HYPERLINK("["&amp;Archivo_Nombre&amp;"]Datos!"&amp;LEFT(SUBSTITUTE(ADDRESS(1,IF(Formulas!AD162=1,1,RIGHT(Formulas!AE162)+2)),"$",""))&amp;Formulas!AC162+1,
IFERROR(INDEX(Datos!$A$1:$L$1,1,RIGHT(Formulas!AE162)+2)&amp;IF(Formulas!AD162=1," "&amp;Formulas!AC162,"")&amp;":","")))</f>
        <v/>
      </c>
      <c r="AC165" s="107" t="str" cm="1">
        <f t="array" aca="1" ref="AC165" ca="1">IF(OR(Formulas!AD162=0,Formulas!AD162="",RIGHT(Formulas!AE162)="0"),"",
HYPERLINK("["&amp;Archivo_Nombre&amp;"]Datos!"&amp;LEFT(SUBSTITUTE(ADDRESS(1,RIGHT(Formulas!AE162)+2),"$",""))&amp;Formulas!AC162+1,
IFERROR(INDEX(Datos!$A$2:$L$101,Formulas!AC162,RIGHT(Formulas!AE162)+2),"")))</f>
        <v/>
      </c>
      <c r="AD165" s="107" t="str" cm="1">
        <f t="array" aca="1" ref="AD165" ca="1">IF(OR(Formulas!AE163=0,Formulas!AE163=""),"",HYPERLINK("["&amp;Archivo_Nombre&amp;"]Datos!"&amp;LEFT(SUBSTITUTE(ADDRESS(1,Formulas!AE163+2),"$",""))&amp;Formulas!AD163+1,
IFERROR(INDEX(Datos!$A$2:$L$101,Formulas!AD163,Formulas!AE163+2),"")))</f>
        <v/>
      </c>
      <c r="AE165" s="13"/>
      <c r="AF165" s="6"/>
      <c r="AG165" s="24" t="str" cm="1">
        <f t="array" aca="1" ref="AG165" ca="1">IF(OR(Formulas!AI162=0,Formulas!AI162="",RIGHT(Formulas!AJ162)="0"),"",
HYPERLINK("["&amp;Archivo_Nombre&amp;"]Datos!"&amp;LEFT(SUBSTITUTE(ADDRESS(1,IF(Formulas!AI162=1,1,RIGHT(Formulas!AJ162)+2)),"$",""))&amp;Formulas!AH162+1,
IFERROR(INDEX(Datos!$A$1:$L$1,1,RIGHT(Formulas!AJ162)+2)&amp;IF(Formulas!AI162=1," "&amp;Formulas!AH162,"")&amp;":","")))</f>
        <v/>
      </c>
      <c r="AH165" s="107" t="str" cm="1">
        <f t="array" aca="1" ref="AH165" ca="1">IF(OR(Formulas!AI162=0,Formulas!AI162="",RIGHT(Formulas!AJ162)="0"),"",
HYPERLINK("["&amp;Archivo_Nombre&amp;"]Datos!"&amp;LEFT(SUBSTITUTE(ADDRESS(1,RIGHT(Formulas!AJ162)+2),"$",""))&amp;Formulas!AH162+1,
IFERROR(INDEX(Datos!$A$2:$L$101,Formulas!AH162,RIGHT(Formulas!AJ162)+2),"")))</f>
        <v/>
      </c>
      <c r="AI165" s="107" t="str" cm="1">
        <f t="array" aca="1" ref="AI165" ca="1">IF(OR(Formulas!AJ163=0,Formulas!AJ163=""),"",HYPERLINK("["&amp;Archivo_Nombre&amp;"]Datos!"&amp;LEFT(SUBSTITUTE(ADDRESS(1,Formulas!AJ163+2),"$",""))&amp;Formulas!AI163+1,
IFERROR(INDEX(Datos!$A$2:$L$101,Formulas!AI163,Formulas!AJ163+2),"")))</f>
        <v/>
      </c>
      <c r="AJ165" s="13"/>
      <c r="AK165" s="6"/>
      <c r="AL165" s="24" t="str" cm="1">
        <f t="array" aca="1" ref="AL165" ca="1">IF(OR(Formulas!AN162=0,Formulas!AN162="",RIGHT(Formulas!AO162)="0"),"",
HYPERLINK("["&amp;Archivo_Nombre&amp;"]Datos!"&amp;LEFT(SUBSTITUTE(ADDRESS(1,IF(Formulas!AN162=1,1,RIGHT(Formulas!AO162)+2)),"$",""))&amp;Formulas!AM162+1,
IFERROR(INDEX(Datos!$A$1:$L$1,1,RIGHT(Formulas!AO162)+2)&amp;IF(Formulas!AN162=1," "&amp;Formulas!AM162,"")&amp;":","")))</f>
        <v/>
      </c>
      <c r="AM165" s="107" t="str" cm="1">
        <f t="array" aca="1" ref="AM165" ca="1">IF(OR(Formulas!AN162=0,Formulas!AN162="",RIGHT(Formulas!AO162)="0"),"",
HYPERLINK("["&amp;Archivo_Nombre&amp;"]Datos!"&amp;LEFT(SUBSTITUTE(ADDRESS(1,RIGHT(Formulas!AO162)+2),"$",""))&amp;Formulas!AM162+1,
IFERROR(INDEX(Datos!$A$2:$L$101,Formulas!AM162,RIGHT(Formulas!AO162)+2),"")))</f>
        <v/>
      </c>
      <c r="AN165" s="107" t="str" cm="1">
        <f t="array" aca="1" ref="AN165" ca="1">IF(OR(Formulas!AO163=0,Formulas!AO163=""),"",HYPERLINK("["&amp;Archivo_Nombre&amp;"]Datos!"&amp;LEFT(SUBSTITUTE(ADDRESS(1,Formulas!AO163+2),"$",""))&amp;Formulas!AN163+1,
IFERROR(INDEX(Datos!$A$2:$L$101,Formulas!AN163,Formulas!AO163+2),"")))</f>
        <v/>
      </c>
      <c r="AO165" s="13"/>
      <c r="AP165" s="6"/>
      <c r="AQ165" s="24" t="str" cm="1">
        <f t="array" aca="1" ref="AQ165" ca="1">IF(OR(Formulas!AS162=0,Formulas!AS162="",RIGHT(Formulas!AT162)="0"),"",
HYPERLINK("["&amp;Archivo_Nombre&amp;"]Datos!"&amp;LEFT(SUBSTITUTE(ADDRESS(1,IF(Formulas!AS162=1,1,RIGHT(Formulas!AT162)+2)),"$",""))&amp;Formulas!AR162+1,
IFERROR(INDEX(Datos!$A$1:$L$1,1,RIGHT(Formulas!AT162)+2)&amp;IF(Formulas!AS162=1," "&amp;Formulas!AR162,"")&amp;":","")))</f>
        <v/>
      </c>
      <c r="AR165" s="107" t="str" cm="1">
        <f t="array" aca="1" ref="AR165" ca="1">IF(OR(Formulas!AS162=0,Formulas!AS162="",RIGHT(Formulas!AT162)="0"),"",
HYPERLINK("["&amp;Archivo_Nombre&amp;"]Datos!"&amp;LEFT(SUBSTITUTE(ADDRESS(1,RIGHT(Formulas!AT162)+2),"$",""))&amp;Formulas!AR162+1,
IFERROR(INDEX(Datos!$A$2:$L$101,Formulas!AR162,RIGHT(Formulas!AT162)+2),"")))</f>
        <v/>
      </c>
      <c r="AS165" s="107" t="str" cm="1">
        <f t="array" aca="1" ref="AS165" ca="1">IF(OR(Formulas!AT163=0,Formulas!AT163=""),"",HYPERLINK("["&amp;Archivo_Nombre&amp;"]Datos!"&amp;LEFT(SUBSTITUTE(ADDRESS(1,Formulas!AT163+2),"$",""))&amp;Formulas!AS163+1,
IFERROR(INDEX(Datos!$A$2:$L$101,Formulas!AS163,Formulas!AT163+2),"")))</f>
        <v/>
      </c>
      <c r="AT165" s="13"/>
      <c r="AU165" s="6"/>
      <c r="AV165" s="24" t="str" cm="1">
        <f t="array" aca="1" ref="AV165" ca="1">IF(OR(Formulas!AX162=0,Formulas!AX162="",RIGHT(Formulas!AY162)="0"),"",
HYPERLINK("["&amp;Archivo_Nombre&amp;"]Datos!"&amp;LEFT(SUBSTITUTE(ADDRESS(1,IF(Formulas!AX162=1,1,RIGHT(Formulas!AY162)+2)),"$",""))&amp;Formulas!AW162+1,
IFERROR(INDEX(Datos!$A$1:$L$1,1,RIGHT(Formulas!AY162)+2)&amp;IF(Formulas!AX162=1," "&amp;Formulas!AW162,"")&amp;":","")))</f>
        <v/>
      </c>
      <c r="AW165" s="107" t="str" cm="1">
        <f t="array" aca="1" ref="AW165" ca="1">IF(OR(Formulas!AX162=0,Formulas!AX162="",RIGHT(Formulas!AY162)="0"),"",
HYPERLINK("["&amp;Archivo_Nombre&amp;"]Datos!"&amp;LEFT(SUBSTITUTE(ADDRESS(1,RIGHT(Formulas!AY162)+2),"$",""))&amp;Formulas!AW162+1,
IFERROR(INDEX(Datos!$A$2:$L$101,Formulas!AW162,RIGHT(Formulas!AY162)+2),"")))</f>
        <v/>
      </c>
      <c r="AX165" s="107" t="str" cm="1">
        <f t="array" aca="1" ref="AX165" ca="1">IF(OR(Formulas!AY163=0,Formulas!AY163=""),"",HYPERLINK("["&amp;Archivo_Nombre&amp;"]Datos!"&amp;LEFT(SUBSTITUTE(ADDRESS(1,Formulas!AY163+2),"$",""))&amp;Formulas!AX163+1,
IFERROR(INDEX(Datos!$A$2:$L$101,Formulas!AX163,Formulas!AY163+2),"")))</f>
        <v/>
      </c>
      <c r="AY165" s="13"/>
    </row>
    <row r="166" spans="2:51" x14ac:dyDescent="0.25">
      <c r="B166" s="11"/>
      <c r="C166" s="24" t="str" cm="1">
        <f t="array" aca="1" ref="C166" ca="1">IF(OR(Formulas!E163=0,Formulas!E163="",RIGHT(Formulas!F163)="0"),"",
HYPERLINK("["&amp;Archivo_Nombre&amp;"]Datos!"&amp;LEFT(SUBSTITUTE(ADDRESS(1,IF(Formulas!E163=1,1,RIGHT(Formulas!F163)+2)),"$",""))&amp;Formulas!D163+1,
IFERROR(INDEX(Datos!$A$1:$L$1,1,RIGHT(Formulas!F163)+2)&amp;IF(Formulas!E163=1," "&amp;Formulas!D163,"")&amp;":","")))</f>
        <v/>
      </c>
      <c r="D166" s="107" t="str" cm="1">
        <f t="array" aca="1" ref="D166" ca="1">IF(OR(Formulas!E163=0,Formulas!E163="",RIGHT(Formulas!F163)="0"),"",
HYPERLINK("["&amp;Archivo_Nombre&amp;"]Datos!"&amp;LEFT(SUBSTITUTE(ADDRESS(1,RIGHT(Formulas!F163)+2),"$",""))&amp;Formulas!D163+1,
IFERROR(INDEX(Datos!$A$2:$L$101,Formulas!D163,RIGHT(Formulas!F163)+2),"")))</f>
        <v/>
      </c>
      <c r="E166" s="107" t="str" cm="1">
        <f t="array" aca="1" ref="E166" ca="1">IF(OR(Formulas!F164=0,Formulas!F164=""),"",HYPERLINK("["&amp;Archivo_Nombre&amp;"]Datos!"&amp;LEFT(SUBSTITUTE(ADDRESS(1,Formulas!F164+2),"$",""))&amp;Formulas!E164+1,
IFERROR(INDEX(Datos!$A$2:$L$101,Formulas!E164,Formulas!F164+2),"")))</f>
        <v/>
      </c>
      <c r="F166" s="5"/>
      <c r="G166" s="6"/>
      <c r="H166" s="24" t="str" cm="1">
        <f t="array" aca="1" ref="H166" ca="1">IF(OR(Formulas!J163=0,Formulas!J163="",RIGHT(Formulas!K163)="0"),"",
HYPERLINK("["&amp;Archivo_Nombre&amp;"]Datos!"&amp;LEFT(SUBSTITUTE(ADDRESS(1,IF(Formulas!J163=1,1,RIGHT(Formulas!K163)+2)),"$",""))&amp;Formulas!I163+1,
IFERROR(INDEX(Datos!$A$1:$L$1,1,RIGHT(Formulas!K163)+2)&amp;IF(Formulas!J163=1," "&amp;Formulas!I163,"")&amp;":","")))</f>
        <v/>
      </c>
      <c r="I166" s="107" t="str" cm="1">
        <f t="array" aca="1" ref="I166" ca="1">IF(OR(Formulas!J163=0,Formulas!J163="",RIGHT(Formulas!K163)="0"),"",
HYPERLINK("["&amp;Archivo_Nombre&amp;"]Datos!"&amp;LEFT(SUBSTITUTE(ADDRESS(1,RIGHT(Formulas!K163)+2),"$",""))&amp;Formulas!I163+1,
IFERROR(INDEX(Datos!$A$2:$L$101,Formulas!I163,RIGHT(Formulas!K163)+2),"")))</f>
        <v/>
      </c>
      <c r="J166" s="107" t="str" cm="1">
        <f t="array" aca="1" ref="J166" ca="1">IF(OR(Formulas!K164=0,Formulas!K164=""),"",HYPERLINK("["&amp;Archivo_Nombre&amp;"]Datos!"&amp;LEFT(SUBSTITUTE(ADDRESS(1,Formulas!K164+2),"$",""))&amp;Formulas!J164+1,
IFERROR(INDEX(Datos!$A$2:$L$101,Formulas!J164,Formulas!K164+2),"")))</f>
        <v/>
      </c>
      <c r="K166" s="5"/>
      <c r="L166" s="6"/>
      <c r="M166" s="24" t="str" cm="1">
        <f t="array" aca="1" ref="M166" ca="1">IF(OR(Formulas!O163=0,Formulas!O163="",RIGHT(Formulas!P163)="0"),"",
HYPERLINK("["&amp;Archivo_Nombre&amp;"]Datos!"&amp;LEFT(SUBSTITUTE(ADDRESS(1,IF(Formulas!O163=1,1,RIGHT(Formulas!P163)+2)),"$",""))&amp;Formulas!N163+1,
IFERROR(INDEX(Datos!$A$1:$L$1,1,RIGHT(Formulas!P163)+2)&amp;IF(Formulas!O163=1," "&amp;Formulas!N163,"")&amp;":","")))</f>
        <v/>
      </c>
      <c r="N166" s="107" t="str" cm="1">
        <f t="array" aca="1" ref="N166" ca="1">IF(OR(Formulas!O163=0,Formulas!O163="",RIGHT(Formulas!P163)="0"),"",
HYPERLINK("["&amp;Archivo_Nombre&amp;"]Datos!"&amp;LEFT(SUBSTITUTE(ADDRESS(1,RIGHT(Formulas!P163)+2),"$",""))&amp;Formulas!N163+1,
IFERROR(INDEX(Datos!$A$2:$L$101,Formulas!N163,RIGHT(Formulas!P163)+2),"")))</f>
        <v/>
      </c>
      <c r="O166" s="107" t="str" cm="1">
        <f t="array" aca="1" ref="O166" ca="1">IF(OR(Formulas!P164=0,Formulas!P164=""),"",HYPERLINK("["&amp;Archivo_Nombre&amp;"]Datos!"&amp;LEFT(SUBSTITUTE(ADDRESS(1,Formulas!P164+2),"$",""))&amp;Formulas!O164+1,
IFERROR(INDEX(Datos!$A$2:$L$101,Formulas!O164,Formulas!P164+2),"")))</f>
        <v/>
      </c>
      <c r="P166" s="5"/>
      <c r="Q166" s="6"/>
      <c r="R166" s="24" t="str" cm="1">
        <f t="array" aca="1" ref="R166" ca="1">IF(OR(Formulas!T163=0,Formulas!T163="",RIGHT(Formulas!U163)="0"),"",
HYPERLINK("["&amp;Archivo_Nombre&amp;"]Datos!"&amp;LEFT(SUBSTITUTE(ADDRESS(1,IF(Formulas!T163=1,1,RIGHT(Formulas!U163)+2)),"$",""))&amp;Formulas!S163+1,
IFERROR(INDEX(Datos!$A$1:$L$1,1,RIGHT(Formulas!U163)+2)&amp;IF(Formulas!T163=1," "&amp;Formulas!S163,"")&amp;":","")))</f>
        <v>ORDEN PCRONOLOGICO 13:</v>
      </c>
      <c r="S166" s="107" cm="1">
        <f t="array" aca="1" ref="S166" ca="1">IF(OR(Formulas!T163=0,Formulas!T163="",RIGHT(Formulas!U163)="0"),"",
HYPERLINK("["&amp;Archivo_Nombre&amp;"]Datos!"&amp;LEFT(SUBSTITUTE(ADDRESS(1,RIGHT(Formulas!U163)+2),"$",""))&amp;Formulas!S163+1,
IFERROR(INDEX(Datos!$A$2:$L$101,Formulas!S163,RIGHT(Formulas!U163)+2),"")))</f>
        <v>13</v>
      </c>
      <c r="T166" s="107" t="e" cm="1">
        <f t="array" aca="1" ref="T166" ca="1">IF(OR(Formulas!U164=0,Formulas!U164=""),"",HYPERLINK("["&amp;Archivo_Nombre&amp;"]Datos!"&amp;LEFT(SUBSTITUTE(ADDRESS(1,Formulas!U164+2),"$",""))&amp;Formulas!T164+1,
IFERROR(INDEX(Datos!$A$2:$L$101,Formulas!T164,Formulas!U164+2),"")))</f>
        <v>#VALUE!</v>
      </c>
      <c r="U166" s="5"/>
      <c r="V166" s="6"/>
      <c r="W166" s="24" t="str" cm="1">
        <f t="array" aca="1" ref="W166" ca="1">IF(OR(Formulas!Y163=0,Formulas!Y163="",RIGHT(Formulas!Z163)="0"),"",
HYPERLINK("["&amp;Archivo_Nombre&amp;"]Datos!"&amp;LEFT(SUBSTITUTE(ADDRESS(1,IF(Formulas!Y163=1,1,RIGHT(Formulas!Z163)+2)),"$",""))&amp;Formulas!X163+1,
IFERROR(INDEX(Datos!$A$1:$L$1,1,RIGHT(Formulas!Z163)+2)&amp;IF(Formulas!Y163=1," "&amp;Formulas!X163,"")&amp;":","")))</f>
        <v/>
      </c>
      <c r="X166" s="107" t="str" cm="1">
        <f t="array" aca="1" ref="X166" ca="1">IF(OR(Formulas!Y163=0,Formulas!Y163="",RIGHT(Formulas!Z163)="0"),"",
HYPERLINK("["&amp;Archivo_Nombre&amp;"]Datos!"&amp;LEFT(SUBSTITUTE(ADDRESS(1,RIGHT(Formulas!Z163)+2),"$",""))&amp;Formulas!X163+1,
IFERROR(INDEX(Datos!$A$2:$L$101,Formulas!X163,RIGHT(Formulas!Z163)+2),"")))</f>
        <v/>
      </c>
      <c r="Y166" s="107" t="str" cm="1">
        <f t="array" aca="1" ref="Y166" ca="1">IF(OR(Formulas!Z164=0,Formulas!Z164=""),"",HYPERLINK("["&amp;Archivo_Nombre&amp;"]Datos!"&amp;LEFT(SUBSTITUTE(ADDRESS(1,Formulas!Z164+2),"$",""))&amp;Formulas!Y164+1,
IFERROR(INDEX(Datos!$A$2:$L$101,Formulas!Y164,Formulas!Z164+2),"")))</f>
        <v/>
      </c>
      <c r="Z166" s="13"/>
      <c r="AA166" s="6"/>
      <c r="AB166" s="24" t="str" cm="1">
        <f t="array" aca="1" ref="AB166" ca="1">IF(OR(Formulas!AD163=0,Formulas!AD163="",RIGHT(Formulas!AE163)="0"),"",
HYPERLINK("["&amp;Archivo_Nombre&amp;"]Datos!"&amp;LEFT(SUBSTITUTE(ADDRESS(1,IF(Formulas!AD163=1,1,RIGHT(Formulas!AE163)+2)),"$",""))&amp;Formulas!AC163+1,
IFERROR(INDEX(Datos!$A$1:$L$1,1,RIGHT(Formulas!AE163)+2)&amp;IF(Formulas!AD163=1," "&amp;Formulas!AC163,"")&amp;":","")))</f>
        <v/>
      </c>
      <c r="AC166" s="107" t="str" cm="1">
        <f t="array" aca="1" ref="AC166" ca="1">IF(OR(Formulas!AD163=0,Formulas!AD163="",RIGHT(Formulas!AE163)="0"),"",
HYPERLINK("["&amp;Archivo_Nombre&amp;"]Datos!"&amp;LEFT(SUBSTITUTE(ADDRESS(1,RIGHT(Formulas!AE163)+2),"$",""))&amp;Formulas!AC163+1,
IFERROR(INDEX(Datos!$A$2:$L$101,Formulas!AC163,RIGHT(Formulas!AE163)+2),"")))</f>
        <v/>
      </c>
      <c r="AD166" s="107" t="str" cm="1">
        <f t="array" aca="1" ref="AD166" ca="1">IF(OR(Formulas!AE164=0,Formulas!AE164=""),"",HYPERLINK("["&amp;Archivo_Nombre&amp;"]Datos!"&amp;LEFT(SUBSTITUTE(ADDRESS(1,Formulas!AE164+2),"$",""))&amp;Formulas!AD164+1,
IFERROR(INDEX(Datos!$A$2:$L$101,Formulas!AD164,Formulas!AE164+2),"")))</f>
        <v/>
      </c>
      <c r="AE166" s="13"/>
      <c r="AF166" s="6"/>
      <c r="AG166" s="24" t="str" cm="1">
        <f t="array" aca="1" ref="AG166" ca="1">IF(OR(Formulas!AI163=0,Formulas!AI163="",RIGHT(Formulas!AJ163)="0"),"",
HYPERLINK("["&amp;Archivo_Nombre&amp;"]Datos!"&amp;LEFT(SUBSTITUTE(ADDRESS(1,IF(Formulas!AI163=1,1,RIGHT(Formulas!AJ163)+2)),"$",""))&amp;Formulas!AH163+1,
IFERROR(INDEX(Datos!$A$1:$L$1,1,RIGHT(Formulas!AJ163)+2)&amp;IF(Formulas!AI163=1," "&amp;Formulas!AH163,"")&amp;":","")))</f>
        <v/>
      </c>
      <c r="AH166" s="107" t="str" cm="1">
        <f t="array" aca="1" ref="AH166" ca="1">IF(OR(Formulas!AI163=0,Formulas!AI163="",RIGHT(Formulas!AJ163)="0"),"",
HYPERLINK("["&amp;Archivo_Nombre&amp;"]Datos!"&amp;LEFT(SUBSTITUTE(ADDRESS(1,RIGHT(Formulas!AJ163)+2),"$",""))&amp;Formulas!AH163+1,
IFERROR(INDEX(Datos!$A$2:$L$101,Formulas!AH163,RIGHT(Formulas!AJ163)+2),"")))</f>
        <v/>
      </c>
      <c r="AI166" s="107" t="str" cm="1">
        <f t="array" aca="1" ref="AI166" ca="1">IF(OR(Formulas!AJ164=0,Formulas!AJ164=""),"",HYPERLINK("["&amp;Archivo_Nombre&amp;"]Datos!"&amp;LEFT(SUBSTITUTE(ADDRESS(1,Formulas!AJ164+2),"$",""))&amp;Formulas!AI164+1,
IFERROR(INDEX(Datos!$A$2:$L$101,Formulas!AI164,Formulas!AJ164+2),"")))</f>
        <v/>
      </c>
      <c r="AJ166" s="13"/>
      <c r="AK166" s="6"/>
      <c r="AL166" s="24" t="str" cm="1">
        <f t="array" aca="1" ref="AL166" ca="1">IF(OR(Formulas!AN163=0,Formulas!AN163="",RIGHT(Formulas!AO163)="0"),"",
HYPERLINK("["&amp;Archivo_Nombre&amp;"]Datos!"&amp;LEFT(SUBSTITUTE(ADDRESS(1,IF(Formulas!AN163=1,1,RIGHT(Formulas!AO163)+2)),"$",""))&amp;Formulas!AM163+1,
IFERROR(INDEX(Datos!$A$1:$L$1,1,RIGHT(Formulas!AO163)+2)&amp;IF(Formulas!AN163=1," "&amp;Formulas!AM163,"")&amp;":","")))</f>
        <v/>
      </c>
      <c r="AM166" s="107" t="str" cm="1">
        <f t="array" aca="1" ref="AM166" ca="1">IF(OR(Formulas!AN163=0,Formulas!AN163="",RIGHT(Formulas!AO163)="0"),"",
HYPERLINK("["&amp;Archivo_Nombre&amp;"]Datos!"&amp;LEFT(SUBSTITUTE(ADDRESS(1,RIGHT(Formulas!AO163)+2),"$",""))&amp;Formulas!AM163+1,
IFERROR(INDEX(Datos!$A$2:$L$101,Formulas!AM163,RIGHT(Formulas!AO163)+2),"")))</f>
        <v/>
      </c>
      <c r="AN166" s="107" t="str" cm="1">
        <f t="array" aca="1" ref="AN166" ca="1">IF(OR(Formulas!AO164=0,Formulas!AO164=""),"",HYPERLINK("["&amp;Archivo_Nombre&amp;"]Datos!"&amp;LEFT(SUBSTITUTE(ADDRESS(1,Formulas!AO164+2),"$",""))&amp;Formulas!AN164+1,
IFERROR(INDEX(Datos!$A$2:$L$101,Formulas!AN164,Formulas!AO164+2),"")))</f>
        <v/>
      </c>
      <c r="AO166" s="13"/>
      <c r="AP166" s="6"/>
      <c r="AQ166" s="24" t="str" cm="1">
        <f t="array" aca="1" ref="AQ166" ca="1">IF(OR(Formulas!AS163=0,Formulas!AS163="",RIGHT(Formulas!AT163)="0"),"",
HYPERLINK("["&amp;Archivo_Nombre&amp;"]Datos!"&amp;LEFT(SUBSTITUTE(ADDRESS(1,IF(Formulas!AS163=1,1,RIGHT(Formulas!AT163)+2)),"$",""))&amp;Formulas!AR163+1,
IFERROR(INDEX(Datos!$A$1:$L$1,1,RIGHT(Formulas!AT163)+2)&amp;IF(Formulas!AS163=1," "&amp;Formulas!AR163,"")&amp;":","")))</f>
        <v/>
      </c>
      <c r="AR166" s="107" t="str" cm="1">
        <f t="array" aca="1" ref="AR166" ca="1">IF(OR(Formulas!AS163=0,Formulas!AS163="",RIGHT(Formulas!AT163)="0"),"",
HYPERLINK("["&amp;Archivo_Nombre&amp;"]Datos!"&amp;LEFT(SUBSTITUTE(ADDRESS(1,RIGHT(Formulas!AT163)+2),"$",""))&amp;Formulas!AR163+1,
IFERROR(INDEX(Datos!$A$2:$L$101,Formulas!AR163,RIGHT(Formulas!AT163)+2),"")))</f>
        <v/>
      </c>
      <c r="AS166" s="107" t="str" cm="1">
        <f t="array" aca="1" ref="AS166" ca="1">IF(OR(Formulas!AT164=0,Formulas!AT164=""),"",HYPERLINK("["&amp;Archivo_Nombre&amp;"]Datos!"&amp;LEFT(SUBSTITUTE(ADDRESS(1,Formulas!AT164+2),"$",""))&amp;Formulas!AS164+1,
IFERROR(INDEX(Datos!$A$2:$L$101,Formulas!AS164,Formulas!AT164+2),"")))</f>
        <v/>
      </c>
      <c r="AT166" s="13"/>
      <c r="AU166" s="6"/>
      <c r="AV166" s="24" t="str" cm="1">
        <f t="array" aca="1" ref="AV166" ca="1">IF(OR(Formulas!AX163=0,Formulas!AX163="",RIGHT(Formulas!AY163)="0"),"",
HYPERLINK("["&amp;Archivo_Nombre&amp;"]Datos!"&amp;LEFT(SUBSTITUTE(ADDRESS(1,IF(Formulas!AX163=1,1,RIGHT(Formulas!AY163)+2)),"$",""))&amp;Formulas!AW163+1,
IFERROR(INDEX(Datos!$A$1:$L$1,1,RIGHT(Formulas!AY163)+2)&amp;IF(Formulas!AX163=1," "&amp;Formulas!AW163,"")&amp;":","")))</f>
        <v/>
      </c>
      <c r="AW166" s="107" t="str" cm="1">
        <f t="array" aca="1" ref="AW166" ca="1">IF(OR(Formulas!AX163=0,Formulas!AX163="",RIGHT(Formulas!AY163)="0"),"",
HYPERLINK("["&amp;Archivo_Nombre&amp;"]Datos!"&amp;LEFT(SUBSTITUTE(ADDRESS(1,RIGHT(Formulas!AY163)+2),"$",""))&amp;Formulas!AW163+1,
IFERROR(INDEX(Datos!$A$2:$L$101,Formulas!AW163,RIGHT(Formulas!AY163)+2),"")))</f>
        <v/>
      </c>
      <c r="AX166" s="107" t="str" cm="1">
        <f t="array" aca="1" ref="AX166" ca="1">IF(OR(Formulas!AY164=0,Formulas!AY164=""),"",HYPERLINK("["&amp;Archivo_Nombre&amp;"]Datos!"&amp;LEFT(SUBSTITUTE(ADDRESS(1,Formulas!AY164+2),"$",""))&amp;Formulas!AX164+1,
IFERROR(INDEX(Datos!$A$2:$L$101,Formulas!AX164,Formulas!AY164+2),"")))</f>
        <v/>
      </c>
      <c r="AY166" s="13"/>
    </row>
    <row r="167" spans="2:51" x14ac:dyDescent="0.25">
      <c r="B167" s="11"/>
      <c r="C167" s="24" t="str" cm="1">
        <f t="array" aca="1" ref="C167" ca="1">IF(OR(Formulas!E164=0,Formulas!E164="",RIGHT(Formulas!F164)="0"),"",
HYPERLINK("["&amp;Archivo_Nombre&amp;"]Datos!"&amp;LEFT(SUBSTITUTE(ADDRESS(1,IF(Formulas!E164=1,1,RIGHT(Formulas!F164)+2)),"$",""))&amp;Formulas!D164+1,
IFERROR(INDEX(Datos!$A$1:$L$1,1,RIGHT(Formulas!F164)+2)&amp;IF(Formulas!E164=1," "&amp;Formulas!D164,"")&amp;":","")))</f>
        <v/>
      </c>
      <c r="D167" s="107" t="str" cm="1">
        <f t="array" aca="1" ref="D167" ca="1">IF(OR(Formulas!E164=0,Formulas!E164="",RIGHT(Formulas!F164)="0"),"",
HYPERLINK("["&amp;Archivo_Nombre&amp;"]Datos!"&amp;LEFT(SUBSTITUTE(ADDRESS(1,RIGHT(Formulas!F164)+2),"$",""))&amp;Formulas!D164+1,
IFERROR(INDEX(Datos!$A$2:$L$101,Formulas!D164,RIGHT(Formulas!F164)+2),"")))</f>
        <v/>
      </c>
      <c r="E167" s="107" t="str" cm="1">
        <f t="array" aca="1" ref="E167" ca="1">IF(OR(Formulas!F165=0,Formulas!F165=""),"",HYPERLINK("["&amp;Archivo_Nombre&amp;"]Datos!"&amp;LEFT(SUBSTITUTE(ADDRESS(1,Formulas!F165+2),"$",""))&amp;Formulas!E165+1,
IFERROR(INDEX(Datos!$A$2:$L$101,Formulas!E165,Formulas!F165+2),"")))</f>
        <v/>
      </c>
      <c r="F167" s="5"/>
      <c r="G167" s="6"/>
      <c r="H167" s="24" t="str" cm="1">
        <f t="array" aca="1" ref="H167" ca="1">IF(OR(Formulas!J164=0,Formulas!J164="",RIGHT(Formulas!K164)="0"),"",
HYPERLINK("["&amp;Archivo_Nombre&amp;"]Datos!"&amp;LEFT(SUBSTITUTE(ADDRESS(1,IF(Formulas!J164=1,1,RIGHT(Formulas!K164)+2)),"$",""))&amp;Formulas!I164+1,
IFERROR(INDEX(Datos!$A$1:$L$1,1,RIGHT(Formulas!K164)+2)&amp;IF(Formulas!J164=1," "&amp;Formulas!I164,"")&amp;":","")))</f>
        <v/>
      </c>
      <c r="I167" s="107" t="str" cm="1">
        <f t="array" aca="1" ref="I167" ca="1">IF(OR(Formulas!J164=0,Formulas!J164="",RIGHT(Formulas!K164)="0"),"",
HYPERLINK("["&amp;Archivo_Nombre&amp;"]Datos!"&amp;LEFT(SUBSTITUTE(ADDRESS(1,RIGHT(Formulas!K164)+2),"$",""))&amp;Formulas!I164+1,
IFERROR(INDEX(Datos!$A$2:$L$101,Formulas!I164,RIGHT(Formulas!K164)+2),"")))</f>
        <v/>
      </c>
      <c r="J167" s="107" t="str" cm="1">
        <f t="array" aca="1" ref="J167" ca="1">IF(OR(Formulas!K165=0,Formulas!K165=""),"",HYPERLINK("["&amp;Archivo_Nombre&amp;"]Datos!"&amp;LEFT(SUBSTITUTE(ADDRESS(1,Formulas!K165+2),"$",""))&amp;Formulas!J165+1,
IFERROR(INDEX(Datos!$A$2:$L$101,Formulas!J165,Formulas!K165+2),"")))</f>
        <v/>
      </c>
      <c r="K167" s="5"/>
      <c r="L167" s="6"/>
      <c r="M167" s="24" t="str" cm="1">
        <f t="array" aca="1" ref="M167" ca="1">IF(OR(Formulas!O164=0,Formulas!O164="",RIGHT(Formulas!P164)="0"),"",
HYPERLINK("["&amp;Archivo_Nombre&amp;"]Datos!"&amp;LEFT(SUBSTITUTE(ADDRESS(1,IF(Formulas!O164=1,1,RIGHT(Formulas!P164)+2)),"$",""))&amp;Formulas!N164+1,
IFERROR(INDEX(Datos!$A$1:$L$1,1,RIGHT(Formulas!P164)+2)&amp;IF(Formulas!O164=1," "&amp;Formulas!N164,"")&amp;":","")))</f>
        <v/>
      </c>
      <c r="N167" s="107" t="str" cm="1">
        <f t="array" aca="1" ref="N167" ca="1">IF(OR(Formulas!O164=0,Formulas!O164="",RIGHT(Formulas!P164)="0"),"",
HYPERLINK("["&amp;Archivo_Nombre&amp;"]Datos!"&amp;LEFT(SUBSTITUTE(ADDRESS(1,RIGHT(Formulas!P164)+2),"$",""))&amp;Formulas!N164+1,
IFERROR(INDEX(Datos!$A$2:$L$101,Formulas!N164,RIGHT(Formulas!P164)+2),"")))</f>
        <v/>
      </c>
      <c r="O167" s="107" t="str" cm="1">
        <f t="array" aca="1" ref="O167" ca="1">IF(OR(Formulas!P165=0,Formulas!P165=""),"",HYPERLINK("["&amp;Archivo_Nombre&amp;"]Datos!"&amp;LEFT(SUBSTITUTE(ADDRESS(1,Formulas!P165+2),"$",""))&amp;Formulas!O165+1,
IFERROR(INDEX(Datos!$A$2:$L$101,Formulas!O165,Formulas!P165+2),"")))</f>
        <v/>
      </c>
      <c r="P167" s="5"/>
      <c r="Q167" s="6"/>
      <c r="R167" s="24" t="str" cm="1">
        <f t="array" aca="1" ref="R167" ca="1">IF(OR(Formulas!T164=0,Formulas!T164="",RIGHT(Formulas!U164)="0"),"",
HYPERLINK("["&amp;Archivo_Nombre&amp;"]Datos!"&amp;LEFT(SUBSTITUTE(ADDRESS(1,IF(Formulas!T164=1,1,RIGHT(Formulas!U164)+2)),"$",""))&amp;Formulas!S164+1,
IFERROR(INDEX(Datos!$A$1:$L$1,1,RIGHT(Formulas!U164)+2)&amp;IF(Formulas!T164=1," "&amp;Formulas!S164,"")&amp;":","")))</f>
        <v>Tarea:</v>
      </c>
      <c r="S167" s="107" t="str" cm="1">
        <f t="array" aca="1" ref="S167" ca="1">IF(OR(Formulas!T164=0,Formulas!T164="",RIGHT(Formulas!U164)="0"),"",
HYPERLINK("["&amp;Archivo_Nombre&amp;"]Datos!"&amp;LEFT(SUBSTITUTE(ADDRESS(1,RIGHT(Formulas!U164)+2),"$",""))&amp;Formulas!S164+1,
IFERROR(INDEX(Datos!$A$2:$L$101,Formulas!S164,RIGHT(Formulas!U164)+2),"")))</f>
        <v>creación del repositorio en GitHub</v>
      </c>
      <c r="T167" s="107" t="e" cm="1">
        <f t="array" aca="1" ref="T167" ca="1">IF(OR(Formulas!U165=0,Formulas!U165=""),"",HYPERLINK("["&amp;Archivo_Nombre&amp;"]Datos!"&amp;LEFT(SUBSTITUTE(ADDRESS(1,Formulas!U165+2),"$",""))&amp;Formulas!T165+1,
IFERROR(INDEX(Datos!$A$2:$L$101,Formulas!T165,Formulas!U165+2),"")))</f>
        <v>#VALUE!</v>
      </c>
      <c r="U167" s="5"/>
      <c r="V167" s="6"/>
      <c r="W167" s="24" t="str" cm="1">
        <f t="array" aca="1" ref="W167" ca="1">IF(OR(Formulas!Y164=0,Formulas!Y164="",RIGHT(Formulas!Z164)="0"),"",
HYPERLINK("["&amp;Archivo_Nombre&amp;"]Datos!"&amp;LEFT(SUBSTITUTE(ADDRESS(1,IF(Formulas!Y164=1,1,RIGHT(Formulas!Z164)+2)),"$",""))&amp;Formulas!X164+1,
IFERROR(INDEX(Datos!$A$1:$L$1,1,RIGHT(Formulas!Z164)+2)&amp;IF(Formulas!Y164=1," "&amp;Formulas!X164,"")&amp;":","")))</f>
        <v/>
      </c>
      <c r="X167" s="107" t="str" cm="1">
        <f t="array" aca="1" ref="X167" ca="1">IF(OR(Formulas!Y164=0,Formulas!Y164="",RIGHT(Formulas!Z164)="0"),"",
HYPERLINK("["&amp;Archivo_Nombre&amp;"]Datos!"&amp;LEFT(SUBSTITUTE(ADDRESS(1,RIGHT(Formulas!Z164)+2),"$",""))&amp;Formulas!X164+1,
IFERROR(INDEX(Datos!$A$2:$L$101,Formulas!X164,RIGHT(Formulas!Z164)+2),"")))</f>
        <v/>
      </c>
      <c r="Y167" s="107" t="str" cm="1">
        <f t="array" aca="1" ref="Y167" ca="1">IF(OR(Formulas!Z165=0,Formulas!Z165=""),"",HYPERLINK("["&amp;Archivo_Nombre&amp;"]Datos!"&amp;LEFT(SUBSTITUTE(ADDRESS(1,Formulas!Z165+2),"$",""))&amp;Formulas!Y165+1,
IFERROR(INDEX(Datos!$A$2:$L$101,Formulas!Y165,Formulas!Z165+2),"")))</f>
        <v/>
      </c>
      <c r="Z167" s="13"/>
      <c r="AA167" s="6"/>
      <c r="AB167" s="24" t="str" cm="1">
        <f t="array" aca="1" ref="AB167" ca="1">IF(OR(Formulas!AD164=0,Formulas!AD164="",RIGHT(Formulas!AE164)="0"),"",
HYPERLINK("["&amp;Archivo_Nombre&amp;"]Datos!"&amp;LEFT(SUBSTITUTE(ADDRESS(1,IF(Formulas!AD164=1,1,RIGHT(Formulas!AE164)+2)),"$",""))&amp;Formulas!AC164+1,
IFERROR(INDEX(Datos!$A$1:$L$1,1,RIGHT(Formulas!AE164)+2)&amp;IF(Formulas!AD164=1," "&amp;Formulas!AC164,"")&amp;":","")))</f>
        <v/>
      </c>
      <c r="AC167" s="107" t="str" cm="1">
        <f t="array" aca="1" ref="AC167" ca="1">IF(OR(Formulas!AD164=0,Formulas!AD164="",RIGHT(Formulas!AE164)="0"),"",
HYPERLINK("["&amp;Archivo_Nombre&amp;"]Datos!"&amp;LEFT(SUBSTITUTE(ADDRESS(1,RIGHT(Formulas!AE164)+2),"$",""))&amp;Formulas!AC164+1,
IFERROR(INDEX(Datos!$A$2:$L$101,Formulas!AC164,RIGHT(Formulas!AE164)+2),"")))</f>
        <v/>
      </c>
      <c r="AD167" s="107" t="str" cm="1">
        <f t="array" aca="1" ref="AD167" ca="1">IF(OR(Formulas!AE165=0,Formulas!AE165=""),"",HYPERLINK("["&amp;Archivo_Nombre&amp;"]Datos!"&amp;LEFT(SUBSTITUTE(ADDRESS(1,Formulas!AE165+2),"$",""))&amp;Formulas!AD165+1,
IFERROR(INDEX(Datos!$A$2:$L$101,Formulas!AD165,Formulas!AE165+2),"")))</f>
        <v/>
      </c>
      <c r="AE167" s="13"/>
      <c r="AF167" s="6"/>
      <c r="AG167" s="24" t="str" cm="1">
        <f t="array" aca="1" ref="AG167" ca="1">IF(OR(Formulas!AI164=0,Formulas!AI164="",RIGHT(Formulas!AJ164)="0"),"",
HYPERLINK("["&amp;Archivo_Nombre&amp;"]Datos!"&amp;LEFT(SUBSTITUTE(ADDRESS(1,IF(Formulas!AI164=1,1,RIGHT(Formulas!AJ164)+2)),"$",""))&amp;Formulas!AH164+1,
IFERROR(INDEX(Datos!$A$1:$L$1,1,RIGHT(Formulas!AJ164)+2)&amp;IF(Formulas!AI164=1," "&amp;Formulas!AH164,"")&amp;":","")))</f>
        <v/>
      </c>
      <c r="AH167" s="107" t="str" cm="1">
        <f t="array" aca="1" ref="AH167" ca="1">IF(OR(Formulas!AI164=0,Formulas!AI164="",RIGHT(Formulas!AJ164)="0"),"",
HYPERLINK("["&amp;Archivo_Nombre&amp;"]Datos!"&amp;LEFT(SUBSTITUTE(ADDRESS(1,RIGHT(Formulas!AJ164)+2),"$",""))&amp;Formulas!AH164+1,
IFERROR(INDEX(Datos!$A$2:$L$101,Formulas!AH164,RIGHT(Formulas!AJ164)+2),"")))</f>
        <v/>
      </c>
      <c r="AI167" s="107" t="str" cm="1">
        <f t="array" aca="1" ref="AI167" ca="1">IF(OR(Formulas!AJ165=0,Formulas!AJ165=""),"",HYPERLINK("["&amp;Archivo_Nombre&amp;"]Datos!"&amp;LEFT(SUBSTITUTE(ADDRESS(1,Formulas!AJ165+2),"$",""))&amp;Formulas!AI165+1,
IFERROR(INDEX(Datos!$A$2:$L$101,Formulas!AI165,Formulas!AJ165+2),"")))</f>
        <v/>
      </c>
      <c r="AJ167" s="13"/>
      <c r="AK167" s="6"/>
      <c r="AL167" s="24" t="str" cm="1">
        <f t="array" aca="1" ref="AL167" ca="1">IF(OR(Formulas!AN164=0,Formulas!AN164="",RIGHT(Formulas!AO164)="0"),"",
HYPERLINK("["&amp;Archivo_Nombre&amp;"]Datos!"&amp;LEFT(SUBSTITUTE(ADDRESS(1,IF(Formulas!AN164=1,1,RIGHT(Formulas!AO164)+2)),"$",""))&amp;Formulas!AM164+1,
IFERROR(INDEX(Datos!$A$1:$L$1,1,RIGHT(Formulas!AO164)+2)&amp;IF(Formulas!AN164=1," "&amp;Formulas!AM164,"")&amp;":","")))</f>
        <v/>
      </c>
      <c r="AM167" s="107" t="str" cm="1">
        <f t="array" aca="1" ref="AM167" ca="1">IF(OR(Formulas!AN164=0,Formulas!AN164="",RIGHT(Formulas!AO164)="0"),"",
HYPERLINK("["&amp;Archivo_Nombre&amp;"]Datos!"&amp;LEFT(SUBSTITUTE(ADDRESS(1,RIGHT(Formulas!AO164)+2),"$",""))&amp;Formulas!AM164+1,
IFERROR(INDEX(Datos!$A$2:$L$101,Formulas!AM164,RIGHT(Formulas!AO164)+2),"")))</f>
        <v/>
      </c>
      <c r="AN167" s="107" t="str" cm="1">
        <f t="array" aca="1" ref="AN167" ca="1">IF(OR(Formulas!AO165=0,Formulas!AO165=""),"",HYPERLINK("["&amp;Archivo_Nombre&amp;"]Datos!"&amp;LEFT(SUBSTITUTE(ADDRESS(1,Formulas!AO165+2),"$",""))&amp;Formulas!AN165+1,
IFERROR(INDEX(Datos!$A$2:$L$101,Formulas!AN165,Formulas!AO165+2),"")))</f>
        <v/>
      </c>
      <c r="AO167" s="13"/>
      <c r="AP167" s="6"/>
      <c r="AQ167" s="24" t="str" cm="1">
        <f t="array" aca="1" ref="AQ167" ca="1">IF(OR(Formulas!AS164=0,Formulas!AS164="",RIGHT(Formulas!AT164)="0"),"",
HYPERLINK("["&amp;Archivo_Nombre&amp;"]Datos!"&amp;LEFT(SUBSTITUTE(ADDRESS(1,IF(Formulas!AS164=1,1,RIGHT(Formulas!AT164)+2)),"$",""))&amp;Formulas!AR164+1,
IFERROR(INDEX(Datos!$A$1:$L$1,1,RIGHT(Formulas!AT164)+2)&amp;IF(Formulas!AS164=1," "&amp;Formulas!AR164,"")&amp;":","")))</f>
        <v/>
      </c>
      <c r="AR167" s="107" t="str" cm="1">
        <f t="array" aca="1" ref="AR167" ca="1">IF(OR(Formulas!AS164=0,Formulas!AS164="",RIGHT(Formulas!AT164)="0"),"",
HYPERLINK("["&amp;Archivo_Nombre&amp;"]Datos!"&amp;LEFT(SUBSTITUTE(ADDRESS(1,RIGHT(Formulas!AT164)+2),"$",""))&amp;Formulas!AR164+1,
IFERROR(INDEX(Datos!$A$2:$L$101,Formulas!AR164,RIGHT(Formulas!AT164)+2),"")))</f>
        <v/>
      </c>
      <c r="AS167" s="107" t="str" cm="1">
        <f t="array" aca="1" ref="AS167" ca="1">IF(OR(Formulas!AT165=0,Formulas!AT165=""),"",HYPERLINK("["&amp;Archivo_Nombre&amp;"]Datos!"&amp;LEFT(SUBSTITUTE(ADDRESS(1,Formulas!AT165+2),"$",""))&amp;Formulas!AS165+1,
IFERROR(INDEX(Datos!$A$2:$L$101,Formulas!AS165,Formulas!AT165+2),"")))</f>
        <v/>
      </c>
      <c r="AT167" s="13"/>
      <c r="AU167" s="6"/>
      <c r="AV167" s="24" t="str" cm="1">
        <f t="array" aca="1" ref="AV167" ca="1">IF(OR(Formulas!AX164=0,Formulas!AX164="",RIGHT(Formulas!AY164)="0"),"",
HYPERLINK("["&amp;Archivo_Nombre&amp;"]Datos!"&amp;LEFT(SUBSTITUTE(ADDRESS(1,IF(Formulas!AX164=1,1,RIGHT(Formulas!AY164)+2)),"$",""))&amp;Formulas!AW164+1,
IFERROR(INDEX(Datos!$A$1:$L$1,1,RIGHT(Formulas!AY164)+2)&amp;IF(Formulas!AX164=1," "&amp;Formulas!AW164,"")&amp;":","")))</f>
        <v/>
      </c>
      <c r="AW167" s="107" t="str" cm="1">
        <f t="array" aca="1" ref="AW167" ca="1">IF(OR(Formulas!AX164=0,Formulas!AX164="",RIGHT(Formulas!AY164)="0"),"",
HYPERLINK("["&amp;Archivo_Nombre&amp;"]Datos!"&amp;LEFT(SUBSTITUTE(ADDRESS(1,RIGHT(Formulas!AY164)+2),"$",""))&amp;Formulas!AW164+1,
IFERROR(INDEX(Datos!$A$2:$L$101,Formulas!AW164,RIGHT(Formulas!AY164)+2),"")))</f>
        <v/>
      </c>
      <c r="AX167" s="107" t="str" cm="1">
        <f t="array" aca="1" ref="AX167" ca="1">IF(OR(Formulas!AY165=0,Formulas!AY165=""),"",HYPERLINK("["&amp;Archivo_Nombre&amp;"]Datos!"&amp;LEFT(SUBSTITUTE(ADDRESS(1,Formulas!AY165+2),"$",""))&amp;Formulas!AX165+1,
IFERROR(INDEX(Datos!$A$2:$L$101,Formulas!AX165,Formulas!AY165+2),"")))</f>
        <v/>
      </c>
      <c r="AY167" s="13"/>
    </row>
    <row r="168" spans="2:51" x14ac:dyDescent="0.25">
      <c r="B168" s="11"/>
      <c r="C168" s="24" t="str" cm="1">
        <f t="array" aca="1" ref="C168" ca="1">IF(OR(Formulas!E165=0,Formulas!E165="",RIGHT(Formulas!F165)="0"),"",
HYPERLINK("["&amp;Archivo_Nombre&amp;"]Datos!"&amp;LEFT(SUBSTITUTE(ADDRESS(1,IF(Formulas!E165=1,1,RIGHT(Formulas!F165)+2)),"$",""))&amp;Formulas!D165+1,
IFERROR(INDEX(Datos!$A$1:$L$1,1,RIGHT(Formulas!F165)+2)&amp;IF(Formulas!E165=1," "&amp;Formulas!D165,"")&amp;":","")))</f>
        <v/>
      </c>
      <c r="D168" s="107" t="str" cm="1">
        <f t="array" aca="1" ref="D168" ca="1">IF(OR(Formulas!E165=0,Formulas!E165="",RIGHT(Formulas!F165)="0"),"",
HYPERLINK("["&amp;Archivo_Nombre&amp;"]Datos!"&amp;LEFT(SUBSTITUTE(ADDRESS(1,RIGHT(Formulas!F165)+2),"$",""))&amp;Formulas!D165+1,
IFERROR(INDEX(Datos!$A$2:$L$101,Formulas!D165,RIGHT(Formulas!F165)+2),"")))</f>
        <v/>
      </c>
      <c r="E168" s="107" t="str" cm="1">
        <f t="array" aca="1" ref="E168" ca="1">IF(OR(Formulas!F166=0,Formulas!F166=""),"",HYPERLINK("["&amp;Archivo_Nombre&amp;"]Datos!"&amp;LEFT(SUBSTITUTE(ADDRESS(1,Formulas!F166+2),"$",""))&amp;Formulas!E166+1,
IFERROR(INDEX(Datos!$A$2:$L$101,Formulas!E166,Formulas!F166+2),"")))</f>
        <v/>
      </c>
      <c r="F168" s="5"/>
      <c r="G168" s="6"/>
      <c r="H168" s="24" t="str" cm="1">
        <f t="array" aca="1" ref="H168" ca="1">IF(OR(Formulas!J165=0,Formulas!J165="",RIGHT(Formulas!K165)="0"),"",
HYPERLINK("["&amp;Archivo_Nombre&amp;"]Datos!"&amp;LEFT(SUBSTITUTE(ADDRESS(1,IF(Formulas!J165=1,1,RIGHT(Formulas!K165)+2)),"$",""))&amp;Formulas!I165+1,
IFERROR(INDEX(Datos!$A$1:$L$1,1,RIGHT(Formulas!K165)+2)&amp;IF(Formulas!J165=1," "&amp;Formulas!I165,"")&amp;":","")))</f>
        <v/>
      </c>
      <c r="I168" s="107" t="str" cm="1">
        <f t="array" aca="1" ref="I168" ca="1">IF(OR(Formulas!J165=0,Formulas!J165="",RIGHT(Formulas!K165)="0"),"",
HYPERLINK("["&amp;Archivo_Nombre&amp;"]Datos!"&amp;LEFT(SUBSTITUTE(ADDRESS(1,RIGHT(Formulas!K165)+2),"$",""))&amp;Formulas!I165+1,
IFERROR(INDEX(Datos!$A$2:$L$101,Formulas!I165,RIGHT(Formulas!K165)+2),"")))</f>
        <v/>
      </c>
      <c r="J168" s="107" t="str" cm="1">
        <f t="array" aca="1" ref="J168" ca="1">IF(OR(Formulas!K166=0,Formulas!K166=""),"",HYPERLINK("["&amp;Archivo_Nombre&amp;"]Datos!"&amp;LEFT(SUBSTITUTE(ADDRESS(1,Formulas!K166+2),"$",""))&amp;Formulas!J166+1,
IFERROR(INDEX(Datos!$A$2:$L$101,Formulas!J166,Formulas!K166+2),"")))</f>
        <v/>
      </c>
      <c r="K168" s="5"/>
      <c r="L168" s="6"/>
      <c r="M168" s="24" t="str" cm="1">
        <f t="array" aca="1" ref="M168" ca="1">IF(OR(Formulas!O165=0,Formulas!O165="",RIGHT(Formulas!P165)="0"),"",
HYPERLINK("["&amp;Archivo_Nombre&amp;"]Datos!"&amp;LEFT(SUBSTITUTE(ADDRESS(1,IF(Formulas!O165=1,1,RIGHT(Formulas!P165)+2)),"$",""))&amp;Formulas!N165+1,
IFERROR(INDEX(Datos!$A$1:$L$1,1,RIGHT(Formulas!P165)+2)&amp;IF(Formulas!O165=1," "&amp;Formulas!N165,"")&amp;":","")))</f>
        <v/>
      </c>
      <c r="N168" s="107" t="str" cm="1">
        <f t="array" aca="1" ref="N168" ca="1">IF(OR(Formulas!O165=0,Formulas!O165="",RIGHT(Formulas!P165)="0"),"",
HYPERLINK("["&amp;Archivo_Nombre&amp;"]Datos!"&amp;LEFT(SUBSTITUTE(ADDRESS(1,RIGHT(Formulas!P165)+2),"$",""))&amp;Formulas!N165+1,
IFERROR(INDEX(Datos!$A$2:$L$101,Formulas!N165,RIGHT(Formulas!P165)+2),"")))</f>
        <v/>
      </c>
      <c r="O168" s="107" t="str" cm="1">
        <f t="array" aca="1" ref="O168" ca="1">IF(OR(Formulas!P166=0,Formulas!P166=""),"",HYPERLINK("["&amp;Archivo_Nombre&amp;"]Datos!"&amp;LEFT(SUBSTITUTE(ADDRESS(1,Formulas!P166+2),"$",""))&amp;Formulas!O166+1,
IFERROR(INDEX(Datos!$A$2:$L$101,Formulas!O166,Formulas!P166+2),"")))</f>
        <v/>
      </c>
      <c r="P168" s="5"/>
      <c r="Q168" s="6"/>
      <c r="R168" s="24" t="str" cm="1">
        <f t="array" aca="1" ref="R168" ca="1">IF(OR(Formulas!T165=0,Formulas!T165="",RIGHT(Formulas!U165)="0"),"",
HYPERLINK("["&amp;Archivo_Nombre&amp;"]Datos!"&amp;LEFT(SUBSTITUTE(ADDRESS(1,IF(Formulas!T165=1,1,RIGHT(Formulas!U165)+2)),"$",""))&amp;Formulas!S165+1,
IFERROR(INDEX(Datos!$A$1:$L$1,1,RIGHT(Formulas!U165)+2)&amp;IF(Formulas!T165=1," "&amp;Formulas!S165,"")&amp;":","")))</f>
        <v>Descripción:</v>
      </c>
      <c r="S168" s="107" t="str" cm="1">
        <f t="array" aca="1" ref="S168" ca="1">IF(OR(Formulas!T165=0,Formulas!T165="",RIGHT(Formulas!U165)="0"),"",
HYPERLINK("["&amp;Archivo_Nombre&amp;"]Datos!"&amp;LEFT(SUBSTITUTE(ADDRESS(1,RIGHT(Formulas!U165)+2),"$",""))&amp;Formulas!S165+1,
IFERROR(INDEX(Datos!$A$2:$L$101,Formulas!S165,RIGHT(Formulas!U165)+2),"")))</f>
        <v>Creación del repositorio en GitHub</v>
      </c>
      <c r="T168" s="107" t="e" cm="1">
        <f t="array" aca="1" ref="T168" ca="1">IF(OR(Formulas!U166=0,Formulas!U166=""),"",HYPERLINK("["&amp;Archivo_Nombre&amp;"]Datos!"&amp;LEFT(SUBSTITUTE(ADDRESS(1,Formulas!U166+2),"$",""))&amp;Formulas!T166+1,
IFERROR(INDEX(Datos!$A$2:$L$101,Formulas!T166,Formulas!U166+2),"")))</f>
        <v>#VALUE!</v>
      </c>
      <c r="U168" s="5"/>
      <c r="V168" s="6"/>
      <c r="W168" s="24" t="str" cm="1">
        <f t="array" aca="1" ref="W168" ca="1">IF(OR(Formulas!Y165=0,Formulas!Y165="",RIGHT(Formulas!Z165)="0"),"",
HYPERLINK("["&amp;Archivo_Nombre&amp;"]Datos!"&amp;LEFT(SUBSTITUTE(ADDRESS(1,IF(Formulas!Y165=1,1,RIGHT(Formulas!Z165)+2)),"$",""))&amp;Formulas!X165+1,
IFERROR(INDEX(Datos!$A$1:$L$1,1,RIGHT(Formulas!Z165)+2)&amp;IF(Formulas!Y165=1," "&amp;Formulas!X165,"")&amp;":","")))</f>
        <v/>
      </c>
      <c r="X168" s="107" t="str" cm="1">
        <f t="array" aca="1" ref="X168" ca="1">IF(OR(Formulas!Y165=0,Formulas!Y165="",RIGHT(Formulas!Z165)="0"),"",
HYPERLINK("["&amp;Archivo_Nombre&amp;"]Datos!"&amp;LEFT(SUBSTITUTE(ADDRESS(1,RIGHT(Formulas!Z165)+2),"$",""))&amp;Formulas!X165+1,
IFERROR(INDEX(Datos!$A$2:$L$101,Formulas!X165,RIGHT(Formulas!Z165)+2),"")))</f>
        <v/>
      </c>
      <c r="Y168" s="107" t="str" cm="1">
        <f t="array" aca="1" ref="Y168" ca="1">IF(OR(Formulas!Z166=0,Formulas!Z166=""),"",HYPERLINK("["&amp;Archivo_Nombre&amp;"]Datos!"&amp;LEFT(SUBSTITUTE(ADDRESS(1,Formulas!Z166+2),"$",""))&amp;Formulas!Y166+1,
IFERROR(INDEX(Datos!$A$2:$L$101,Formulas!Y166,Formulas!Z166+2),"")))</f>
        <v/>
      </c>
      <c r="Z168" s="13"/>
      <c r="AA168" s="6"/>
      <c r="AB168" s="24" t="str" cm="1">
        <f t="array" aca="1" ref="AB168" ca="1">IF(OR(Formulas!AD165=0,Formulas!AD165="",RIGHT(Formulas!AE165)="0"),"",
HYPERLINK("["&amp;Archivo_Nombre&amp;"]Datos!"&amp;LEFT(SUBSTITUTE(ADDRESS(1,IF(Formulas!AD165=1,1,RIGHT(Formulas!AE165)+2)),"$",""))&amp;Formulas!AC165+1,
IFERROR(INDEX(Datos!$A$1:$L$1,1,RIGHT(Formulas!AE165)+2)&amp;IF(Formulas!AD165=1," "&amp;Formulas!AC165,"")&amp;":","")))</f>
        <v/>
      </c>
      <c r="AC168" s="107" t="str" cm="1">
        <f t="array" aca="1" ref="AC168" ca="1">IF(OR(Formulas!AD165=0,Formulas!AD165="",RIGHT(Formulas!AE165)="0"),"",
HYPERLINK("["&amp;Archivo_Nombre&amp;"]Datos!"&amp;LEFT(SUBSTITUTE(ADDRESS(1,RIGHT(Formulas!AE165)+2),"$",""))&amp;Formulas!AC165+1,
IFERROR(INDEX(Datos!$A$2:$L$101,Formulas!AC165,RIGHT(Formulas!AE165)+2),"")))</f>
        <v/>
      </c>
      <c r="AD168" s="107" t="str" cm="1">
        <f t="array" aca="1" ref="AD168" ca="1">IF(OR(Formulas!AE166=0,Formulas!AE166=""),"",HYPERLINK("["&amp;Archivo_Nombre&amp;"]Datos!"&amp;LEFT(SUBSTITUTE(ADDRESS(1,Formulas!AE166+2),"$",""))&amp;Formulas!AD166+1,
IFERROR(INDEX(Datos!$A$2:$L$101,Formulas!AD166,Formulas!AE166+2),"")))</f>
        <v/>
      </c>
      <c r="AE168" s="13"/>
      <c r="AF168" s="6"/>
      <c r="AG168" s="24" t="str" cm="1">
        <f t="array" aca="1" ref="AG168" ca="1">IF(OR(Formulas!AI165=0,Formulas!AI165="",RIGHT(Formulas!AJ165)="0"),"",
HYPERLINK("["&amp;Archivo_Nombre&amp;"]Datos!"&amp;LEFT(SUBSTITUTE(ADDRESS(1,IF(Formulas!AI165=1,1,RIGHT(Formulas!AJ165)+2)),"$",""))&amp;Formulas!AH165+1,
IFERROR(INDEX(Datos!$A$1:$L$1,1,RIGHT(Formulas!AJ165)+2)&amp;IF(Formulas!AI165=1," "&amp;Formulas!AH165,"")&amp;":","")))</f>
        <v/>
      </c>
      <c r="AH168" s="107" t="str" cm="1">
        <f t="array" aca="1" ref="AH168" ca="1">IF(OR(Formulas!AI165=0,Formulas!AI165="",RIGHT(Formulas!AJ165)="0"),"",
HYPERLINK("["&amp;Archivo_Nombre&amp;"]Datos!"&amp;LEFT(SUBSTITUTE(ADDRESS(1,RIGHT(Formulas!AJ165)+2),"$",""))&amp;Formulas!AH165+1,
IFERROR(INDEX(Datos!$A$2:$L$101,Formulas!AH165,RIGHT(Formulas!AJ165)+2),"")))</f>
        <v/>
      </c>
      <c r="AI168" s="107" t="str" cm="1">
        <f t="array" aca="1" ref="AI168" ca="1">IF(OR(Formulas!AJ166=0,Formulas!AJ166=""),"",HYPERLINK("["&amp;Archivo_Nombre&amp;"]Datos!"&amp;LEFT(SUBSTITUTE(ADDRESS(1,Formulas!AJ166+2),"$",""))&amp;Formulas!AI166+1,
IFERROR(INDEX(Datos!$A$2:$L$101,Formulas!AI166,Formulas!AJ166+2),"")))</f>
        <v/>
      </c>
      <c r="AJ168" s="13"/>
      <c r="AK168" s="6"/>
      <c r="AL168" s="24" t="str" cm="1">
        <f t="array" aca="1" ref="AL168" ca="1">IF(OR(Formulas!AN165=0,Formulas!AN165="",RIGHT(Formulas!AO165)="0"),"",
HYPERLINK("["&amp;Archivo_Nombre&amp;"]Datos!"&amp;LEFT(SUBSTITUTE(ADDRESS(1,IF(Formulas!AN165=1,1,RIGHT(Formulas!AO165)+2)),"$",""))&amp;Formulas!AM165+1,
IFERROR(INDEX(Datos!$A$1:$L$1,1,RIGHT(Formulas!AO165)+2)&amp;IF(Formulas!AN165=1," "&amp;Formulas!AM165,"")&amp;":","")))</f>
        <v/>
      </c>
      <c r="AM168" s="107" t="str" cm="1">
        <f t="array" aca="1" ref="AM168" ca="1">IF(OR(Formulas!AN165=0,Formulas!AN165="",RIGHT(Formulas!AO165)="0"),"",
HYPERLINK("["&amp;Archivo_Nombre&amp;"]Datos!"&amp;LEFT(SUBSTITUTE(ADDRESS(1,RIGHT(Formulas!AO165)+2),"$",""))&amp;Formulas!AM165+1,
IFERROR(INDEX(Datos!$A$2:$L$101,Formulas!AM165,RIGHT(Formulas!AO165)+2),"")))</f>
        <v/>
      </c>
      <c r="AN168" s="107" t="str" cm="1">
        <f t="array" aca="1" ref="AN168" ca="1">IF(OR(Formulas!AO166=0,Formulas!AO166=""),"",HYPERLINK("["&amp;Archivo_Nombre&amp;"]Datos!"&amp;LEFT(SUBSTITUTE(ADDRESS(1,Formulas!AO166+2),"$",""))&amp;Formulas!AN166+1,
IFERROR(INDEX(Datos!$A$2:$L$101,Formulas!AN166,Formulas!AO166+2),"")))</f>
        <v/>
      </c>
      <c r="AO168" s="13"/>
      <c r="AP168" s="6"/>
      <c r="AQ168" s="24" t="str" cm="1">
        <f t="array" aca="1" ref="AQ168" ca="1">IF(OR(Formulas!AS165=0,Formulas!AS165="",RIGHT(Formulas!AT165)="0"),"",
HYPERLINK("["&amp;Archivo_Nombre&amp;"]Datos!"&amp;LEFT(SUBSTITUTE(ADDRESS(1,IF(Formulas!AS165=1,1,RIGHT(Formulas!AT165)+2)),"$",""))&amp;Formulas!AR165+1,
IFERROR(INDEX(Datos!$A$1:$L$1,1,RIGHT(Formulas!AT165)+2)&amp;IF(Formulas!AS165=1," "&amp;Formulas!AR165,"")&amp;":","")))</f>
        <v/>
      </c>
      <c r="AR168" s="107" t="str" cm="1">
        <f t="array" aca="1" ref="AR168" ca="1">IF(OR(Formulas!AS165=0,Formulas!AS165="",RIGHT(Formulas!AT165)="0"),"",
HYPERLINK("["&amp;Archivo_Nombre&amp;"]Datos!"&amp;LEFT(SUBSTITUTE(ADDRESS(1,RIGHT(Formulas!AT165)+2),"$",""))&amp;Formulas!AR165+1,
IFERROR(INDEX(Datos!$A$2:$L$101,Formulas!AR165,RIGHT(Formulas!AT165)+2),"")))</f>
        <v/>
      </c>
      <c r="AS168" s="107" t="str" cm="1">
        <f t="array" aca="1" ref="AS168" ca="1">IF(OR(Formulas!AT166=0,Formulas!AT166=""),"",HYPERLINK("["&amp;Archivo_Nombre&amp;"]Datos!"&amp;LEFT(SUBSTITUTE(ADDRESS(1,Formulas!AT166+2),"$",""))&amp;Formulas!AS166+1,
IFERROR(INDEX(Datos!$A$2:$L$101,Formulas!AS166,Formulas!AT166+2),"")))</f>
        <v/>
      </c>
      <c r="AT168" s="13"/>
      <c r="AU168" s="6"/>
      <c r="AV168" s="24" t="str" cm="1">
        <f t="array" aca="1" ref="AV168" ca="1">IF(OR(Formulas!AX165=0,Formulas!AX165="",RIGHT(Formulas!AY165)="0"),"",
HYPERLINK("["&amp;Archivo_Nombre&amp;"]Datos!"&amp;LEFT(SUBSTITUTE(ADDRESS(1,IF(Formulas!AX165=1,1,RIGHT(Formulas!AY165)+2)),"$",""))&amp;Formulas!AW165+1,
IFERROR(INDEX(Datos!$A$1:$L$1,1,RIGHT(Formulas!AY165)+2)&amp;IF(Formulas!AX165=1," "&amp;Formulas!AW165,"")&amp;":","")))</f>
        <v/>
      </c>
      <c r="AW168" s="107" t="str" cm="1">
        <f t="array" aca="1" ref="AW168" ca="1">IF(OR(Formulas!AX165=0,Formulas!AX165="",RIGHT(Formulas!AY165)="0"),"",
HYPERLINK("["&amp;Archivo_Nombre&amp;"]Datos!"&amp;LEFT(SUBSTITUTE(ADDRESS(1,RIGHT(Formulas!AY165)+2),"$",""))&amp;Formulas!AW165+1,
IFERROR(INDEX(Datos!$A$2:$L$101,Formulas!AW165,RIGHT(Formulas!AY165)+2),"")))</f>
        <v/>
      </c>
      <c r="AX168" s="107" t="str" cm="1">
        <f t="array" aca="1" ref="AX168" ca="1">IF(OR(Formulas!AY166=0,Formulas!AY166=""),"",HYPERLINK("["&amp;Archivo_Nombre&amp;"]Datos!"&amp;LEFT(SUBSTITUTE(ADDRESS(1,Formulas!AY166+2),"$",""))&amp;Formulas!AX166+1,
IFERROR(INDEX(Datos!$A$2:$L$101,Formulas!AX166,Formulas!AY166+2),"")))</f>
        <v/>
      </c>
      <c r="AY168" s="13"/>
    </row>
    <row r="169" spans="2:51" x14ac:dyDescent="0.25">
      <c r="B169" s="11"/>
      <c r="C169" s="24" t="str" cm="1">
        <f t="array" aca="1" ref="C169" ca="1">IF(OR(Formulas!E166=0,Formulas!E166="",RIGHT(Formulas!F166)="0"),"",
HYPERLINK("["&amp;Archivo_Nombre&amp;"]Datos!"&amp;LEFT(SUBSTITUTE(ADDRESS(1,IF(Formulas!E166=1,1,RIGHT(Formulas!F166)+2)),"$",""))&amp;Formulas!D166+1,
IFERROR(INDEX(Datos!$A$1:$L$1,1,RIGHT(Formulas!F166)+2)&amp;IF(Formulas!E166=1," "&amp;Formulas!D166,"")&amp;":","")))</f>
        <v/>
      </c>
      <c r="D169" s="107" t="str" cm="1">
        <f t="array" aca="1" ref="D169" ca="1">IF(OR(Formulas!E166=0,Formulas!E166="",RIGHT(Formulas!F166)="0"),"",
HYPERLINK("["&amp;Archivo_Nombre&amp;"]Datos!"&amp;LEFT(SUBSTITUTE(ADDRESS(1,RIGHT(Formulas!F166)+2),"$",""))&amp;Formulas!D166+1,
IFERROR(INDEX(Datos!$A$2:$L$101,Formulas!D166,RIGHT(Formulas!F166)+2),"")))</f>
        <v/>
      </c>
      <c r="E169" s="107" t="str" cm="1">
        <f t="array" aca="1" ref="E169" ca="1">IF(OR(Formulas!F167=0,Formulas!F167=""),"",HYPERLINK("["&amp;Archivo_Nombre&amp;"]Datos!"&amp;LEFT(SUBSTITUTE(ADDRESS(1,Formulas!F167+2),"$",""))&amp;Formulas!E167+1,
IFERROR(INDEX(Datos!$A$2:$L$101,Formulas!E167,Formulas!F167+2),"")))</f>
        <v/>
      </c>
      <c r="F169" s="5"/>
      <c r="G169" s="6"/>
      <c r="H169" s="24" t="str" cm="1">
        <f t="array" aca="1" ref="H169" ca="1">IF(OR(Formulas!J166=0,Formulas!J166="",RIGHT(Formulas!K166)="0"),"",
HYPERLINK("["&amp;Archivo_Nombre&amp;"]Datos!"&amp;LEFT(SUBSTITUTE(ADDRESS(1,IF(Formulas!J166=1,1,RIGHT(Formulas!K166)+2)),"$",""))&amp;Formulas!I166+1,
IFERROR(INDEX(Datos!$A$1:$L$1,1,RIGHT(Formulas!K166)+2)&amp;IF(Formulas!J166=1," "&amp;Formulas!I166,"")&amp;":","")))</f>
        <v/>
      </c>
      <c r="I169" s="107" t="str" cm="1">
        <f t="array" aca="1" ref="I169" ca="1">IF(OR(Formulas!J166=0,Formulas!J166="",RIGHT(Formulas!K166)="0"),"",
HYPERLINK("["&amp;Archivo_Nombre&amp;"]Datos!"&amp;LEFT(SUBSTITUTE(ADDRESS(1,RIGHT(Formulas!K166)+2),"$",""))&amp;Formulas!I166+1,
IFERROR(INDEX(Datos!$A$2:$L$101,Formulas!I166,RIGHT(Formulas!K166)+2),"")))</f>
        <v/>
      </c>
      <c r="J169" s="107" t="str" cm="1">
        <f t="array" aca="1" ref="J169" ca="1">IF(OR(Formulas!K167=0,Formulas!K167=""),"",HYPERLINK("["&amp;Archivo_Nombre&amp;"]Datos!"&amp;LEFT(SUBSTITUTE(ADDRESS(1,Formulas!K167+2),"$",""))&amp;Formulas!J167+1,
IFERROR(INDEX(Datos!$A$2:$L$101,Formulas!J167,Formulas!K167+2),"")))</f>
        <v/>
      </c>
      <c r="K169" s="5"/>
      <c r="L169" s="6"/>
      <c r="M169" s="24" t="str" cm="1">
        <f t="array" aca="1" ref="M169" ca="1">IF(OR(Formulas!O166=0,Formulas!O166="",RIGHT(Formulas!P166)="0"),"",
HYPERLINK("["&amp;Archivo_Nombre&amp;"]Datos!"&amp;LEFT(SUBSTITUTE(ADDRESS(1,IF(Formulas!O166=1,1,RIGHT(Formulas!P166)+2)),"$",""))&amp;Formulas!N166+1,
IFERROR(INDEX(Datos!$A$1:$L$1,1,RIGHT(Formulas!P166)+2)&amp;IF(Formulas!O166=1," "&amp;Formulas!N166,"")&amp;":","")))</f>
        <v/>
      </c>
      <c r="N169" s="107" t="str" cm="1">
        <f t="array" aca="1" ref="N169" ca="1">IF(OR(Formulas!O166=0,Formulas!O166="",RIGHT(Formulas!P166)="0"),"",
HYPERLINK("["&amp;Archivo_Nombre&amp;"]Datos!"&amp;LEFT(SUBSTITUTE(ADDRESS(1,RIGHT(Formulas!P166)+2),"$",""))&amp;Formulas!N166+1,
IFERROR(INDEX(Datos!$A$2:$L$101,Formulas!N166,RIGHT(Formulas!P166)+2),"")))</f>
        <v/>
      </c>
      <c r="O169" s="107" t="str" cm="1">
        <f t="array" aca="1" ref="O169" ca="1">IF(OR(Formulas!P167=0,Formulas!P167=""),"",HYPERLINK("["&amp;Archivo_Nombre&amp;"]Datos!"&amp;LEFT(SUBSTITUTE(ADDRESS(1,Formulas!P167+2),"$",""))&amp;Formulas!O167+1,
IFERROR(INDEX(Datos!$A$2:$L$101,Formulas!O167,Formulas!P167+2),"")))</f>
        <v/>
      </c>
      <c r="P169" s="5"/>
      <c r="Q169" s="6"/>
      <c r="R169" s="24" t="str" cm="1">
        <f t="array" aca="1" ref="R169" ca="1">IF(OR(Formulas!T166=0,Formulas!T166="",RIGHT(Formulas!U166)="0"),"",
HYPERLINK("["&amp;Archivo_Nombre&amp;"]Datos!"&amp;LEFT(SUBSTITUTE(ADDRESS(1,IF(Formulas!T166=1,1,RIGHT(Formulas!U166)+2)),"$",""))&amp;Formulas!S166+1,
IFERROR(INDEX(Datos!$A$1:$L$1,1,RIGHT(Formulas!U166)+2)&amp;IF(Formulas!T166=1," "&amp;Formulas!S166,"")&amp;":","")))</f>
        <v>Inicio:</v>
      </c>
      <c r="S169" s="107" cm="1">
        <f t="array" aca="1" ref="S169" ca="1">IF(OR(Formulas!T166=0,Formulas!T166="",RIGHT(Formulas!U166)="0"),"",
HYPERLINK("["&amp;Archivo_Nombre&amp;"]Datos!"&amp;LEFT(SUBSTITUTE(ADDRESS(1,RIGHT(Formulas!U166)+2),"$",""))&amp;Formulas!S166+1,
IFERROR(INDEX(Datos!$A$2:$L$101,Formulas!S166,RIGHT(Formulas!U166)+2),"")))</f>
        <v>45794</v>
      </c>
      <c r="T169" s="107" t="e" cm="1">
        <f t="array" aca="1" ref="T169" ca="1">IF(OR(Formulas!U167=0,Formulas!U167=""),"",HYPERLINK("["&amp;Archivo_Nombre&amp;"]Datos!"&amp;LEFT(SUBSTITUTE(ADDRESS(1,Formulas!U167+2),"$",""))&amp;Formulas!T167+1,
IFERROR(INDEX(Datos!$A$2:$L$101,Formulas!T167,Formulas!U167+2),"")))</f>
        <v>#VALUE!</v>
      </c>
      <c r="U169" s="5"/>
      <c r="V169" s="6"/>
      <c r="W169" s="24" t="str" cm="1">
        <f t="array" aca="1" ref="W169" ca="1">IF(OR(Formulas!Y166=0,Formulas!Y166="",RIGHT(Formulas!Z166)="0"),"",
HYPERLINK("["&amp;Archivo_Nombre&amp;"]Datos!"&amp;LEFT(SUBSTITUTE(ADDRESS(1,IF(Formulas!Y166=1,1,RIGHT(Formulas!Z166)+2)),"$",""))&amp;Formulas!X166+1,
IFERROR(INDEX(Datos!$A$1:$L$1,1,RIGHT(Formulas!Z166)+2)&amp;IF(Formulas!Y166=1," "&amp;Formulas!X166,"")&amp;":","")))</f>
        <v/>
      </c>
      <c r="X169" s="107" t="str" cm="1">
        <f t="array" aca="1" ref="X169" ca="1">IF(OR(Formulas!Y166=0,Formulas!Y166="",RIGHT(Formulas!Z166)="0"),"",
HYPERLINK("["&amp;Archivo_Nombre&amp;"]Datos!"&amp;LEFT(SUBSTITUTE(ADDRESS(1,RIGHT(Formulas!Z166)+2),"$",""))&amp;Formulas!X166+1,
IFERROR(INDEX(Datos!$A$2:$L$101,Formulas!X166,RIGHT(Formulas!Z166)+2),"")))</f>
        <v/>
      </c>
      <c r="Y169" s="107" t="str" cm="1">
        <f t="array" aca="1" ref="Y169" ca="1">IF(OR(Formulas!Z167=0,Formulas!Z167=""),"",HYPERLINK("["&amp;Archivo_Nombre&amp;"]Datos!"&amp;LEFT(SUBSTITUTE(ADDRESS(1,Formulas!Z167+2),"$",""))&amp;Formulas!Y167+1,
IFERROR(INDEX(Datos!$A$2:$L$101,Formulas!Y167,Formulas!Z167+2),"")))</f>
        <v/>
      </c>
      <c r="Z169" s="13"/>
      <c r="AA169" s="6"/>
      <c r="AB169" s="24" t="str" cm="1">
        <f t="array" aca="1" ref="AB169" ca="1">IF(OR(Formulas!AD166=0,Formulas!AD166="",RIGHT(Formulas!AE166)="0"),"",
HYPERLINK("["&amp;Archivo_Nombre&amp;"]Datos!"&amp;LEFT(SUBSTITUTE(ADDRESS(1,IF(Formulas!AD166=1,1,RIGHT(Formulas!AE166)+2)),"$",""))&amp;Formulas!AC166+1,
IFERROR(INDEX(Datos!$A$1:$L$1,1,RIGHT(Formulas!AE166)+2)&amp;IF(Formulas!AD166=1," "&amp;Formulas!AC166,"")&amp;":","")))</f>
        <v/>
      </c>
      <c r="AC169" s="107" t="str" cm="1">
        <f t="array" aca="1" ref="AC169" ca="1">IF(OR(Formulas!AD166=0,Formulas!AD166="",RIGHT(Formulas!AE166)="0"),"",
HYPERLINK("["&amp;Archivo_Nombre&amp;"]Datos!"&amp;LEFT(SUBSTITUTE(ADDRESS(1,RIGHT(Formulas!AE166)+2),"$",""))&amp;Formulas!AC166+1,
IFERROR(INDEX(Datos!$A$2:$L$101,Formulas!AC166,RIGHT(Formulas!AE166)+2),"")))</f>
        <v/>
      </c>
      <c r="AD169" s="107" t="str" cm="1">
        <f t="array" aca="1" ref="AD169" ca="1">IF(OR(Formulas!AE167=0,Formulas!AE167=""),"",HYPERLINK("["&amp;Archivo_Nombre&amp;"]Datos!"&amp;LEFT(SUBSTITUTE(ADDRESS(1,Formulas!AE167+2),"$",""))&amp;Formulas!AD167+1,
IFERROR(INDEX(Datos!$A$2:$L$101,Formulas!AD167,Formulas!AE167+2),"")))</f>
        <v/>
      </c>
      <c r="AE169" s="13"/>
      <c r="AF169" s="6"/>
      <c r="AG169" s="24" t="str" cm="1">
        <f t="array" aca="1" ref="AG169" ca="1">IF(OR(Formulas!AI166=0,Formulas!AI166="",RIGHT(Formulas!AJ166)="0"),"",
HYPERLINK("["&amp;Archivo_Nombre&amp;"]Datos!"&amp;LEFT(SUBSTITUTE(ADDRESS(1,IF(Formulas!AI166=1,1,RIGHT(Formulas!AJ166)+2)),"$",""))&amp;Formulas!AH166+1,
IFERROR(INDEX(Datos!$A$1:$L$1,1,RIGHT(Formulas!AJ166)+2)&amp;IF(Formulas!AI166=1," "&amp;Formulas!AH166,"")&amp;":","")))</f>
        <v/>
      </c>
      <c r="AH169" s="107" t="str" cm="1">
        <f t="array" aca="1" ref="AH169" ca="1">IF(OR(Formulas!AI166=0,Formulas!AI166="",RIGHT(Formulas!AJ166)="0"),"",
HYPERLINK("["&amp;Archivo_Nombre&amp;"]Datos!"&amp;LEFT(SUBSTITUTE(ADDRESS(1,RIGHT(Formulas!AJ166)+2),"$",""))&amp;Formulas!AH166+1,
IFERROR(INDEX(Datos!$A$2:$L$101,Formulas!AH166,RIGHT(Formulas!AJ166)+2),"")))</f>
        <v/>
      </c>
      <c r="AI169" s="107" t="str" cm="1">
        <f t="array" aca="1" ref="AI169" ca="1">IF(OR(Formulas!AJ167=0,Formulas!AJ167=""),"",HYPERLINK("["&amp;Archivo_Nombre&amp;"]Datos!"&amp;LEFT(SUBSTITUTE(ADDRESS(1,Formulas!AJ167+2),"$",""))&amp;Formulas!AI167+1,
IFERROR(INDEX(Datos!$A$2:$L$101,Formulas!AI167,Formulas!AJ167+2),"")))</f>
        <v/>
      </c>
      <c r="AJ169" s="13"/>
      <c r="AK169" s="6"/>
      <c r="AL169" s="24" t="str" cm="1">
        <f t="array" aca="1" ref="AL169" ca="1">IF(OR(Formulas!AN166=0,Formulas!AN166="",RIGHT(Formulas!AO166)="0"),"",
HYPERLINK("["&amp;Archivo_Nombre&amp;"]Datos!"&amp;LEFT(SUBSTITUTE(ADDRESS(1,IF(Formulas!AN166=1,1,RIGHT(Formulas!AO166)+2)),"$",""))&amp;Formulas!AM166+1,
IFERROR(INDEX(Datos!$A$1:$L$1,1,RIGHT(Formulas!AO166)+2)&amp;IF(Formulas!AN166=1," "&amp;Formulas!AM166,"")&amp;":","")))</f>
        <v/>
      </c>
      <c r="AM169" s="107" t="str" cm="1">
        <f t="array" aca="1" ref="AM169" ca="1">IF(OR(Formulas!AN166=0,Formulas!AN166="",RIGHT(Formulas!AO166)="0"),"",
HYPERLINK("["&amp;Archivo_Nombre&amp;"]Datos!"&amp;LEFT(SUBSTITUTE(ADDRESS(1,RIGHT(Formulas!AO166)+2),"$",""))&amp;Formulas!AM166+1,
IFERROR(INDEX(Datos!$A$2:$L$101,Formulas!AM166,RIGHT(Formulas!AO166)+2),"")))</f>
        <v/>
      </c>
      <c r="AN169" s="107" t="str" cm="1">
        <f t="array" aca="1" ref="AN169" ca="1">IF(OR(Formulas!AO167=0,Formulas!AO167=""),"",HYPERLINK("["&amp;Archivo_Nombre&amp;"]Datos!"&amp;LEFT(SUBSTITUTE(ADDRESS(1,Formulas!AO167+2),"$",""))&amp;Formulas!AN167+1,
IFERROR(INDEX(Datos!$A$2:$L$101,Formulas!AN167,Formulas!AO167+2),"")))</f>
        <v/>
      </c>
      <c r="AO169" s="13"/>
      <c r="AP169" s="6"/>
      <c r="AQ169" s="24" t="str" cm="1">
        <f t="array" aca="1" ref="AQ169" ca="1">IF(OR(Formulas!AS166=0,Formulas!AS166="",RIGHT(Formulas!AT166)="0"),"",
HYPERLINK("["&amp;Archivo_Nombre&amp;"]Datos!"&amp;LEFT(SUBSTITUTE(ADDRESS(1,IF(Formulas!AS166=1,1,RIGHT(Formulas!AT166)+2)),"$",""))&amp;Formulas!AR166+1,
IFERROR(INDEX(Datos!$A$1:$L$1,1,RIGHT(Formulas!AT166)+2)&amp;IF(Formulas!AS166=1," "&amp;Formulas!AR166,"")&amp;":","")))</f>
        <v/>
      </c>
      <c r="AR169" s="107" t="str" cm="1">
        <f t="array" aca="1" ref="AR169" ca="1">IF(OR(Formulas!AS166=0,Formulas!AS166="",RIGHT(Formulas!AT166)="0"),"",
HYPERLINK("["&amp;Archivo_Nombre&amp;"]Datos!"&amp;LEFT(SUBSTITUTE(ADDRESS(1,RIGHT(Formulas!AT166)+2),"$",""))&amp;Formulas!AR166+1,
IFERROR(INDEX(Datos!$A$2:$L$101,Formulas!AR166,RIGHT(Formulas!AT166)+2),"")))</f>
        <v/>
      </c>
      <c r="AS169" s="107" t="str" cm="1">
        <f t="array" aca="1" ref="AS169" ca="1">IF(OR(Formulas!AT167=0,Formulas!AT167=""),"",HYPERLINK("["&amp;Archivo_Nombre&amp;"]Datos!"&amp;LEFT(SUBSTITUTE(ADDRESS(1,Formulas!AT167+2),"$",""))&amp;Formulas!AS167+1,
IFERROR(INDEX(Datos!$A$2:$L$101,Formulas!AS167,Formulas!AT167+2),"")))</f>
        <v/>
      </c>
      <c r="AT169" s="13"/>
      <c r="AU169" s="6"/>
      <c r="AV169" s="24" t="str" cm="1">
        <f t="array" aca="1" ref="AV169" ca="1">IF(OR(Formulas!AX166=0,Formulas!AX166="",RIGHT(Formulas!AY166)="0"),"",
HYPERLINK("["&amp;Archivo_Nombre&amp;"]Datos!"&amp;LEFT(SUBSTITUTE(ADDRESS(1,IF(Formulas!AX166=1,1,RIGHT(Formulas!AY166)+2)),"$",""))&amp;Formulas!AW166+1,
IFERROR(INDEX(Datos!$A$1:$L$1,1,RIGHT(Formulas!AY166)+2)&amp;IF(Formulas!AX166=1," "&amp;Formulas!AW166,"")&amp;":","")))</f>
        <v/>
      </c>
      <c r="AW169" s="107" t="str" cm="1">
        <f t="array" aca="1" ref="AW169" ca="1">IF(OR(Formulas!AX166=0,Formulas!AX166="",RIGHT(Formulas!AY166)="0"),"",
HYPERLINK("["&amp;Archivo_Nombre&amp;"]Datos!"&amp;LEFT(SUBSTITUTE(ADDRESS(1,RIGHT(Formulas!AY166)+2),"$",""))&amp;Formulas!AW166+1,
IFERROR(INDEX(Datos!$A$2:$L$101,Formulas!AW166,RIGHT(Formulas!AY166)+2),"")))</f>
        <v/>
      </c>
      <c r="AX169" s="107" t="str" cm="1">
        <f t="array" aca="1" ref="AX169" ca="1">IF(OR(Formulas!AY167=0,Formulas!AY167=""),"",HYPERLINK("["&amp;Archivo_Nombre&amp;"]Datos!"&amp;LEFT(SUBSTITUTE(ADDRESS(1,Formulas!AY167+2),"$",""))&amp;Formulas!AX167+1,
IFERROR(INDEX(Datos!$A$2:$L$101,Formulas!AX167,Formulas!AY167+2),"")))</f>
        <v/>
      </c>
      <c r="AY169" s="13"/>
    </row>
    <row r="170" spans="2:51" x14ac:dyDescent="0.25">
      <c r="B170" s="11"/>
      <c r="C170" s="24" t="str" cm="1">
        <f t="array" aca="1" ref="C170" ca="1">IF(OR(Formulas!E167=0,Formulas!E167="",RIGHT(Formulas!F167)="0"),"",
HYPERLINK("["&amp;Archivo_Nombre&amp;"]Datos!"&amp;LEFT(SUBSTITUTE(ADDRESS(1,IF(Formulas!E167=1,1,RIGHT(Formulas!F167)+2)),"$",""))&amp;Formulas!D167+1,
IFERROR(INDEX(Datos!$A$1:$L$1,1,RIGHT(Formulas!F167)+2)&amp;IF(Formulas!E167=1," "&amp;Formulas!D167,"")&amp;":","")))</f>
        <v/>
      </c>
      <c r="D170" s="107" t="str" cm="1">
        <f t="array" aca="1" ref="D170" ca="1">IF(OR(Formulas!E167=0,Formulas!E167="",RIGHT(Formulas!F167)="0"),"",
HYPERLINK("["&amp;Archivo_Nombre&amp;"]Datos!"&amp;LEFT(SUBSTITUTE(ADDRESS(1,RIGHT(Formulas!F167)+2),"$",""))&amp;Formulas!D167+1,
IFERROR(INDEX(Datos!$A$2:$L$101,Formulas!D167,RIGHT(Formulas!F167)+2),"")))</f>
        <v/>
      </c>
      <c r="E170" s="107" t="str" cm="1">
        <f t="array" aca="1" ref="E170" ca="1">IF(OR(Formulas!F168=0,Formulas!F168=""),"",HYPERLINK("["&amp;Archivo_Nombre&amp;"]Datos!"&amp;LEFT(SUBSTITUTE(ADDRESS(1,Formulas!F168+2),"$",""))&amp;Formulas!E168+1,
IFERROR(INDEX(Datos!$A$2:$L$101,Formulas!E168,Formulas!F168+2),"")))</f>
        <v/>
      </c>
      <c r="F170" s="5"/>
      <c r="G170" s="6"/>
      <c r="H170" s="24" t="str" cm="1">
        <f t="array" aca="1" ref="H170" ca="1">IF(OR(Formulas!J167=0,Formulas!J167="",RIGHT(Formulas!K167)="0"),"",
HYPERLINK("["&amp;Archivo_Nombre&amp;"]Datos!"&amp;LEFT(SUBSTITUTE(ADDRESS(1,IF(Formulas!J167=1,1,RIGHT(Formulas!K167)+2)),"$",""))&amp;Formulas!I167+1,
IFERROR(INDEX(Datos!$A$1:$L$1,1,RIGHT(Formulas!K167)+2)&amp;IF(Formulas!J167=1," "&amp;Formulas!I167,"")&amp;":","")))</f>
        <v/>
      </c>
      <c r="I170" s="107" t="str" cm="1">
        <f t="array" aca="1" ref="I170" ca="1">IF(OR(Formulas!J167=0,Formulas!J167="",RIGHT(Formulas!K167)="0"),"",
HYPERLINK("["&amp;Archivo_Nombre&amp;"]Datos!"&amp;LEFT(SUBSTITUTE(ADDRESS(1,RIGHT(Formulas!K167)+2),"$",""))&amp;Formulas!I167+1,
IFERROR(INDEX(Datos!$A$2:$L$101,Formulas!I167,RIGHT(Formulas!K167)+2),"")))</f>
        <v/>
      </c>
      <c r="J170" s="107" t="str" cm="1">
        <f t="array" aca="1" ref="J170" ca="1">IF(OR(Formulas!K168=0,Formulas!K168=""),"",HYPERLINK("["&amp;Archivo_Nombre&amp;"]Datos!"&amp;LEFT(SUBSTITUTE(ADDRESS(1,Formulas!K168+2),"$",""))&amp;Formulas!J168+1,
IFERROR(INDEX(Datos!$A$2:$L$101,Formulas!J168,Formulas!K168+2),"")))</f>
        <v/>
      </c>
      <c r="K170" s="5"/>
      <c r="L170" s="6"/>
      <c r="M170" s="24" t="str" cm="1">
        <f t="array" aca="1" ref="M170" ca="1">IF(OR(Formulas!O167=0,Formulas!O167="",RIGHT(Formulas!P167)="0"),"",
HYPERLINK("["&amp;Archivo_Nombre&amp;"]Datos!"&amp;LEFT(SUBSTITUTE(ADDRESS(1,IF(Formulas!O167=1,1,RIGHT(Formulas!P167)+2)),"$",""))&amp;Formulas!N167+1,
IFERROR(INDEX(Datos!$A$1:$L$1,1,RIGHT(Formulas!P167)+2)&amp;IF(Formulas!O167=1," "&amp;Formulas!N167,"")&amp;":","")))</f>
        <v/>
      </c>
      <c r="N170" s="107" t="str" cm="1">
        <f t="array" aca="1" ref="N170" ca="1">IF(OR(Formulas!O167=0,Formulas!O167="",RIGHT(Formulas!P167)="0"),"",
HYPERLINK("["&amp;Archivo_Nombre&amp;"]Datos!"&amp;LEFT(SUBSTITUTE(ADDRESS(1,RIGHT(Formulas!P167)+2),"$",""))&amp;Formulas!N167+1,
IFERROR(INDEX(Datos!$A$2:$L$101,Formulas!N167,RIGHT(Formulas!P167)+2),"")))</f>
        <v/>
      </c>
      <c r="O170" s="107" t="str" cm="1">
        <f t="array" aca="1" ref="O170" ca="1">IF(OR(Formulas!P168=0,Formulas!P168=""),"",HYPERLINK("["&amp;Archivo_Nombre&amp;"]Datos!"&amp;LEFT(SUBSTITUTE(ADDRESS(1,Formulas!P168+2),"$",""))&amp;Formulas!O168+1,
IFERROR(INDEX(Datos!$A$2:$L$101,Formulas!O168,Formulas!P168+2),"")))</f>
        <v/>
      </c>
      <c r="P170" s="5"/>
      <c r="Q170" s="6"/>
      <c r="R170" s="24" t="str" cm="1">
        <f t="array" aca="1" ref="R170" ca="1">IF(OR(Formulas!T167=0,Formulas!T167="",RIGHT(Formulas!U167)="0"),"",
HYPERLINK("["&amp;Archivo_Nombre&amp;"]Datos!"&amp;LEFT(SUBSTITUTE(ADDRESS(1,IF(Formulas!T167=1,1,RIGHT(Formulas!U167)+2)),"$",""))&amp;Formulas!S167+1,
IFERROR(INDEX(Datos!$A$1:$L$1,1,RIGHT(Formulas!U167)+2)&amp;IF(Formulas!T167=1," "&amp;Formulas!S167,"")&amp;":","")))</f>
        <v>Previsto:</v>
      </c>
      <c r="S170" s="107" cm="1">
        <f t="array" aca="1" ref="S170" ca="1">IF(OR(Formulas!T167=0,Formulas!T167="",RIGHT(Formulas!U167)="0"),"",
HYPERLINK("["&amp;Archivo_Nombre&amp;"]Datos!"&amp;LEFT(SUBSTITUTE(ADDRESS(1,RIGHT(Formulas!U167)+2),"$",""))&amp;Formulas!S167+1,
IFERROR(INDEX(Datos!$A$2:$L$101,Formulas!S167,RIGHT(Formulas!U167)+2),"")))</f>
        <v>45795</v>
      </c>
      <c r="T170" s="107" t="e" cm="1">
        <f t="array" aca="1" ref="T170" ca="1">IF(OR(Formulas!U168=0,Formulas!U168=""),"",HYPERLINK("["&amp;Archivo_Nombre&amp;"]Datos!"&amp;LEFT(SUBSTITUTE(ADDRESS(1,Formulas!U168+2),"$",""))&amp;Formulas!T168+1,
IFERROR(INDEX(Datos!$A$2:$L$101,Formulas!T168,Formulas!U168+2),"")))</f>
        <v>#VALUE!</v>
      </c>
      <c r="U170" s="5"/>
      <c r="V170" s="6"/>
      <c r="W170" s="24" t="str" cm="1">
        <f t="array" aca="1" ref="W170" ca="1">IF(OR(Formulas!Y167=0,Formulas!Y167="",RIGHT(Formulas!Z167)="0"),"",
HYPERLINK("["&amp;Archivo_Nombre&amp;"]Datos!"&amp;LEFT(SUBSTITUTE(ADDRESS(1,IF(Formulas!Y167=1,1,RIGHT(Formulas!Z167)+2)),"$",""))&amp;Formulas!X167+1,
IFERROR(INDEX(Datos!$A$1:$L$1,1,RIGHT(Formulas!Z167)+2)&amp;IF(Formulas!Y167=1," "&amp;Formulas!X167,"")&amp;":","")))</f>
        <v/>
      </c>
      <c r="X170" s="107" t="str" cm="1">
        <f t="array" aca="1" ref="X170" ca="1">IF(OR(Formulas!Y167=0,Formulas!Y167="",RIGHT(Formulas!Z167)="0"),"",
HYPERLINK("["&amp;Archivo_Nombre&amp;"]Datos!"&amp;LEFT(SUBSTITUTE(ADDRESS(1,RIGHT(Formulas!Z167)+2),"$",""))&amp;Formulas!X167+1,
IFERROR(INDEX(Datos!$A$2:$L$101,Formulas!X167,RIGHT(Formulas!Z167)+2),"")))</f>
        <v/>
      </c>
      <c r="Y170" s="107" t="str" cm="1">
        <f t="array" aca="1" ref="Y170" ca="1">IF(OR(Formulas!Z168=0,Formulas!Z168=""),"",HYPERLINK("["&amp;Archivo_Nombre&amp;"]Datos!"&amp;LEFT(SUBSTITUTE(ADDRESS(1,Formulas!Z168+2),"$",""))&amp;Formulas!Y168+1,
IFERROR(INDEX(Datos!$A$2:$L$101,Formulas!Y168,Formulas!Z168+2),"")))</f>
        <v/>
      </c>
      <c r="Z170" s="13"/>
      <c r="AA170" s="6"/>
      <c r="AB170" s="24" t="str" cm="1">
        <f t="array" aca="1" ref="AB170" ca="1">IF(OR(Formulas!AD167=0,Formulas!AD167="",RIGHT(Formulas!AE167)="0"),"",
HYPERLINK("["&amp;Archivo_Nombre&amp;"]Datos!"&amp;LEFT(SUBSTITUTE(ADDRESS(1,IF(Formulas!AD167=1,1,RIGHT(Formulas!AE167)+2)),"$",""))&amp;Formulas!AC167+1,
IFERROR(INDEX(Datos!$A$1:$L$1,1,RIGHT(Formulas!AE167)+2)&amp;IF(Formulas!AD167=1," "&amp;Formulas!AC167,"")&amp;":","")))</f>
        <v/>
      </c>
      <c r="AC170" s="107" t="str" cm="1">
        <f t="array" aca="1" ref="AC170" ca="1">IF(OR(Formulas!AD167=0,Formulas!AD167="",RIGHT(Formulas!AE167)="0"),"",
HYPERLINK("["&amp;Archivo_Nombre&amp;"]Datos!"&amp;LEFT(SUBSTITUTE(ADDRESS(1,RIGHT(Formulas!AE167)+2),"$",""))&amp;Formulas!AC167+1,
IFERROR(INDEX(Datos!$A$2:$L$101,Formulas!AC167,RIGHT(Formulas!AE167)+2),"")))</f>
        <v/>
      </c>
      <c r="AD170" s="107" t="str" cm="1">
        <f t="array" aca="1" ref="AD170" ca="1">IF(OR(Formulas!AE168=0,Formulas!AE168=""),"",HYPERLINK("["&amp;Archivo_Nombre&amp;"]Datos!"&amp;LEFT(SUBSTITUTE(ADDRESS(1,Formulas!AE168+2),"$",""))&amp;Formulas!AD168+1,
IFERROR(INDEX(Datos!$A$2:$L$101,Formulas!AD168,Formulas!AE168+2),"")))</f>
        <v/>
      </c>
      <c r="AE170" s="13"/>
      <c r="AF170" s="6"/>
      <c r="AG170" s="24" t="str" cm="1">
        <f t="array" aca="1" ref="AG170" ca="1">IF(OR(Formulas!AI167=0,Formulas!AI167="",RIGHT(Formulas!AJ167)="0"),"",
HYPERLINK("["&amp;Archivo_Nombre&amp;"]Datos!"&amp;LEFT(SUBSTITUTE(ADDRESS(1,IF(Formulas!AI167=1,1,RIGHT(Formulas!AJ167)+2)),"$",""))&amp;Formulas!AH167+1,
IFERROR(INDEX(Datos!$A$1:$L$1,1,RIGHT(Formulas!AJ167)+2)&amp;IF(Formulas!AI167=1," "&amp;Formulas!AH167,"")&amp;":","")))</f>
        <v/>
      </c>
      <c r="AH170" s="107" t="str" cm="1">
        <f t="array" aca="1" ref="AH170" ca="1">IF(OR(Formulas!AI167=0,Formulas!AI167="",RIGHT(Formulas!AJ167)="0"),"",
HYPERLINK("["&amp;Archivo_Nombre&amp;"]Datos!"&amp;LEFT(SUBSTITUTE(ADDRESS(1,RIGHT(Formulas!AJ167)+2),"$",""))&amp;Formulas!AH167+1,
IFERROR(INDEX(Datos!$A$2:$L$101,Formulas!AH167,RIGHT(Formulas!AJ167)+2),"")))</f>
        <v/>
      </c>
      <c r="AI170" s="107" t="str" cm="1">
        <f t="array" aca="1" ref="AI170" ca="1">IF(OR(Formulas!AJ168=0,Formulas!AJ168=""),"",HYPERLINK("["&amp;Archivo_Nombre&amp;"]Datos!"&amp;LEFT(SUBSTITUTE(ADDRESS(1,Formulas!AJ168+2),"$",""))&amp;Formulas!AI168+1,
IFERROR(INDEX(Datos!$A$2:$L$101,Formulas!AI168,Formulas!AJ168+2),"")))</f>
        <v/>
      </c>
      <c r="AJ170" s="13"/>
      <c r="AK170" s="6"/>
      <c r="AL170" s="24" t="str" cm="1">
        <f t="array" aca="1" ref="AL170" ca="1">IF(OR(Formulas!AN167=0,Formulas!AN167="",RIGHT(Formulas!AO167)="0"),"",
HYPERLINK("["&amp;Archivo_Nombre&amp;"]Datos!"&amp;LEFT(SUBSTITUTE(ADDRESS(1,IF(Formulas!AN167=1,1,RIGHT(Formulas!AO167)+2)),"$",""))&amp;Formulas!AM167+1,
IFERROR(INDEX(Datos!$A$1:$L$1,1,RIGHT(Formulas!AO167)+2)&amp;IF(Formulas!AN167=1," "&amp;Formulas!AM167,"")&amp;":","")))</f>
        <v/>
      </c>
      <c r="AM170" s="107" t="str" cm="1">
        <f t="array" aca="1" ref="AM170" ca="1">IF(OR(Formulas!AN167=0,Formulas!AN167="",RIGHT(Formulas!AO167)="0"),"",
HYPERLINK("["&amp;Archivo_Nombre&amp;"]Datos!"&amp;LEFT(SUBSTITUTE(ADDRESS(1,RIGHT(Formulas!AO167)+2),"$",""))&amp;Formulas!AM167+1,
IFERROR(INDEX(Datos!$A$2:$L$101,Formulas!AM167,RIGHT(Formulas!AO167)+2),"")))</f>
        <v/>
      </c>
      <c r="AN170" s="107" t="str" cm="1">
        <f t="array" aca="1" ref="AN170" ca="1">IF(OR(Formulas!AO168=0,Formulas!AO168=""),"",HYPERLINK("["&amp;Archivo_Nombre&amp;"]Datos!"&amp;LEFT(SUBSTITUTE(ADDRESS(1,Formulas!AO168+2),"$",""))&amp;Formulas!AN168+1,
IFERROR(INDEX(Datos!$A$2:$L$101,Formulas!AN168,Formulas!AO168+2),"")))</f>
        <v/>
      </c>
      <c r="AO170" s="13"/>
      <c r="AP170" s="6"/>
      <c r="AQ170" s="24" t="str" cm="1">
        <f t="array" aca="1" ref="AQ170" ca="1">IF(OR(Formulas!AS167=0,Formulas!AS167="",RIGHT(Formulas!AT167)="0"),"",
HYPERLINK("["&amp;Archivo_Nombre&amp;"]Datos!"&amp;LEFT(SUBSTITUTE(ADDRESS(1,IF(Formulas!AS167=1,1,RIGHT(Formulas!AT167)+2)),"$",""))&amp;Formulas!AR167+1,
IFERROR(INDEX(Datos!$A$1:$L$1,1,RIGHT(Formulas!AT167)+2)&amp;IF(Formulas!AS167=1," "&amp;Formulas!AR167,"")&amp;":","")))</f>
        <v/>
      </c>
      <c r="AR170" s="107" t="str" cm="1">
        <f t="array" aca="1" ref="AR170" ca="1">IF(OR(Formulas!AS167=0,Formulas!AS167="",RIGHT(Formulas!AT167)="0"),"",
HYPERLINK("["&amp;Archivo_Nombre&amp;"]Datos!"&amp;LEFT(SUBSTITUTE(ADDRESS(1,RIGHT(Formulas!AT167)+2),"$",""))&amp;Formulas!AR167+1,
IFERROR(INDEX(Datos!$A$2:$L$101,Formulas!AR167,RIGHT(Formulas!AT167)+2),"")))</f>
        <v/>
      </c>
      <c r="AS170" s="107" t="str" cm="1">
        <f t="array" aca="1" ref="AS170" ca="1">IF(OR(Formulas!AT168=0,Formulas!AT168=""),"",HYPERLINK("["&amp;Archivo_Nombre&amp;"]Datos!"&amp;LEFT(SUBSTITUTE(ADDRESS(1,Formulas!AT168+2),"$",""))&amp;Formulas!AS168+1,
IFERROR(INDEX(Datos!$A$2:$L$101,Formulas!AS168,Formulas!AT168+2),"")))</f>
        <v/>
      </c>
      <c r="AT170" s="13"/>
      <c r="AU170" s="6"/>
      <c r="AV170" s="24" t="str" cm="1">
        <f t="array" aca="1" ref="AV170" ca="1">IF(OR(Formulas!AX167=0,Formulas!AX167="",RIGHT(Formulas!AY167)="0"),"",
HYPERLINK("["&amp;Archivo_Nombre&amp;"]Datos!"&amp;LEFT(SUBSTITUTE(ADDRESS(1,IF(Formulas!AX167=1,1,RIGHT(Formulas!AY167)+2)),"$",""))&amp;Formulas!AW167+1,
IFERROR(INDEX(Datos!$A$1:$L$1,1,RIGHT(Formulas!AY167)+2)&amp;IF(Formulas!AX167=1," "&amp;Formulas!AW167,"")&amp;":","")))</f>
        <v/>
      </c>
      <c r="AW170" s="107" t="str" cm="1">
        <f t="array" aca="1" ref="AW170" ca="1">IF(OR(Formulas!AX167=0,Formulas!AX167="",RIGHT(Formulas!AY167)="0"),"",
HYPERLINK("["&amp;Archivo_Nombre&amp;"]Datos!"&amp;LEFT(SUBSTITUTE(ADDRESS(1,RIGHT(Formulas!AY167)+2),"$",""))&amp;Formulas!AW167+1,
IFERROR(INDEX(Datos!$A$2:$L$101,Formulas!AW167,RIGHT(Formulas!AY167)+2),"")))</f>
        <v/>
      </c>
      <c r="AX170" s="107" t="str" cm="1">
        <f t="array" aca="1" ref="AX170" ca="1">IF(OR(Formulas!AY168=0,Formulas!AY168=""),"",HYPERLINK("["&amp;Archivo_Nombre&amp;"]Datos!"&amp;LEFT(SUBSTITUTE(ADDRESS(1,Formulas!AY168+2),"$",""))&amp;Formulas!AX168+1,
IFERROR(INDEX(Datos!$A$2:$L$101,Formulas!AX168,Formulas!AY168+2),"")))</f>
        <v/>
      </c>
      <c r="AY170" s="13"/>
    </row>
    <row r="171" spans="2:51" x14ac:dyDescent="0.25">
      <c r="B171" s="11"/>
      <c r="C171" s="24" t="str" cm="1">
        <f t="array" aca="1" ref="C171" ca="1">IF(OR(Formulas!E168=0,Formulas!E168="",RIGHT(Formulas!F168)="0"),"",
HYPERLINK("["&amp;Archivo_Nombre&amp;"]Datos!"&amp;LEFT(SUBSTITUTE(ADDRESS(1,IF(Formulas!E168=1,1,RIGHT(Formulas!F168)+2)),"$",""))&amp;Formulas!D168+1,
IFERROR(INDEX(Datos!$A$1:$L$1,1,RIGHT(Formulas!F168)+2)&amp;IF(Formulas!E168=1," "&amp;Formulas!D168,"")&amp;":","")))</f>
        <v/>
      </c>
      <c r="D171" s="107" t="str" cm="1">
        <f t="array" aca="1" ref="D171" ca="1">IF(OR(Formulas!E168=0,Formulas!E168="",RIGHT(Formulas!F168)="0"),"",
HYPERLINK("["&amp;Archivo_Nombre&amp;"]Datos!"&amp;LEFT(SUBSTITUTE(ADDRESS(1,RIGHT(Formulas!F168)+2),"$",""))&amp;Formulas!D168+1,
IFERROR(INDEX(Datos!$A$2:$L$101,Formulas!D168,RIGHT(Formulas!F168)+2),"")))</f>
        <v/>
      </c>
      <c r="E171" s="107" t="str" cm="1">
        <f t="array" aca="1" ref="E171" ca="1">IF(OR(Formulas!F169=0,Formulas!F169=""),"",HYPERLINK("["&amp;Archivo_Nombre&amp;"]Datos!"&amp;LEFT(SUBSTITUTE(ADDRESS(1,Formulas!F169+2),"$",""))&amp;Formulas!E169+1,
IFERROR(INDEX(Datos!$A$2:$L$101,Formulas!E169,Formulas!F169+2),"")))</f>
        <v/>
      </c>
      <c r="F171" s="5"/>
      <c r="G171" s="6"/>
      <c r="H171" s="24" t="str" cm="1">
        <f t="array" aca="1" ref="H171" ca="1">IF(OR(Formulas!J168=0,Formulas!J168="",RIGHT(Formulas!K168)="0"),"",
HYPERLINK("["&amp;Archivo_Nombre&amp;"]Datos!"&amp;LEFT(SUBSTITUTE(ADDRESS(1,IF(Formulas!J168=1,1,RIGHT(Formulas!K168)+2)),"$",""))&amp;Formulas!I168+1,
IFERROR(INDEX(Datos!$A$1:$L$1,1,RIGHT(Formulas!K168)+2)&amp;IF(Formulas!J168=1," "&amp;Formulas!I168,"")&amp;":","")))</f>
        <v/>
      </c>
      <c r="I171" s="107" t="str" cm="1">
        <f t="array" aca="1" ref="I171" ca="1">IF(OR(Formulas!J168=0,Formulas!J168="",RIGHT(Formulas!K168)="0"),"",
HYPERLINK("["&amp;Archivo_Nombre&amp;"]Datos!"&amp;LEFT(SUBSTITUTE(ADDRESS(1,RIGHT(Formulas!K168)+2),"$",""))&amp;Formulas!I168+1,
IFERROR(INDEX(Datos!$A$2:$L$101,Formulas!I168,RIGHT(Formulas!K168)+2),"")))</f>
        <v/>
      </c>
      <c r="J171" s="107" t="str" cm="1">
        <f t="array" aca="1" ref="J171" ca="1">IF(OR(Formulas!K169=0,Formulas!K169=""),"",HYPERLINK("["&amp;Archivo_Nombre&amp;"]Datos!"&amp;LEFT(SUBSTITUTE(ADDRESS(1,Formulas!K169+2),"$",""))&amp;Formulas!J169+1,
IFERROR(INDEX(Datos!$A$2:$L$101,Formulas!J169,Formulas!K169+2),"")))</f>
        <v/>
      </c>
      <c r="K171" s="5"/>
      <c r="L171" s="6"/>
      <c r="M171" s="24" t="str" cm="1">
        <f t="array" aca="1" ref="M171" ca="1">IF(OR(Formulas!O168=0,Formulas!O168="",RIGHT(Formulas!P168)="0"),"",
HYPERLINK("["&amp;Archivo_Nombre&amp;"]Datos!"&amp;LEFT(SUBSTITUTE(ADDRESS(1,IF(Formulas!O168=1,1,RIGHT(Formulas!P168)+2)),"$",""))&amp;Formulas!N168+1,
IFERROR(INDEX(Datos!$A$1:$L$1,1,RIGHT(Formulas!P168)+2)&amp;IF(Formulas!O168=1," "&amp;Formulas!N168,"")&amp;":","")))</f>
        <v/>
      </c>
      <c r="N171" s="107" t="str" cm="1">
        <f t="array" aca="1" ref="N171" ca="1">IF(OR(Formulas!O168=0,Formulas!O168="",RIGHT(Formulas!P168)="0"),"",
HYPERLINK("["&amp;Archivo_Nombre&amp;"]Datos!"&amp;LEFT(SUBSTITUTE(ADDRESS(1,RIGHT(Formulas!P168)+2),"$",""))&amp;Formulas!N168+1,
IFERROR(INDEX(Datos!$A$2:$L$101,Formulas!N168,RIGHT(Formulas!P168)+2),"")))</f>
        <v/>
      </c>
      <c r="O171" s="107" t="str" cm="1">
        <f t="array" aca="1" ref="O171" ca="1">IF(OR(Formulas!P169=0,Formulas!P169=""),"",HYPERLINK("["&amp;Archivo_Nombre&amp;"]Datos!"&amp;LEFT(SUBSTITUTE(ADDRESS(1,Formulas!P169+2),"$",""))&amp;Formulas!O169+1,
IFERROR(INDEX(Datos!$A$2:$L$101,Formulas!O169,Formulas!P169+2),"")))</f>
        <v/>
      </c>
      <c r="P171" s="5"/>
      <c r="Q171" s="6"/>
      <c r="R171" s="24" t="str" cm="1">
        <f t="array" aca="1" ref="R171" ca="1">IF(OR(Formulas!T168=0,Formulas!T168="",RIGHT(Formulas!U168)="0"),"",
HYPERLINK("["&amp;Archivo_Nombre&amp;"]Datos!"&amp;LEFT(SUBSTITUTE(ADDRESS(1,IF(Formulas!T168=1,1,RIGHT(Formulas!U168)+2)),"$",""))&amp;Formulas!S168+1,
IFERROR(INDEX(Datos!$A$1:$L$1,1,RIGHT(Formulas!U168)+2)&amp;IF(Formulas!T168=1," "&amp;Formulas!S168,"")&amp;":","")))</f>
        <v>Final:</v>
      </c>
      <c r="S171" s="107" cm="1">
        <f t="array" aca="1" ref="S171" ca="1">IF(OR(Formulas!T168=0,Formulas!T168="",RIGHT(Formulas!U168)="0"),"",
HYPERLINK("["&amp;Archivo_Nombre&amp;"]Datos!"&amp;LEFT(SUBSTITUTE(ADDRESS(1,RIGHT(Formulas!U168)+2),"$",""))&amp;Formulas!S168+1,
IFERROR(INDEX(Datos!$A$2:$L$101,Formulas!S168,RIGHT(Formulas!U168)+2),"")))</f>
        <v>45795</v>
      </c>
      <c r="T171" s="107" t="e" cm="1">
        <f t="array" aca="1" ref="T171" ca="1">IF(OR(Formulas!U169=0,Formulas!U169=""),"",HYPERLINK("["&amp;Archivo_Nombre&amp;"]Datos!"&amp;LEFT(SUBSTITUTE(ADDRESS(1,Formulas!U169+2),"$",""))&amp;Formulas!T169+1,
IFERROR(INDEX(Datos!$A$2:$L$101,Formulas!T169,Formulas!U169+2),"")))</f>
        <v>#VALUE!</v>
      </c>
      <c r="U171" s="5"/>
      <c r="V171" s="6"/>
      <c r="W171" s="24" t="str" cm="1">
        <f t="array" aca="1" ref="W171" ca="1">IF(OR(Formulas!Y168=0,Formulas!Y168="",RIGHT(Formulas!Z168)="0"),"",
HYPERLINK("["&amp;Archivo_Nombre&amp;"]Datos!"&amp;LEFT(SUBSTITUTE(ADDRESS(1,IF(Formulas!Y168=1,1,RIGHT(Formulas!Z168)+2)),"$",""))&amp;Formulas!X168+1,
IFERROR(INDEX(Datos!$A$1:$L$1,1,RIGHT(Formulas!Z168)+2)&amp;IF(Formulas!Y168=1," "&amp;Formulas!X168,"")&amp;":","")))</f>
        <v/>
      </c>
      <c r="X171" s="107" t="str" cm="1">
        <f t="array" aca="1" ref="X171" ca="1">IF(OR(Formulas!Y168=0,Formulas!Y168="",RIGHT(Formulas!Z168)="0"),"",
HYPERLINK("["&amp;Archivo_Nombre&amp;"]Datos!"&amp;LEFT(SUBSTITUTE(ADDRESS(1,RIGHT(Formulas!Z168)+2),"$",""))&amp;Formulas!X168+1,
IFERROR(INDEX(Datos!$A$2:$L$101,Formulas!X168,RIGHT(Formulas!Z168)+2),"")))</f>
        <v/>
      </c>
      <c r="Y171" s="107" t="str" cm="1">
        <f t="array" aca="1" ref="Y171" ca="1">IF(OR(Formulas!Z169=0,Formulas!Z169=""),"",HYPERLINK("["&amp;Archivo_Nombre&amp;"]Datos!"&amp;LEFT(SUBSTITUTE(ADDRESS(1,Formulas!Z169+2),"$",""))&amp;Formulas!Y169+1,
IFERROR(INDEX(Datos!$A$2:$L$101,Formulas!Y169,Formulas!Z169+2),"")))</f>
        <v/>
      </c>
      <c r="Z171" s="13"/>
      <c r="AA171" s="6"/>
      <c r="AB171" s="24" t="str" cm="1">
        <f t="array" aca="1" ref="AB171" ca="1">IF(OR(Formulas!AD168=0,Formulas!AD168="",RIGHT(Formulas!AE168)="0"),"",
HYPERLINK("["&amp;Archivo_Nombre&amp;"]Datos!"&amp;LEFT(SUBSTITUTE(ADDRESS(1,IF(Formulas!AD168=1,1,RIGHT(Formulas!AE168)+2)),"$",""))&amp;Formulas!AC168+1,
IFERROR(INDEX(Datos!$A$1:$L$1,1,RIGHT(Formulas!AE168)+2)&amp;IF(Formulas!AD168=1," "&amp;Formulas!AC168,"")&amp;":","")))</f>
        <v/>
      </c>
      <c r="AC171" s="107" t="str" cm="1">
        <f t="array" aca="1" ref="AC171" ca="1">IF(OR(Formulas!AD168=0,Formulas!AD168="",RIGHT(Formulas!AE168)="0"),"",
HYPERLINK("["&amp;Archivo_Nombre&amp;"]Datos!"&amp;LEFT(SUBSTITUTE(ADDRESS(1,RIGHT(Formulas!AE168)+2),"$",""))&amp;Formulas!AC168+1,
IFERROR(INDEX(Datos!$A$2:$L$101,Formulas!AC168,RIGHT(Formulas!AE168)+2),"")))</f>
        <v/>
      </c>
      <c r="AD171" s="107" t="str" cm="1">
        <f t="array" aca="1" ref="AD171" ca="1">IF(OR(Formulas!AE169=0,Formulas!AE169=""),"",HYPERLINK("["&amp;Archivo_Nombre&amp;"]Datos!"&amp;LEFT(SUBSTITUTE(ADDRESS(1,Formulas!AE169+2),"$",""))&amp;Formulas!AD169+1,
IFERROR(INDEX(Datos!$A$2:$L$101,Formulas!AD169,Formulas!AE169+2),"")))</f>
        <v/>
      </c>
      <c r="AE171" s="13"/>
      <c r="AF171" s="6"/>
      <c r="AG171" s="24" t="str" cm="1">
        <f t="array" aca="1" ref="AG171" ca="1">IF(OR(Formulas!AI168=0,Formulas!AI168="",RIGHT(Formulas!AJ168)="0"),"",
HYPERLINK("["&amp;Archivo_Nombre&amp;"]Datos!"&amp;LEFT(SUBSTITUTE(ADDRESS(1,IF(Formulas!AI168=1,1,RIGHT(Formulas!AJ168)+2)),"$",""))&amp;Formulas!AH168+1,
IFERROR(INDEX(Datos!$A$1:$L$1,1,RIGHT(Formulas!AJ168)+2)&amp;IF(Formulas!AI168=1," "&amp;Formulas!AH168,"")&amp;":","")))</f>
        <v/>
      </c>
      <c r="AH171" s="107" t="str" cm="1">
        <f t="array" aca="1" ref="AH171" ca="1">IF(OR(Formulas!AI168=0,Formulas!AI168="",RIGHT(Formulas!AJ168)="0"),"",
HYPERLINK("["&amp;Archivo_Nombre&amp;"]Datos!"&amp;LEFT(SUBSTITUTE(ADDRESS(1,RIGHT(Formulas!AJ168)+2),"$",""))&amp;Formulas!AH168+1,
IFERROR(INDEX(Datos!$A$2:$L$101,Formulas!AH168,RIGHT(Formulas!AJ168)+2),"")))</f>
        <v/>
      </c>
      <c r="AI171" s="107" t="str" cm="1">
        <f t="array" aca="1" ref="AI171" ca="1">IF(OR(Formulas!AJ169=0,Formulas!AJ169=""),"",HYPERLINK("["&amp;Archivo_Nombre&amp;"]Datos!"&amp;LEFT(SUBSTITUTE(ADDRESS(1,Formulas!AJ169+2),"$",""))&amp;Formulas!AI169+1,
IFERROR(INDEX(Datos!$A$2:$L$101,Formulas!AI169,Formulas!AJ169+2),"")))</f>
        <v/>
      </c>
      <c r="AJ171" s="13"/>
      <c r="AK171" s="6"/>
      <c r="AL171" s="24" t="str" cm="1">
        <f t="array" aca="1" ref="AL171" ca="1">IF(OR(Formulas!AN168=0,Formulas!AN168="",RIGHT(Formulas!AO168)="0"),"",
HYPERLINK("["&amp;Archivo_Nombre&amp;"]Datos!"&amp;LEFT(SUBSTITUTE(ADDRESS(1,IF(Formulas!AN168=1,1,RIGHT(Formulas!AO168)+2)),"$",""))&amp;Formulas!AM168+1,
IFERROR(INDEX(Datos!$A$1:$L$1,1,RIGHT(Formulas!AO168)+2)&amp;IF(Formulas!AN168=1," "&amp;Formulas!AM168,"")&amp;":","")))</f>
        <v/>
      </c>
      <c r="AM171" s="107" t="str" cm="1">
        <f t="array" aca="1" ref="AM171" ca="1">IF(OR(Formulas!AN168=0,Formulas!AN168="",RIGHT(Formulas!AO168)="0"),"",
HYPERLINK("["&amp;Archivo_Nombre&amp;"]Datos!"&amp;LEFT(SUBSTITUTE(ADDRESS(1,RIGHT(Formulas!AO168)+2),"$",""))&amp;Formulas!AM168+1,
IFERROR(INDEX(Datos!$A$2:$L$101,Formulas!AM168,RIGHT(Formulas!AO168)+2),"")))</f>
        <v/>
      </c>
      <c r="AN171" s="107" t="str" cm="1">
        <f t="array" aca="1" ref="AN171" ca="1">IF(OR(Formulas!AO169=0,Formulas!AO169=""),"",HYPERLINK("["&amp;Archivo_Nombre&amp;"]Datos!"&amp;LEFT(SUBSTITUTE(ADDRESS(1,Formulas!AO169+2),"$",""))&amp;Formulas!AN169+1,
IFERROR(INDEX(Datos!$A$2:$L$101,Formulas!AN169,Formulas!AO169+2),"")))</f>
        <v/>
      </c>
      <c r="AO171" s="13"/>
      <c r="AP171" s="6"/>
      <c r="AQ171" s="24" t="str" cm="1">
        <f t="array" aca="1" ref="AQ171" ca="1">IF(OR(Formulas!AS168=0,Formulas!AS168="",RIGHT(Formulas!AT168)="0"),"",
HYPERLINK("["&amp;Archivo_Nombre&amp;"]Datos!"&amp;LEFT(SUBSTITUTE(ADDRESS(1,IF(Formulas!AS168=1,1,RIGHT(Formulas!AT168)+2)),"$",""))&amp;Formulas!AR168+1,
IFERROR(INDEX(Datos!$A$1:$L$1,1,RIGHT(Formulas!AT168)+2)&amp;IF(Formulas!AS168=1," "&amp;Formulas!AR168,"")&amp;":","")))</f>
        <v/>
      </c>
      <c r="AR171" s="107" t="str" cm="1">
        <f t="array" aca="1" ref="AR171" ca="1">IF(OR(Formulas!AS168=0,Formulas!AS168="",RIGHT(Formulas!AT168)="0"),"",
HYPERLINK("["&amp;Archivo_Nombre&amp;"]Datos!"&amp;LEFT(SUBSTITUTE(ADDRESS(1,RIGHT(Formulas!AT168)+2),"$",""))&amp;Formulas!AR168+1,
IFERROR(INDEX(Datos!$A$2:$L$101,Formulas!AR168,RIGHT(Formulas!AT168)+2),"")))</f>
        <v/>
      </c>
      <c r="AS171" s="107" t="str" cm="1">
        <f t="array" aca="1" ref="AS171" ca="1">IF(OR(Formulas!AT169=0,Formulas!AT169=""),"",HYPERLINK("["&amp;Archivo_Nombre&amp;"]Datos!"&amp;LEFT(SUBSTITUTE(ADDRESS(1,Formulas!AT169+2),"$",""))&amp;Formulas!AS169+1,
IFERROR(INDEX(Datos!$A$2:$L$101,Formulas!AS169,Formulas!AT169+2),"")))</f>
        <v/>
      </c>
      <c r="AT171" s="13"/>
      <c r="AU171" s="6"/>
      <c r="AV171" s="24" t="str" cm="1">
        <f t="array" aca="1" ref="AV171" ca="1">IF(OR(Formulas!AX168=0,Formulas!AX168="",RIGHT(Formulas!AY168)="0"),"",
HYPERLINK("["&amp;Archivo_Nombre&amp;"]Datos!"&amp;LEFT(SUBSTITUTE(ADDRESS(1,IF(Formulas!AX168=1,1,RIGHT(Formulas!AY168)+2)),"$",""))&amp;Formulas!AW168+1,
IFERROR(INDEX(Datos!$A$1:$L$1,1,RIGHT(Formulas!AY168)+2)&amp;IF(Formulas!AX168=1," "&amp;Formulas!AW168,"")&amp;":","")))</f>
        <v/>
      </c>
      <c r="AW171" s="107" t="str" cm="1">
        <f t="array" aca="1" ref="AW171" ca="1">IF(OR(Formulas!AX168=0,Formulas!AX168="",RIGHT(Formulas!AY168)="0"),"",
HYPERLINK("["&amp;Archivo_Nombre&amp;"]Datos!"&amp;LEFT(SUBSTITUTE(ADDRESS(1,RIGHT(Formulas!AY168)+2),"$",""))&amp;Formulas!AW168+1,
IFERROR(INDEX(Datos!$A$2:$L$101,Formulas!AW168,RIGHT(Formulas!AY168)+2),"")))</f>
        <v/>
      </c>
      <c r="AX171" s="107" t="str" cm="1">
        <f t="array" aca="1" ref="AX171" ca="1">IF(OR(Formulas!AY169=0,Formulas!AY169=""),"",HYPERLINK("["&amp;Archivo_Nombre&amp;"]Datos!"&amp;LEFT(SUBSTITUTE(ADDRESS(1,Formulas!AY169+2),"$",""))&amp;Formulas!AX169+1,
IFERROR(INDEX(Datos!$A$2:$L$101,Formulas!AX169,Formulas!AY169+2),"")))</f>
        <v/>
      </c>
      <c r="AY171" s="13"/>
    </row>
    <row r="172" spans="2:51" x14ac:dyDescent="0.25">
      <c r="B172" s="11"/>
      <c r="C172" s="24" t="str" cm="1">
        <f t="array" aca="1" ref="C172" ca="1">IF(OR(Formulas!E169=0,Formulas!E169="",RIGHT(Formulas!F169)="0"),"",
HYPERLINK("["&amp;Archivo_Nombre&amp;"]Datos!"&amp;LEFT(SUBSTITUTE(ADDRESS(1,IF(Formulas!E169=1,1,RIGHT(Formulas!F169)+2)),"$",""))&amp;Formulas!D169+1,
IFERROR(INDEX(Datos!$A$1:$L$1,1,RIGHT(Formulas!F169)+2)&amp;IF(Formulas!E169=1," "&amp;Formulas!D169,"")&amp;":","")))</f>
        <v/>
      </c>
      <c r="D172" s="107" t="str" cm="1">
        <f t="array" aca="1" ref="D172" ca="1">IF(OR(Formulas!E169=0,Formulas!E169="",RIGHT(Formulas!F169)="0"),"",
HYPERLINK("["&amp;Archivo_Nombre&amp;"]Datos!"&amp;LEFT(SUBSTITUTE(ADDRESS(1,RIGHT(Formulas!F169)+2),"$",""))&amp;Formulas!D169+1,
IFERROR(INDEX(Datos!$A$2:$L$101,Formulas!D169,RIGHT(Formulas!F169)+2),"")))</f>
        <v/>
      </c>
      <c r="E172" s="107" t="str" cm="1">
        <f t="array" aca="1" ref="E172" ca="1">IF(OR(Formulas!F170=0,Formulas!F170=""),"",HYPERLINK("["&amp;Archivo_Nombre&amp;"]Datos!"&amp;LEFT(SUBSTITUTE(ADDRESS(1,Formulas!F170+2),"$",""))&amp;Formulas!E170+1,
IFERROR(INDEX(Datos!$A$2:$L$101,Formulas!E170,Formulas!F170+2),"")))</f>
        <v/>
      </c>
      <c r="F172" s="5"/>
      <c r="G172" s="6"/>
      <c r="H172" s="24" t="str" cm="1">
        <f t="array" aca="1" ref="H172" ca="1">IF(OR(Formulas!J169=0,Formulas!J169="",RIGHT(Formulas!K169)="0"),"",
HYPERLINK("["&amp;Archivo_Nombre&amp;"]Datos!"&amp;LEFT(SUBSTITUTE(ADDRESS(1,IF(Formulas!J169=1,1,RIGHT(Formulas!K169)+2)),"$",""))&amp;Formulas!I169+1,
IFERROR(INDEX(Datos!$A$1:$L$1,1,RIGHT(Formulas!K169)+2)&amp;IF(Formulas!J169=1," "&amp;Formulas!I169,"")&amp;":","")))</f>
        <v/>
      </c>
      <c r="I172" s="107" t="str" cm="1">
        <f t="array" aca="1" ref="I172" ca="1">IF(OR(Formulas!J169=0,Formulas!J169="",RIGHT(Formulas!K169)="0"),"",
HYPERLINK("["&amp;Archivo_Nombre&amp;"]Datos!"&amp;LEFT(SUBSTITUTE(ADDRESS(1,RIGHT(Formulas!K169)+2),"$",""))&amp;Formulas!I169+1,
IFERROR(INDEX(Datos!$A$2:$L$101,Formulas!I169,RIGHT(Formulas!K169)+2),"")))</f>
        <v/>
      </c>
      <c r="J172" s="107" t="str" cm="1">
        <f t="array" aca="1" ref="J172" ca="1">IF(OR(Formulas!K170=0,Formulas!K170=""),"",HYPERLINK("["&amp;Archivo_Nombre&amp;"]Datos!"&amp;LEFT(SUBSTITUTE(ADDRESS(1,Formulas!K170+2),"$",""))&amp;Formulas!J170+1,
IFERROR(INDEX(Datos!$A$2:$L$101,Formulas!J170,Formulas!K170+2),"")))</f>
        <v/>
      </c>
      <c r="K172" s="5"/>
      <c r="L172" s="6"/>
      <c r="M172" s="24" t="str" cm="1">
        <f t="array" aca="1" ref="M172" ca="1">IF(OR(Formulas!O169=0,Formulas!O169="",RIGHT(Formulas!P169)="0"),"",
HYPERLINK("["&amp;Archivo_Nombre&amp;"]Datos!"&amp;LEFT(SUBSTITUTE(ADDRESS(1,IF(Formulas!O169=1,1,RIGHT(Formulas!P169)+2)),"$",""))&amp;Formulas!N169+1,
IFERROR(INDEX(Datos!$A$1:$L$1,1,RIGHT(Formulas!P169)+2)&amp;IF(Formulas!O169=1," "&amp;Formulas!N169,"")&amp;":","")))</f>
        <v/>
      </c>
      <c r="N172" s="107" t="str" cm="1">
        <f t="array" aca="1" ref="N172" ca="1">IF(OR(Formulas!O169=0,Formulas!O169="",RIGHT(Formulas!P169)="0"),"",
HYPERLINK("["&amp;Archivo_Nombre&amp;"]Datos!"&amp;LEFT(SUBSTITUTE(ADDRESS(1,RIGHT(Formulas!P169)+2),"$",""))&amp;Formulas!N169+1,
IFERROR(INDEX(Datos!$A$2:$L$101,Formulas!N169,RIGHT(Formulas!P169)+2),"")))</f>
        <v/>
      </c>
      <c r="O172" s="107" t="str" cm="1">
        <f t="array" aca="1" ref="O172" ca="1">IF(OR(Formulas!P170=0,Formulas!P170=""),"",HYPERLINK("["&amp;Archivo_Nombre&amp;"]Datos!"&amp;LEFT(SUBSTITUTE(ADDRESS(1,Formulas!P170+2),"$",""))&amp;Formulas!O170+1,
IFERROR(INDEX(Datos!$A$2:$L$101,Formulas!O170,Formulas!P170+2),"")))</f>
        <v/>
      </c>
      <c r="P172" s="5"/>
      <c r="Q172" s="6"/>
      <c r="R172" s="24" t="str" cm="1">
        <f t="array" aca="1" ref="R172" ca="1">IF(OR(Formulas!T169=0,Formulas!T169="",RIGHT(Formulas!U169)="0"),"",
HYPERLINK("["&amp;Archivo_Nombre&amp;"]Datos!"&amp;LEFT(SUBSTITUTE(ADDRESS(1,IF(Formulas!T169=1,1,RIGHT(Formulas!U169)+2)),"$",""))&amp;Formulas!S169+1,
IFERROR(INDEX(Datos!$A$1:$L$1,1,RIGHT(Formulas!U169)+2)&amp;IF(Formulas!T169=1," "&amp;Formulas!S169,"")&amp;":","")))</f>
        <v>Duración:</v>
      </c>
      <c r="S172" s="107" t="str" cm="1">
        <f t="array" aca="1" ref="S172" ca="1">IF(OR(Formulas!T169=0,Formulas!T169="",RIGHT(Formulas!U169)="0"),"",
HYPERLINK("["&amp;Archivo_Nombre&amp;"]Datos!"&amp;LEFT(SUBSTITUTE(ADDRESS(1,RIGHT(Formulas!U169)+2),"$",""))&amp;Formulas!S169+1,
IFERROR(INDEX(Datos!$A$2:$L$101,Formulas!S169,RIGHT(Formulas!U169)+2),"")))</f>
        <v>2 días</v>
      </c>
      <c r="T172" s="107" t="e" cm="1">
        <f t="array" aca="1" ref="T172" ca="1">IF(OR(Formulas!U170=0,Formulas!U170=""),"",HYPERLINK("["&amp;Archivo_Nombre&amp;"]Datos!"&amp;LEFT(SUBSTITUTE(ADDRESS(1,Formulas!U170+2),"$",""))&amp;Formulas!T170+1,
IFERROR(INDEX(Datos!$A$2:$L$101,Formulas!T170,Formulas!U170+2),"")))</f>
        <v>#VALUE!</v>
      </c>
      <c r="U172" s="5"/>
      <c r="V172" s="6"/>
      <c r="W172" s="24" t="str" cm="1">
        <f t="array" aca="1" ref="W172" ca="1">IF(OR(Formulas!Y169=0,Formulas!Y169="",RIGHT(Formulas!Z169)="0"),"",
HYPERLINK("["&amp;Archivo_Nombre&amp;"]Datos!"&amp;LEFT(SUBSTITUTE(ADDRESS(1,IF(Formulas!Y169=1,1,RIGHT(Formulas!Z169)+2)),"$",""))&amp;Formulas!X169+1,
IFERROR(INDEX(Datos!$A$1:$L$1,1,RIGHT(Formulas!Z169)+2)&amp;IF(Formulas!Y169=1," "&amp;Formulas!X169,"")&amp;":","")))</f>
        <v/>
      </c>
      <c r="X172" s="107" t="str" cm="1">
        <f t="array" aca="1" ref="X172" ca="1">IF(OR(Formulas!Y169=0,Formulas!Y169="",RIGHT(Formulas!Z169)="0"),"",
HYPERLINK("["&amp;Archivo_Nombre&amp;"]Datos!"&amp;LEFT(SUBSTITUTE(ADDRESS(1,RIGHT(Formulas!Z169)+2),"$",""))&amp;Formulas!X169+1,
IFERROR(INDEX(Datos!$A$2:$L$101,Formulas!X169,RIGHT(Formulas!Z169)+2),"")))</f>
        <v/>
      </c>
      <c r="Y172" s="107" t="str" cm="1">
        <f t="array" aca="1" ref="Y172" ca="1">IF(OR(Formulas!Z170=0,Formulas!Z170=""),"",HYPERLINK("["&amp;Archivo_Nombre&amp;"]Datos!"&amp;LEFT(SUBSTITUTE(ADDRESS(1,Formulas!Z170+2),"$",""))&amp;Formulas!Y170+1,
IFERROR(INDEX(Datos!$A$2:$L$101,Formulas!Y170,Formulas!Z170+2),"")))</f>
        <v/>
      </c>
      <c r="Z172" s="13"/>
      <c r="AA172" s="6"/>
      <c r="AB172" s="24" t="str" cm="1">
        <f t="array" aca="1" ref="AB172" ca="1">IF(OR(Formulas!AD169=0,Formulas!AD169="",RIGHT(Formulas!AE169)="0"),"",
HYPERLINK("["&amp;Archivo_Nombre&amp;"]Datos!"&amp;LEFT(SUBSTITUTE(ADDRESS(1,IF(Formulas!AD169=1,1,RIGHT(Formulas!AE169)+2)),"$",""))&amp;Formulas!AC169+1,
IFERROR(INDEX(Datos!$A$1:$L$1,1,RIGHT(Formulas!AE169)+2)&amp;IF(Formulas!AD169=1," "&amp;Formulas!AC169,"")&amp;":","")))</f>
        <v/>
      </c>
      <c r="AC172" s="107" t="str" cm="1">
        <f t="array" aca="1" ref="AC172" ca="1">IF(OR(Formulas!AD169=0,Formulas!AD169="",RIGHT(Formulas!AE169)="0"),"",
HYPERLINK("["&amp;Archivo_Nombre&amp;"]Datos!"&amp;LEFT(SUBSTITUTE(ADDRESS(1,RIGHT(Formulas!AE169)+2),"$",""))&amp;Formulas!AC169+1,
IFERROR(INDEX(Datos!$A$2:$L$101,Formulas!AC169,RIGHT(Formulas!AE169)+2),"")))</f>
        <v/>
      </c>
      <c r="AD172" s="107" t="str" cm="1">
        <f t="array" aca="1" ref="AD172" ca="1">IF(OR(Formulas!AE170=0,Formulas!AE170=""),"",HYPERLINK("["&amp;Archivo_Nombre&amp;"]Datos!"&amp;LEFT(SUBSTITUTE(ADDRESS(1,Formulas!AE170+2),"$",""))&amp;Formulas!AD170+1,
IFERROR(INDEX(Datos!$A$2:$L$101,Formulas!AD170,Formulas!AE170+2),"")))</f>
        <v/>
      </c>
      <c r="AE172" s="13"/>
      <c r="AF172" s="6"/>
      <c r="AG172" s="24" t="str" cm="1">
        <f t="array" aca="1" ref="AG172" ca="1">IF(OR(Formulas!AI169=0,Formulas!AI169="",RIGHT(Formulas!AJ169)="0"),"",
HYPERLINK("["&amp;Archivo_Nombre&amp;"]Datos!"&amp;LEFT(SUBSTITUTE(ADDRESS(1,IF(Formulas!AI169=1,1,RIGHT(Formulas!AJ169)+2)),"$",""))&amp;Formulas!AH169+1,
IFERROR(INDEX(Datos!$A$1:$L$1,1,RIGHT(Formulas!AJ169)+2)&amp;IF(Formulas!AI169=1," "&amp;Formulas!AH169,"")&amp;":","")))</f>
        <v/>
      </c>
      <c r="AH172" s="107" t="str" cm="1">
        <f t="array" aca="1" ref="AH172" ca="1">IF(OR(Formulas!AI169=0,Formulas!AI169="",RIGHT(Formulas!AJ169)="0"),"",
HYPERLINK("["&amp;Archivo_Nombre&amp;"]Datos!"&amp;LEFT(SUBSTITUTE(ADDRESS(1,RIGHT(Formulas!AJ169)+2),"$",""))&amp;Formulas!AH169+1,
IFERROR(INDEX(Datos!$A$2:$L$101,Formulas!AH169,RIGHT(Formulas!AJ169)+2),"")))</f>
        <v/>
      </c>
      <c r="AI172" s="107" t="str" cm="1">
        <f t="array" aca="1" ref="AI172" ca="1">IF(OR(Formulas!AJ170=0,Formulas!AJ170=""),"",HYPERLINK("["&amp;Archivo_Nombre&amp;"]Datos!"&amp;LEFT(SUBSTITUTE(ADDRESS(1,Formulas!AJ170+2),"$",""))&amp;Formulas!AI170+1,
IFERROR(INDEX(Datos!$A$2:$L$101,Formulas!AI170,Formulas!AJ170+2),"")))</f>
        <v/>
      </c>
      <c r="AJ172" s="13"/>
      <c r="AK172" s="6"/>
      <c r="AL172" s="24" t="str" cm="1">
        <f t="array" aca="1" ref="AL172" ca="1">IF(OR(Formulas!AN169=0,Formulas!AN169="",RIGHT(Formulas!AO169)="0"),"",
HYPERLINK("["&amp;Archivo_Nombre&amp;"]Datos!"&amp;LEFT(SUBSTITUTE(ADDRESS(1,IF(Formulas!AN169=1,1,RIGHT(Formulas!AO169)+2)),"$",""))&amp;Formulas!AM169+1,
IFERROR(INDEX(Datos!$A$1:$L$1,1,RIGHT(Formulas!AO169)+2)&amp;IF(Formulas!AN169=1," "&amp;Formulas!AM169,"")&amp;":","")))</f>
        <v/>
      </c>
      <c r="AM172" s="107" t="str" cm="1">
        <f t="array" aca="1" ref="AM172" ca="1">IF(OR(Formulas!AN169=0,Formulas!AN169="",RIGHT(Formulas!AO169)="0"),"",
HYPERLINK("["&amp;Archivo_Nombre&amp;"]Datos!"&amp;LEFT(SUBSTITUTE(ADDRESS(1,RIGHT(Formulas!AO169)+2),"$",""))&amp;Formulas!AM169+1,
IFERROR(INDEX(Datos!$A$2:$L$101,Formulas!AM169,RIGHT(Formulas!AO169)+2),"")))</f>
        <v/>
      </c>
      <c r="AN172" s="107" t="str" cm="1">
        <f t="array" aca="1" ref="AN172" ca="1">IF(OR(Formulas!AO170=0,Formulas!AO170=""),"",HYPERLINK("["&amp;Archivo_Nombre&amp;"]Datos!"&amp;LEFT(SUBSTITUTE(ADDRESS(1,Formulas!AO170+2),"$",""))&amp;Formulas!AN170+1,
IFERROR(INDEX(Datos!$A$2:$L$101,Formulas!AN170,Formulas!AO170+2),"")))</f>
        <v/>
      </c>
      <c r="AO172" s="13"/>
      <c r="AP172" s="6"/>
      <c r="AQ172" s="24" t="str" cm="1">
        <f t="array" aca="1" ref="AQ172" ca="1">IF(OR(Formulas!AS169=0,Formulas!AS169="",RIGHT(Formulas!AT169)="0"),"",
HYPERLINK("["&amp;Archivo_Nombre&amp;"]Datos!"&amp;LEFT(SUBSTITUTE(ADDRESS(1,IF(Formulas!AS169=1,1,RIGHT(Formulas!AT169)+2)),"$",""))&amp;Formulas!AR169+1,
IFERROR(INDEX(Datos!$A$1:$L$1,1,RIGHT(Formulas!AT169)+2)&amp;IF(Formulas!AS169=1," "&amp;Formulas!AR169,"")&amp;":","")))</f>
        <v/>
      </c>
      <c r="AR172" s="107" t="str" cm="1">
        <f t="array" aca="1" ref="AR172" ca="1">IF(OR(Formulas!AS169=0,Formulas!AS169="",RIGHT(Formulas!AT169)="0"),"",
HYPERLINK("["&amp;Archivo_Nombre&amp;"]Datos!"&amp;LEFT(SUBSTITUTE(ADDRESS(1,RIGHT(Formulas!AT169)+2),"$",""))&amp;Formulas!AR169+1,
IFERROR(INDEX(Datos!$A$2:$L$101,Formulas!AR169,RIGHT(Formulas!AT169)+2),"")))</f>
        <v/>
      </c>
      <c r="AS172" s="107" t="str" cm="1">
        <f t="array" aca="1" ref="AS172" ca="1">IF(OR(Formulas!AT170=0,Formulas!AT170=""),"",HYPERLINK("["&amp;Archivo_Nombre&amp;"]Datos!"&amp;LEFT(SUBSTITUTE(ADDRESS(1,Formulas!AT170+2),"$",""))&amp;Formulas!AS170+1,
IFERROR(INDEX(Datos!$A$2:$L$101,Formulas!AS170,Formulas!AT170+2),"")))</f>
        <v/>
      </c>
      <c r="AT172" s="13"/>
      <c r="AU172" s="6"/>
      <c r="AV172" s="24" t="str" cm="1">
        <f t="array" aca="1" ref="AV172" ca="1">IF(OR(Formulas!AX169=0,Formulas!AX169="",RIGHT(Formulas!AY169)="0"),"",
HYPERLINK("["&amp;Archivo_Nombre&amp;"]Datos!"&amp;LEFT(SUBSTITUTE(ADDRESS(1,IF(Formulas!AX169=1,1,RIGHT(Formulas!AY169)+2)),"$",""))&amp;Formulas!AW169+1,
IFERROR(INDEX(Datos!$A$1:$L$1,1,RIGHT(Formulas!AY169)+2)&amp;IF(Formulas!AX169=1," "&amp;Formulas!AW169,"")&amp;":","")))</f>
        <v/>
      </c>
      <c r="AW172" s="107" t="str" cm="1">
        <f t="array" aca="1" ref="AW172" ca="1">IF(OR(Formulas!AX169=0,Formulas!AX169="",RIGHT(Formulas!AY169)="0"),"",
HYPERLINK("["&amp;Archivo_Nombre&amp;"]Datos!"&amp;LEFT(SUBSTITUTE(ADDRESS(1,RIGHT(Formulas!AY169)+2),"$",""))&amp;Formulas!AW169+1,
IFERROR(INDEX(Datos!$A$2:$L$101,Formulas!AW169,RIGHT(Formulas!AY169)+2),"")))</f>
        <v/>
      </c>
      <c r="AX172" s="107" t="str" cm="1">
        <f t="array" aca="1" ref="AX172" ca="1">IF(OR(Formulas!AY170=0,Formulas!AY170=""),"",HYPERLINK("["&amp;Archivo_Nombre&amp;"]Datos!"&amp;LEFT(SUBSTITUTE(ADDRESS(1,Formulas!AY170+2),"$",""))&amp;Formulas!AX170+1,
IFERROR(INDEX(Datos!$A$2:$L$101,Formulas!AX170,Formulas!AY170+2),"")))</f>
        <v/>
      </c>
      <c r="AY172" s="13"/>
    </row>
    <row r="173" spans="2:51" x14ac:dyDescent="0.25">
      <c r="B173" s="11"/>
      <c r="C173" s="24" t="str" cm="1">
        <f t="array" aca="1" ref="C173" ca="1">IF(OR(Formulas!E170=0,Formulas!E170="",RIGHT(Formulas!F170)="0"),"",
HYPERLINK("["&amp;Archivo_Nombre&amp;"]Datos!"&amp;LEFT(SUBSTITUTE(ADDRESS(1,IF(Formulas!E170=1,1,RIGHT(Formulas!F170)+2)),"$",""))&amp;Formulas!D170+1,
IFERROR(INDEX(Datos!$A$1:$L$1,1,RIGHT(Formulas!F170)+2)&amp;IF(Formulas!E170=1," "&amp;Formulas!D170,"")&amp;":","")))</f>
        <v/>
      </c>
      <c r="D173" s="107" t="str" cm="1">
        <f t="array" aca="1" ref="D173" ca="1">IF(OR(Formulas!E170=0,Formulas!E170="",RIGHT(Formulas!F170)="0"),"",
HYPERLINK("["&amp;Archivo_Nombre&amp;"]Datos!"&amp;LEFT(SUBSTITUTE(ADDRESS(1,RIGHT(Formulas!F170)+2),"$",""))&amp;Formulas!D170+1,
IFERROR(INDEX(Datos!$A$2:$L$101,Formulas!D170,RIGHT(Formulas!F170)+2),"")))</f>
        <v/>
      </c>
      <c r="E173" s="107" t="str" cm="1">
        <f t="array" aca="1" ref="E173" ca="1">IF(OR(Formulas!F171=0,Formulas!F171=""),"",HYPERLINK("["&amp;Archivo_Nombre&amp;"]Datos!"&amp;LEFT(SUBSTITUTE(ADDRESS(1,Formulas!F171+2),"$",""))&amp;Formulas!E171+1,
IFERROR(INDEX(Datos!$A$2:$L$101,Formulas!E171,Formulas!F171+2),"")))</f>
        <v/>
      </c>
      <c r="F173" s="5"/>
      <c r="G173" s="6"/>
      <c r="H173" s="24" t="str" cm="1">
        <f t="array" aca="1" ref="H173" ca="1">IF(OR(Formulas!J170=0,Formulas!J170="",RIGHT(Formulas!K170)="0"),"",
HYPERLINK("["&amp;Archivo_Nombre&amp;"]Datos!"&amp;LEFT(SUBSTITUTE(ADDRESS(1,IF(Formulas!J170=1,1,RIGHT(Formulas!K170)+2)),"$",""))&amp;Formulas!I170+1,
IFERROR(INDEX(Datos!$A$1:$L$1,1,RIGHT(Formulas!K170)+2)&amp;IF(Formulas!J170=1," "&amp;Formulas!I170,"")&amp;":","")))</f>
        <v/>
      </c>
      <c r="I173" s="107" t="str" cm="1">
        <f t="array" aca="1" ref="I173" ca="1">IF(OR(Formulas!J170=0,Formulas!J170="",RIGHT(Formulas!K170)="0"),"",
HYPERLINK("["&amp;Archivo_Nombre&amp;"]Datos!"&amp;LEFT(SUBSTITUTE(ADDRESS(1,RIGHT(Formulas!K170)+2),"$",""))&amp;Formulas!I170+1,
IFERROR(INDEX(Datos!$A$2:$L$101,Formulas!I170,RIGHT(Formulas!K170)+2),"")))</f>
        <v/>
      </c>
      <c r="J173" s="107" t="str" cm="1">
        <f t="array" aca="1" ref="J173" ca="1">IF(OR(Formulas!K171=0,Formulas!K171=""),"",HYPERLINK("["&amp;Archivo_Nombre&amp;"]Datos!"&amp;LEFT(SUBSTITUTE(ADDRESS(1,Formulas!K171+2),"$",""))&amp;Formulas!J171+1,
IFERROR(INDEX(Datos!$A$2:$L$101,Formulas!J171,Formulas!K171+2),"")))</f>
        <v/>
      </c>
      <c r="K173" s="5"/>
      <c r="L173" s="6"/>
      <c r="M173" s="24" t="str" cm="1">
        <f t="array" aca="1" ref="M173" ca="1">IF(OR(Formulas!O170=0,Formulas!O170="",RIGHT(Formulas!P170)="0"),"",
HYPERLINK("["&amp;Archivo_Nombre&amp;"]Datos!"&amp;LEFT(SUBSTITUTE(ADDRESS(1,IF(Formulas!O170=1,1,RIGHT(Formulas!P170)+2)),"$",""))&amp;Formulas!N170+1,
IFERROR(INDEX(Datos!$A$1:$L$1,1,RIGHT(Formulas!P170)+2)&amp;IF(Formulas!O170=1," "&amp;Formulas!N170,"")&amp;":","")))</f>
        <v/>
      </c>
      <c r="N173" s="107" t="str" cm="1">
        <f t="array" aca="1" ref="N173" ca="1">IF(OR(Formulas!O170=0,Formulas!O170="",RIGHT(Formulas!P170)="0"),"",
HYPERLINK("["&amp;Archivo_Nombre&amp;"]Datos!"&amp;LEFT(SUBSTITUTE(ADDRESS(1,RIGHT(Formulas!P170)+2),"$",""))&amp;Formulas!N170+1,
IFERROR(INDEX(Datos!$A$2:$L$101,Formulas!N170,RIGHT(Formulas!P170)+2),"")))</f>
        <v/>
      </c>
      <c r="O173" s="107" t="str" cm="1">
        <f t="array" aca="1" ref="O173" ca="1">IF(OR(Formulas!P171=0,Formulas!P171=""),"",HYPERLINK("["&amp;Archivo_Nombre&amp;"]Datos!"&amp;LEFT(SUBSTITUTE(ADDRESS(1,Formulas!P171+2),"$",""))&amp;Formulas!O171+1,
IFERROR(INDEX(Datos!$A$2:$L$101,Formulas!O171,Formulas!P171+2),"")))</f>
        <v/>
      </c>
      <c r="P173" s="5"/>
      <c r="Q173" s="6"/>
      <c r="R173" s="24" t="str" cm="1">
        <f t="array" aca="1" ref="R173" ca="1">IF(OR(Formulas!T170=0,Formulas!T170="",RIGHT(Formulas!U170)="0"),"",
HYPERLINK("["&amp;Archivo_Nombre&amp;"]Datos!"&amp;LEFT(SUBSTITUTE(ADDRESS(1,IF(Formulas!T170=1,1,RIGHT(Formulas!U170)+2)),"$",""))&amp;Formulas!S170+1,
IFERROR(INDEX(Datos!$A$1:$L$1,1,RIGHT(Formulas!U170)+2)&amp;IF(Formulas!T170=1," "&amp;Formulas!S170,"")&amp;":","")))</f>
        <v>Retraso:</v>
      </c>
      <c r="S173" s="107" t="str" cm="1">
        <f t="array" aca="1" ref="S173" ca="1">IF(OR(Formulas!T170=0,Formulas!T170="",RIGHT(Formulas!U170)="0"),"",
HYPERLINK("["&amp;Archivo_Nombre&amp;"]Datos!"&amp;LEFT(SUBSTITUTE(ADDRESS(1,RIGHT(Formulas!U170)+2),"$",""))&amp;Formulas!S170+1,
IFERROR(INDEX(Datos!$A$2:$L$101,Formulas!S170,RIGHT(Formulas!U170)+2),"")))</f>
        <v>0 días</v>
      </c>
      <c r="T173" s="107" t="e" cm="1">
        <f t="array" aca="1" ref="T173" ca="1">IF(OR(Formulas!U171=0,Formulas!U171=""),"",HYPERLINK("["&amp;Archivo_Nombre&amp;"]Datos!"&amp;LEFT(SUBSTITUTE(ADDRESS(1,Formulas!U171+2),"$",""))&amp;Formulas!T171+1,
IFERROR(INDEX(Datos!$A$2:$L$101,Formulas!T171,Formulas!U171+2),"")))</f>
        <v>#VALUE!</v>
      </c>
      <c r="U173" s="5"/>
      <c r="V173" s="6"/>
      <c r="W173" s="24" t="str" cm="1">
        <f t="array" aca="1" ref="W173" ca="1">IF(OR(Formulas!Y170=0,Formulas!Y170="",RIGHT(Formulas!Z170)="0"),"",
HYPERLINK("["&amp;Archivo_Nombre&amp;"]Datos!"&amp;LEFT(SUBSTITUTE(ADDRESS(1,IF(Formulas!Y170=1,1,RIGHT(Formulas!Z170)+2)),"$",""))&amp;Formulas!X170+1,
IFERROR(INDEX(Datos!$A$1:$L$1,1,RIGHT(Formulas!Z170)+2)&amp;IF(Formulas!Y170=1," "&amp;Formulas!X170,"")&amp;":","")))</f>
        <v/>
      </c>
      <c r="X173" s="107" t="str" cm="1">
        <f t="array" aca="1" ref="X173" ca="1">IF(OR(Formulas!Y170=0,Formulas!Y170="",RIGHT(Formulas!Z170)="0"),"",
HYPERLINK("["&amp;Archivo_Nombre&amp;"]Datos!"&amp;LEFT(SUBSTITUTE(ADDRESS(1,RIGHT(Formulas!Z170)+2),"$",""))&amp;Formulas!X170+1,
IFERROR(INDEX(Datos!$A$2:$L$101,Formulas!X170,RIGHT(Formulas!Z170)+2),"")))</f>
        <v/>
      </c>
      <c r="Y173" s="107" t="str" cm="1">
        <f t="array" aca="1" ref="Y173" ca="1">IF(OR(Formulas!Z171=0,Formulas!Z171=""),"",HYPERLINK("["&amp;Archivo_Nombre&amp;"]Datos!"&amp;LEFT(SUBSTITUTE(ADDRESS(1,Formulas!Z171+2),"$",""))&amp;Formulas!Y171+1,
IFERROR(INDEX(Datos!$A$2:$L$101,Formulas!Y171,Formulas!Z171+2),"")))</f>
        <v/>
      </c>
      <c r="Z173" s="13"/>
      <c r="AA173" s="6"/>
      <c r="AB173" s="24" t="str" cm="1">
        <f t="array" aca="1" ref="AB173" ca="1">IF(OR(Formulas!AD170=0,Formulas!AD170="",RIGHT(Formulas!AE170)="0"),"",
HYPERLINK("["&amp;Archivo_Nombre&amp;"]Datos!"&amp;LEFT(SUBSTITUTE(ADDRESS(1,IF(Formulas!AD170=1,1,RIGHT(Formulas!AE170)+2)),"$",""))&amp;Formulas!AC170+1,
IFERROR(INDEX(Datos!$A$1:$L$1,1,RIGHT(Formulas!AE170)+2)&amp;IF(Formulas!AD170=1," "&amp;Formulas!AC170,"")&amp;":","")))</f>
        <v/>
      </c>
      <c r="AC173" s="107" t="str" cm="1">
        <f t="array" aca="1" ref="AC173" ca="1">IF(OR(Formulas!AD170=0,Formulas!AD170="",RIGHT(Formulas!AE170)="0"),"",
HYPERLINK("["&amp;Archivo_Nombre&amp;"]Datos!"&amp;LEFT(SUBSTITUTE(ADDRESS(1,RIGHT(Formulas!AE170)+2),"$",""))&amp;Formulas!AC170+1,
IFERROR(INDEX(Datos!$A$2:$L$101,Formulas!AC170,RIGHT(Formulas!AE170)+2),"")))</f>
        <v/>
      </c>
      <c r="AD173" s="107" t="str" cm="1">
        <f t="array" aca="1" ref="AD173" ca="1">IF(OR(Formulas!AE171=0,Formulas!AE171=""),"",HYPERLINK("["&amp;Archivo_Nombre&amp;"]Datos!"&amp;LEFT(SUBSTITUTE(ADDRESS(1,Formulas!AE171+2),"$",""))&amp;Formulas!AD171+1,
IFERROR(INDEX(Datos!$A$2:$L$101,Formulas!AD171,Formulas!AE171+2),"")))</f>
        <v/>
      </c>
      <c r="AE173" s="13"/>
      <c r="AF173" s="6"/>
      <c r="AG173" s="24" t="str" cm="1">
        <f t="array" aca="1" ref="AG173" ca="1">IF(OR(Formulas!AI170=0,Formulas!AI170="",RIGHT(Formulas!AJ170)="0"),"",
HYPERLINK("["&amp;Archivo_Nombre&amp;"]Datos!"&amp;LEFT(SUBSTITUTE(ADDRESS(1,IF(Formulas!AI170=1,1,RIGHT(Formulas!AJ170)+2)),"$",""))&amp;Formulas!AH170+1,
IFERROR(INDEX(Datos!$A$1:$L$1,1,RIGHT(Formulas!AJ170)+2)&amp;IF(Formulas!AI170=1," "&amp;Formulas!AH170,"")&amp;":","")))</f>
        <v/>
      </c>
      <c r="AH173" s="107" t="str" cm="1">
        <f t="array" aca="1" ref="AH173" ca="1">IF(OR(Formulas!AI170=0,Formulas!AI170="",RIGHT(Formulas!AJ170)="0"),"",
HYPERLINK("["&amp;Archivo_Nombre&amp;"]Datos!"&amp;LEFT(SUBSTITUTE(ADDRESS(1,RIGHT(Formulas!AJ170)+2),"$",""))&amp;Formulas!AH170+1,
IFERROR(INDEX(Datos!$A$2:$L$101,Formulas!AH170,RIGHT(Formulas!AJ170)+2),"")))</f>
        <v/>
      </c>
      <c r="AI173" s="107" t="str" cm="1">
        <f t="array" aca="1" ref="AI173" ca="1">IF(OR(Formulas!AJ171=0,Formulas!AJ171=""),"",HYPERLINK("["&amp;Archivo_Nombre&amp;"]Datos!"&amp;LEFT(SUBSTITUTE(ADDRESS(1,Formulas!AJ171+2),"$",""))&amp;Formulas!AI171+1,
IFERROR(INDEX(Datos!$A$2:$L$101,Formulas!AI171,Formulas!AJ171+2),"")))</f>
        <v/>
      </c>
      <c r="AJ173" s="13"/>
      <c r="AK173" s="6"/>
      <c r="AL173" s="24" t="str" cm="1">
        <f t="array" aca="1" ref="AL173" ca="1">IF(OR(Formulas!AN170=0,Formulas!AN170="",RIGHT(Formulas!AO170)="0"),"",
HYPERLINK("["&amp;Archivo_Nombre&amp;"]Datos!"&amp;LEFT(SUBSTITUTE(ADDRESS(1,IF(Formulas!AN170=1,1,RIGHT(Formulas!AO170)+2)),"$",""))&amp;Formulas!AM170+1,
IFERROR(INDEX(Datos!$A$1:$L$1,1,RIGHT(Formulas!AO170)+2)&amp;IF(Formulas!AN170=1," "&amp;Formulas!AM170,"")&amp;":","")))</f>
        <v/>
      </c>
      <c r="AM173" s="107" t="str" cm="1">
        <f t="array" aca="1" ref="AM173" ca="1">IF(OR(Formulas!AN170=0,Formulas!AN170="",RIGHT(Formulas!AO170)="0"),"",
HYPERLINK("["&amp;Archivo_Nombre&amp;"]Datos!"&amp;LEFT(SUBSTITUTE(ADDRESS(1,RIGHT(Formulas!AO170)+2),"$",""))&amp;Formulas!AM170+1,
IFERROR(INDEX(Datos!$A$2:$L$101,Formulas!AM170,RIGHT(Formulas!AO170)+2),"")))</f>
        <v/>
      </c>
      <c r="AN173" s="107" t="str" cm="1">
        <f t="array" aca="1" ref="AN173" ca="1">IF(OR(Formulas!AO171=0,Formulas!AO171=""),"",HYPERLINK("["&amp;Archivo_Nombre&amp;"]Datos!"&amp;LEFT(SUBSTITUTE(ADDRESS(1,Formulas!AO171+2),"$",""))&amp;Formulas!AN171+1,
IFERROR(INDEX(Datos!$A$2:$L$101,Formulas!AN171,Formulas!AO171+2),"")))</f>
        <v/>
      </c>
      <c r="AO173" s="13"/>
      <c r="AP173" s="6"/>
      <c r="AQ173" s="24" t="str" cm="1">
        <f t="array" aca="1" ref="AQ173" ca="1">IF(OR(Formulas!AS170=0,Formulas!AS170="",RIGHT(Formulas!AT170)="0"),"",
HYPERLINK("["&amp;Archivo_Nombre&amp;"]Datos!"&amp;LEFT(SUBSTITUTE(ADDRESS(1,IF(Formulas!AS170=1,1,RIGHT(Formulas!AT170)+2)),"$",""))&amp;Formulas!AR170+1,
IFERROR(INDEX(Datos!$A$1:$L$1,1,RIGHT(Formulas!AT170)+2)&amp;IF(Formulas!AS170=1," "&amp;Formulas!AR170,"")&amp;":","")))</f>
        <v/>
      </c>
      <c r="AR173" s="107" t="str" cm="1">
        <f t="array" aca="1" ref="AR173" ca="1">IF(OR(Formulas!AS170=0,Formulas!AS170="",RIGHT(Formulas!AT170)="0"),"",
HYPERLINK("["&amp;Archivo_Nombre&amp;"]Datos!"&amp;LEFT(SUBSTITUTE(ADDRESS(1,RIGHT(Formulas!AT170)+2),"$",""))&amp;Formulas!AR170+1,
IFERROR(INDEX(Datos!$A$2:$L$101,Formulas!AR170,RIGHT(Formulas!AT170)+2),"")))</f>
        <v/>
      </c>
      <c r="AS173" s="107" t="str" cm="1">
        <f t="array" aca="1" ref="AS173" ca="1">IF(OR(Formulas!AT171=0,Formulas!AT171=""),"",HYPERLINK("["&amp;Archivo_Nombre&amp;"]Datos!"&amp;LEFT(SUBSTITUTE(ADDRESS(1,Formulas!AT171+2),"$",""))&amp;Formulas!AS171+1,
IFERROR(INDEX(Datos!$A$2:$L$101,Formulas!AS171,Formulas!AT171+2),"")))</f>
        <v/>
      </c>
      <c r="AT173" s="13"/>
      <c r="AU173" s="6"/>
      <c r="AV173" s="24" t="str" cm="1">
        <f t="array" aca="1" ref="AV173" ca="1">IF(OR(Formulas!AX170=0,Formulas!AX170="",RIGHT(Formulas!AY170)="0"),"",
HYPERLINK("["&amp;Archivo_Nombre&amp;"]Datos!"&amp;LEFT(SUBSTITUTE(ADDRESS(1,IF(Formulas!AX170=1,1,RIGHT(Formulas!AY170)+2)),"$",""))&amp;Formulas!AW170+1,
IFERROR(INDEX(Datos!$A$1:$L$1,1,RIGHT(Formulas!AY170)+2)&amp;IF(Formulas!AX170=1," "&amp;Formulas!AW170,"")&amp;":","")))</f>
        <v/>
      </c>
      <c r="AW173" s="107" t="str" cm="1">
        <f t="array" aca="1" ref="AW173" ca="1">IF(OR(Formulas!AX170=0,Formulas!AX170="",RIGHT(Formulas!AY170)="0"),"",
HYPERLINK("["&amp;Archivo_Nombre&amp;"]Datos!"&amp;LEFT(SUBSTITUTE(ADDRESS(1,RIGHT(Formulas!AY170)+2),"$",""))&amp;Formulas!AW170+1,
IFERROR(INDEX(Datos!$A$2:$L$101,Formulas!AW170,RIGHT(Formulas!AY170)+2),"")))</f>
        <v/>
      </c>
      <c r="AX173" s="107" t="str" cm="1">
        <f t="array" aca="1" ref="AX173" ca="1">IF(OR(Formulas!AY171=0,Formulas!AY171=""),"",HYPERLINK("["&amp;Archivo_Nombre&amp;"]Datos!"&amp;LEFT(SUBSTITUTE(ADDRESS(1,Formulas!AY171+2),"$",""))&amp;Formulas!AX171+1,
IFERROR(INDEX(Datos!$A$2:$L$101,Formulas!AX171,Formulas!AY171+2),"")))</f>
        <v/>
      </c>
      <c r="AY173" s="13"/>
    </row>
    <row r="174" spans="2:51" x14ac:dyDescent="0.25">
      <c r="B174" s="11"/>
      <c r="C174" s="24" t="str" cm="1">
        <f t="array" aca="1" ref="C174" ca="1">IF(OR(Formulas!E171=0,Formulas!E171="",RIGHT(Formulas!F171)="0"),"",
HYPERLINK("["&amp;Archivo_Nombre&amp;"]Datos!"&amp;LEFT(SUBSTITUTE(ADDRESS(1,IF(Formulas!E171=1,1,RIGHT(Formulas!F171)+2)),"$",""))&amp;Formulas!D171+1,
IFERROR(INDEX(Datos!$A$1:$L$1,1,RIGHT(Formulas!F171)+2)&amp;IF(Formulas!E171=1," "&amp;Formulas!D171,"")&amp;":","")))</f>
        <v/>
      </c>
      <c r="D174" s="107" t="str" cm="1">
        <f t="array" aca="1" ref="D174" ca="1">IF(OR(Formulas!E171=0,Formulas!E171="",RIGHT(Formulas!F171)="0"),"",
HYPERLINK("["&amp;Archivo_Nombre&amp;"]Datos!"&amp;LEFT(SUBSTITUTE(ADDRESS(1,RIGHT(Formulas!F171)+2),"$",""))&amp;Formulas!D171+1,
IFERROR(INDEX(Datos!$A$2:$L$101,Formulas!D171,RIGHT(Formulas!F171)+2),"")))</f>
        <v/>
      </c>
      <c r="E174" s="107" t="str" cm="1">
        <f t="array" aca="1" ref="E174" ca="1">IF(OR(Formulas!F172=0,Formulas!F172=""),"",HYPERLINK("["&amp;Archivo_Nombre&amp;"]Datos!"&amp;LEFT(SUBSTITUTE(ADDRESS(1,Formulas!F172+2),"$",""))&amp;Formulas!E172+1,
IFERROR(INDEX(Datos!$A$2:$L$101,Formulas!E172,Formulas!F172+2),"")))</f>
        <v/>
      </c>
      <c r="F174" s="5"/>
      <c r="G174" s="6"/>
      <c r="H174" s="24" t="str" cm="1">
        <f t="array" aca="1" ref="H174" ca="1">IF(OR(Formulas!J171=0,Formulas!J171="",RIGHT(Formulas!K171)="0"),"",
HYPERLINK("["&amp;Archivo_Nombre&amp;"]Datos!"&amp;LEFT(SUBSTITUTE(ADDRESS(1,IF(Formulas!J171=1,1,RIGHT(Formulas!K171)+2)),"$",""))&amp;Formulas!I171+1,
IFERROR(INDEX(Datos!$A$1:$L$1,1,RIGHT(Formulas!K171)+2)&amp;IF(Formulas!J171=1," "&amp;Formulas!I171,"")&amp;":","")))</f>
        <v/>
      </c>
      <c r="I174" s="107" t="str" cm="1">
        <f t="array" aca="1" ref="I174" ca="1">IF(OR(Formulas!J171=0,Formulas!J171="",RIGHT(Formulas!K171)="0"),"",
HYPERLINK("["&amp;Archivo_Nombre&amp;"]Datos!"&amp;LEFT(SUBSTITUTE(ADDRESS(1,RIGHT(Formulas!K171)+2),"$",""))&amp;Formulas!I171+1,
IFERROR(INDEX(Datos!$A$2:$L$101,Formulas!I171,RIGHT(Formulas!K171)+2),"")))</f>
        <v/>
      </c>
      <c r="J174" s="107" t="str" cm="1">
        <f t="array" aca="1" ref="J174" ca="1">IF(OR(Formulas!K172=0,Formulas!K172=""),"",HYPERLINK("["&amp;Archivo_Nombre&amp;"]Datos!"&amp;LEFT(SUBSTITUTE(ADDRESS(1,Formulas!K172+2),"$",""))&amp;Formulas!J172+1,
IFERROR(INDEX(Datos!$A$2:$L$101,Formulas!J172,Formulas!K172+2),"")))</f>
        <v/>
      </c>
      <c r="K174" s="5"/>
      <c r="L174" s="6"/>
      <c r="M174" s="24" t="str" cm="1">
        <f t="array" aca="1" ref="M174" ca="1">IF(OR(Formulas!O171=0,Formulas!O171="",RIGHT(Formulas!P171)="0"),"",
HYPERLINK("["&amp;Archivo_Nombre&amp;"]Datos!"&amp;LEFT(SUBSTITUTE(ADDRESS(1,IF(Formulas!O171=1,1,RIGHT(Formulas!P171)+2)),"$",""))&amp;Formulas!N171+1,
IFERROR(INDEX(Datos!$A$1:$L$1,1,RIGHT(Formulas!P171)+2)&amp;IF(Formulas!O171=1," "&amp;Formulas!N171,"")&amp;":","")))</f>
        <v/>
      </c>
      <c r="N174" s="107" t="str" cm="1">
        <f t="array" aca="1" ref="N174" ca="1">IF(OR(Formulas!O171=0,Formulas!O171="",RIGHT(Formulas!P171)="0"),"",
HYPERLINK("["&amp;Archivo_Nombre&amp;"]Datos!"&amp;LEFT(SUBSTITUTE(ADDRESS(1,RIGHT(Formulas!P171)+2),"$",""))&amp;Formulas!N171+1,
IFERROR(INDEX(Datos!$A$2:$L$101,Formulas!N171,RIGHT(Formulas!P171)+2),"")))</f>
        <v/>
      </c>
      <c r="O174" s="107" t="str" cm="1">
        <f t="array" aca="1" ref="O174" ca="1">IF(OR(Formulas!P172=0,Formulas!P172=""),"",HYPERLINK("["&amp;Archivo_Nombre&amp;"]Datos!"&amp;LEFT(SUBSTITUTE(ADDRESS(1,Formulas!P172+2),"$",""))&amp;Formulas!O172+1,
IFERROR(INDEX(Datos!$A$2:$L$101,Formulas!O172,Formulas!P172+2),"")))</f>
        <v/>
      </c>
      <c r="P174" s="5"/>
      <c r="Q174" s="6"/>
      <c r="R174" s="24" t="str" cm="1">
        <f t="array" aca="1" ref="R174" ca="1">IF(OR(Formulas!T171=0,Formulas!T171="",RIGHT(Formulas!U171)="0"),"",
HYPERLINK("["&amp;Archivo_Nombre&amp;"]Datos!"&amp;LEFT(SUBSTITUTE(ADDRESS(1,IF(Formulas!T171=1,1,RIGHT(Formulas!U171)+2)),"$",""))&amp;Formulas!S171+1,
IFERROR(INDEX(Datos!$A$1:$L$1,1,RIGHT(Formulas!U171)+2)&amp;IF(Formulas!T171=1," "&amp;Formulas!S171,"")&amp;":","")))</f>
        <v/>
      </c>
      <c r="S174" s="107" t="str" cm="1">
        <f t="array" aca="1" ref="S174" ca="1">IF(OR(Formulas!T171=0,Formulas!T171="",RIGHT(Formulas!U171)="0"),"",
HYPERLINK("["&amp;Archivo_Nombre&amp;"]Datos!"&amp;LEFT(SUBSTITUTE(ADDRESS(1,RIGHT(Formulas!U171)+2),"$",""))&amp;Formulas!S171+1,
IFERROR(INDEX(Datos!$A$2:$L$101,Formulas!S171,RIGHT(Formulas!U171)+2),"")))</f>
        <v/>
      </c>
      <c r="T174" s="107" t="str" cm="1">
        <f t="array" aca="1" ref="T174" ca="1">IF(OR(Formulas!U172=0,Formulas!U172=""),"",HYPERLINK("["&amp;Archivo_Nombre&amp;"]Datos!"&amp;LEFT(SUBSTITUTE(ADDRESS(1,Formulas!U172+2),"$",""))&amp;Formulas!T172+1,
IFERROR(INDEX(Datos!$A$2:$L$101,Formulas!T172,Formulas!U172+2),"")))</f>
        <v/>
      </c>
      <c r="U174" s="5"/>
      <c r="V174" s="6"/>
      <c r="W174" s="24" t="str" cm="1">
        <f t="array" aca="1" ref="W174" ca="1">IF(OR(Formulas!Y171=0,Formulas!Y171="",RIGHT(Formulas!Z171)="0"),"",
HYPERLINK("["&amp;Archivo_Nombre&amp;"]Datos!"&amp;LEFT(SUBSTITUTE(ADDRESS(1,IF(Formulas!Y171=1,1,RIGHT(Formulas!Z171)+2)),"$",""))&amp;Formulas!X171+1,
IFERROR(INDEX(Datos!$A$1:$L$1,1,RIGHT(Formulas!Z171)+2)&amp;IF(Formulas!Y171=1," "&amp;Formulas!X171,"")&amp;":","")))</f>
        <v/>
      </c>
      <c r="X174" s="107" t="str" cm="1">
        <f t="array" aca="1" ref="X174" ca="1">IF(OR(Formulas!Y171=0,Formulas!Y171="",RIGHT(Formulas!Z171)="0"),"",
HYPERLINK("["&amp;Archivo_Nombre&amp;"]Datos!"&amp;LEFT(SUBSTITUTE(ADDRESS(1,RIGHT(Formulas!Z171)+2),"$",""))&amp;Formulas!X171+1,
IFERROR(INDEX(Datos!$A$2:$L$101,Formulas!X171,RIGHT(Formulas!Z171)+2),"")))</f>
        <v/>
      </c>
      <c r="Y174" s="107" t="str" cm="1">
        <f t="array" aca="1" ref="Y174" ca="1">IF(OR(Formulas!Z172=0,Formulas!Z172=""),"",HYPERLINK("["&amp;Archivo_Nombre&amp;"]Datos!"&amp;LEFT(SUBSTITUTE(ADDRESS(1,Formulas!Z172+2),"$",""))&amp;Formulas!Y172+1,
IFERROR(INDEX(Datos!$A$2:$L$101,Formulas!Y172,Formulas!Z172+2),"")))</f>
        <v/>
      </c>
      <c r="Z174" s="13"/>
      <c r="AA174" s="6"/>
      <c r="AB174" s="24" t="str" cm="1">
        <f t="array" aca="1" ref="AB174" ca="1">IF(OR(Formulas!AD171=0,Formulas!AD171="",RIGHT(Formulas!AE171)="0"),"",
HYPERLINK("["&amp;Archivo_Nombre&amp;"]Datos!"&amp;LEFT(SUBSTITUTE(ADDRESS(1,IF(Formulas!AD171=1,1,RIGHT(Formulas!AE171)+2)),"$",""))&amp;Formulas!AC171+1,
IFERROR(INDEX(Datos!$A$1:$L$1,1,RIGHT(Formulas!AE171)+2)&amp;IF(Formulas!AD171=1," "&amp;Formulas!AC171,"")&amp;":","")))</f>
        <v/>
      </c>
      <c r="AC174" s="107" t="str" cm="1">
        <f t="array" aca="1" ref="AC174" ca="1">IF(OR(Formulas!AD171=0,Formulas!AD171="",RIGHT(Formulas!AE171)="0"),"",
HYPERLINK("["&amp;Archivo_Nombre&amp;"]Datos!"&amp;LEFT(SUBSTITUTE(ADDRESS(1,RIGHT(Formulas!AE171)+2),"$",""))&amp;Formulas!AC171+1,
IFERROR(INDEX(Datos!$A$2:$L$101,Formulas!AC171,RIGHT(Formulas!AE171)+2),"")))</f>
        <v/>
      </c>
      <c r="AD174" s="107" t="str" cm="1">
        <f t="array" aca="1" ref="AD174" ca="1">IF(OR(Formulas!AE172=0,Formulas!AE172=""),"",HYPERLINK("["&amp;Archivo_Nombre&amp;"]Datos!"&amp;LEFT(SUBSTITUTE(ADDRESS(1,Formulas!AE172+2),"$",""))&amp;Formulas!AD172+1,
IFERROR(INDEX(Datos!$A$2:$L$101,Formulas!AD172,Formulas!AE172+2),"")))</f>
        <v/>
      </c>
      <c r="AE174" s="13"/>
      <c r="AF174" s="6"/>
      <c r="AG174" s="24" t="str" cm="1">
        <f t="array" aca="1" ref="AG174" ca="1">IF(OR(Formulas!AI171=0,Formulas!AI171="",RIGHT(Formulas!AJ171)="0"),"",
HYPERLINK("["&amp;Archivo_Nombre&amp;"]Datos!"&amp;LEFT(SUBSTITUTE(ADDRESS(1,IF(Formulas!AI171=1,1,RIGHT(Formulas!AJ171)+2)),"$",""))&amp;Formulas!AH171+1,
IFERROR(INDEX(Datos!$A$1:$L$1,1,RIGHT(Formulas!AJ171)+2)&amp;IF(Formulas!AI171=1," "&amp;Formulas!AH171,"")&amp;":","")))</f>
        <v/>
      </c>
      <c r="AH174" s="107" t="str" cm="1">
        <f t="array" aca="1" ref="AH174" ca="1">IF(OR(Formulas!AI171=0,Formulas!AI171="",RIGHT(Formulas!AJ171)="0"),"",
HYPERLINK("["&amp;Archivo_Nombre&amp;"]Datos!"&amp;LEFT(SUBSTITUTE(ADDRESS(1,RIGHT(Formulas!AJ171)+2),"$",""))&amp;Formulas!AH171+1,
IFERROR(INDEX(Datos!$A$2:$L$101,Formulas!AH171,RIGHT(Formulas!AJ171)+2),"")))</f>
        <v/>
      </c>
      <c r="AI174" s="107" t="str" cm="1">
        <f t="array" aca="1" ref="AI174" ca="1">IF(OR(Formulas!AJ172=0,Formulas!AJ172=""),"",HYPERLINK("["&amp;Archivo_Nombre&amp;"]Datos!"&amp;LEFT(SUBSTITUTE(ADDRESS(1,Formulas!AJ172+2),"$",""))&amp;Formulas!AI172+1,
IFERROR(INDEX(Datos!$A$2:$L$101,Formulas!AI172,Formulas!AJ172+2),"")))</f>
        <v/>
      </c>
      <c r="AJ174" s="13"/>
      <c r="AK174" s="6"/>
      <c r="AL174" s="24" t="str" cm="1">
        <f t="array" aca="1" ref="AL174" ca="1">IF(OR(Formulas!AN171=0,Formulas!AN171="",RIGHT(Formulas!AO171)="0"),"",
HYPERLINK("["&amp;Archivo_Nombre&amp;"]Datos!"&amp;LEFT(SUBSTITUTE(ADDRESS(1,IF(Formulas!AN171=1,1,RIGHT(Formulas!AO171)+2)),"$",""))&amp;Formulas!AM171+1,
IFERROR(INDEX(Datos!$A$1:$L$1,1,RIGHT(Formulas!AO171)+2)&amp;IF(Formulas!AN171=1," "&amp;Formulas!AM171,"")&amp;":","")))</f>
        <v/>
      </c>
      <c r="AM174" s="107" t="str" cm="1">
        <f t="array" aca="1" ref="AM174" ca="1">IF(OR(Formulas!AN171=0,Formulas!AN171="",RIGHT(Formulas!AO171)="0"),"",
HYPERLINK("["&amp;Archivo_Nombre&amp;"]Datos!"&amp;LEFT(SUBSTITUTE(ADDRESS(1,RIGHT(Formulas!AO171)+2),"$",""))&amp;Formulas!AM171+1,
IFERROR(INDEX(Datos!$A$2:$L$101,Formulas!AM171,RIGHT(Formulas!AO171)+2),"")))</f>
        <v/>
      </c>
      <c r="AN174" s="107" t="str" cm="1">
        <f t="array" aca="1" ref="AN174" ca="1">IF(OR(Formulas!AO172=0,Formulas!AO172=""),"",HYPERLINK("["&amp;Archivo_Nombre&amp;"]Datos!"&amp;LEFT(SUBSTITUTE(ADDRESS(1,Formulas!AO172+2),"$",""))&amp;Formulas!AN172+1,
IFERROR(INDEX(Datos!$A$2:$L$101,Formulas!AN172,Formulas!AO172+2),"")))</f>
        <v/>
      </c>
      <c r="AO174" s="13"/>
      <c r="AP174" s="6"/>
      <c r="AQ174" s="24" t="str" cm="1">
        <f t="array" aca="1" ref="AQ174" ca="1">IF(OR(Formulas!AS171=0,Formulas!AS171="",RIGHT(Formulas!AT171)="0"),"",
HYPERLINK("["&amp;Archivo_Nombre&amp;"]Datos!"&amp;LEFT(SUBSTITUTE(ADDRESS(1,IF(Formulas!AS171=1,1,RIGHT(Formulas!AT171)+2)),"$",""))&amp;Formulas!AR171+1,
IFERROR(INDEX(Datos!$A$1:$L$1,1,RIGHT(Formulas!AT171)+2)&amp;IF(Formulas!AS171=1," "&amp;Formulas!AR171,"")&amp;":","")))</f>
        <v/>
      </c>
      <c r="AR174" s="107" t="str" cm="1">
        <f t="array" aca="1" ref="AR174" ca="1">IF(OR(Formulas!AS171=0,Formulas!AS171="",RIGHT(Formulas!AT171)="0"),"",
HYPERLINK("["&amp;Archivo_Nombre&amp;"]Datos!"&amp;LEFT(SUBSTITUTE(ADDRESS(1,RIGHT(Formulas!AT171)+2),"$",""))&amp;Formulas!AR171+1,
IFERROR(INDEX(Datos!$A$2:$L$101,Formulas!AR171,RIGHT(Formulas!AT171)+2),"")))</f>
        <v/>
      </c>
      <c r="AS174" s="107" t="str" cm="1">
        <f t="array" aca="1" ref="AS174" ca="1">IF(OR(Formulas!AT172=0,Formulas!AT172=""),"",HYPERLINK("["&amp;Archivo_Nombre&amp;"]Datos!"&amp;LEFT(SUBSTITUTE(ADDRESS(1,Formulas!AT172+2),"$",""))&amp;Formulas!AS172+1,
IFERROR(INDEX(Datos!$A$2:$L$101,Formulas!AS172,Formulas!AT172+2),"")))</f>
        <v/>
      </c>
      <c r="AT174" s="13"/>
      <c r="AU174" s="6"/>
      <c r="AV174" s="24" t="str" cm="1">
        <f t="array" aca="1" ref="AV174" ca="1">IF(OR(Formulas!AX171=0,Formulas!AX171="",RIGHT(Formulas!AY171)="0"),"",
HYPERLINK("["&amp;Archivo_Nombre&amp;"]Datos!"&amp;LEFT(SUBSTITUTE(ADDRESS(1,IF(Formulas!AX171=1,1,RIGHT(Formulas!AY171)+2)),"$",""))&amp;Formulas!AW171+1,
IFERROR(INDEX(Datos!$A$1:$L$1,1,RIGHT(Formulas!AY171)+2)&amp;IF(Formulas!AX171=1," "&amp;Formulas!AW171,"")&amp;":","")))</f>
        <v/>
      </c>
      <c r="AW174" s="107" t="str" cm="1">
        <f t="array" aca="1" ref="AW174" ca="1">IF(OR(Formulas!AX171=0,Formulas!AX171="",RIGHT(Formulas!AY171)="0"),"",
HYPERLINK("["&amp;Archivo_Nombre&amp;"]Datos!"&amp;LEFT(SUBSTITUTE(ADDRESS(1,RIGHT(Formulas!AY171)+2),"$",""))&amp;Formulas!AW171+1,
IFERROR(INDEX(Datos!$A$2:$L$101,Formulas!AW171,RIGHT(Formulas!AY171)+2),"")))</f>
        <v/>
      </c>
      <c r="AX174" s="107" t="str" cm="1">
        <f t="array" aca="1" ref="AX174" ca="1">IF(OR(Formulas!AY172=0,Formulas!AY172=""),"",HYPERLINK("["&amp;Archivo_Nombre&amp;"]Datos!"&amp;LEFT(SUBSTITUTE(ADDRESS(1,Formulas!AY172+2),"$",""))&amp;Formulas!AX172+1,
IFERROR(INDEX(Datos!$A$2:$L$101,Formulas!AX172,Formulas!AY172+2),"")))</f>
        <v/>
      </c>
      <c r="AY174" s="13"/>
    </row>
    <row r="175" spans="2:51" x14ac:dyDescent="0.25">
      <c r="B175" s="11"/>
      <c r="C175" s="24" t="str" cm="1">
        <f t="array" aca="1" ref="C175" ca="1">IF(OR(Formulas!E172=0,Formulas!E172="",RIGHT(Formulas!F172)="0"),"",
HYPERLINK("["&amp;Archivo_Nombre&amp;"]Datos!"&amp;LEFT(SUBSTITUTE(ADDRESS(1,IF(Formulas!E172=1,1,RIGHT(Formulas!F172)+2)),"$",""))&amp;Formulas!D172+1,
IFERROR(INDEX(Datos!$A$1:$L$1,1,RIGHT(Formulas!F172)+2)&amp;IF(Formulas!E172=1," "&amp;Formulas!D172,"")&amp;":","")))</f>
        <v/>
      </c>
      <c r="D175" s="107" t="str" cm="1">
        <f t="array" aca="1" ref="D175" ca="1">IF(OR(Formulas!E172=0,Formulas!E172="",RIGHT(Formulas!F172)="0"),"",
HYPERLINK("["&amp;Archivo_Nombre&amp;"]Datos!"&amp;LEFT(SUBSTITUTE(ADDRESS(1,RIGHT(Formulas!F172)+2),"$",""))&amp;Formulas!D172+1,
IFERROR(INDEX(Datos!$A$2:$L$101,Formulas!D172,RIGHT(Formulas!F172)+2),"")))</f>
        <v/>
      </c>
      <c r="E175" s="107" t="str" cm="1">
        <f t="array" aca="1" ref="E175" ca="1">IF(OR(Formulas!F173=0,Formulas!F173=""),"",HYPERLINK("["&amp;Archivo_Nombre&amp;"]Datos!"&amp;LEFT(SUBSTITUTE(ADDRESS(1,Formulas!F173+2),"$",""))&amp;Formulas!E173+1,
IFERROR(INDEX(Datos!$A$2:$L$101,Formulas!E173,Formulas!F173+2),"")))</f>
        <v/>
      </c>
      <c r="F175" s="5"/>
      <c r="G175" s="6"/>
      <c r="H175" s="24" t="str" cm="1">
        <f t="array" aca="1" ref="H175" ca="1">IF(OR(Formulas!J172=0,Formulas!J172="",RIGHT(Formulas!K172)="0"),"",
HYPERLINK("["&amp;Archivo_Nombre&amp;"]Datos!"&amp;LEFT(SUBSTITUTE(ADDRESS(1,IF(Formulas!J172=1,1,RIGHT(Formulas!K172)+2)),"$",""))&amp;Formulas!I172+1,
IFERROR(INDEX(Datos!$A$1:$L$1,1,RIGHT(Formulas!K172)+2)&amp;IF(Formulas!J172=1," "&amp;Formulas!I172,"")&amp;":","")))</f>
        <v/>
      </c>
      <c r="I175" s="107" t="str" cm="1">
        <f t="array" aca="1" ref="I175" ca="1">IF(OR(Formulas!J172=0,Formulas!J172="",RIGHT(Formulas!K172)="0"),"",
HYPERLINK("["&amp;Archivo_Nombre&amp;"]Datos!"&amp;LEFT(SUBSTITUTE(ADDRESS(1,RIGHT(Formulas!K172)+2),"$",""))&amp;Formulas!I172+1,
IFERROR(INDEX(Datos!$A$2:$L$101,Formulas!I172,RIGHT(Formulas!K172)+2),"")))</f>
        <v/>
      </c>
      <c r="J175" s="107" t="str" cm="1">
        <f t="array" aca="1" ref="J175" ca="1">IF(OR(Formulas!K173=0,Formulas!K173=""),"",HYPERLINK("["&amp;Archivo_Nombre&amp;"]Datos!"&amp;LEFT(SUBSTITUTE(ADDRESS(1,Formulas!K173+2),"$",""))&amp;Formulas!J173+1,
IFERROR(INDEX(Datos!$A$2:$L$101,Formulas!J173,Formulas!K173+2),"")))</f>
        <v/>
      </c>
      <c r="K175" s="5"/>
      <c r="L175" s="6"/>
      <c r="M175" s="24" t="str" cm="1">
        <f t="array" aca="1" ref="M175" ca="1">IF(OR(Formulas!O172=0,Formulas!O172="",RIGHT(Formulas!P172)="0"),"",
HYPERLINK("["&amp;Archivo_Nombre&amp;"]Datos!"&amp;LEFT(SUBSTITUTE(ADDRESS(1,IF(Formulas!O172=1,1,RIGHT(Formulas!P172)+2)),"$",""))&amp;Formulas!N172+1,
IFERROR(INDEX(Datos!$A$1:$L$1,1,RIGHT(Formulas!P172)+2)&amp;IF(Formulas!O172=1," "&amp;Formulas!N172,"")&amp;":","")))</f>
        <v/>
      </c>
      <c r="N175" s="107" t="str" cm="1">
        <f t="array" aca="1" ref="N175" ca="1">IF(OR(Formulas!O172=0,Formulas!O172="",RIGHT(Formulas!P172)="0"),"",
HYPERLINK("["&amp;Archivo_Nombre&amp;"]Datos!"&amp;LEFT(SUBSTITUTE(ADDRESS(1,RIGHT(Formulas!P172)+2),"$",""))&amp;Formulas!N172+1,
IFERROR(INDEX(Datos!$A$2:$L$101,Formulas!N172,RIGHT(Formulas!P172)+2),"")))</f>
        <v/>
      </c>
      <c r="O175" s="107" t="str" cm="1">
        <f t="array" aca="1" ref="O175" ca="1">IF(OR(Formulas!P173=0,Formulas!P173=""),"",HYPERLINK("["&amp;Archivo_Nombre&amp;"]Datos!"&amp;LEFT(SUBSTITUTE(ADDRESS(1,Formulas!P173+2),"$",""))&amp;Formulas!O173+1,
IFERROR(INDEX(Datos!$A$2:$L$101,Formulas!O173,Formulas!P173+2),"")))</f>
        <v/>
      </c>
      <c r="P175" s="5"/>
      <c r="Q175" s="6"/>
      <c r="R175" s="24" t="str" cm="1">
        <f t="array" aca="1" ref="R175" ca="1">IF(OR(Formulas!T172=0,Formulas!T172="",RIGHT(Formulas!U172)="0"),"",
HYPERLINK("["&amp;Archivo_Nombre&amp;"]Datos!"&amp;LEFT(SUBSTITUTE(ADDRESS(1,IF(Formulas!T172=1,1,RIGHT(Formulas!U172)+2)),"$",""))&amp;Formulas!S172+1,
IFERROR(INDEX(Datos!$A$1:$L$1,1,RIGHT(Formulas!U172)+2)&amp;IF(Formulas!T172=1," "&amp;Formulas!S172,"")&amp;":","")))</f>
        <v/>
      </c>
      <c r="S175" s="107" t="str" cm="1">
        <f t="array" aca="1" ref="S175" ca="1">IF(OR(Formulas!T172=0,Formulas!T172="",RIGHT(Formulas!U172)="0"),"",
HYPERLINK("["&amp;Archivo_Nombre&amp;"]Datos!"&amp;LEFT(SUBSTITUTE(ADDRESS(1,RIGHT(Formulas!U172)+2),"$",""))&amp;Formulas!S172+1,
IFERROR(INDEX(Datos!$A$2:$L$101,Formulas!S172,RIGHT(Formulas!U172)+2),"")))</f>
        <v/>
      </c>
      <c r="T175" s="107" t="e" cm="1">
        <f t="array" aca="1" ref="T175" ca="1">IF(OR(Formulas!U173=0,Formulas!U173=""),"",HYPERLINK("["&amp;Archivo_Nombre&amp;"]Datos!"&amp;LEFT(SUBSTITUTE(ADDRESS(1,Formulas!U173+2),"$",""))&amp;Formulas!T173+1,
IFERROR(INDEX(Datos!$A$2:$L$101,Formulas!T173,Formulas!U173+2),"")))</f>
        <v>#VALUE!</v>
      </c>
      <c r="U175" s="5"/>
      <c r="V175" s="6"/>
      <c r="W175" s="24" t="str" cm="1">
        <f t="array" aca="1" ref="W175" ca="1">IF(OR(Formulas!Y172=0,Formulas!Y172="",RIGHT(Formulas!Z172)="0"),"",
HYPERLINK("["&amp;Archivo_Nombre&amp;"]Datos!"&amp;LEFT(SUBSTITUTE(ADDRESS(1,IF(Formulas!Y172=1,1,RIGHT(Formulas!Z172)+2)),"$",""))&amp;Formulas!X172+1,
IFERROR(INDEX(Datos!$A$1:$L$1,1,RIGHT(Formulas!Z172)+2)&amp;IF(Formulas!Y172=1," "&amp;Formulas!X172,"")&amp;":","")))</f>
        <v/>
      </c>
      <c r="X175" s="107" t="str" cm="1">
        <f t="array" aca="1" ref="X175" ca="1">IF(OR(Formulas!Y172=0,Formulas!Y172="",RIGHT(Formulas!Z172)="0"),"",
HYPERLINK("["&amp;Archivo_Nombre&amp;"]Datos!"&amp;LEFT(SUBSTITUTE(ADDRESS(1,RIGHT(Formulas!Z172)+2),"$",""))&amp;Formulas!X172+1,
IFERROR(INDEX(Datos!$A$2:$L$101,Formulas!X172,RIGHT(Formulas!Z172)+2),"")))</f>
        <v/>
      </c>
      <c r="Y175" s="107" t="str" cm="1">
        <f t="array" aca="1" ref="Y175" ca="1">IF(OR(Formulas!Z173=0,Formulas!Z173=""),"",HYPERLINK("["&amp;Archivo_Nombre&amp;"]Datos!"&amp;LEFT(SUBSTITUTE(ADDRESS(1,Formulas!Z173+2),"$",""))&amp;Formulas!Y173+1,
IFERROR(INDEX(Datos!$A$2:$L$101,Formulas!Y173,Formulas!Z173+2),"")))</f>
        <v/>
      </c>
      <c r="Z175" s="13"/>
      <c r="AA175" s="6"/>
      <c r="AB175" s="24" t="str" cm="1">
        <f t="array" aca="1" ref="AB175" ca="1">IF(OR(Formulas!AD172=0,Formulas!AD172="",RIGHT(Formulas!AE172)="0"),"",
HYPERLINK("["&amp;Archivo_Nombre&amp;"]Datos!"&amp;LEFT(SUBSTITUTE(ADDRESS(1,IF(Formulas!AD172=1,1,RIGHT(Formulas!AE172)+2)),"$",""))&amp;Formulas!AC172+1,
IFERROR(INDEX(Datos!$A$1:$L$1,1,RIGHT(Formulas!AE172)+2)&amp;IF(Formulas!AD172=1," "&amp;Formulas!AC172,"")&amp;":","")))</f>
        <v/>
      </c>
      <c r="AC175" s="107" t="str" cm="1">
        <f t="array" aca="1" ref="AC175" ca="1">IF(OR(Formulas!AD172=0,Formulas!AD172="",RIGHT(Formulas!AE172)="0"),"",
HYPERLINK("["&amp;Archivo_Nombre&amp;"]Datos!"&amp;LEFT(SUBSTITUTE(ADDRESS(1,RIGHT(Formulas!AE172)+2),"$",""))&amp;Formulas!AC172+1,
IFERROR(INDEX(Datos!$A$2:$L$101,Formulas!AC172,RIGHT(Formulas!AE172)+2),"")))</f>
        <v/>
      </c>
      <c r="AD175" s="107" t="str" cm="1">
        <f t="array" aca="1" ref="AD175" ca="1">IF(OR(Formulas!AE173=0,Formulas!AE173=""),"",HYPERLINK("["&amp;Archivo_Nombre&amp;"]Datos!"&amp;LEFT(SUBSTITUTE(ADDRESS(1,Formulas!AE173+2),"$",""))&amp;Formulas!AD173+1,
IFERROR(INDEX(Datos!$A$2:$L$101,Formulas!AD173,Formulas!AE173+2),"")))</f>
        <v/>
      </c>
      <c r="AE175" s="13"/>
      <c r="AF175" s="6"/>
      <c r="AG175" s="24" t="str" cm="1">
        <f t="array" aca="1" ref="AG175" ca="1">IF(OR(Formulas!AI172=0,Formulas!AI172="",RIGHT(Formulas!AJ172)="0"),"",
HYPERLINK("["&amp;Archivo_Nombre&amp;"]Datos!"&amp;LEFT(SUBSTITUTE(ADDRESS(1,IF(Formulas!AI172=1,1,RIGHT(Formulas!AJ172)+2)),"$",""))&amp;Formulas!AH172+1,
IFERROR(INDEX(Datos!$A$1:$L$1,1,RIGHT(Formulas!AJ172)+2)&amp;IF(Formulas!AI172=1," "&amp;Formulas!AH172,"")&amp;":","")))</f>
        <v/>
      </c>
      <c r="AH175" s="107" t="str" cm="1">
        <f t="array" aca="1" ref="AH175" ca="1">IF(OR(Formulas!AI172=0,Formulas!AI172="",RIGHT(Formulas!AJ172)="0"),"",
HYPERLINK("["&amp;Archivo_Nombre&amp;"]Datos!"&amp;LEFT(SUBSTITUTE(ADDRESS(1,RIGHT(Formulas!AJ172)+2),"$",""))&amp;Formulas!AH172+1,
IFERROR(INDEX(Datos!$A$2:$L$101,Formulas!AH172,RIGHT(Formulas!AJ172)+2),"")))</f>
        <v/>
      </c>
      <c r="AI175" s="107" t="str" cm="1">
        <f t="array" aca="1" ref="AI175" ca="1">IF(OR(Formulas!AJ173=0,Formulas!AJ173=""),"",HYPERLINK("["&amp;Archivo_Nombre&amp;"]Datos!"&amp;LEFT(SUBSTITUTE(ADDRESS(1,Formulas!AJ173+2),"$",""))&amp;Formulas!AI173+1,
IFERROR(INDEX(Datos!$A$2:$L$101,Formulas!AI173,Formulas!AJ173+2),"")))</f>
        <v/>
      </c>
      <c r="AJ175" s="13"/>
      <c r="AK175" s="6"/>
      <c r="AL175" s="24" t="str" cm="1">
        <f t="array" aca="1" ref="AL175" ca="1">IF(OR(Formulas!AN172=0,Formulas!AN172="",RIGHT(Formulas!AO172)="0"),"",
HYPERLINK("["&amp;Archivo_Nombre&amp;"]Datos!"&amp;LEFT(SUBSTITUTE(ADDRESS(1,IF(Formulas!AN172=1,1,RIGHT(Formulas!AO172)+2)),"$",""))&amp;Formulas!AM172+1,
IFERROR(INDEX(Datos!$A$1:$L$1,1,RIGHT(Formulas!AO172)+2)&amp;IF(Formulas!AN172=1," "&amp;Formulas!AM172,"")&amp;":","")))</f>
        <v/>
      </c>
      <c r="AM175" s="107" t="str" cm="1">
        <f t="array" aca="1" ref="AM175" ca="1">IF(OR(Formulas!AN172=0,Formulas!AN172="",RIGHT(Formulas!AO172)="0"),"",
HYPERLINK("["&amp;Archivo_Nombre&amp;"]Datos!"&amp;LEFT(SUBSTITUTE(ADDRESS(1,RIGHT(Formulas!AO172)+2),"$",""))&amp;Formulas!AM172+1,
IFERROR(INDEX(Datos!$A$2:$L$101,Formulas!AM172,RIGHT(Formulas!AO172)+2),"")))</f>
        <v/>
      </c>
      <c r="AN175" s="107" t="str" cm="1">
        <f t="array" aca="1" ref="AN175" ca="1">IF(OR(Formulas!AO173=0,Formulas!AO173=""),"",HYPERLINK("["&amp;Archivo_Nombre&amp;"]Datos!"&amp;LEFT(SUBSTITUTE(ADDRESS(1,Formulas!AO173+2),"$",""))&amp;Formulas!AN173+1,
IFERROR(INDEX(Datos!$A$2:$L$101,Formulas!AN173,Formulas!AO173+2),"")))</f>
        <v/>
      </c>
      <c r="AO175" s="13"/>
      <c r="AP175" s="6"/>
      <c r="AQ175" s="24" t="str" cm="1">
        <f t="array" aca="1" ref="AQ175" ca="1">IF(OR(Formulas!AS172=0,Formulas!AS172="",RIGHT(Formulas!AT172)="0"),"",
HYPERLINK("["&amp;Archivo_Nombre&amp;"]Datos!"&amp;LEFT(SUBSTITUTE(ADDRESS(1,IF(Formulas!AS172=1,1,RIGHT(Formulas!AT172)+2)),"$",""))&amp;Formulas!AR172+1,
IFERROR(INDEX(Datos!$A$1:$L$1,1,RIGHT(Formulas!AT172)+2)&amp;IF(Formulas!AS172=1," "&amp;Formulas!AR172,"")&amp;":","")))</f>
        <v/>
      </c>
      <c r="AR175" s="107" t="str" cm="1">
        <f t="array" aca="1" ref="AR175" ca="1">IF(OR(Formulas!AS172=0,Formulas!AS172="",RIGHT(Formulas!AT172)="0"),"",
HYPERLINK("["&amp;Archivo_Nombre&amp;"]Datos!"&amp;LEFT(SUBSTITUTE(ADDRESS(1,RIGHT(Formulas!AT172)+2),"$",""))&amp;Formulas!AR172+1,
IFERROR(INDEX(Datos!$A$2:$L$101,Formulas!AR172,RIGHT(Formulas!AT172)+2),"")))</f>
        <v/>
      </c>
      <c r="AS175" s="107" t="str" cm="1">
        <f t="array" aca="1" ref="AS175" ca="1">IF(OR(Formulas!AT173=0,Formulas!AT173=""),"",HYPERLINK("["&amp;Archivo_Nombre&amp;"]Datos!"&amp;LEFT(SUBSTITUTE(ADDRESS(1,Formulas!AT173+2),"$",""))&amp;Formulas!AS173+1,
IFERROR(INDEX(Datos!$A$2:$L$101,Formulas!AS173,Formulas!AT173+2),"")))</f>
        <v/>
      </c>
      <c r="AT175" s="13"/>
      <c r="AU175" s="6"/>
      <c r="AV175" s="24" t="str" cm="1">
        <f t="array" aca="1" ref="AV175" ca="1">IF(OR(Formulas!AX172=0,Formulas!AX172="",RIGHT(Formulas!AY172)="0"),"",
HYPERLINK("["&amp;Archivo_Nombre&amp;"]Datos!"&amp;LEFT(SUBSTITUTE(ADDRESS(1,IF(Formulas!AX172=1,1,RIGHT(Formulas!AY172)+2)),"$",""))&amp;Formulas!AW172+1,
IFERROR(INDEX(Datos!$A$1:$L$1,1,RIGHT(Formulas!AY172)+2)&amp;IF(Formulas!AX172=1," "&amp;Formulas!AW172,"")&amp;":","")))</f>
        <v/>
      </c>
      <c r="AW175" s="107" t="str" cm="1">
        <f t="array" aca="1" ref="AW175" ca="1">IF(OR(Formulas!AX172=0,Formulas!AX172="",RIGHT(Formulas!AY172)="0"),"",
HYPERLINK("["&amp;Archivo_Nombre&amp;"]Datos!"&amp;LEFT(SUBSTITUTE(ADDRESS(1,RIGHT(Formulas!AY172)+2),"$",""))&amp;Formulas!AW172+1,
IFERROR(INDEX(Datos!$A$2:$L$101,Formulas!AW172,RIGHT(Formulas!AY172)+2),"")))</f>
        <v/>
      </c>
      <c r="AX175" s="107" t="str" cm="1">
        <f t="array" aca="1" ref="AX175" ca="1">IF(OR(Formulas!AY173=0,Formulas!AY173=""),"",HYPERLINK("["&amp;Archivo_Nombre&amp;"]Datos!"&amp;LEFT(SUBSTITUTE(ADDRESS(1,Formulas!AY173+2),"$",""))&amp;Formulas!AX173+1,
IFERROR(INDEX(Datos!$A$2:$L$101,Formulas!AX173,Formulas!AY173+2),"")))</f>
        <v/>
      </c>
      <c r="AY175" s="13"/>
    </row>
    <row r="176" spans="2:51" x14ac:dyDescent="0.25">
      <c r="B176" s="11"/>
      <c r="C176" s="24" t="str" cm="1">
        <f t="array" aca="1" ref="C176" ca="1">IF(OR(Formulas!E173=0,Formulas!E173="",RIGHT(Formulas!F173)="0"),"",
HYPERLINK("["&amp;Archivo_Nombre&amp;"]Datos!"&amp;LEFT(SUBSTITUTE(ADDRESS(1,IF(Formulas!E173=1,1,RIGHT(Formulas!F173)+2)),"$",""))&amp;Formulas!D173+1,
IFERROR(INDEX(Datos!$A$1:$L$1,1,RIGHT(Formulas!F173)+2)&amp;IF(Formulas!E173=1," "&amp;Formulas!D173,"")&amp;":","")))</f>
        <v/>
      </c>
      <c r="D176" s="107" t="str" cm="1">
        <f t="array" aca="1" ref="D176" ca="1">IF(OR(Formulas!E173=0,Formulas!E173="",RIGHT(Formulas!F173)="0"),"",
HYPERLINK("["&amp;Archivo_Nombre&amp;"]Datos!"&amp;LEFT(SUBSTITUTE(ADDRESS(1,RIGHT(Formulas!F173)+2),"$",""))&amp;Formulas!D173+1,
IFERROR(INDEX(Datos!$A$2:$L$101,Formulas!D173,RIGHT(Formulas!F173)+2),"")))</f>
        <v/>
      </c>
      <c r="E176" s="107" t="str" cm="1">
        <f t="array" aca="1" ref="E176" ca="1">IF(OR(Formulas!F174=0,Formulas!F174=""),"",HYPERLINK("["&amp;Archivo_Nombre&amp;"]Datos!"&amp;LEFT(SUBSTITUTE(ADDRESS(1,Formulas!F174+2),"$",""))&amp;Formulas!E174+1,
IFERROR(INDEX(Datos!$A$2:$L$101,Formulas!E174,Formulas!F174+2),"")))</f>
        <v/>
      </c>
      <c r="F176" s="5"/>
      <c r="G176" s="6"/>
      <c r="H176" s="24" t="str" cm="1">
        <f t="array" aca="1" ref="H176" ca="1">IF(OR(Formulas!J173=0,Formulas!J173="",RIGHT(Formulas!K173)="0"),"",
HYPERLINK("["&amp;Archivo_Nombre&amp;"]Datos!"&amp;LEFT(SUBSTITUTE(ADDRESS(1,IF(Formulas!J173=1,1,RIGHT(Formulas!K173)+2)),"$",""))&amp;Formulas!I173+1,
IFERROR(INDEX(Datos!$A$1:$L$1,1,RIGHT(Formulas!K173)+2)&amp;IF(Formulas!J173=1," "&amp;Formulas!I173,"")&amp;":","")))</f>
        <v/>
      </c>
      <c r="I176" s="107" t="str" cm="1">
        <f t="array" aca="1" ref="I176" ca="1">IF(OR(Formulas!J173=0,Formulas!J173="",RIGHT(Formulas!K173)="0"),"",
HYPERLINK("["&amp;Archivo_Nombre&amp;"]Datos!"&amp;LEFT(SUBSTITUTE(ADDRESS(1,RIGHT(Formulas!K173)+2),"$",""))&amp;Formulas!I173+1,
IFERROR(INDEX(Datos!$A$2:$L$101,Formulas!I173,RIGHT(Formulas!K173)+2),"")))</f>
        <v/>
      </c>
      <c r="J176" s="107" t="str" cm="1">
        <f t="array" aca="1" ref="J176" ca="1">IF(OR(Formulas!K174=0,Formulas!K174=""),"",HYPERLINK("["&amp;Archivo_Nombre&amp;"]Datos!"&amp;LEFT(SUBSTITUTE(ADDRESS(1,Formulas!K174+2),"$",""))&amp;Formulas!J174+1,
IFERROR(INDEX(Datos!$A$2:$L$101,Formulas!J174,Formulas!K174+2),"")))</f>
        <v/>
      </c>
      <c r="K176" s="5"/>
      <c r="L176" s="6"/>
      <c r="M176" s="24" t="str" cm="1">
        <f t="array" aca="1" ref="M176" ca="1">IF(OR(Formulas!O173=0,Formulas!O173="",RIGHT(Formulas!P173)="0"),"",
HYPERLINK("["&amp;Archivo_Nombre&amp;"]Datos!"&amp;LEFT(SUBSTITUTE(ADDRESS(1,IF(Formulas!O173=1,1,RIGHT(Formulas!P173)+2)),"$",""))&amp;Formulas!N173+1,
IFERROR(INDEX(Datos!$A$1:$L$1,1,RIGHT(Formulas!P173)+2)&amp;IF(Formulas!O173=1," "&amp;Formulas!N173,"")&amp;":","")))</f>
        <v/>
      </c>
      <c r="N176" s="107" t="str" cm="1">
        <f t="array" aca="1" ref="N176" ca="1">IF(OR(Formulas!O173=0,Formulas!O173="",RIGHT(Formulas!P173)="0"),"",
HYPERLINK("["&amp;Archivo_Nombre&amp;"]Datos!"&amp;LEFT(SUBSTITUTE(ADDRESS(1,RIGHT(Formulas!P173)+2),"$",""))&amp;Formulas!N173+1,
IFERROR(INDEX(Datos!$A$2:$L$101,Formulas!N173,RIGHT(Formulas!P173)+2),"")))</f>
        <v/>
      </c>
      <c r="O176" s="107" t="str" cm="1">
        <f t="array" aca="1" ref="O176" ca="1">IF(OR(Formulas!P174=0,Formulas!P174=""),"",HYPERLINK("["&amp;Archivo_Nombre&amp;"]Datos!"&amp;LEFT(SUBSTITUTE(ADDRESS(1,Formulas!P174+2),"$",""))&amp;Formulas!O174+1,
IFERROR(INDEX(Datos!$A$2:$L$101,Formulas!O174,Formulas!P174+2),"")))</f>
        <v/>
      </c>
      <c r="P176" s="5"/>
      <c r="Q176" s="6"/>
      <c r="R176" s="24" t="str" cm="1">
        <f t="array" aca="1" ref="R176" ca="1">IF(OR(Formulas!T173=0,Formulas!T173="",RIGHT(Formulas!U173)="0"),"",
HYPERLINK("["&amp;Archivo_Nombre&amp;"]Datos!"&amp;LEFT(SUBSTITUTE(ADDRESS(1,IF(Formulas!T173=1,1,RIGHT(Formulas!U173)+2)),"$",""))&amp;Formulas!S173+1,
IFERROR(INDEX(Datos!$A$1:$L$1,1,RIGHT(Formulas!U173)+2)&amp;IF(Formulas!T173=1," "&amp;Formulas!S173,"")&amp;":","")))</f>
        <v>ORDEN PCRONOLOGICO 12:</v>
      </c>
      <c r="S176" s="107" cm="1">
        <f t="array" aca="1" ref="S176" ca="1">IF(OR(Formulas!T173=0,Formulas!T173="",RIGHT(Formulas!U173)="0"),"",
HYPERLINK("["&amp;Archivo_Nombre&amp;"]Datos!"&amp;LEFT(SUBSTITUTE(ADDRESS(1,RIGHT(Formulas!U173)+2),"$",""))&amp;Formulas!S173+1,
IFERROR(INDEX(Datos!$A$2:$L$101,Formulas!S173,RIGHT(Formulas!U173)+2),"")))</f>
        <v>12</v>
      </c>
      <c r="T176" s="107" t="e" cm="1">
        <f t="array" aca="1" ref="T176" ca="1">IF(OR(Formulas!U174=0,Formulas!U174=""),"",HYPERLINK("["&amp;Archivo_Nombre&amp;"]Datos!"&amp;LEFT(SUBSTITUTE(ADDRESS(1,Formulas!U174+2),"$",""))&amp;Formulas!T174+1,
IFERROR(INDEX(Datos!$A$2:$L$101,Formulas!T174,Formulas!U174+2),"")))</f>
        <v>#VALUE!</v>
      </c>
      <c r="U176" s="5"/>
      <c r="V176" s="6"/>
      <c r="W176" s="24" t="str" cm="1">
        <f t="array" aca="1" ref="W176" ca="1">IF(OR(Formulas!Y173=0,Formulas!Y173="",RIGHT(Formulas!Z173)="0"),"",
HYPERLINK("["&amp;Archivo_Nombre&amp;"]Datos!"&amp;LEFT(SUBSTITUTE(ADDRESS(1,IF(Formulas!Y173=1,1,RIGHT(Formulas!Z173)+2)),"$",""))&amp;Formulas!X173+1,
IFERROR(INDEX(Datos!$A$1:$L$1,1,RIGHT(Formulas!Z173)+2)&amp;IF(Formulas!Y173=1," "&amp;Formulas!X173,"")&amp;":","")))</f>
        <v/>
      </c>
      <c r="X176" s="107" t="str" cm="1">
        <f t="array" aca="1" ref="X176" ca="1">IF(OR(Formulas!Y173=0,Formulas!Y173="",RIGHT(Formulas!Z173)="0"),"",
HYPERLINK("["&amp;Archivo_Nombre&amp;"]Datos!"&amp;LEFT(SUBSTITUTE(ADDRESS(1,RIGHT(Formulas!Z173)+2),"$",""))&amp;Formulas!X173+1,
IFERROR(INDEX(Datos!$A$2:$L$101,Formulas!X173,RIGHT(Formulas!Z173)+2),"")))</f>
        <v/>
      </c>
      <c r="Y176" s="107" t="str" cm="1">
        <f t="array" aca="1" ref="Y176" ca="1">IF(OR(Formulas!Z174=0,Formulas!Z174=""),"",HYPERLINK("["&amp;Archivo_Nombre&amp;"]Datos!"&amp;LEFT(SUBSTITUTE(ADDRESS(1,Formulas!Z174+2),"$",""))&amp;Formulas!Y174+1,
IFERROR(INDEX(Datos!$A$2:$L$101,Formulas!Y174,Formulas!Z174+2),"")))</f>
        <v/>
      </c>
      <c r="Z176" s="13"/>
      <c r="AA176" s="6"/>
      <c r="AB176" s="24" t="str" cm="1">
        <f t="array" aca="1" ref="AB176" ca="1">IF(OR(Formulas!AD173=0,Formulas!AD173="",RIGHT(Formulas!AE173)="0"),"",
HYPERLINK("["&amp;Archivo_Nombre&amp;"]Datos!"&amp;LEFT(SUBSTITUTE(ADDRESS(1,IF(Formulas!AD173=1,1,RIGHT(Formulas!AE173)+2)),"$",""))&amp;Formulas!AC173+1,
IFERROR(INDEX(Datos!$A$1:$L$1,1,RIGHT(Formulas!AE173)+2)&amp;IF(Formulas!AD173=1," "&amp;Formulas!AC173,"")&amp;":","")))</f>
        <v/>
      </c>
      <c r="AC176" s="107" t="str" cm="1">
        <f t="array" aca="1" ref="AC176" ca="1">IF(OR(Formulas!AD173=0,Formulas!AD173="",RIGHT(Formulas!AE173)="0"),"",
HYPERLINK("["&amp;Archivo_Nombre&amp;"]Datos!"&amp;LEFT(SUBSTITUTE(ADDRESS(1,RIGHT(Formulas!AE173)+2),"$",""))&amp;Formulas!AC173+1,
IFERROR(INDEX(Datos!$A$2:$L$101,Formulas!AC173,RIGHT(Formulas!AE173)+2),"")))</f>
        <v/>
      </c>
      <c r="AD176" s="107" t="str" cm="1">
        <f t="array" aca="1" ref="AD176" ca="1">IF(OR(Formulas!AE174=0,Formulas!AE174=""),"",HYPERLINK("["&amp;Archivo_Nombre&amp;"]Datos!"&amp;LEFT(SUBSTITUTE(ADDRESS(1,Formulas!AE174+2),"$",""))&amp;Formulas!AD174+1,
IFERROR(INDEX(Datos!$A$2:$L$101,Formulas!AD174,Formulas!AE174+2),"")))</f>
        <v/>
      </c>
      <c r="AE176" s="13"/>
      <c r="AF176" s="6"/>
      <c r="AG176" s="24" t="str" cm="1">
        <f t="array" aca="1" ref="AG176" ca="1">IF(OR(Formulas!AI173=0,Formulas!AI173="",RIGHT(Formulas!AJ173)="0"),"",
HYPERLINK("["&amp;Archivo_Nombre&amp;"]Datos!"&amp;LEFT(SUBSTITUTE(ADDRESS(1,IF(Formulas!AI173=1,1,RIGHT(Formulas!AJ173)+2)),"$",""))&amp;Formulas!AH173+1,
IFERROR(INDEX(Datos!$A$1:$L$1,1,RIGHT(Formulas!AJ173)+2)&amp;IF(Formulas!AI173=1," "&amp;Formulas!AH173,"")&amp;":","")))</f>
        <v/>
      </c>
      <c r="AH176" s="107" t="str" cm="1">
        <f t="array" aca="1" ref="AH176" ca="1">IF(OR(Formulas!AI173=0,Formulas!AI173="",RIGHT(Formulas!AJ173)="0"),"",
HYPERLINK("["&amp;Archivo_Nombre&amp;"]Datos!"&amp;LEFT(SUBSTITUTE(ADDRESS(1,RIGHT(Formulas!AJ173)+2),"$",""))&amp;Formulas!AH173+1,
IFERROR(INDEX(Datos!$A$2:$L$101,Formulas!AH173,RIGHT(Formulas!AJ173)+2),"")))</f>
        <v/>
      </c>
      <c r="AI176" s="107" t="str" cm="1">
        <f t="array" aca="1" ref="AI176" ca="1">IF(OR(Formulas!AJ174=0,Formulas!AJ174=""),"",HYPERLINK("["&amp;Archivo_Nombre&amp;"]Datos!"&amp;LEFT(SUBSTITUTE(ADDRESS(1,Formulas!AJ174+2),"$",""))&amp;Formulas!AI174+1,
IFERROR(INDEX(Datos!$A$2:$L$101,Formulas!AI174,Formulas!AJ174+2),"")))</f>
        <v/>
      </c>
      <c r="AJ176" s="13"/>
      <c r="AK176" s="6"/>
      <c r="AL176" s="24" t="str" cm="1">
        <f t="array" aca="1" ref="AL176" ca="1">IF(OR(Formulas!AN173=0,Formulas!AN173="",RIGHT(Formulas!AO173)="0"),"",
HYPERLINK("["&amp;Archivo_Nombre&amp;"]Datos!"&amp;LEFT(SUBSTITUTE(ADDRESS(1,IF(Formulas!AN173=1,1,RIGHT(Formulas!AO173)+2)),"$",""))&amp;Formulas!AM173+1,
IFERROR(INDEX(Datos!$A$1:$L$1,1,RIGHT(Formulas!AO173)+2)&amp;IF(Formulas!AN173=1," "&amp;Formulas!AM173,"")&amp;":","")))</f>
        <v/>
      </c>
      <c r="AM176" s="107" t="str" cm="1">
        <f t="array" aca="1" ref="AM176" ca="1">IF(OR(Formulas!AN173=0,Formulas!AN173="",RIGHT(Formulas!AO173)="0"),"",
HYPERLINK("["&amp;Archivo_Nombre&amp;"]Datos!"&amp;LEFT(SUBSTITUTE(ADDRESS(1,RIGHT(Formulas!AO173)+2),"$",""))&amp;Formulas!AM173+1,
IFERROR(INDEX(Datos!$A$2:$L$101,Formulas!AM173,RIGHT(Formulas!AO173)+2),"")))</f>
        <v/>
      </c>
      <c r="AN176" s="107" t="str" cm="1">
        <f t="array" aca="1" ref="AN176" ca="1">IF(OR(Formulas!AO174=0,Formulas!AO174=""),"",HYPERLINK("["&amp;Archivo_Nombre&amp;"]Datos!"&amp;LEFT(SUBSTITUTE(ADDRESS(1,Formulas!AO174+2),"$",""))&amp;Formulas!AN174+1,
IFERROR(INDEX(Datos!$A$2:$L$101,Formulas!AN174,Formulas!AO174+2),"")))</f>
        <v/>
      </c>
      <c r="AO176" s="13"/>
      <c r="AP176" s="6"/>
      <c r="AQ176" s="24" t="str" cm="1">
        <f t="array" aca="1" ref="AQ176" ca="1">IF(OR(Formulas!AS173=0,Formulas!AS173="",RIGHT(Formulas!AT173)="0"),"",
HYPERLINK("["&amp;Archivo_Nombre&amp;"]Datos!"&amp;LEFT(SUBSTITUTE(ADDRESS(1,IF(Formulas!AS173=1,1,RIGHT(Formulas!AT173)+2)),"$",""))&amp;Formulas!AR173+1,
IFERROR(INDEX(Datos!$A$1:$L$1,1,RIGHT(Formulas!AT173)+2)&amp;IF(Formulas!AS173=1," "&amp;Formulas!AR173,"")&amp;":","")))</f>
        <v/>
      </c>
      <c r="AR176" s="107" t="str" cm="1">
        <f t="array" aca="1" ref="AR176" ca="1">IF(OR(Formulas!AS173=0,Formulas!AS173="",RIGHT(Formulas!AT173)="0"),"",
HYPERLINK("["&amp;Archivo_Nombre&amp;"]Datos!"&amp;LEFT(SUBSTITUTE(ADDRESS(1,RIGHT(Formulas!AT173)+2),"$",""))&amp;Formulas!AR173+1,
IFERROR(INDEX(Datos!$A$2:$L$101,Formulas!AR173,RIGHT(Formulas!AT173)+2),"")))</f>
        <v/>
      </c>
      <c r="AS176" s="107" t="str" cm="1">
        <f t="array" aca="1" ref="AS176" ca="1">IF(OR(Formulas!AT174=0,Formulas!AT174=""),"",HYPERLINK("["&amp;Archivo_Nombre&amp;"]Datos!"&amp;LEFT(SUBSTITUTE(ADDRESS(1,Formulas!AT174+2),"$",""))&amp;Formulas!AS174+1,
IFERROR(INDEX(Datos!$A$2:$L$101,Formulas!AS174,Formulas!AT174+2),"")))</f>
        <v/>
      </c>
      <c r="AT176" s="13"/>
      <c r="AU176" s="6"/>
      <c r="AV176" s="24" t="str" cm="1">
        <f t="array" aca="1" ref="AV176" ca="1">IF(OR(Formulas!AX173=0,Formulas!AX173="",RIGHT(Formulas!AY173)="0"),"",
HYPERLINK("["&amp;Archivo_Nombre&amp;"]Datos!"&amp;LEFT(SUBSTITUTE(ADDRESS(1,IF(Formulas!AX173=1,1,RIGHT(Formulas!AY173)+2)),"$",""))&amp;Formulas!AW173+1,
IFERROR(INDEX(Datos!$A$1:$L$1,1,RIGHT(Formulas!AY173)+2)&amp;IF(Formulas!AX173=1," "&amp;Formulas!AW173,"")&amp;":","")))</f>
        <v/>
      </c>
      <c r="AW176" s="107" t="str" cm="1">
        <f t="array" aca="1" ref="AW176" ca="1">IF(OR(Formulas!AX173=0,Formulas!AX173="",RIGHT(Formulas!AY173)="0"),"",
HYPERLINK("["&amp;Archivo_Nombre&amp;"]Datos!"&amp;LEFT(SUBSTITUTE(ADDRESS(1,RIGHT(Formulas!AY173)+2),"$",""))&amp;Formulas!AW173+1,
IFERROR(INDEX(Datos!$A$2:$L$101,Formulas!AW173,RIGHT(Formulas!AY173)+2),"")))</f>
        <v/>
      </c>
      <c r="AX176" s="107" t="str" cm="1">
        <f t="array" aca="1" ref="AX176" ca="1">IF(OR(Formulas!AY174=0,Formulas!AY174=""),"",HYPERLINK("["&amp;Archivo_Nombre&amp;"]Datos!"&amp;LEFT(SUBSTITUTE(ADDRESS(1,Formulas!AY174+2),"$",""))&amp;Formulas!AX174+1,
IFERROR(INDEX(Datos!$A$2:$L$101,Formulas!AX174,Formulas!AY174+2),"")))</f>
        <v/>
      </c>
      <c r="AY176" s="13"/>
    </row>
    <row r="177" spans="2:51" x14ac:dyDescent="0.25">
      <c r="B177" s="11"/>
      <c r="C177" s="24" t="str" cm="1">
        <f t="array" aca="1" ref="C177" ca="1">IF(OR(Formulas!E174=0,Formulas!E174="",RIGHT(Formulas!F174)="0"),"",
HYPERLINK("["&amp;Archivo_Nombre&amp;"]Datos!"&amp;LEFT(SUBSTITUTE(ADDRESS(1,IF(Formulas!E174=1,1,RIGHT(Formulas!F174)+2)),"$",""))&amp;Formulas!D174+1,
IFERROR(INDEX(Datos!$A$1:$L$1,1,RIGHT(Formulas!F174)+2)&amp;IF(Formulas!E174=1," "&amp;Formulas!D174,"")&amp;":","")))</f>
        <v/>
      </c>
      <c r="D177" s="107" t="str" cm="1">
        <f t="array" aca="1" ref="D177" ca="1">IF(OR(Formulas!E174=0,Formulas!E174="",RIGHT(Formulas!F174)="0"),"",
HYPERLINK("["&amp;Archivo_Nombre&amp;"]Datos!"&amp;LEFT(SUBSTITUTE(ADDRESS(1,RIGHT(Formulas!F174)+2),"$",""))&amp;Formulas!D174+1,
IFERROR(INDEX(Datos!$A$2:$L$101,Formulas!D174,RIGHT(Formulas!F174)+2),"")))</f>
        <v/>
      </c>
      <c r="E177" s="107" t="str" cm="1">
        <f t="array" aca="1" ref="E177" ca="1">IF(OR(Formulas!F175=0,Formulas!F175=""),"",HYPERLINK("["&amp;Archivo_Nombre&amp;"]Datos!"&amp;LEFT(SUBSTITUTE(ADDRESS(1,Formulas!F175+2),"$",""))&amp;Formulas!E175+1,
IFERROR(INDEX(Datos!$A$2:$L$101,Formulas!E175,Formulas!F175+2),"")))</f>
        <v/>
      </c>
      <c r="F177" s="5"/>
      <c r="G177" s="6"/>
      <c r="H177" s="24" t="str" cm="1">
        <f t="array" aca="1" ref="H177" ca="1">IF(OR(Formulas!J174=0,Formulas!J174="",RIGHT(Formulas!K174)="0"),"",
HYPERLINK("["&amp;Archivo_Nombre&amp;"]Datos!"&amp;LEFT(SUBSTITUTE(ADDRESS(1,IF(Formulas!J174=1,1,RIGHT(Formulas!K174)+2)),"$",""))&amp;Formulas!I174+1,
IFERROR(INDEX(Datos!$A$1:$L$1,1,RIGHT(Formulas!K174)+2)&amp;IF(Formulas!J174=1," "&amp;Formulas!I174,"")&amp;":","")))</f>
        <v/>
      </c>
      <c r="I177" s="107" t="str" cm="1">
        <f t="array" aca="1" ref="I177" ca="1">IF(OR(Formulas!J174=0,Formulas!J174="",RIGHT(Formulas!K174)="0"),"",
HYPERLINK("["&amp;Archivo_Nombre&amp;"]Datos!"&amp;LEFT(SUBSTITUTE(ADDRESS(1,RIGHT(Formulas!K174)+2),"$",""))&amp;Formulas!I174+1,
IFERROR(INDEX(Datos!$A$2:$L$101,Formulas!I174,RIGHT(Formulas!K174)+2),"")))</f>
        <v/>
      </c>
      <c r="J177" s="107" t="str" cm="1">
        <f t="array" aca="1" ref="J177" ca="1">IF(OR(Formulas!K175=0,Formulas!K175=""),"",HYPERLINK("["&amp;Archivo_Nombre&amp;"]Datos!"&amp;LEFT(SUBSTITUTE(ADDRESS(1,Formulas!K175+2),"$",""))&amp;Formulas!J175+1,
IFERROR(INDEX(Datos!$A$2:$L$101,Formulas!J175,Formulas!K175+2),"")))</f>
        <v/>
      </c>
      <c r="K177" s="5"/>
      <c r="L177" s="6"/>
      <c r="M177" s="24" t="str" cm="1">
        <f t="array" aca="1" ref="M177" ca="1">IF(OR(Formulas!O174=0,Formulas!O174="",RIGHT(Formulas!P174)="0"),"",
HYPERLINK("["&amp;Archivo_Nombre&amp;"]Datos!"&amp;LEFT(SUBSTITUTE(ADDRESS(1,IF(Formulas!O174=1,1,RIGHT(Formulas!P174)+2)),"$",""))&amp;Formulas!N174+1,
IFERROR(INDEX(Datos!$A$1:$L$1,1,RIGHT(Formulas!P174)+2)&amp;IF(Formulas!O174=1," "&amp;Formulas!N174,"")&amp;":","")))</f>
        <v/>
      </c>
      <c r="N177" s="107" t="str" cm="1">
        <f t="array" aca="1" ref="N177" ca="1">IF(OR(Formulas!O174=0,Formulas!O174="",RIGHT(Formulas!P174)="0"),"",
HYPERLINK("["&amp;Archivo_Nombre&amp;"]Datos!"&amp;LEFT(SUBSTITUTE(ADDRESS(1,RIGHT(Formulas!P174)+2),"$",""))&amp;Formulas!N174+1,
IFERROR(INDEX(Datos!$A$2:$L$101,Formulas!N174,RIGHT(Formulas!P174)+2),"")))</f>
        <v/>
      </c>
      <c r="O177" s="107" t="str" cm="1">
        <f t="array" aca="1" ref="O177" ca="1">IF(OR(Formulas!P175=0,Formulas!P175=""),"",HYPERLINK("["&amp;Archivo_Nombre&amp;"]Datos!"&amp;LEFT(SUBSTITUTE(ADDRESS(1,Formulas!P175+2),"$",""))&amp;Formulas!O175+1,
IFERROR(INDEX(Datos!$A$2:$L$101,Formulas!O175,Formulas!P175+2),"")))</f>
        <v/>
      </c>
      <c r="P177" s="5"/>
      <c r="Q177" s="6"/>
      <c r="R177" s="24" t="str" cm="1">
        <f t="array" aca="1" ref="R177" ca="1">IF(OR(Formulas!T174=0,Formulas!T174="",RIGHT(Formulas!U174)="0"),"",
HYPERLINK("["&amp;Archivo_Nombre&amp;"]Datos!"&amp;LEFT(SUBSTITUTE(ADDRESS(1,IF(Formulas!T174=1,1,RIGHT(Formulas!U174)+2)),"$",""))&amp;Formulas!S174+1,
IFERROR(INDEX(Datos!$A$1:$L$1,1,RIGHT(Formulas!U174)+2)&amp;IF(Formulas!T174=1," "&amp;Formulas!S174,"")&amp;":","")))</f>
        <v>Tarea:</v>
      </c>
      <c r="S177" s="107" t="str" cm="1">
        <f t="array" aca="1" ref="S177" ca="1">IF(OR(Formulas!T174=0,Formulas!T174="",RIGHT(Formulas!U174)="0"),"",
HYPERLINK("["&amp;Archivo_Nombre&amp;"]Datos!"&amp;LEFT(SUBSTITUTE(ADDRESS(1,RIGHT(Formulas!U174)+2),"$",""))&amp;Formulas!S174+1,
IFERROR(INDEX(Datos!$A$2:$L$101,Formulas!S174,RIGHT(Formulas!U174)+2),"")))</f>
        <v>Organización de carpetas del GitHub</v>
      </c>
      <c r="T177" s="107" t="e" cm="1">
        <f t="array" aca="1" ref="T177" ca="1">IF(OR(Formulas!U175=0,Formulas!U175=""),"",HYPERLINK("["&amp;Archivo_Nombre&amp;"]Datos!"&amp;LEFT(SUBSTITUTE(ADDRESS(1,Formulas!U175+2),"$",""))&amp;Formulas!T175+1,
IFERROR(INDEX(Datos!$A$2:$L$101,Formulas!T175,Formulas!U175+2),"")))</f>
        <v>#VALUE!</v>
      </c>
      <c r="U177" s="5"/>
      <c r="V177" s="6"/>
      <c r="W177" s="24" t="str" cm="1">
        <f t="array" aca="1" ref="W177" ca="1">IF(OR(Formulas!Y174=0,Formulas!Y174="",RIGHT(Formulas!Z174)="0"),"",
HYPERLINK("["&amp;Archivo_Nombre&amp;"]Datos!"&amp;LEFT(SUBSTITUTE(ADDRESS(1,IF(Formulas!Y174=1,1,RIGHT(Formulas!Z174)+2)),"$",""))&amp;Formulas!X174+1,
IFERROR(INDEX(Datos!$A$1:$L$1,1,RIGHT(Formulas!Z174)+2)&amp;IF(Formulas!Y174=1," "&amp;Formulas!X174,"")&amp;":","")))</f>
        <v/>
      </c>
      <c r="X177" s="107" t="str" cm="1">
        <f t="array" aca="1" ref="X177" ca="1">IF(OR(Formulas!Y174=0,Formulas!Y174="",RIGHT(Formulas!Z174)="0"),"",
HYPERLINK("["&amp;Archivo_Nombre&amp;"]Datos!"&amp;LEFT(SUBSTITUTE(ADDRESS(1,RIGHT(Formulas!Z174)+2),"$",""))&amp;Formulas!X174+1,
IFERROR(INDEX(Datos!$A$2:$L$101,Formulas!X174,RIGHT(Formulas!Z174)+2),"")))</f>
        <v/>
      </c>
      <c r="Y177" s="107" t="str" cm="1">
        <f t="array" aca="1" ref="Y177" ca="1">IF(OR(Formulas!Z175=0,Formulas!Z175=""),"",HYPERLINK("["&amp;Archivo_Nombre&amp;"]Datos!"&amp;LEFT(SUBSTITUTE(ADDRESS(1,Formulas!Z175+2),"$",""))&amp;Formulas!Y175+1,
IFERROR(INDEX(Datos!$A$2:$L$101,Formulas!Y175,Formulas!Z175+2),"")))</f>
        <v/>
      </c>
      <c r="Z177" s="13"/>
      <c r="AA177" s="6"/>
      <c r="AB177" s="24" t="str" cm="1">
        <f t="array" aca="1" ref="AB177" ca="1">IF(OR(Formulas!AD174=0,Formulas!AD174="",RIGHT(Formulas!AE174)="0"),"",
HYPERLINK("["&amp;Archivo_Nombre&amp;"]Datos!"&amp;LEFT(SUBSTITUTE(ADDRESS(1,IF(Formulas!AD174=1,1,RIGHT(Formulas!AE174)+2)),"$",""))&amp;Formulas!AC174+1,
IFERROR(INDEX(Datos!$A$1:$L$1,1,RIGHT(Formulas!AE174)+2)&amp;IF(Formulas!AD174=1," "&amp;Formulas!AC174,"")&amp;":","")))</f>
        <v/>
      </c>
      <c r="AC177" s="107" t="str" cm="1">
        <f t="array" aca="1" ref="AC177" ca="1">IF(OR(Formulas!AD174=0,Formulas!AD174="",RIGHT(Formulas!AE174)="0"),"",
HYPERLINK("["&amp;Archivo_Nombre&amp;"]Datos!"&amp;LEFT(SUBSTITUTE(ADDRESS(1,RIGHT(Formulas!AE174)+2),"$",""))&amp;Formulas!AC174+1,
IFERROR(INDEX(Datos!$A$2:$L$101,Formulas!AC174,RIGHT(Formulas!AE174)+2),"")))</f>
        <v/>
      </c>
      <c r="AD177" s="107" t="str" cm="1">
        <f t="array" aca="1" ref="AD177" ca="1">IF(OR(Formulas!AE175=0,Formulas!AE175=""),"",HYPERLINK("["&amp;Archivo_Nombre&amp;"]Datos!"&amp;LEFT(SUBSTITUTE(ADDRESS(1,Formulas!AE175+2),"$",""))&amp;Formulas!AD175+1,
IFERROR(INDEX(Datos!$A$2:$L$101,Formulas!AD175,Formulas!AE175+2),"")))</f>
        <v/>
      </c>
      <c r="AE177" s="13"/>
      <c r="AF177" s="6"/>
      <c r="AG177" s="24" t="str" cm="1">
        <f t="array" aca="1" ref="AG177" ca="1">IF(OR(Formulas!AI174=0,Formulas!AI174="",RIGHT(Formulas!AJ174)="0"),"",
HYPERLINK("["&amp;Archivo_Nombre&amp;"]Datos!"&amp;LEFT(SUBSTITUTE(ADDRESS(1,IF(Formulas!AI174=1,1,RIGHT(Formulas!AJ174)+2)),"$",""))&amp;Formulas!AH174+1,
IFERROR(INDEX(Datos!$A$1:$L$1,1,RIGHT(Formulas!AJ174)+2)&amp;IF(Formulas!AI174=1," "&amp;Formulas!AH174,"")&amp;":","")))</f>
        <v/>
      </c>
      <c r="AH177" s="107" t="str" cm="1">
        <f t="array" aca="1" ref="AH177" ca="1">IF(OR(Formulas!AI174=0,Formulas!AI174="",RIGHT(Formulas!AJ174)="0"),"",
HYPERLINK("["&amp;Archivo_Nombre&amp;"]Datos!"&amp;LEFT(SUBSTITUTE(ADDRESS(1,RIGHT(Formulas!AJ174)+2),"$",""))&amp;Formulas!AH174+1,
IFERROR(INDEX(Datos!$A$2:$L$101,Formulas!AH174,RIGHT(Formulas!AJ174)+2),"")))</f>
        <v/>
      </c>
      <c r="AI177" s="107" t="str" cm="1">
        <f t="array" aca="1" ref="AI177" ca="1">IF(OR(Formulas!AJ175=0,Formulas!AJ175=""),"",HYPERLINK("["&amp;Archivo_Nombre&amp;"]Datos!"&amp;LEFT(SUBSTITUTE(ADDRESS(1,Formulas!AJ175+2),"$",""))&amp;Formulas!AI175+1,
IFERROR(INDEX(Datos!$A$2:$L$101,Formulas!AI175,Formulas!AJ175+2),"")))</f>
        <v/>
      </c>
      <c r="AJ177" s="13"/>
      <c r="AK177" s="6"/>
      <c r="AL177" s="24" t="str" cm="1">
        <f t="array" aca="1" ref="AL177" ca="1">IF(OR(Formulas!AN174=0,Formulas!AN174="",RIGHT(Formulas!AO174)="0"),"",
HYPERLINK("["&amp;Archivo_Nombre&amp;"]Datos!"&amp;LEFT(SUBSTITUTE(ADDRESS(1,IF(Formulas!AN174=1,1,RIGHT(Formulas!AO174)+2)),"$",""))&amp;Formulas!AM174+1,
IFERROR(INDEX(Datos!$A$1:$L$1,1,RIGHT(Formulas!AO174)+2)&amp;IF(Formulas!AN174=1," "&amp;Formulas!AM174,"")&amp;":","")))</f>
        <v/>
      </c>
      <c r="AM177" s="107" t="str" cm="1">
        <f t="array" aca="1" ref="AM177" ca="1">IF(OR(Formulas!AN174=0,Formulas!AN174="",RIGHT(Formulas!AO174)="0"),"",
HYPERLINK("["&amp;Archivo_Nombre&amp;"]Datos!"&amp;LEFT(SUBSTITUTE(ADDRESS(1,RIGHT(Formulas!AO174)+2),"$",""))&amp;Formulas!AM174+1,
IFERROR(INDEX(Datos!$A$2:$L$101,Formulas!AM174,RIGHT(Formulas!AO174)+2),"")))</f>
        <v/>
      </c>
      <c r="AN177" s="107" t="str" cm="1">
        <f t="array" aca="1" ref="AN177" ca="1">IF(OR(Formulas!AO175=0,Formulas!AO175=""),"",HYPERLINK("["&amp;Archivo_Nombre&amp;"]Datos!"&amp;LEFT(SUBSTITUTE(ADDRESS(1,Formulas!AO175+2),"$",""))&amp;Formulas!AN175+1,
IFERROR(INDEX(Datos!$A$2:$L$101,Formulas!AN175,Formulas!AO175+2),"")))</f>
        <v/>
      </c>
      <c r="AO177" s="13"/>
      <c r="AP177" s="6"/>
      <c r="AQ177" s="24" t="str" cm="1">
        <f t="array" aca="1" ref="AQ177" ca="1">IF(OR(Formulas!AS174=0,Formulas!AS174="",RIGHT(Formulas!AT174)="0"),"",
HYPERLINK("["&amp;Archivo_Nombre&amp;"]Datos!"&amp;LEFT(SUBSTITUTE(ADDRESS(1,IF(Formulas!AS174=1,1,RIGHT(Formulas!AT174)+2)),"$",""))&amp;Formulas!AR174+1,
IFERROR(INDEX(Datos!$A$1:$L$1,1,RIGHT(Formulas!AT174)+2)&amp;IF(Formulas!AS174=1," "&amp;Formulas!AR174,"")&amp;":","")))</f>
        <v/>
      </c>
      <c r="AR177" s="107" t="str" cm="1">
        <f t="array" aca="1" ref="AR177" ca="1">IF(OR(Formulas!AS174=0,Formulas!AS174="",RIGHT(Formulas!AT174)="0"),"",
HYPERLINK("["&amp;Archivo_Nombre&amp;"]Datos!"&amp;LEFT(SUBSTITUTE(ADDRESS(1,RIGHT(Formulas!AT174)+2),"$",""))&amp;Formulas!AR174+1,
IFERROR(INDEX(Datos!$A$2:$L$101,Formulas!AR174,RIGHT(Formulas!AT174)+2),"")))</f>
        <v/>
      </c>
      <c r="AS177" s="107" t="str" cm="1">
        <f t="array" aca="1" ref="AS177" ca="1">IF(OR(Formulas!AT175=0,Formulas!AT175=""),"",HYPERLINK("["&amp;Archivo_Nombre&amp;"]Datos!"&amp;LEFT(SUBSTITUTE(ADDRESS(1,Formulas!AT175+2),"$",""))&amp;Formulas!AS175+1,
IFERROR(INDEX(Datos!$A$2:$L$101,Formulas!AS175,Formulas!AT175+2),"")))</f>
        <v/>
      </c>
      <c r="AT177" s="13"/>
      <c r="AU177" s="6"/>
      <c r="AV177" s="24" t="str" cm="1">
        <f t="array" aca="1" ref="AV177" ca="1">IF(OR(Formulas!AX174=0,Formulas!AX174="",RIGHT(Formulas!AY174)="0"),"",
HYPERLINK("["&amp;Archivo_Nombre&amp;"]Datos!"&amp;LEFT(SUBSTITUTE(ADDRESS(1,IF(Formulas!AX174=1,1,RIGHT(Formulas!AY174)+2)),"$",""))&amp;Formulas!AW174+1,
IFERROR(INDEX(Datos!$A$1:$L$1,1,RIGHT(Formulas!AY174)+2)&amp;IF(Formulas!AX174=1," "&amp;Formulas!AW174,"")&amp;":","")))</f>
        <v/>
      </c>
      <c r="AW177" s="107" t="str" cm="1">
        <f t="array" aca="1" ref="AW177" ca="1">IF(OR(Formulas!AX174=0,Formulas!AX174="",RIGHT(Formulas!AY174)="0"),"",
HYPERLINK("["&amp;Archivo_Nombre&amp;"]Datos!"&amp;LEFT(SUBSTITUTE(ADDRESS(1,RIGHT(Formulas!AY174)+2),"$",""))&amp;Formulas!AW174+1,
IFERROR(INDEX(Datos!$A$2:$L$101,Formulas!AW174,RIGHT(Formulas!AY174)+2),"")))</f>
        <v/>
      </c>
      <c r="AX177" s="107" t="str" cm="1">
        <f t="array" aca="1" ref="AX177" ca="1">IF(OR(Formulas!AY175=0,Formulas!AY175=""),"",HYPERLINK("["&amp;Archivo_Nombre&amp;"]Datos!"&amp;LEFT(SUBSTITUTE(ADDRESS(1,Formulas!AY175+2),"$",""))&amp;Formulas!AX175+1,
IFERROR(INDEX(Datos!$A$2:$L$101,Formulas!AX175,Formulas!AY175+2),"")))</f>
        <v/>
      </c>
      <c r="AY177" s="13"/>
    </row>
    <row r="178" spans="2:51" x14ac:dyDescent="0.25">
      <c r="B178" s="11"/>
      <c r="C178" s="24" t="str" cm="1">
        <f t="array" aca="1" ref="C178" ca="1">IF(OR(Formulas!E175=0,Formulas!E175="",RIGHT(Formulas!F175)="0"),"",
HYPERLINK("["&amp;Archivo_Nombre&amp;"]Datos!"&amp;LEFT(SUBSTITUTE(ADDRESS(1,IF(Formulas!E175=1,1,RIGHT(Formulas!F175)+2)),"$",""))&amp;Formulas!D175+1,
IFERROR(INDEX(Datos!$A$1:$L$1,1,RIGHT(Formulas!F175)+2)&amp;IF(Formulas!E175=1," "&amp;Formulas!D175,"")&amp;":","")))</f>
        <v/>
      </c>
      <c r="D178" s="107" t="str" cm="1">
        <f t="array" aca="1" ref="D178" ca="1">IF(OR(Formulas!E175=0,Formulas!E175="",RIGHT(Formulas!F175)="0"),"",
HYPERLINK("["&amp;Archivo_Nombre&amp;"]Datos!"&amp;LEFT(SUBSTITUTE(ADDRESS(1,RIGHT(Formulas!F175)+2),"$",""))&amp;Formulas!D175+1,
IFERROR(INDEX(Datos!$A$2:$L$101,Formulas!D175,RIGHT(Formulas!F175)+2),"")))</f>
        <v/>
      </c>
      <c r="E178" s="107" t="str" cm="1">
        <f t="array" aca="1" ref="E178" ca="1">IF(OR(Formulas!F176=0,Formulas!F176=""),"",HYPERLINK("["&amp;Archivo_Nombre&amp;"]Datos!"&amp;LEFT(SUBSTITUTE(ADDRESS(1,Formulas!F176+2),"$",""))&amp;Formulas!E176+1,
IFERROR(INDEX(Datos!$A$2:$L$101,Formulas!E176,Formulas!F176+2),"")))</f>
        <v/>
      </c>
      <c r="F178" s="5"/>
      <c r="G178" s="6"/>
      <c r="H178" s="24" t="str" cm="1">
        <f t="array" aca="1" ref="H178" ca="1">IF(OR(Formulas!J175=0,Formulas!J175="",RIGHT(Formulas!K175)="0"),"",
HYPERLINK("["&amp;Archivo_Nombre&amp;"]Datos!"&amp;LEFT(SUBSTITUTE(ADDRESS(1,IF(Formulas!J175=1,1,RIGHT(Formulas!K175)+2)),"$",""))&amp;Formulas!I175+1,
IFERROR(INDEX(Datos!$A$1:$L$1,1,RIGHT(Formulas!K175)+2)&amp;IF(Formulas!J175=1," "&amp;Formulas!I175,"")&amp;":","")))</f>
        <v/>
      </c>
      <c r="I178" s="107" t="str" cm="1">
        <f t="array" aca="1" ref="I178" ca="1">IF(OR(Formulas!J175=0,Formulas!J175="",RIGHT(Formulas!K175)="0"),"",
HYPERLINK("["&amp;Archivo_Nombre&amp;"]Datos!"&amp;LEFT(SUBSTITUTE(ADDRESS(1,RIGHT(Formulas!K175)+2),"$",""))&amp;Formulas!I175+1,
IFERROR(INDEX(Datos!$A$2:$L$101,Formulas!I175,RIGHT(Formulas!K175)+2),"")))</f>
        <v/>
      </c>
      <c r="J178" s="107" t="str" cm="1">
        <f t="array" aca="1" ref="J178" ca="1">IF(OR(Formulas!K176=0,Formulas!K176=""),"",HYPERLINK("["&amp;Archivo_Nombre&amp;"]Datos!"&amp;LEFT(SUBSTITUTE(ADDRESS(1,Formulas!K176+2),"$",""))&amp;Formulas!J176+1,
IFERROR(INDEX(Datos!$A$2:$L$101,Formulas!J176,Formulas!K176+2),"")))</f>
        <v/>
      </c>
      <c r="K178" s="5"/>
      <c r="L178" s="6"/>
      <c r="M178" s="24" t="str" cm="1">
        <f t="array" aca="1" ref="M178" ca="1">IF(OR(Formulas!O175=0,Formulas!O175="",RIGHT(Formulas!P175)="0"),"",
HYPERLINK("["&amp;Archivo_Nombre&amp;"]Datos!"&amp;LEFT(SUBSTITUTE(ADDRESS(1,IF(Formulas!O175=1,1,RIGHT(Formulas!P175)+2)),"$",""))&amp;Formulas!N175+1,
IFERROR(INDEX(Datos!$A$1:$L$1,1,RIGHT(Formulas!P175)+2)&amp;IF(Formulas!O175=1," "&amp;Formulas!N175,"")&amp;":","")))</f>
        <v/>
      </c>
      <c r="N178" s="107" t="str" cm="1">
        <f t="array" aca="1" ref="N178" ca="1">IF(OR(Formulas!O175=0,Formulas!O175="",RIGHT(Formulas!P175)="0"),"",
HYPERLINK("["&amp;Archivo_Nombre&amp;"]Datos!"&amp;LEFT(SUBSTITUTE(ADDRESS(1,RIGHT(Formulas!P175)+2),"$",""))&amp;Formulas!N175+1,
IFERROR(INDEX(Datos!$A$2:$L$101,Formulas!N175,RIGHT(Formulas!P175)+2),"")))</f>
        <v/>
      </c>
      <c r="O178" s="107" t="str" cm="1">
        <f t="array" aca="1" ref="O178" ca="1">IF(OR(Formulas!P176=0,Formulas!P176=""),"",HYPERLINK("["&amp;Archivo_Nombre&amp;"]Datos!"&amp;LEFT(SUBSTITUTE(ADDRESS(1,Formulas!P176+2),"$",""))&amp;Formulas!O176+1,
IFERROR(INDEX(Datos!$A$2:$L$101,Formulas!O176,Formulas!P176+2),"")))</f>
        <v/>
      </c>
      <c r="P178" s="5"/>
      <c r="Q178" s="6"/>
      <c r="R178" s="24" t="str" cm="1">
        <f t="array" aca="1" ref="R178" ca="1">IF(OR(Formulas!T175=0,Formulas!T175="",RIGHT(Formulas!U175)="0"),"",
HYPERLINK("["&amp;Archivo_Nombre&amp;"]Datos!"&amp;LEFT(SUBSTITUTE(ADDRESS(1,IF(Formulas!T175=1,1,RIGHT(Formulas!U175)+2)),"$",""))&amp;Formulas!S175+1,
IFERROR(INDEX(Datos!$A$1:$L$1,1,RIGHT(Formulas!U175)+2)&amp;IF(Formulas!T175=1," "&amp;Formulas!S175,"")&amp;":","")))</f>
        <v>Descripción:</v>
      </c>
      <c r="S178" s="107" t="str" cm="1">
        <f t="array" aca="1" ref="S178" ca="1">IF(OR(Formulas!T175=0,Formulas!T175="",RIGHT(Formulas!U175)="0"),"",
HYPERLINK("["&amp;Archivo_Nombre&amp;"]Datos!"&amp;LEFT(SUBSTITUTE(ADDRESS(1,RIGHT(Formulas!U175)+2),"$",""))&amp;Formulas!S175+1,
IFERROR(INDEX(Datos!$A$2:$L$101,Formulas!S175,RIGHT(Formulas!U175)+2),"")))</f>
        <v>Organización de carpetas del GitHub</v>
      </c>
      <c r="T178" s="107" t="e" cm="1">
        <f t="array" aca="1" ref="T178" ca="1">IF(OR(Formulas!U176=0,Formulas!U176=""),"",HYPERLINK("["&amp;Archivo_Nombre&amp;"]Datos!"&amp;LEFT(SUBSTITUTE(ADDRESS(1,Formulas!U176+2),"$",""))&amp;Formulas!T176+1,
IFERROR(INDEX(Datos!$A$2:$L$101,Formulas!T176,Formulas!U176+2),"")))</f>
        <v>#VALUE!</v>
      </c>
      <c r="U178" s="5"/>
      <c r="V178" s="6"/>
      <c r="W178" s="24" t="str" cm="1">
        <f t="array" aca="1" ref="W178" ca="1">IF(OR(Formulas!Y175=0,Formulas!Y175="",RIGHT(Formulas!Z175)="0"),"",
HYPERLINK("["&amp;Archivo_Nombre&amp;"]Datos!"&amp;LEFT(SUBSTITUTE(ADDRESS(1,IF(Formulas!Y175=1,1,RIGHT(Formulas!Z175)+2)),"$",""))&amp;Formulas!X175+1,
IFERROR(INDEX(Datos!$A$1:$L$1,1,RIGHT(Formulas!Z175)+2)&amp;IF(Formulas!Y175=1," "&amp;Formulas!X175,"")&amp;":","")))</f>
        <v/>
      </c>
      <c r="X178" s="107" t="str" cm="1">
        <f t="array" aca="1" ref="X178" ca="1">IF(OR(Formulas!Y175=0,Formulas!Y175="",RIGHT(Formulas!Z175)="0"),"",
HYPERLINK("["&amp;Archivo_Nombre&amp;"]Datos!"&amp;LEFT(SUBSTITUTE(ADDRESS(1,RIGHT(Formulas!Z175)+2),"$",""))&amp;Formulas!X175+1,
IFERROR(INDEX(Datos!$A$2:$L$101,Formulas!X175,RIGHT(Formulas!Z175)+2),"")))</f>
        <v/>
      </c>
      <c r="Y178" s="107" t="str" cm="1">
        <f t="array" aca="1" ref="Y178" ca="1">IF(OR(Formulas!Z176=0,Formulas!Z176=""),"",HYPERLINK("["&amp;Archivo_Nombre&amp;"]Datos!"&amp;LEFT(SUBSTITUTE(ADDRESS(1,Formulas!Z176+2),"$",""))&amp;Formulas!Y176+1,
IFERROR(INDEX(Datos!$A$2:$L$101,Formulas!Y176,Formulas!Z176+2),"")))</f>
        <v/>
      </c>
      <c r="Z178" s="13"/>
      <c r="AA178" s="6"/>
      <c r="AB178" s="24" t="str" cm="1">
        <f t="array" aca="1" ref="AB178" ca="1">IF(OR(Formulas!AD175=0,Formulas!AD175="",RIGHT(Formulas!AE175)="0"),"",
HYPERLINK("["&amp;Archivo_Nombre&amp;"]Datos!"&amp;LEFT(SUBSTITUTE(ADDRESS(1,IF(Formulas!AD175=1,1,RIGHT(Formulas!AE175)+2)),"$",""))&amp;Formulas!AC175+1,
IFERROR(INDEX(Datos!$A$1:$L$1,1,RIGHT(Formulas!AE175)+2)&amp;IF(Formulas!AD175=1," "&amp;Formulas!AC175,"")&amp;":","")))</f>
        <v/>
      </c>
      <c r="AC178" s="107" t="str" cm="1">
        <f t="array" aca="1" ref="AC178" ca="1">IF(OR(Formulas!AD175=0,Formulas!AD175="",RIGHT(Formulas!AE175)="0"),"",
HYPERLINK("["&amp;Archivo_Nombre&amp;"]Datos!"&amp;LEFT(SUBSTITUTE(ADDRESS(1,RIGHT(Formulas!AE175)+2),"$",""))&amp;Formulas!AC175+1,
IFERROR(INDEX(Datos!$A$2:$L$101,Formulas!AC175,RIGHT(Formulas!AE175)+2),"")))</f>
        <v/>
      </c>
      <c r="AD178" s="107" t="str" cm="1">
        <f t="array" aca="1" ref="AD178" ca="1">IF(OR(Formulas!AE176=0,Formulas!AE176=""),"",HYPERLINK("["&amp;Archivo_Nombre&amp;"]Datos!"&amp;LEFT(SUBSTITUTE(ADDRESS(1,Formulas!AE176+2),"$",""))&amp;Formulas!AD176+1,
IFERROR(INDEX(Datos!$A$2:$L$101,Formulas!AD176,Formulas!AE176+2),"")))</f>
        <v/>
      </c>
      <c r="AE178" s="13"/>
      <c r="AF178" s="6"/>
      <c r="AG178" s="24" t="str" cm="1">
        <f t="array" aca="1" ref="AG178" ca="1">IF(OR(Formulas!AI175=0,Formulas!AI175="",RIGHT(Formulas!AJ175)="0"),"",
HYPERLINK("["&amp;Archivo_Nombre&amp;"]Datos!"&amp;LEFT(SUBSTITUTE(ADDRESS(1,IF(Formulas!AI175=1,1,RIGHT(Formulas!AJ175)+2)),"$",""))&amp;Formulas!AH175+1,
IFERROR(INDEX(Datos!$A$1:$L$1,1,RIGHT(Formulas!AJ175)+2)&amp;IF(Formulas!AI175=1," "&amp;Formulas!AH175,"")&amp;":","")))</f>
        <v/>
      </c>
      <c r="AH178" s="107" t="str" cm="1">
        <f t="array" aca="1" ref="AH178" ca="1">IF(OR(Formulas!AI175=0,Formulas!AI175="",RIGHT(Formulas!AJ175)="0"),"",
HYPERLINK("["&amp;Archivo_Nombre&amp;"]Datos!"&amp;LEFT(SUBSTITUTE(ADDRESS(1,RIGHT(Formulas!AJ175)+2),"$",""))&amp;Formulas!AH175+1,
IFERROR(INDEX(Datos!$A$2:$L$101,Formulas!AH175,RIGHT(Formulas!AJ175)+2),"")))</f>
        <v/>
      </c>
      <c r="AI178" s="107" t="str" cm="1">
        <f t="array" aca="1" ref="AI178" ca="1">IF(OR(Formulas!AJ176=0,Formulas!AJ176=""),"",HYPERLINK("["&amp;Archivo_Nombre&amp;"]Datos!"&amp;LEFT(SUBSTITUTE(ADDRESS(1,Formulas!AJ176+2),"$",""))&amp;Formulas!AI176+1,
IFERROR(INDEX(Datos!$A$2:$L$101,Formulas!AI176,Formulas!AJ176+2),"")))</f>
        <v/>
      </c>
      <c r="AJ178" s="13"/>
      <c r="AK178" s="6"/>
      <c r="AL178" s="24" t="str" cm="1">
        <f t="array" aca="1" ref="AL178" ca="1">IF(OR(Formulas!AN175=0,Formulas!AN175="",RIGHT(Formulas!AO175)="0"),"",
HYPERLINK("["&amp;Archivo_Nombre&amp;"]Datos!"&amp;LEFT(SUBSTITUTE(ADDRESS(1,IF(Formulas!AN175=1,1,RIGHT(Formulas!AO175)+2)),"$",""))&amp;Formulas!AM175+1,
IFERROR(INDEX(Datos!$A$1:$L$1,1,RIGHT(Formulas!AO175)+2)&amp;IF(Formulas!AN175=1," "&amp;Formulas!AM175,"")&amp;":","")))</f>
        <v/>
      </c>
      <c r="AM178" s="107" t="str" cm="1">
        <f t="array" aca="1" ref="AM178" ca="1">IF(OR(Formulas!AN175=0,Formulas!AN175="",RIGHT(Formulas!AO175)="0"),"",
HYPERLINK("["&amp;Archivo_Nombre&amp;"]Datos!"&amp;LEFT(SUBSTITUTE(ADDRESS(1,RIGHT(Formulas!AO175)+2),"$",""))&amp;Formulas!AM175+1,
IFERROR(INDEX(Datos!$A$2:$L$101,Formulas!AM175,RIGHT(Formulas!AO175)+2),"")))</f>
        <v/>
      </c>
      <c r="AN178" s="107" t="str" cm="1">
        <f t="array" aca="1" ref="AN178" ca="1">IF(OR(Formulas!AO176=0,Formulas!AO176=""),"",HYPERLINK("["&amp;Archivo_Nombre&amp;"]Datos!"&amp;LEFT(SUBSTITUTE(ADDRESS(1,Formulas!AO176+2),"$",""))&amp;Formulas!AN176+1,
IFERROR(INDEX(Datos!$A$2:$L$101,Formulas!AN176,Formulas!AO176+2),"")))</f>
        <v/>
      </c>
      <c r="AO178" s="13"/>
      <c r="AP178" s="6"/>
      <c r="AQ178" s="24" t="str" cm="1">
        <f t="array" aca="1" ref="AQ178" ca="1">IF(OR(Formulas!AS175=0,Formulas!AS175="",RIGHT(Formulas!AT175)="0"),"",
HYPERLINK("["&amp;Archivo_Nombre&amp;"]Datos!"&amp;LEFT(SUBSTITUTE(ADDRESS(1,IF(Formulas!AS175=1,1,RIGHT(Formulas!AT175)+2)),"$",""))&amp;Formulas!AR175+1,
IFERROR(INDEX(Datos!$A$1:$L$1,1,RIGHT(Formulas!AT175)+2)&amp;IF(Formulas!AS175=1," "&amp;Formulas!AR175,"")&amp;":","")))</f>
        <v/>
      </c>
      <c r="AR178" s="107" t="str" cm="1">
        <f t="array" aca="1" ref="AR178" ca="1">IF(OR(Formulas!AS175=0,Formulas!AS175="",RIGHT(Formulas!AT175)="0"),"",
HYPERLINK("["&amp;Archivo_Nombre&amp;"]Datos!"&amp;LEFT(SUBSTITUTE(ADDRESS(1,RIGHT(Formulas!AT175)+2),"$",""))&amp;Formulas!AR175+1,
IFERROR(INDEX(Datos!$A$2:$L$101,Formulas!AR175,RIGHT(Formulas!AT175)+2),"")))</f>
        <v/>
      </c>
      <c r="AS178" s="107" t="str" cm="1">
        <f t="array" aca="1" ref="AS178" ca="1">IF(OR(Formulas!AT176=0,Formulas!AT176=""),"",HYPERLINK("["&amp;Archivo_Nombre&amp;"]Datos!"&amp;LEFT(SUBSTITUTE(ADDRESS(1,Formulas!AT176+2),"$",""))&amp;Formulas!AS176+1,
IFERROR(INDEX(Datos!$A$2:$L$101,Formulas!AS176,Formulas!AT176+2),"")))</f>
        <v/>
      </c>
      <c r="AT178" s="13"/>
      <c r="AU178" s="6"/>
      <c r="AV178" s="24" t="str" cm="1">
        <f t="array" aca="1" ref="AV178" ca="1">IF(OR(Formulas!AX175=0,Formulas!AX175="",RIGHT(Formulas!AY175)="0"),"",
HYPERLINK("["&amp;Archivo_Nombre&amp;"]Datos!"&amp;LEFT(SUBSTITUTE(ADDRESS(1,IF(Formulas!AX175=1,1,RIGHT(Formulas!AY175)+2)),"$",""))&amp;Formulas!AW175+1,
IFERROR(INDEX(Datos!$A$1:$L$1,1,RIGHT(Formulas!AY175)+2)&amp;IF(Formulas!AX175=1," "&amp;Formulas!AW175,"")&amp;":","")))</f>
        <v/>
      </c>
      <c r="AW178" s="107" t="str" cm="1">
        <f t="array" aca="1" ref="AW178" ca="1">IF(OR(Formulas!AX175=0,Formulas!AX175="",RIGHT(Formulas!AY175)="0"),"",
HYPERLINK("["&amp;Archivo_Nombre&amp;"]Datos!"&amp;LEFT(SUBSTITUTE(ADDRESS(1,RIGHT(Formulas!AY175)+2),"$",""))&amp;Formulas!AW175+1,
IFERROR(INDEX(Datos!$A$2:$L$101,Formulas!AW175,RIGHT(Formulas!AY175)+2),"")))</f>
        <v/>
      </c>
      <c r="AX178" s="107" t="str" cm="1">
        <f t="array" aca="1" ref="AX178" ca="1">IF(OR(Formulas!AY176=0,Formulas!AY176=""),"",HYPERLINK("["&amp;Archivo_Nombre&amp;"]Datos!"&amp;LEFT(SUBSTITUTE(ADDRESS(1,Formulas!AY176+2),"$",""))&amp;Formulas!AX176+1,
IFERROR(INDEX(Datos!$A$2:$L$101,Formulas!AX176,Formulas!AY176+2),"")))</f>
        <v/>
      </c>
      <c r="AY178" s="13"/>
    </row>
    <row r="179" spans="2:51" x14ac:dyDescent="0.25">
      <c r="B179" s="11"/>
      <c r="C179" s="24" t="str" cm="1">
        <f t="array" aca="1" ref="C179" ca="1">IF(OR(Formulas!E176=0,Formulas!E176="",RIGHT(Formulas!F176)="0"),"",
HYPERLINK("["&amp;Archivo_Nombre&amp;"]Datos!"&amp;LEFT(SUBSTITUTE(ADDRESS(1,IF(Formulas!E176=1,1,RIGHT(Formulas!F176)+2)),"$",""))&amp;Formulas!D176+1,
IFERROR(INDEX(Datos!$A$1:$L$1,1,RIGHT(Formulas!F176)+2)&amp;IF(Formulas!E176=1," "&amp;Formulas!D176,"")&amp;":","")))</f>
        <v/>
      </c>
      <c r="D179" s="107" t="str" cm="1">
        <f t="array" aca="1" ref="D179" ca="1">IF(OR(Formulas!E176=0,Formulas!E176="",RIGHT(Formulas!F176)="0"),"",
HYPERLINK("["&amp;Archivo_Nombre&amp;"]Datos!"&amp;LEFT(SUBSTITUTE(ADDRESS(1,RIGHT(Formulas!F176)+2),"$",""))&amp;Formulas!D176+1,
IFERROR(INDEX(Datos!$A$2:$L$101,Formulas!D176,RIGHT(Formulas!F176)+2),"")))</f>
        <v/>
      </c>
      <c r="E179" s="107" t="str" cm="1">
        <f t="array" aca="1" ref="E179" ca="1">IF(OR(Formulas!F177=0,Formulas!F177=""),"",HYPERLINK("["&amp;Archivo_Nombre&amp;"]Datos!"&amp;LEFT(SUBSTITUTE(ADDRESS(1,Formulas!F177+2),"$",""))&amp;Formulas!E177+1,
IFERROR(INDEX(Datos!$A$2:$L$101,Formulas!E177,Formulas!F177+2),"")))</f>
        <v/>
      </c>
      <c r="F179" s="5"/>
      <c r="G179" s="6"/>
      <c r="H179" s="24" t="str" cm="1">
        <f t="array" aca="1" ref="H179" ca="1">IF(OR(Formulas!J176=0,Formulas!J176="",RIGHT(Formulas!K176)="0"),"",
HYPERLINK("["&amp;Archivo_Nombre&amp;"]Datos!"&amp;LEFT(SUBSTITUTE(ADDRESS(1,IF(Formulas!J176=1,1,RIGHT(Formulas!K176)+2)),"$",""))&amp;Formulas!I176+1,
IFERROR(INDEX(Datos!$A$1:$L$1,1,RIGHT(Formulas!K176)+2)&amp;IF(Formulas!J176=1," "&amp;Formulas!I176,"")&amp;":","")))</f>
        <v/>
      </c>
      <c r="I179" s="107" t="str" cm="1">
        <f t="array" aca="1" ref="I179" ca="1">IF(OR(Formulas!J176=0,Formulas!J176="",RIGHT(Formulas!K176)="0"),"",
HYPERLINK("["&amp;Archivo_Nombre&amp;"]Datos!"&amp;LEFT(SUBSTITUTE(ADDRESS(1,RIGHT(Formulas!K176)+2),"$",""))&amp;Formulas!I176+1,
IFERROR(INDEX(Datos!$A$2:$L$101,Formulas!I176,RIGHT(Formulas!K176)+2),"")))</f>
        <v/>
      </c>
      <c r="J179" s="107" t="str" cm="1">
        <f t="array" aca="1" ref="J179" ca="1">IF(OR(Formulas!K177=0,Formulas!K177=""),"",HYPERLINK("["&amp;Archivo_Nombre&amp;"]Datos!"&amp;LEFT(SUBSTITUTE(ADDRESS(1,Formulas!K177+2),"$",""))&amp;Formulas!J177+1,
IFERROR(INDEX(Datos!$A$2:$L$101,Formulas!J177,Formulas!K177+2),"")))</f>
        <v/>
      </c>
      <c r="K179" s="5"/>
      <c r="L179" s="6"/>
      <c r="M179" s="24" t="str" cm="1">
        <f t="array" aca="1" ref="M179" ca="1">IF(OR(Formulas!O176=0,Formulas!O176="",RIGHT(Formulas!P176)="0"),"",
HYPERLINK("["&amp;Archivo_Nombre&amp;"]Datos!"&amp;LEFT(SUBSTITUTE(ADDRESS(1,IF(Formulas!O176=1,1,RIGHT(Formulas!P176)+2)),"$",""))&amp;Formulas!N176+1,
IFERROR(INDEX(Datos!$A$1:$L$1,1,RIGHT(Formulas!P176)+2)&amp;IF(Formulas!O176=1," "&amp;Formulas!N176,"")&amp;":","")))</f>
        <v/>
      </c>
      <c r="N179" s="107" t="str" cm="1">
        <f t="array" aca="1" ref="N179" ca="1">IF(OR(Formulas!O176=0,Formulas!O176="",RIGHT(Formulas!P176)="0"),"",
HYPERLINK("["&amp;Archivo_Nombre&amp;"]Datos!"&amp;LEFT(SUBSTITUTE(ADDRESS(1,RIGHT(Formulas!P176)+2),"$",""))&amp;Formulas!N176+1,
IFERROR(INDEX(Datos!$A$2:$L$101,Formulas!N176,RIGHT(Formulas!P176)+2),"")))</f>
        <v/>
      </c>
      <c r="O179" s="107" t="str" cm="1">
        <f t="array" aca="1" ref="O179" ca="1">IF(OR(Formulas!P177=0,Formulas!P177=""),"",HYPERLINK("["&amp;Archivo_Nombre&amp;"]Datos!"&amp;LEFT(SUBSTITUTE(ADDRESS(1,Formulas!P177+2),"$",""))&amp;Formulas!O177+1,
IFERROR(INDEX(Datos!$A$2:$L$101,Formulas!O177,Formulas!P177+2),"")))</f>
        <v/>
      </c>
      <c r="P179" s="5"/>
      <c r="Q179" s="6"/>
      <c r="R179" s="24" t="str" cm="1">
        <f t="array" aca="1" ref="R179" ca="1">IF(OR(Formulas!T176=0,Formulas!T176="",RIGHT(Formulas!U176)="0"),"",
HYPERLINK("["&amp;Archivo_Nombre&amp;"]Datos!"&amp;LEFT(SUBSTITUTE(ADDRESS(1,IF(Formulas!T176=1,1,RIGHT(Formulas!U176)+2)),"$",""))&amp;Formulas!S176+1,
IFERROR(INDEX(Datos!$A$1:$L$1,1,RIGHT(Formulas!U176)+2)&amp;IF(Formulas!T176=1," "&amp;Formulas!S176,"")&amp;":","")))</f>
        <v>Inicio:</v>
      </c>
      <c r="S179" s="107" cm="1">
        <f t="array" aca="1" ref="S179" ca="1">IF(OR(Formulas!T176=0,Formulas!T176="",RIGHT(Formulas!U176)="0"),"",
HYPERLINK("["&amp;Archivo_Nombre&amp;"]Datos!"&amp;LEFT(SUBSTITUTE(ADDRESS(1,RIGHT(Formulas!U176)+2),"$",""))&amp;Formulas!S176+1,
IFERROR(INDEX(Datos!$A$2:$L$101,Formulas!S176,RIGHT(Formulas!U176)+2),"")))</f>
        <v>45790</v>
      </c>
      <c r="T179" s="107" t="e" cm="1">
        <f t="array" aca="1" ref="T179" ca="1">IF(OR(Formulas!U177=0,Formulas!U177=""),"",HYPERLINK("["&amp;Archivo_Nombre&amp;"]Datos!"&amp;LEFT(SUBSTITUTE(ADDRESS(1,Formulas!U177+2),"$",""))&amp;Formulas!T177+1,
IFERROR(INDEX(Datos!$A$2:$L$101,Formulas!T177,Formulas!U177+2),"")))</f>
        <v>#VALUE!</v>
      </c>
      <c r="U179" s="5"/>
      <c r="V179" s="6"/>
      <c r="W179" s="24" t="str" cm="1">
        <f t="array" aca="1" ref="W179" ca="1">IF(OR(Formulas!Y176=0,Formulas!Y176="",RIGHT(Formulas!Z176)="0"),"",
HYPERLINK("["&amp;Archivo_Nombre&amp;"]Datos!"&amp;LEFT(SUBSTITUTE(ADDRESS(1,IF(Formulas!Y176=1,1,RIGHT(Formulas!Z176)+2)),"$",""))&amp;Formulas!X176+1,
IFERROR(INDEX(Datos!$A$1:$L$1,1,RIGHT(Formulas!Z176)+2)&amp;IF(Formulas!Y176=1," "&amp;Formulas!X176,"")&amp;":","")))</f>
        <v/>
      </c>
      <c r="X179" s="107" t="str" cm="1">
        <f t="array" aca="1" ref="X179" ca="1">IF(OR(Formulas!Y176=0,Formulas!Y176="",RIGHT(Formulas!Z176)="0"),"",
HYPERLINK("["&amp;Archivo_Nombre&amp;"]Datos!"&amp;LEFT(SUBSTITUTE(ADDRESS(1,RIGHT(Formulas!Z176)+2),"$",""))&amp;Formulas!X176+1,
IFERROR(INDEX(Datos!$A$2:$L$101,Formulas!X176,RIGHT(Formulas!Z176)+2),"")))</f>
        <v/>
      </c>
      <c r="Y179" s="107" t="str" cm="1">
        <f t="array" aca="1" ref="Y179" ca="1">IF(OR(Formulas!Z177=0,Formulas!Z177=""),"",HYPERLINK("["&amp;Archivo_Nombre&amp;"]Datos!"&amp;LEFT(SUBSTITUTE(ADDRESS(1,Formulas!Z177+2),"$",""))&amp;Formulas!Y177+1,
IFERROR(INDEX(Datos!$A$2:$L$101,Formulas!Y177,Formulas!Z177+2),"")))</f>
        <v/>
      </c>
      <c r="Z179" s="13"/>
      <c r="AA179" s="6"/>
      <c r="AB179" s="24" t="str" cm="1">
        <f t="array" aca="1" ref="AB179" ca="1">IF(OR(Formulas!AD176=0,Formulas!AD176="",RIGHT(Formulas!AE176)="0"),"",
HYPERLINK("["&amp;Archivo_Nombre&amp;"]Datos!"&amp;LEFT(SUBSTITUTE(ADDRESS(1,IF(Formulas!AD176=1,1,RIGHT(Formulas!AE176)+2)),"$",""))&amp;Formulas!AC176+1,
IFERROR(INDEX(Datos!$A$1:$L$1,1,RIGHT(Formulas!AE176)+2)&amp;IF(Formulas!AD176=1," "&amp;Formulas!AC176,"")&amp;":","")))</f>
        <v/>
      </c>
      <c r="AC179" s="107" t="str" cm="1">
        <f t="array" aca="1" ref="AC179" ca="1">IF(OR(Formulas!AD176=0,Formulas!AD176="",RIGHT(Formulas!AE176)="0"),"",
HYPERLINK("["&amp;Archivo_Nombre&amp;"]Datos!"&amp;LEFT(SUBSTITUTE(ADDRESS(1,RIGHT(Formulas!AE176)+2),"$",""))&amp;Formulas!AC176+1,
IFERROR(INDEX(Datos!$A$2:$L$101,Formulas!AC176,RIGHT(Formulas!AE176)+2),"")))</f>
        <v/>
      </c>
      <c r="AD179" s="107" t="str" cm="1">
        <f t="array" aca="1" ref="AD179" ca="1">IF(OR(Formulas!AE177=0,Formulas!AE177=""),"",HYPERLINK("["&amp;Archivo_Nombre&amp;"]Datos!"&amp;LEFT(SUBSTITUTE(ADDRESS(1,Formulas!AE177+2),"$",""))&amp;Formulas!AD177+1,
IFERROR(INDEX(Datos!$A$2:$L$101,Formulas!AD177,Formulas!AE177+2),"")))</f>
        <v/>
      </c>
      <c r="AE179" s="13"/>
      <c r="AF179" s="6"/>
      <c r="AG179" s="24" t="str" cm="1">
        <f t="array" aca="1" ref="AG179" ca="1">IF(OR(Formulas!AI176=0,Formulas!AI176="",RIGHT(Formulas!AJ176)="0"),"",
HYPERLINK("["&amp;Archivo_Nombre&amp;"]Datos!"&amp;LEFT(SUBSTITUTE(ADDRESS(1,IF(Formulas!AI176=1,1,RIGHT(Formulas!AJ176)+2)),"$",""))&amp;Formulas!AH176+1,
IFERROR(INDEX(Datos!$A$1:$L$1,1,RIGHT(Formulas!AJ176)+2)&amp;IF(Formulas!AI176=1," "&amp;Formulas!AH176,"")&amp;":","")))</f>
        <v/>
      </c>
      <c r="AH179" s="107" t="str" cm="1">
        <f t="array" aca="1" ref="AH179" ca="1">IF(OR(Formulas!AI176=0,Formulas!AI176="",RIGHT(Formulas!AJ176)="0"),"",
HYPERLINK("["&amp;Archivo_Nombre&amp;"]Datos!"&amp;LEFT(SUBSTITUTE(ADDRESS(1,RIGHT(Formulas!AJ176)+2),"$",""))&amp;Formulas!AH176+1,
IFERROR(INDEX(Datos!$A$2:$L$101,Formulas!AH176,RIGHT(Formulas!AJ176)+2),"")))</f>
        <v/>
      </c>
      <c r="AI179" s="107" t="str" cm="1">
        <f t="array" aca="1" ref="AI179" ca="1">IF(OR(Formulas!AJ177=0,Formulas!AJ177=""),"",HYPERLINK("["&amp;Archivo_Nombre&amp;"]Datos!"&amp;LEFT(SUBSTITUTE(ADDRESS(1,Formulas!AJ177+2),"$",""))&amp;Formulas!AI177+1,
IFERROR(INDEX(Datos!$A$2:$L$101,Formulas!AI177,Formulas!AJ177+2),"")))</f>
        <v/>
      </c>
      <c r="AJ179" s="13"/>
      <c r="AK179" s="6"/>
      <c r="AL179" s="24" t="str" cm="1">
        <f t="array" aca="1" ref="AL179" ca="1">IF(OR(Formulas!AN176=0,Formulas!AN176="",RIGHT(Formulas!AO176)="0"),"",
HYPERLINK("["&amp;Archivo_Nombre&amp;"]Datos!"&amp;LEFT(SUBSTITUTE(ADDRESS(1,IF(Formulas!AN176=1,1,RIGHT(Formulas!AO176)+2)),"$",""))&amp;Formulas!AM176+1,
IFERROR(INDEX(Datos!$A$1:$L$1,1,RIGHT(Formulas!AO176)+2)&amp;IF(Formulas!AN176=1," "&amp;Formulas!AM176,"")&amp;":","")))</f>
        <v/>
      </c>
      <c r="AM179" s="107" t="str" cm="1">
        <f t="array" aca="1" ref="AM179" ca="1">IF(OR(Formulas!AN176=0,Formulas!AN176="",RIGHT(Formulas!AO176)="0"),"",
HYPERLINK("["&amp;Archivo_Nombre&amp;"]Datos!"&amp;LEFT(SUBSTITUTE(ADDRESS(1,RIGHT(Formulas!AO176)+2),"$",""))&amp;Formulas!AM176+1,
IFERROR(INDEX(Datos!$A$2:$L$101,Formulas!AM176,RIGHT(Formulas!AO176)+2),"")))</f>
        <v/>
      </c>
      <c r="AN179" s="107" t="str" cm="1">
        <f t="array" aca="1" ref="AN179" ca="1">IF(OR(Formulas!AO177=0,Formulas!AO177=""),"",HYPERLINK("["&amp;Archivo_Nombre&amp;"]Datos!"&amp;LEFT(SUBSTITUTE(ADDRESS(1,Formulas!AO177+2),"$",""))&amp;Formulas!AN177+1,
IFERROR(INDEX(Datos!$A$2:$L$101,Formulas!AN177,Formulas!AO177+2),"")))</f>
        <v/>
      </c>
      <c r="AO179" s="13"/>
      <c r="AP179" s="6"/>
      <c r="AQ179" s="24" t="str" cm="1">
        <f t="array" aca="1" ref="AQ179" ca="1">IF(OR(Formulas!AS176=0,Formulas!AS176="",RIGHT(Formulas!AT176)="0"),"",
HYPERLINK("["&amp;Archivo_Nombre&amp;"]Datos!"&amp;LEFT(SUBSTITUTE(ADDRESS(1,IF(Formulas!AS176=1,1,RIGHT(Formulas!AT176)+2)),"$",""))&amp;Formulas!AR176+1,
IFERROR(INDEX(Datos!$A$1:$L$1,1,RIGHT(Formulas!AT176)+2)&amp;IF(Formulas!AS176=1," "&amp;Formulas!AR176,"")&amp;":","")))</f>
        <v/>
      </c>
      <c r="AR179" s="107" t="str" cm="1">
        <f t="array" aca="1" ref="AR179" ca="1">IF(OR(Formulas!AS176=0,Formulas!AS176="",RIGHT(Formulas!AT176)="0"),"",
HYPERLINK("["&amp;Archivo_Nombre&amp;"]Datos!"&amp;LEFT(SUBSTITUTE(ADDRESS(1,RIGHT(Formulas!AT176)+2),"$",""))&amp;Formulas!AR176+1,
IFERROR(INDEX(Datos!$A$2:$L$101,Formulas!AR176,RIGHT(Formulas!AT176)+2),"")))</f>
        <v/>
      </c>
      <c r="AS179" s="107" t="str" cm="1">
        <f t="array" aca="1" ref="AS179" ca="1">IF(OR(Formulas!AT177=0,Formulas!AT177=""),"",HYPERLINK("["&amp;Archivo_Nombre&amp;"]Datos!"&amp;LEFT(SUBSTITUTE(ADDRESS(1,Formulas!AT177+2),"$",""))&amp;Formulas!AS177+1,
IFERROR(INDEX(Datos!$A$2:$L$101,Formulas!AS177,Formulas!AT177+2),"")))</f>
        <v/>
      </c>
      <c r="AT179" s="13"/>
      <c r="AU179" s="6"/>
      <c r="AV179" s="24" t="str" cm="1">
        <f t="array" aca="1" ref="AV179" ca="1">IF(OR(Formulas!AX176=0,Formulas!AX176="",RIGHT(Formulas!AY176)="0"),"",
HYPERLINK("["&amp;Archivo_Nombre&amp;"]Datos!"&amp;LEFT(SUBSTITUTE(ADDRESS(1,IF(Formulas!AX176=1,1,RIGHT(Formulas!AY176)+2)),"$",""))&amp;Formulas!AW176+1,
IFERROR(INDEX(Datos!$A$1:$L$1,1,RIGHT(Formulas!AY176)+2)&amp;IF(Formulas!AX176=1," "&amp;Formulas!AW176,"")&amp;":","")))</f>
        <v/>
      </c>
      <c r="AW179" s="107" t="str" cm="1">
        <f t="array" aca="1" ref="AW179" ca="1">IF(OR(Formulas!AX176=0,Formulas!AX176="",RIGHT(Formulas!AY176)="0"),"",
HYPERLINK("["&amp;Archivo_Nombre&amp;"]Datos!"&amp;LEFT(SUBSTITUTE(ADDRESS(1,RIGHT(Formulas!AY176)+2),"$",""))&amp;Formulas!AW176+1,
IFERROR(INDEX(Datos!$A$2:$L$101,Formulas!AW176,RIGHT(Formulas!AY176)+2),"")))</f>
        <v/>
      </c>
      <c r="AX179" s="107" t="str" cm="1">
        <f t="array" aca="1" ref="AX179" ca="1">IF(OR(Formulas!AY177=0,Formulas!AY177=""),"",HYPERLINK("["&amp;Archivo_Nombre&amp;"]Datos!"&amp;LEFT(SUBSTITUTE(ADDRESS(1,Formulas!AY177+2),"$",""))&amp;Formulas!AX177+1,
IFERROR(INDEX(Datos!$A$2:$L$101,Formulas!AX177,Formulas!AY177+2),"")))</f>
        <v/>
      </c>
      <c r="AY179" s="13"/>
    </row>
    <row r="180" spans="2:51" x14ac:dyDescent="0.25">
      <c r="B180" s="11"/>
      <c r="C180" s="24" t="str" cm="1">
        <f t="array" aca="1" ref="C180" ca="1">IF(OR(Formulas!E177=0,Formulas!E177="",RIGHT(Formulas!F177)="0"),"",
HYPERLINK("["&amp;Archivo_Nombre&amp;"]Datos!"&amp;LEFT(SUBSTITUTE(ADDRESS(1,IF(Formulas!E177=1,1,RIGHT(Formulas!F177)+2)),"$",""))&amp;Formulas!D177+1,
IFERROR(INDEX(Datos!$A$1:$L$1,1,RIGHT(Formulas!F177)+2)&amp;IF(Formulas!E177=1," "&amp;Formulas!D177,"")&amp;":","")))</f>
        <v/>
      </c>
      <c r="D180" s="107" t="str" cm="1">
        <f t="array" aca="1" ref="D180" ca="1">IF(OR(Formulas!E177=0,Formulas!E177="",RIGHT(Formulas!F177)="0"),"",
HYPERLINK("["&amp;Archivo_Nombre&amp;"]Datos!"&amp;LEFT(SUBSTITUTE(ADDRESS(1,RIGHT(Formulas!F177)+2),"$",""))&amp;Formulas!D177+1,
IFERROR(INDEX(Datos!$A$2:$L$101,Formulas!D177,RIGHT(Formulas!F177)+2),"")))</f>
        <v/>
      </c>
      <c r="E180" s="107" t="str" cm="1">
        <f t="array" aca="1" ref="E180" ca="1">IF(OR(Formulas!F178=0,Formulas!F178=""),"",HYPERLINK("["&amp;Archivo_Nombre&amp;"]Datos!"&amp;LEFT(SUBSTITUTE(ADDRESS(1,Formulas!F178+2),"$",""))&amp;Formulas!E178+1,
IFERROR(INDEX(Datos!$A$2:$L$101,Formulas!E178,Formulas!F178+2),"")))</f>
        <v/>
      </c>
      <c r="F180" s="5"/>
      <c r="G180" s="6"/>
      <c r="H180" s="24" t="str" cm="1">
        <f t="array" aca="1" ref="H180" ca="1">IF(OR(Formulas!J177=0,Formulas!J177="",RIGHT(Formulas!K177)="0"),"",
HYPERLINK("["&amp;Archivo_Nombre&amp;"]Datos!"&amp;LEFT(SUBSTITUTE(ADDRESS(1,IF(Formulas!J177=1,1,RIGHT(Formulas!K177)+2)),"$",""))&amp;Formulas!I177+1,
IFERROR(INDEX(Datos!$A$1:$L$1,1,RIGHT(Formulas!K177)+2)&amp;IF(Formulas!J177=1," "&amp;Formulas!I177,"")&amp;":","")))</f>
        <v/>
      </c>
      <c r="I180" s="107" t="str" cm="1">
        <f t="array" aca="1" ref="I180" ca="1">IF(OR(Formulas!J177=0,Formulas!J177="",RIGHT(Formulas!K177)="0"),"",
HYPERLINK("["&amp;Archivo_Nombre&amp;"]Datos!"&amp;LEFT(SUBSTITUTE(ADDRESS(1,RIGHT(Formulas!K177)+2),"$",""))&amp;Formulas!I177+1,
IFERROR(INDEX(Datos!$A$2:$L$101,Formulas!I177,RIGHT(Formulas!K177)+2),"")))</f>
        <v/>
      </c>
      <c r="J180" s="107" t="str" cm="1">
        <f t="array" aca="1" ref="J180" ca="1">IF(OR(Formulas!K178=0,Formulas!K178=""),"",HYPERLINK("["&amp;Archivo_Nombre&amp;"]Datos!"&amp;LEFT(SUBSTITUTE(ADDRESS(1,Formulas!K178+2),"$",""))&amp;Formulas!J178+1,
IFERROR(INDEX(Datos!$A$2:$L$101,Formulas!J178,Formulas!K178+2),"")))</f>
        <v/>
      </c>
      <c r="K180" s="5"/>
      <c r="L180" s="6"/>
      <c r="M180" s="24" t="str" cm="1">
        <f t="array" aca="1" ref="M180" ca="1">IF(OR(Formulas!O177=0,Formulas!O177="",RIGHT(Formulas!P177)="0"),"",
HYPERLINK("["&amp;Archivo_Nombre&amp;"]Datos!"&amp;LEFT(SUBSTITUTE(ADDRESS(1,IF(Formulas!O177=1,1,RIGHT(Formulas!P177)+2)),"$",""))&amp;Formulas!N177+1,
IFERROR(INDEX(Datos!$A$1:$L$1,1,RIGHT(Formulas!P177)+2)&amp;IF(Formulas!O177=1," "&amp;Formulas!N177,"")&amp;":","")))</f>
        <v/>
      </c>
      <c r="N180" s="107" t="str" cm="1">
        <f t="array" aca="1" ref="N180" ca="1">IF(OR(Formulas!O177=0,Formulas!O177="",RIGHT(Formulas!P177)="0"),"",
HYPERLINK("["&amp;Archivo_Nombre&amp;"]Datos!"&amp;LEFT(SUBSTITUTE(ADDRESS(1,RIGHT(Formulas!P177)+2),"$",""))&amp;Formulas!N177+1,
IFERROR(INDEX(Datos!$A$2:$L$101,Formulas!N177,RIGHT(Formulas!P177)+2),"")))</f>
        <v/>
      </c>
      <c r="O180" s="107" t="str" cm="1">
        <f t="array" aca="1" ref="O180" ca="1">IF(OR(Formulas!P178=0,Formulas!P178=""),"",HYPERLINK("["&amp;Archivo_Nombre&amp;"]Datos!"&amp;LEFT(SUBSTITUTE(ADDRESS(1,Formulas!P178+2),"$",""))&amp;Formulas!O178+1,
IFERROR(INDEX(Datos!$A$2:$L$101,Formulas!O178,Formulas!P178+2),"")))</f>
        <v/>
      </c>
      <c r="P180" s="5"/>
      <c r="Q180" s="6"/>
      <c r="R180" s="24" t="str" cm="1">
        <f t="array" aca="1" ref="R180" ca="1">IF(OR(Formulas!T177=0,Formulas!T177="",RIGHT(Formulas!U177)="0"),"",
HYPERLINK("["&amp;Archivo_Nombre&amp;"]Datos!"&amp;LEFT(SUBSTITUTE(ADDRESS(1,IF(Formulas!T177=1,1,RIGHT(Formulas!U177)+2)),"$",""))&amp;Formulas!S177+1,
IFERROR(INDEX(Datos!$A$1:$L$1,1,RIGHT(Formulas!U177)+2)&amp;IF(Formulas!T177=1," "&amp;Formulas!S177,"")&amp;":","")))</f>
        <v>Previsto:</v>
      </c>
      <c r="S180" s="107" cm="1">
        <f t="array" aca="1" ref="S180" ca="1">IF(OR(Formulas!T177=0,Formulas!T177="",RIGHT(Formulas!U177)="0"),"",
HYPERLINK("["&amp;Archivo_Nombre&amp;"]Datos!"&amp;LEFT(SUBSTITUTE(ADDRESS(1,RIGHT(Formulas!U177)+2),"$",""))&amp;Formulas!S177+1,
IFERROR(INDEX(Datos!$A$2:$L$101,Formulas!S177,RIGHT(Formulas!U177)+2),"")))</f>
        <v>45790</v>
      </c>
      <c r="T180" s="107" t="e" cm="1">
        <f t="array" aca="1" ref="T180" ca="1">IF(OR(Formulas!U178=0,Formulas!U178=""),"",HYPERLINK("["&amp;Archivo_Nombre&amp;"]Datos!"&amp;LEFT(SUBSTITUTE(ADDRESS(1,Formulas!U178+2),"$",""))&amp;Formulas!T178+1,
IFERROR(INDEX(Datos!$A$2:$L$101,Formulas!T178,Formulas!U178+2),"")))</f>
        <v>#VALUE!</v>
      </c>
      <c r="U180" s="5"/>
      <c r="V180" s="6"/>
      <c r="W180" s="24" t="str" cm="1">
        <f t="array" aca="1" ref="W180" ca="1">IF(OR(Formulas!Y177=0,Formulas!Y177="",RIGHT(Formulas!Z177)="0"),"",
HYPERLINK("["&amp;Archivo_Nombre&amp;"]Datos!"&amp;LEFT(SUBSTITUTE(ADDRESS(1,IF(Formulas!Y177=1,1,RIGHT(Formulas!Z177)+2)),"$",""))&amp;Formulas!X177+1,
IFERROR(INDEX(Datos!$A$1:$L$1,1,RIGHT(Formulas!Z177)+2)&amp;IF(Formulas!Y177=1," "&amp;Formulas!X177,"")&amp;":","")))</f>
        <v/>
      </c>
      <c r="X180" s="107" t="str" cm="1">
        <f t="array" aca="1" ref="X180" ca="1">IF(OR(Formulas!Y177=0,Formulas!Y177="",RIGHT(Formulas!Z177)="0"),"",
HYPERLINK("["&amp;Archivo_Nombre&amp;"]Datos!"&amp;LEFT(SUBSTITUTE(ADDRESS(1,RIGHT(Formulas!Z177)+2),"$",""))&amp;Formulas!X177+1,
IFERROR(INDEX(Datos!$A$2:$L$101,Formulas!X177,RIGHT(Formulas!Z177)+2),"")))</f>
        <v/>
      </c>
      <c r="Y180" s="107" t="str" cm="1">
        <f t="array" aca="1" ref="Y180" ca="1">IF(OR(Formulas!Z178=0,Formulas!Z178=""),"",HYPERLINK("["&amp;Archivo_Nombre&amp;"]Datos!"&amp;LEFT(SUBSTITUTE(ADDRESS(1,Formulas!Z178+2),"$",""))&amp;Formulas!Y178+1,
IFERROR(INDEX(Datos!$A$2:$L$101,Formulas!Y178,Formulas!Z178+2),"")))</f>
        <v/>
      </c>
      <c r="Z180" s="13"/>
      <c r="AA180" s="6"/>
      <c r="AB180" s="24" t="str" cm="1">
        <f t="array" aca="1" ref="AB180" ca="1">IF(OR(Formulas!AD177=0,Formulas!AD177="",RIGHT(Formulas!AE177)="0"),"",
HYPERLINK("["&amp;Archivo_Nombre&amp;"]Datos!"&amp;LEFT(SUBSTITUTE(ADDRESS(1,IF(Formulas!AD177=1,1,RIGHT(Formulas!AE177)+2)),"$",""))&amp;Formulas!AC177+1,
IFERROR(INDEX(Datos!$A$1:$L$1,1,RIGHT(Formulas!AE177)+2)&amp;IF(Formulas!AD177=1," "&amp;Formulas!AC177,"")&amp;":","")))</f>
        <v/>
      </c>
      <c r="AC180" s="107" t="str" cm="1">
        <f t="array" aca="1" ref="AC180" ca="1">IF(OR(Formulas!AD177=0,Formulas!AD177="",RIGHT(Formulas!AE177)="0"),"",
HYPERLINK("["&amp;Archivo_Nombre&amp;"]Datos!"&amp;LEFT(SUBSTITUTE(ADDRESS(1,RIGHT(Formulas!AE177)+2),"$",""))&amp;Formulas!AC177+1,
IFERROR(INDEX(Datos!$A$2:$L$101,Formulas!AC177,RIGHT(Formulas!AE177)+2),"")))</f>
        <v/>
      </c>
      <c r="AD180" s="107" t="str" cm="1">
        <f t="array" aca="1" ref="AD180" ca="1">IF(OR(Formulas!AE178=0,Formulas!AE178=""),"",HYPERLINK("["&amp;Archivo_Nombre&amp;"]Datos!"&amp;LEFT(SUBSTITUTE(ADDRESS(1,Formulas!AE178+2),"$",""))&amp;Formulas!AD178+1,
IFERROR(INDEX(Datos!$A$2:$L$101,Formulas!AD178,Formulas!AE178+2),"")))</f>
        <v/>
      </c>
      <c r="AE180" s="13"/>
      <c r="AF180" s="6"/>
      <c r="AG180" s="24" t="str" cm="1">
        <f t="array" aca="1" ref="AG180" ca="1">IF(OR(Formulas!AI177=0,Formulas!AI177="",RIGHT(Formulas!AJ177)="0"),"",
HYPERLINK("["&amp;Archivo_Nombre&amp;"]Datos!"&amp;LEFT(SUBSTITUTE(ADDRESS(1,IF(Formulas!AI177=1,1,RIGHT(Formulas!AJ177)+2)),"$",""))&amp;Formulas!AH177+1,
IFERROR(INDEX(Datos!$A$1:$L$1,1,RIGHT(Formulas!AJ177)+2)&amp;IF(Formulas!AI177=1," "&amp;Formulas!AH177,"")&amp;":","")))</f>
        <v/>
      </c>
      <c r="AH180" s="107" t="str" cm="1">
        <f t="array" aca="1" ref="AH180" ca="1">IF(OR(Formulas!AI177=0,Formulas!AI177="",RIGHT(Formulas!AJ177)="0"),"",
HYPERLINK("["&amp;Archivo_Nombre&amp;"]Datos!"&amp;LEFT(SUBSTITUTE(ADDRESS(1,RIGHT(Formulas!AJ177)+2),"$",""))&amp;Formulas!AH177+1,
IFERROR(INDEX(Datos!$A$2:$L$101,Formulas!AH177,RIGHT(Formulas!AJ177)+2),"")))</f>
        <v/>
      </c>
      <c r="AI180" s="107" t="str" cm="1">
        <f t="array" aca="1" ref="AI180" ca="1">IF(OR(Formulas!AJ178=0,Formulas!AJ178=""),"",HYPERLINK("["&amp;Archivo_Nombre&amp;"]Datos!"&amp;LEFT(SUBSTITUTE(ADDRESS(1,Formulas!AJ178+2),"$",""))&amp;Formulas!AI178+1,
IFERROR(INDEX(Datos!$A$2:$L$101,Formulas!AI178,Formulas!AJ178+2),"")))</f>
        <v/>
      </c>
      <c r="AJ180" s="13"/>
      <c r="AK180" s="6"/>
      <c r="AL180" s="24" t="str" cm="1">
        <f t="array" aca="1" ref="AL180" ca="1">IF(OR(Formulas!AN177=0,Formulas!AN177="",RIGHT(Formulas!AO177)="0"),"",
HYPERLINK("["&amp;Archivo_Nombre&amp;"]Datos!"&amp;LEFT(SUBSTITUTE(ADDRESS(1,IF(Formulas!AN177=1,1,RIGHT(Formulas!AO177)+2)),"$",""))&amp;Formulas!AM177+1,
IFERROR(INDEX(Datos!$A$1:$L$1,1,RIGHT(Formulas!AO177)+2)&amp;IF(Formulas!AN177=1," "&amp;Formulas!AM177,"")&amp;":","")))</f>
        <v/>
      </c>
      <c r="AM180" s="107" t="str" cm="1">
        <f t="array" aca="1" ref="AM180" ca="1">IF(OR(Formulas!AN177=0,Formulas!AN177="",RIGHT(Formulas!AO177)="0"),"",
HYPERLINK("["&amp;Archivo_Nombre&amp;"]Datos!"&amp;LEFT(SUBSTITUTE(ADDRESS(1,RIGHT(Formulas!AO177)+2),"$",""))&amp;Formulas!AM177+1,
IFERROR(INDEX(Datos!$A$2:$L$101,Formulas!AM177,RIGHT(Formulas!AO177)+2),"")))</f>
        <v/>
      </c>
      <c r="AN180" s="107" t="str" cm="1">
        <f t="array" aca="1" ref="AN180" ca="1">IF(OR(Formulas!AO178=0,Formulas!AO178=""),"",HYPERLINK("["&amp;Archivo_Nombre&amp;"]Datos!"&amp;LEFT(SUBSTITUTE(ADDRESS(1,Formulas!AO178+2),"$",""))&amp;Formulas!AN178+1,
IFERROR(INDEX(Datos!$A$2:$L$101,Formulas!AN178,Formulas!AO178+2),"")))</f>
        <v/>
      </c>
      <c r="AO180" s="13"/>
      <c r="AP180" s="6"/>
      <c r="AQ180" s="24" t="str" cm="1">
        <f t="array" aca="1" ref="AQ180" ca="1">IF(OR(Formulas!AS177=0,Formulas!AS177="",RIGHT(Formulas!AT177)="0"),"",
HYPERLINK("["&amp;Archivo_Nombre&amp;"]Datos!"&amp;LEFT(SUBSTITUTE(ADDRESS(1,IF(Formulas!AS177=1,1,RIGHT(Formulas!AT177)+2)),"$",""))&amp;Formulas!AR177+1,
IFERROR(INDEX(Datos!$A$1:$L$1,1,RIGHT(Formulas!AT177)+2)&amp;IF(Formulas!AS177=1," "&amp;Formulas!AR177,"")&amp;":","")))</f>
        <v/>
      </c>
      <c r="AR180" s="107" t="str" cm="1">
        <f t="array" aca="1" ref="AR180" ca="1">IF(OR(Formulas!AS177=0,Formulas!AS177="",RIGHT(Formulas!AT177)="0"),"",
HYPERLINK("["&amp;Archivo_Nombre&amp;"]Datos!"&amp;LEFT(SUBSTITUTE(ADDRESS(1,RIGHT(Formulas!AT177)+2),"$",""))&amp;Formulas!AR177+1,
IFERROR(INDEX(Datos!$A$2:$L$101,Formulas!AR177,RIGHT(Formulas!AT177)+2),"")))</f>
        <v/>
      </c>
      <c r="AS180" s="107" t="str" cm="1">
        <f t="array" aca="1" ref="AS180" ca="1">IF(OR(Formulas!AT178=0,Formulas!AT178=""),"",HYPERLINK("["&amp;Archivo_Nombre&amp;"]Datos!"&amp;LEFT(SUBSTITUTE(ADDRESS(1,Formulas!AT178+2),"$",""))&amp;Formulas!AS178+1,
IFERROR(INDEX(Datos!$A$2:$L$101,Formulas!AS178,Formulas!AT178+2),"")))</f>
        <v/>
      </c>
      <c r="AT180" s="13"/>
      <c r="AU180" s="6"/>
      <c r="AV180" s="24" t="str" cm="1">
        <f t="array" aca="1" ref="AV180" ca="1">IF(OR(Formulas!AX177=0,Formulas!AX177="",RIGHT(Formulas!AY177)="0"),"",
HYPERLINK("["&amp;Archivo_Nombre&amp;"]Datos!"&amp;LEFT(SUBSTITUTE(ADDRESS(1,IF(Formulas!AX177=1,1,RIGHT(Formulas!AY177)+2)),"$",""))&amp;Formulas!AW177+1,
IFERROR(INDEX(Datos!$A$1:$L$1,1,RIGHT(Formulas!AY177)+2)&amp;IF(Formulas!AX177=1," "&amp;Formulas!AW177,"")&amp;":","")))</f>
        <v/>
      </c>
      <c r="AW180" s="107" t="str" cm="1">
        <f t="array" aca="1" ref="AW180" ca="1">IF(OR(Formulas!AX177=0,Formulas!AX177="",RIGHT(Formulas!AY177)="0"),"",
HYPERLINK("["&amp;Archivo_Nombre&amp;"]Datos!"&amp;LEFT(SUBSTITUTE(ADDRESS(1,RIGHT(Formulas!AY177)+2),"$",""))&amp;Formulas!AW177+1,
IFERROR(INDEX(Datos!$A$2:$L$101,Formulas!AW177,RIGHT(Formulas!AY177)+2),"")))</f>
        <v/>
      </c>
      <c r="AX180" s="107" t="str" cm="1">
        <f t="array" aca="1" ref="AX180" ca="1">IF(OR(Formulas!AY178=0,Formulas!AY178=""),"",HYPERLINK("["&amp;Archivo_Nombre&amp;"]Datos!"&amp;LEFT(SUBSTITUTE(ADDRESS(1,Formulas!AY178+2),"$",""))&amp;Formulas!AX178+1,
IFERROR(INDEX(Datos!$A$2:$L$101,Formulas!AX178,Formulas!AY178+2),"")))</f>
        <v/>
      </c>
      <c r="AY180" s="13"/>
    </row>
    <row r="181" spans="2:51" x14ac:dyDescent="0.25">
      <c r="B181" s="11"/>
      <c r="C181" s="24" t="str" cm="1">
        <f t="array" aca="1" ref="C181" ca="1">IF(OR(Formulas!E178=0,Formulas!E178="",RIGHT(Formulas!F178)="0"),"",
HYPERLINK("["&amp;Archivo_Nombre&amp;"]Datos!"&amp;LEFT(SUBSTITUTE(ADDRESS(1,IF(Formulas!E178=1,1,RIGHT(Formulas!F178)+2)),"$",""))&amp;Formulas!D178+1,
IFERROR(INDEX(Datos!$A$1:$L$1,1,RIGHT(Formulas!F178)+2)&amp;IF(Formulas!E178=1," "&amp;Formulas!D178,"")&amp;":","")))</f>
        <v/>
      </c>
      <c r="D181" s="107" t="str" cm="1">
        <f t="array" aca="1" ref="D181" ca="1">IF(OR(Formulas!E178=0,Formulas!E178="",RIGHT(Formulas!F178)="0"),"",
HYPERLINK("["&amp;Archivo_Nombre&amp;"]Datos!"&amp;LEFT(SUBSTITUTE(ADDRESS(1,RIGHT(Formulas!F178)+2),"$",""))&amp;Formulas!D178+1,
IFERROR(INDEX(Datos!$A$2:$L$101,Formulas!D178,RIGHT(Formulas!F178)+2),"")))</f>
        <v/>
      </c>
      <c r="E181" s="107" t="str" cm="1">
        <f t="array" aca="1" ref="E181" ca="1">IF(OR(Formulas!F179=0,Formulas!F179=""),"",HYPERLINK("["&amp;Archivo_Nombre&amp;"]Datos!"&amp;LEFT(SUBSTITUTE(ADDRESS(1,Formulas!F179+2),"$",""))&amp;Formulas!E179+1,
IFERROR(INDEX(Datos!$A$2:$L$101,Formulas!E179,Formulas!F179+2),"")))</f>
        <v/>
      </c>
      <c r="F181" s="5"/>
      <c r="G181" s="6"/>
      <c r="H181" s="24" t="str" cm="1">
        <f t="array" aca="1" ref="H181" ca="1">IF(OR(Formulas!J178=0,Formulas!J178="",RIGHT(Formulas!K178)="0"),"",
HYPERLINK("["&amp;Archivo_Nombre&amp;"]Datos!"&amp;LEFT(SUBSTITUTE(ADDRESS(1,IF(Formulas!J178=1,1,RIGHT(Formulas!K178)+2)),"$",""))&amp;Formulas!I178+1,
IFERROR(INDEX(Datos!$A$1:$L$1,1,RIGHT(Formulas!K178)+2)&amp;IF(Formulas!J178=1," "&amp;Formulas!I178,"")&amp;":","")))</f>
        <v/>
      </c>
      <c r="I181" s="107" t="str" cm="1">
        <f t="array" aca="1" ref="I181" ca="1">IF(OR(Formulas!J178=0,Formulas!J178="",RIGHT(Formulas!K178)="0"),"",
HYPERLINK("["&amp;Archivo_Nombre&amp;"]Datos!"&amp;LEFT(SUBSTITUTE(ADDRESS(1,RIGHT(Formulas!K178)+2),"$",""))&amp;Formulas!I178+1,
IFERROR(INDEX(Datos!$A$2:$L$101,Formulas!I178,RIGHT(Formulas!K178)+2),"")))</f>
        <v/>
      </c>
      <c r="J181" s="107" t="str" cm="1">
        <f t="array" aca="1" ref="J181" ca="1">IF(OR(Formulas!K179=0,Formulas!K179=""),"",HYPERLINK("["&amp;Archivo_Nombre&amp;"]Datos!"&amp;LEFT(SUBSTITUTE(ADDRESS(1,Formulas!K179+2),"$",""))&amp;Formulas!J179+1,
IFERROR(INDEX(Datos!$A$2:$L$101,Formulas!J179,Formulas!K179+2),"")))</f>
        <v/>
      </c>
      <c r="K181" s="5"/>
      <c r="L181" s="6"/>
      <c r="M181" s="24" t="str" cm="1">
        <f t="array" aca="1" ref="M181" ca="1">IF(OR(Formulas!O178=0,Formulas!O178="",RIGHT(Formulas!P178)="0"),"",
HYPERLINK("["&amp;Archivo_Nombre&amp;"]Datos!"&amp;LEFT(SUBSTITUTE(ADDRESS(1,IF(Formulas!O178=1,1,RIGHT(Formulas!P178)+2)),"$",""))&amp;Formulas!N178+1,
IFERROR(INDEX(Datos!$A$1:$L$1,1,RIGHT(Formulas!P178)+2)&amp;IF(Formulas!O178=1," "&amp;Formulas!N178,"")&amp;":","")))</f>
        <v/>
      </c>
      <c r="N181" s="107" t="str" cm="1">
        <f t="array" aca="1" ref="N181" ca="1">IF(OR(Formulas!O178=0,Formulas!O178="",RIGHT(Formulas!P178)="0"),"",
HYPERLINK("["&amp;Archivo_Nombre&amp;"]Datos!"&amp;LEFT(SUBSTITUTE(ADDRESS(1,RIGHT(Formulas!P178)+2),"$",""))&amp;Formulas!N178+1,
IFERROR(INDEX(Datos!$A$2:$L$101,Formulas!N178,RIGHT(Formulas!P178)+2),"")))</f>
        <v/>
      </c>
      <c r="O181" s="107" t="str" cm="1">
        <f t="array" aca="1" ref="O181" ca="1">IF(OR(Formulas!P179=0,Formulas!P179=""),"",HYPERLINK("["&amp;Archivo_Nombre&amp;"]Datos!"&amp;LEFT(SUBSTITUTE(ADDRESS(1,Formulas!P179+2),"$",""))&amp;Formulas!O179+1,
IFERROR(INDEX(Datos!$A$2:$L$101,Formulas!O179,Formulas!P179+2),"")))</f>
        <v/>
      </c>
      <c r="P181" s="5"/>
      <c r="Q181" s="6"/>
      <c r="R181" s="24" t="str" cm="1">
        <f t="array" aca="1" ref="R181" ca="1">IF(OR(Formulas!T178=0,Formulas!T178="",RIGHT(Formulas!U178)="0"),"",
HYPERLINK("["&amp;Archivo_Nombre&amp;"]Datos!"&amp;LEFT(SUBSTITUTE(ADDRESS(1,IF(Formulas!T178=1,1,RIGHT(Formulas!U178)+2)),"$",""))&amp;Formulas!S178+1,
IFERROR(INDEX(Datos!$A$1:$L$1,1,RIGHT(Formulas!U178)+2)&amp;IF(Formulas!T178=1," "&amp;Formulas!S178,"")&amp;":","")))</f>
        <v>Final:</v>
      </c>
      <c r="S181" s="107" cm="1">
        <f t="array" aca="1" ref="S181" ca="1">IF(OR(Formulas!T178=0,Formulas!T178="",RIGHT(Formulas!U178)="0"),"",
HYPERLINK("["&amp;Archivo_Nombre&amp;"]Datos!"&amp;LEFT(SUBSTITUTE(ADDRESS(1,RIGHT(Formulas!U178)+2),"$",""))&amp;Formulas!S178+1,
IFERROR(INDEX(Datos!$A$2:$L$101,Formulas!S178,RIGHT(Formulas!U178)+2),"")))</f>
        <v>45790</v>
      </c>
      <c r="T181" s="107" t="e" cm="1">
        <f t="array" aca="1" ref="T181" ca="1">IF(OR(Formulas!U179=0,Formulas!U179=""),"",HYPERLINK("["&amp;Archivo_Nombre&amp;"]Datos!"&amp;LEFT(SUBSTITUTE(ADDRESS(1,Formulas!U179+2),"$",""))&amp;Formulas!T179+1,
IFERROR(INDEX(Datos!$A$2:$L$101,Formulas!T179,Formulas!U179+2),"")))</f>
        <v>#VALUE!</v>
      </c>
      <c r="U181" s="5"/>
      <c r="V181" s="6"/>
      <c r="W181" s="24" t="str" cm="1">
        <f t="array" aca="1" ref="W181" ca="1">IF(OR(Formulas!Y178=0,Formulas!Y178="",RIGHT(Formulas!Z178)="0"),"",
HYPERLINK("["&amp;Archivo_Nombre&amp;"]Datos!"&amp;LEFT(SUBSTITUTE(ADDRESS(1,IF(Formulas!Y178=1,1,RIGHT(Formulas!Z178)+2)),"$",""))&amp;Formulas!X178+1,
IFERROR(INDEX(Datos!$A$1:$L$1,1,RIGHT(Formulas!Z178)+2)&amp;IF(Formulas!Y178=1," "&amp;Formulas!X178,"")&amp;":","")))</f>
        <v/>
      </c>
      <c r="X181" s="107" t="str" cm="1">
        <f t="array" aca="1" ref="X181" ca="1">IF(OR(Formulas!Y178=0,Formulas!Y178="",RIGHT(Formulas!Z178)="0"),"",
HYPERLINK("["&amp;Archivo_Nombre&amp;"]Datos!"&amp;LEFT(SUBSTITUTE(ADDRESS(1,RIGHT(Formulas!Z178)+2),"$",""))&amp;Formulas!X178+1,
IFERROR(INDEX(Datos!$A$2:$L$101,Formulas!X178,RIGHT(Formulas!Z178)+2),"")))</f>
        <v/>
      </c>
      <c r="Y181" s="107" t="str" cm="1">
        <f t="array" aca="1" ref="Y181" ca="1">IF(OR(Formulas!Z179=0,Formulas!Z179=""),"",HYPERLINK("["&amp;Archivo_Nombre&amp;"]Datos!"&amp;LEFT(SUBSTITUTE(ADDRESS(1,Formulas!Z179+2),"$",""))&amp;Formulas!Y179+1,
IFERROR(INDEX(Datos!$A$2:$L$101,Formulas!Y179,Formulas!Z179+2),"")))</f>
        <v/>
      </c>
      <c r="Z181" s="13"/>
      <c r="AA181" s="6"/>
      <c r="AB181" s="24" t="str" cm="1">
        <f t="array" aca="1" ref="AB181" ca="1">IF(OR(Formulas!AD178=0,Formulas!AD178="",RIGHT(Formulas!AE178)="0"),"",
HYPERLINK("["&amp;Archivo_Nombre&amp;"]Datos!"&amp;LEFT(SUBSTITUTE(ADDRESS(1,IF(Formulas!AD178=1,1,RIGHT(Formulas!AE178)+2)),"$",""))&amp;Formulas!AC178+1,
IFERROR(INDEX(Datos!$A$1:$L$1,1,RIGHT(Formulas!AE178)+2)&amp;IF(Formulas!AD178=1," "&amp;Formulas!AC178,"")&amp;":","")))</f>
        <v/>
      </c>
      <c r="AC181" s="107" t="str" cm="1">
        <f t="array" aca="1" ref="AC181" ca="1">IF(OR(Formulas!AD178=0,Formulas!AD178="",RIGHT(Formulas!AE178)="0"),"",
HYPERLINK("["&amp;Archivo_Nombre&amp;"]Datos!"&amp;LEFT(SUBSTITUTE(ADDRESS(1,RIGHT(Formulas!AE178)+2),"$",""))&amp;Formulas!AC178+1,
IFERROR(INDEX(Datos!$A$2:$L$101,Formulas!AC178,RIGHT(Formulas!AE178)+2),"")))</f>
        <v/>
      </c>
      <c r="AD181" s="107" t="str" cm="1">
        <f t="array" aca="1" ref="AD181" ca="1">IF(OR(Formulas!AE179=0,Formulas!AE179=""),"",HYPERLINK("["&amp;Archivo_Nombre&amp;"]Datos!"&amp;LEFT(SUBSTITUTE(ADDRESS(1,Formulas!AE179+2),"$",""))&amp;Formulas!AD179+1,
IFERROR(INDEX(Datos!$A$2:$L$101,Formulas!AD179,Formulas!AE179+2),"")))</f>
        <v/>
      </c>
      <c r="AE181" s="13"/>
      <c r="AF181" s="6"/>
      <c r="AG181" s="24" t="str" cm="1">
        <f t="array" aca="1" ref="AG181" ca="1">IF(OR(Formulas!AI178=0,Formulas!AI178="",RIGHT(Formulas!AJ178)="0"),"",
HYPERLINK("["&amp;Archivo_Nombre&amp;"]Datos!"&amp;LEFT(SUBSTITUTE(ADDRESS(1,IF(Formulas!AI178=1,1,RIGHT(Formulas!AJ178)+2)),"$",""))&amp;Formulas!AH178+1,
IFERROR(INDEX(Datos!$A$1:$L$1,1,RIGHT(Formulas!AJ178)+2)&amp;IF(Formulas!AI178=1," "&amp;Formulas!AH178,"")&amp;":","")))</f>
        <v/>
      </c>
      <c r="AH181" s="107" t="str" cm="1">
        <f t="array" aca="1" ref="AH181" ca="1">IF(OR(Formulas!AI178=0,Formulas!AI178="",RIGHT(Formulas!AJ178)="0"),"",
HYPERLINK("["&amp;Archivo_Nombre&amp;"]Datos!"&amp;LEFT(SUBSTITUTE(ADDRESS(1,RIGHT(Formulas!AJ178)+2),"$",""))&amp;Formulas!AH178+1,
IFERROR(INDEX(Datos!$A$2:$L$101,Formulas!AH178,RIGHT(Formulas!AJ178)+2),"")))</f>
        <v/>
      </c>
      <c r="AI181" s="107" t="str" cm="1">
        <f t="array" aca="1" ref="AI181" ca="1">IF(OR(Formulas!AJ179=0,Formulas!AJ179=""),"",HYPERLINK("["&amp;Archivo_Nombre&amp;"]Datos!"&amp;LEFT(SUBSTITUTE(ADDRESS(1,Formulas!AJ179+2),"$",""))&amp;Formulas!AI179+1,
IFERROR(INDEX(Datos!$A$2:$L$101,Formulas!AI179,Formulas!AJ179+2),"")))</f>
        <v/>
      </c>
      <c r="AJ181" s="13"/>
      <c r="AK181" s="6"/>
      <c r="AL181" s="24" t="str" cm="1">
        <f t="array" aca="1" ref="AL181" ca="1">IF(OR(Formulas!AN178=0,Formulas!AN178="",RIGHT(Formulas!AO178)="0"),"",
HYPERLINK("["&amp;Archivo_Nombre&amp;"]Datos!"&amp;LEFT(SUBSTITUTE(ADDRESS(1,IF(Formulas!AN178=1,1,RIGHT(Formulas!AO178)+2)),"$",""))&amp;Formulas!AM178+1,
IFERROR(INDEX(Datos!$A$1:$L$1,1,RIGHT(Formulas!AO178)+2)&amp;IF(Formulas!AN178=1," "&amp;Formulas!AM178,"")&amp;":","")))</f>
        <v/>
      </c>
      <c r="AM181" s="107" t="str" cm="1">
        <f t="array" aca="1" ref="AM181" ca="1">IF(OR(Formulas!AN178=0,Formulas!AN178="",RIGHT(Formulas!AO178)="0"),"",
HYPERLINK("["&amp;Archivo_Nombre&amp;"]Datos!"&amp;LEFT(SUBSTITUTE(ADDRESS(1,RIGHT(Formulas!AO178)+2),"$",""))&amp;Formulas!AM178+1,
IFERROR(INDEX(Datos!$A$2:$L$101,Formulas!AM178,RIGHT(Formulas!AO178)+2),"")))</f>
        <v/>
      </c>
      <c r="AN181" s="107" t="str" cm="1">
        <f t="array" aca="1" ref="AN181" ca="1">IF(OR(Formulas!AO179=0,Formulas!AO179=""),"",HYPERLINK("["&amp;Archivo_Nombre&amp;"]Datos!"&amp;LEFT(SUBSTITUTE(ADDRESS(1,Formulas!AO179+2),"$",""))&amp;Formulas!AN179+1,
IFERROR(INDEX(Datos!$A$2:$L$101,Formulas!AN179,Formulas!AO179+2),"")))</f>
        <v/>
      </c>
      <c r="AO181" s="13"/>
      <c r="AP181" s="6"/>
      <c r="AQ181" s="24" t="str" cm="1">
        <f t="array" aca="1" ref="AQ181" ca="1">IF(OR(Formulas!AS178=0,Formulas!AS178="",RIGHT(Formulas!AT178)="0"),"",
HYPERLINK("["&amp;Archivo_Nombre&amp;"]Datos!"&amp;LEFT(SUBSTITUTE(ADDRESS(1,IF(Formulas!AS178=1,1,RIGHT(Formulas!AT178)+2)),"$",""))&amp;Formulas!AR178+1,
IFERROR(INDEX(Datos!$A$1:$L$1,1,RIGHT(Formulas!AT178)+2)&amp;IF(Formulas!AS178=1," "&amp;Formulas!AR178,"")&amp;":","")))</f>
        <v/>
      </c>
      <c r="AR181" s="107" t="str" cm="1">
        <f t="array" aca="1" ref="AR181" ca="1">IF(OR(Formulas!AS178=0,Formulas!AS178="",RIGHT(Formulas!AT178)="0"),"",
HYPERLINK("["&amp;Archivo_Nombre&amp;"]Datos!"&amp;LEFT(SUBSTITUTE(ADDRESS(1,RIGHT(Formulas!AT178)+2),"$",""))&amp;Formulas!AR178+1,
IFERROR(INDEX(Datos!$A$2:$L$101,Formulas!AR178,RIGHT(Formulas!AT178)+2),"")))</f>
        <v/>
      </c>
      <c r="AS181" s="107" t="str" cm="1">
        <f t="array" aca="1" ref="AS181" ca="1">IF(OR(Formulas!AT179=0,Formulas!AT179=""),"",HYPERLINK("["&amp;Archivo_Nombre&amp;"]Datos!"&amp;LEFT(SUBSTITUTE(ADDRESS(1,Formulas!AT179+2),"$",""))&amp;Formulas!AS179+1,
IFERROR(INDEX(Datos!$A$2:$L$101,Formulas!AS179,Formulas!AT179+2),"")))</f>
        <v/>
      </c>
      <c r="AT181" s="13"/>
      <c r="AU181" s="6"/>
      <c r="AV181" s="24" t="str" cm="1">
        <f t="array" aca="1" ref="AV181" ca="1">IF(OR(Formulas!AX178=0,Formulas!AX178="",RIGHT(Formulas!AY178)="0"),"",
HYPERLINK("["&amp;Archivo_Nombre&amp;"]Datos!"&amp;LEFT(SUBSTITUTE(ADDRESS(1,IF(Formulas!AX178=1,1,RIGHT(Formulas!AY178)+2)),"$",""))&amp;Formulas!AW178+1,
IFERROR(INDEX(Datos!$A$1:$L$1,1,RIGHT(Formulas!AY178)+2)&amp;IF(Formulas!AX178=1," "&amp;Formulas!AW178,"")&amp;":","")))</f>
        <v/>
      </c>
      <c r="AW181" s="107" t="str" cm="1">
        <f t="array" aca="1" ref="AW181" ca="1">IF(OR(Formulas!AX178=0,Formulas!AX178="",RIGHT(Formulas!AY178)="0"),"",
HYPERLINK("["&amp;Archivo_Nombre&amp;"]Datos!"&amp;LEFT(SUBSTITUTE(ADDRESS(1,RIGHT(Formulas!AY178)+2),"$",""))&amp;Formulas!AW178+1,
IFERROR(INDEX(Datos!$A$2:$L$101,Formulas!AW178,RIGHT(Formulas!AY178)+2),"")))</f>
        <v/>
      </c>
      <c r="AX181" s="107" t="str" cm="1">
        <f t="array" aca="1" ref="AX181" ca="1">IF(OR(Formulas!AY179=0,Formulas!AY179=""),"",HYPERLINK("["&amp;Archivo_Nombre&amp;"]Datos!"&amp;LEFT(SUBSTITUTE(ADDRESS(1,Formulas!AY179+2),"$",""))&amp;Formulas!AX179+1,
IFERROR(INDEX(Datos!$A$2:$L$101,Formulas!AX179,Formulas!AY179+2),"")))</f>
        <v/>
      </c>
      <c r="AY181" s="13"/>
    </row>
    <row r="182" spans="2:51" x14ac:dyDescent="0.25">
      <c r="B182" s="11"/>
      <c r="C182" s="24" t="str" cm="1">
        <f t="array" aca="1" ref="C182" ca="1">IF(OR(Formulas!E179=0,Formulas!E179="",RIGHT(Formulas!F179)="0"),"",
HYPERLINK("["&amp;Archivo_Nombre&amp;"]Datos!"&amp;LEFT(SUBSTITUTE(ADDRESS(1,IF(Formulas!E179=1,1,RIGHT(Formulas!F179)+2)),"$",""))&amp;Formulas!D179+1,
IFERROR(INDEX(Datos!$A$1:$L$1,1,RIGHT(Formulas!F179)+2)&amp;IF(Formulas!E179=1," "&amp;Formulas!D179,"")&amp;":","")))</f>
        <v/>
      </c>
      <c r="D182" s="107" t="str" cm="1">
        <f t="array" aca="1" ref="D182" ca="1">IF(OR(Formulas!E179=0,Formulas!E179="",RIGHT(Formulas!F179)="0"),"",
HYPERLINK("["&amp;Archivo_Nombre&amp;"]Datos!"&amp;LEFT(SUBSTITUTE(ADDRESS(1,RIGHT(Formulas!F179)+2),"$",""))&amp;Formulas!D179+1,
IFERROR(INDEX(Datos!$A$2:$L$101,Formulas!D179,RIGHT(Formulas!F179)+2),"")))</f>
        <v/>
      </c>
      <c r="E182" s="107" t="str" cm="1">
        <f t="array" aca="1" ref="E182" ca="1">IF(OR(Formulas!F180=0,Formulas!F180=""),"",HYPERLINK("["&amp;Archivo_Nombre&amp;"]Datos!"&amp;LEFT(SUBSTITUTE(ADDRESS(1,Formulas!F180+2),"$",""))&amp;Formulas!E180+1,
IFERROR(INDEX(Datos!$A$2:$L$101,Formulas!E180,Formulas!F180+2),"")))</f>
        <v/>
      </c>
      <c r="F182" s="5"/>
      <c r="G182" s="6"/>
      <c r="H182" s="24" t="str" cm="1">
        <f t="array" aca="1" ref="H182" ca="1">IF(OR(Formulas!J179=0,Formulas!J179="",RIGHT(Formulas!K179)="0"),"",
HYPERLINK("["&amp;Archivo_Nombre&amp;"]Datos!"&amp;LEFT(SUBSTITUTE(ADDRESS(1,IF(Formulas!J179=1,1,RIGHT(Formulas!K179)+2)),"$",""))&amp;Formulas!I179+1,
IFERROR(INDEX(Datos!$A$1:$L$1,1,RIGHT(Formulas!K179)+2)&amp;IF(Formulas!J179=1," "&amp;Formulas!I179,"")&amp;":","")))</f>
        <v/>
      </c>
      <c r="I182" s="107" t="str" cm="1">
        <f t="array" aca="1" ref="I182" ca="1">IF(OR(Formulas!J179=0,Formulas!J179="",RIGHT(Formulas!K179)="0"),"",
HYPERLINK("["&amp;Archivo_Nombre&amp;"]Datos!"&amp;LEFT(SUBSTITUTE(ADDRESS(1,RIGHT(Formulas!K179)+2),"$",""))&amp;Formulas!I179+1,
IFERROR(INDEX(Datos!$A$2:$L$101,Formulas!I179,RIGHT(Formulas!K179)+2),"")))</f>
        <v/>
      </c>
      <c r="J182" s="107" t="str" cm="1">
        <f t="array" aca="1" ref="J182" ca="1">IF(OR(Formulas!K180=0,Formulas!K180=""),"",HYPERLINK("["&amp;Archivo_Nombre&amp;"]Datos!"&amp;LEFT(SUBSTITUTE(ADDRESS(1,Formulas!K180+2),"$",""))&amp;Formulas!J180+1,
IFERROR(INDEX(Datos!$A$2:$L$101,Formulas!J180,Formulas!K180+2),"")))</f>
        <v/>
      </c>
      <c r="K182" s="5"/>
      <c r="L182" s="6"/>
      <c r="M182" s="24" t="str" cm="1">
        <f t="array" aca="1" ref="M182" ca="1">IF(OR(Formulas!O179=0,Formulas!O179="",RIGHT(Formulas!P179)="0"),"",
HYPERLINK("["&amp;Archivo_Nombre&amp;"]Datos!"&amp;LEFT(SUBSTITUTE(ADDRESS(1,IF(Formulas!O179=1,1,RIGHT(Formulas!P179)+2)),"$",""))&amp;Formulas!N179+1,
IFERROR(INDEX(Datos!$A$1:$L$1,1,RIGHT(Formulas!P179)+2)&amp;IF(Formulas!O179=1," "&amp;Formulas!N179,"")&amp;":","")))</f>
        <v/>
      </c>
      <c r="N182" s="107" t="str" cm="1">
        <f t="array" aca="1" ref="N182" ca="1">IF(OR(Formulas!O179=0,Formulas!O179="",RIGHT(Formulas!P179)="0"),"",
HYPERLINK("["&amp;Archivo_Nombre&amp;"]Datos!"&amp;LEFT(SUBSTITUTE(ADDRESS(1,RIGHT(Formulas!P179)+2),"$",""))&amp;Formulas!N179+1,
IFERROR(INDEX(Datos!$A$2:$L$101,Formulas!N179,RIGHT(Formulas!P179)+2),"")))</f>
        <v/>
      </c>
      <c r="O182" s="107" t="str" cm="1">
        <f t="array" aca="1" ref="O182" ca="1">IF(OR(Formulas!P180=0,Formulas!P180=""),"",HYPERLINK("["&amp;Archivo_Nombre&amp;"]Datos!"&amp;LEFT(SUBSTITUTE(ADDRESS(1,Formulas!P180+2),"$",""))&amp;Formulas!O180+1,
IFERROR(INDEX(Datos!$A$2:$L$101,Formulas!O180,Formulas!P180+2),"")))</f>
        <v/>
      </c>
      <c r="P182" s="5"/>
      <c r="Q182" s="6"/>
      <c r="R182" s="24" t="str" cm="1">
        <f t="array" aca="1" ref="R182" ca="1">IF(OR(Formulas!T179=0,Formulas!T179="",RIGHT(Formulas!U179)="0"),"",
HYPERLINK("["&amp;Archivo_Nombre&amp;"]Datos!"&amp;LEFT(SUBSTITUTE(ADDRESS(1,IF(Formulas!T179=1,1,RIGHT(Formulas!U179)+2)),"$",""))&amp;Formulas!S179+1,
IFERROR(INDEX(Datos!$A$1:$L$1,1,RIGHT(Formulas!U179)+2)&amp;IF(Formulas!T179=1," "&amp;Formulas!S179,"")&amp;":","")))</f>
        <v>Duración:</v>
      </c>
      <c r="S182" s="107" t="str" cm="1">
        <f t="array" aca="1" ref="S182" ca="1">IF(OR(Formulas!T179=0,Formulas!T179="",RIGHT(Formulas!U179)="0"),"",
HYPERLINK("["&amp;Archivo_Nombre&amp;"]Datos!"&amp;LEFT(SUBSTITUTE(ADDRESS(1,RIGHT(Formulas!U179)+2),"$",""))&amp;Formulas!S179+1,
IFERROR(INDEX(Datos!$A$2:$L$101,Formulas!S179,RIGHT(Formulas!U179)+2),"")))</f>
        <v>2 días</v>
      </c>
      <c r="T182" s="107" t="e" cm="1">
        <f t="array" aca="1" ref="T182" ca="1">IF(OR(Formulas!U180=0,Formulas!U180=""),"",HYPERLINK("["&amp;Archivo_Nombre&amp;"]Datos!"&amp;LEFT(SUBSTITUTE(ADDRESS(1,Formulas!U180+2),"$",""))&amp;Formulas!T180+1,
IFERROR(INDEX(Datos!$A$2:$L$101,Formulas!T180,Formulas!U180+2),"")))</f>
        <v>#VALUE!</v>
      </c>
      <c r="U182" s="5"/>
      <c r="V182" s="6"/>
      <c r="W182" s="24" t="str" cm="1">
        <f t="array" aca="1" ref="W182" ca="1">IF(OR(Formulas!Y179=0,Formulas!Y179="",RIGHT(Formulas!Z179)="0"),"",
HYPERLINK("["&amp;Archivo_Nombre&amp;"]Datos!"&amp;LEFT(SUBSTITUTE(ADDRESS(1,IF(Formulas!Y179=1,1,RIGHT(Formulas!Z179)+2)),"$",""))&amp;Formulas!X179+1,
IFERROR(INDEX(Datos!$A$1:$L$1,1,RIGHT(Formulas!Z179)+2)&amp;IF(Formulas!Y179=1," "&amp;Formulas!X179,"")&amp;":","")))</f>
        <v/>
      </c>
      <c r="X182" s="107" t="str" cm="1">
        <f t="array" aca="1" ref="X182" ca="1">IF(OR(Formulas!Y179=0,Formulas!Y179="",RIGHT(Formulas!Z179)="0"),"",
HYPERLINK("["&amp;Archivo_Nombre&amp;"]Datos!"&amp;LEFT(SUBSTITUTE(ADDRESS(1,RIGHT(Formulas!Z179)+2),"$",""))&amp;Formulas!X179+1,
IFERROR(INDEX(Datos!$A$2:$L$101,Formulas!X179,RIGHT(Formulas!Z179)+2),"")))</f>
        <v/>
      </c>
      <c r="Y182" s="107" t="str" cm="1">
        <f t="array" aca="1" ref="Y182" ca="1">IF(OR(Formulas!Z180=0,Formulas!Z180=""),"",HYPERLINK("["&amp;Archivo_Nombre&amp;"]Datos!"&amp;LEFT(SUBSTITUTE(ADDRESS(1,Formulas!Z180+2),"$",""))&amp;Formulas!Y180+1,
IFERROR(INDEX(Datos!$A$2:$L$101,Formulas!Y180,Formulas!Z180+2),"")))</f>
        <v/>
      </c>
      <c r="Z182" s="13"/>
      <c r="AA182" s="6"/>
      <c r="AB182" s="24" t="str" cm="1">
        <f t="array" aca="1" ref="AB182" ca="1">IF(OR(Formulas!AD179=0,Formulas!AD179="",RIGHT(Formulas!AE179)="0"),"",
HYPERLINK("["&amp;Archivo_Nombre&amp;"]Datos!"&amp;LEFT(SUBSTITUTE(ADDRESS(1,IF(Formulas!AD179=1,1,RIGHT(Formulas!AE179)+2)),"$",""))&amp;Formulas!AC179+1,
IFERROR(INDEX(Datos!$A$1:$L$1,1,RIGHT(Formulas!AE179)+2)&amp;IF(Formulas!AD179=1," "&amp;Formulas!AC179,"")&amp;":","")))</f>
        <v/>
      </c>
      <c r="AC182" s="107" t="str" cm="1">
        <f t="array" aca="1" ref="AC182" ca="1">IF(OR(Formulas!AD179=0,Formulas!AD179="",RIGHT(Formulas!AE179)="0"),"",
HYPERLINK("["&amp;Archivo_Nombre&amp;"]Datos!"&amp;LEFT(SUBSTITUTE(ADDRESS(1,RIGHT(Formulas!AE179)+2),"$",""))&amp;Formulas!AC179+1,
IFERROR(INDEX(Datos!$A$2:$L$101,Formulas!AC179,RIGHT(Formulas!AE179)+2),"")))</f>
        <v/>
      </c>
      <c r="AD182" s="107" t="str" cm="1">
        <f t="array" aca="1" ref="AD182" ca="1">IF(OR(Formulas!AE180=0,Formulas!AE180=""),"",HYPERLINK("["&amp;Archivo_Nombre&amp;"]Datos!"&amp;LEFT(SUBSTITUTE(ADDRESS(1,Formulas!AE180+2),"$",""))&amp;Formulas!AD180+1,
IFERROR(INDEX(Datos!$A$2:$L$101,Formulas!AD180,Formulas!AE180+2),"")))</f>
        <v/>
      </c>
      <c r="AE182" s="13"/>
      <c r="AF182" s="6"/>
      <c r="AG182" s="24" t="str" cm="1">
        <f t="array" aca="1" ref="AG182" ca="1">IF(OR(Formulas!AI179=0,Formulas!AI179="",RIGHT(Formulas!AJ179)="0"),"",
HYPERLINK("["&amp;Archivo_Nombre&amp;"]Datos!"&amp;LEFT(SUBSTITUTE(ADDRESS(1,IF(Formulas!AI179=1,1,RIGHT(Formulas!AJ179)+2)),"$",""))&amp;Formulas!AH179+1,
IFERROR(INDEX(Datos!$A$1:$L$1,1,RIGHT(Formulas!AJ179)+2)&amp;IF(Formulas!AI179=1," "&amp;Formulas!AH179,"")&amp;":","")))</f>
        <v/>
      </c>
      <c r="AH182" s="107" t="str" cm="1">
        <f t="array" aca="1" ref="AH182" ca="1">IF(OR(Formulas!AI179=0,Formulas!AI179="",RIGHT(Formulas!AJ179)="0"),"",
HYPERLINK("["&amp;Archivo_Nombre&amp;"]Datos!"&amp;LEFT(SUBSTITUTE(ADDRESS(1,RIGHT(Formulas!AJ179)+2),"$",""))&amp;Formulas!AH179+1,
IFERROR(INDEX(Datos!$A$2:$L$101,Formulas!AH179,RIGHT(Formulas!AJ179)+2),"")))</f>
        <v/>
      </c>
      <c r="AI182" s="107" t="str" cm="1">
        <f t="array" aca="1" ref="AI182" ca="1">IF(OR(Formulas!AJ180=0,Formulas!AJ180=""),"",HYPERLINK("["&amp;Archivo_Nombre&amp;"]Datos!"&amp;LEFT(SUBSTITUTE(ADDRESS(1,Formulas!AJ180+2),"$",""))&amp;Formulas!AI180+1,
IFERROR(INDEX(Datos!$A$2:$L$101,Formulas!AI180,Formulas!AJ180+2),"")))</f>
        <v/>
      </c>
      <c r="AJ182" s="13"/>
      <c r="AK182" s="6"/>
      <c r="AL182" s="24" t="str" cm="1">
        <f t="array" aca="1" ref="AL182" ca="1">IF(OR(Formulas!AN179=0,Formulas!AN179="",RIGHT(Formulas!AO179)="0"),"",
HYPERLINK("["&amp;Archivo_Nombre&amp;"]Datos!"&amp;LEFT(SUBSTITUTE(ADDRESS(1,IF(Formulas!AN179=1,1,RIGHT(Formulas!AO179)+2)),"$",""))&amp;Formulas!AM179+1,
IFERROR(INDEX(Datos!$A$1:$L$1,1,RIGHT(Formulas!AO179)+2)&amp;IF(Formulas!AN179=1," "&amp;Formulas!AM179,"")&amp;":","")))</f>
        <v/>
      </c>
      <c r="AM182" s="107" t="str" cm="1">
        <f t="array" aca="1" ref="AM182" ca="1">IF(OR(Formulas!AN179=0,Formulas!AN179="",RIGHT(Formulas!AO179)="0"),"",
HYPERLINK("["&amp;Archivo_Nombre&amp;"]Datos!"&amp;LEFT(SUBSTITUTE(ADDRESS(1,RIGHT(Formulas!AO179)+2),"$",""))&amp;Formulas!AM179+1,
IFERROR(INDEX(Datos!$A$2:$L$101,Formulas!AM179,RIGHT(Formulas!AO179)+2),"")))</f>
        <v/>
      </c>
      <c r="AN182" s="107" t="str" cm="1">
        <f t="array" aca="1" ref="AN182" ca="1">IF(OR(Formulas!AO180=0,Formulas!AO180=""),"",HYPERLINK("["&amp;Archivo_Nombre&amp;"]Datos!"&amp;LEFT(SUBSTITUTE(ADDRESS(1,Formulas!AO180+2),"$",""))&amp;Formulas!AN180+1,
IFERROR(INDEX(Datos!$A$2:$L$101,Formulas!AN180,Formulas!AO180+2),"")))</f>
        <v/>
      </c>
      <c r="AO182" s="13"/>
      <c r="AP182" s="6"/>
      <c r="AQ182" s="24" t="str" cm="1">
        <f t="array" aca="1" ref="AQ182" ca="1">IF(OR(Formulas!AS179=0,Formulas!AS179="",RIGHT(Formulas!AT179)="0"),"",
HYPERLINK("["&amp;Archivo_Nombre&amp;"]Datos!"&amp;LEFT(SUBSTITUTE(ADDRESS(1,IF(Formulas!AS179=1,1,RIGHT(Formulas!AT179)+2)),"$",""))&amp;Formulas!AR179+1,
IFERROR(INDEX(Datos!$A$1:$L$1,1,RIGHT(Formulas!AT179)+2)&amp;IF(Formulas!AS179=1," "&amp;Formulas!AR179,"")&amp;":","")))</f>
        <v/>
      </c>
      <c r="AR182" s="107" t="str" cm="1">
        <f t="array" aca="1" ref="AR182" ca="1">IF(OR(Formulas!AS179=0,Formulas!AS179="",RIGHT(Formulas!AT179)="0"),"",
HYPERLINK("["&amp;Archivo_Nombre&amp;"]Datos!"&amp;LEFT(SUBSTITUTE(ADDRESS(1,RIGHT(Formulas!AT179)+2),"$",""))&amp;Formulas!AR179+1,
IFERROR(INDEX(Datos!$A$2:$L$101,Formulas!AR179,RIGHT(Formulas!AT179)+2),"")))</f>
        <v/>
      </c>
      <c r="AS182" s="107" t="str" cm="1">
        <f t="array" aca="1" ref="AS182" ca="1">IF(OR(Formulas!AT180=0,Formulas!AT180=""),"",HYPERLINK("["&amp;Archivo_Nombre&amp;"]Datos!"&amp;LEFT(SUBSTITUTE(ADDRESS(1,Formulas!AT180+2),"$",""))&amp;Formulas!AS180+1,
IFERROR(INDEX(Datos!$A$2:$L$101,Formulas!AS180,Formulas!AT180+2),"")))</f>
        <v/>
      </c>
      <c r="AT182" s="13"/>
      <c r="AU182" s="6"/>
      <c r="AV182" s="24" t="str" cm="1">
        <f t="array" aca="1" ref="AV182" ca="1">IF(OR(Formulas!AX179=0,Formulas!AX179="",RIGHT(Formulas!AY179)="0"),"",
HYPERLINK("["&amp;Archivo_Nombre&amp;"]Datos!"&amp;LEFT(SUBSTITUTE(ADDRESS(1,IF(Formulas!AX179=1,1,RIGHT(Formulas!AY179)+2)),"$",""))&amp;Formulas!AW179+1,
IFERROR(INDEX(Datos!$A$1:$L$1,1,RIGHT(Formulas!AY179)+2)&amp;IF(Formulas!AX179=1," "&amp;Formulas!AW179,"")&amp;":","")))</f>
        <v/>
      </c>
      <c r="AW182" s="107" t="str" cm="1">
        <f t="array" aca="1" ref="AW182" ca="1">IF(OR(Formulas!AX179=0,Formulas!AX179="",RIGHT(Formulas!AY179)="0"),"",
HYPERLINK("["&amp;Archivo_Nombre&amp;"]Datos!"&amp;LEFT(SUBSTITUTE(ADDRESS(1,RIGHT(Formulas!AY179)+2),"$",""))&amp;Formulas!AW179+1,
IFERROR(INDEX(Datos!$A$2:$L$101,Formulas!AW179,RIGHT(Formulas!AY179)+2),"")))</f>
        <v/>
      </c>
      <c r="AX182" s="107" t="str" cm="1">
        <f t="array" aca="1" ref="AX182" ca="1">IF(OR(Formulas!AY180=0,Formulas!AY180=""),"",HYPERLINK("["&amp;Archivo_Nombre&amp;"]Datos!"&amp;LEFT(SUBSTITUTE(ADDRESS(1,Formulas!AY180+2),"$",""))&amp;Formulas!AX180+1,
IFERROR(INDEX(Datos!$A$2:$L$101,Formulas!AX180,Formulas!AY180+2),"")))</f>
        <v/>
      </c>
      <c r="AY182" s="13"/>
    </row>
    <row r="183" spans="2:51" x14ac:dyDescent="0.25">
      <c r="B183" s="11"/>
      <c r="C183" s="24" t="str" cm="1">
        <f t="array" aca="1" ref="C183" ca="1">IF(OR(Formulas!E180=0,Formulas!E180="",RIGHT(Formulas!F180)="0"),"",
HYPERLINK("["&amp;Archivo_Nombre&amp;"]Datos!"&amp;LEFT(SUBSTITUTE(ADDRESS(1,IF(Formulas!E180=1,1,RIGHT(Formulas!F180)+2)),"$",""))&amp;Formulas!D180+1,
IFERROR(INDEX(Datos!$A$1:$L$1,1,RIGHT(Formulas!F180)+2)&amp;IF(Formulas!E180=1," "&amp;Formulas!D180,"")&amp;":","")))</f>
        <v/>
      </c>
      <c r="D183" s="107" t="str" cm="1">
        <f t="array" aca="1" ref="D183" ca="1">IF(OR(Formulas!E180=0,Formulas!E180="",RIGHT(Formulas!F180)="0"),"",
HYPERLINK("["&amp;Archivo_Nombre&amp;"]Datos!"&amp;LEFT(SUBSTITUTE(ADDRESS(1,RIGHT(Formulas!F180)+2),"$",""))&amp;Formulas!D180+1,
IFERROR(INDEX(Datos!$A$2:$L$101,Formulas!D180,RIGHT(Formulas!F180)+2),"")))</f>
        <v/>
      </c>
      <c r="E183" s="107" t="str" cm="1">
        <f t="array" aca="1" ref="E183" ca="1">IF(OR(Formulas!F181=0,Formulas!F181=""),"",HYPERLINK("["&amp;Archivo_Nombre&amp;"]Datos!"&amp;LEFT(SUBSTITUTE(ADDRESS(1,Formulas!F181+2),"$",""))&amp;Formulas!E181+1,
IFERROR(INDEX(Datos!$A$2:$L$101,Formulas!E181,Formulas!F181+2),"")))</f>
        <v/>
      </c>
      <c r="F183" s="5"/>
      <c r="G183" s="6"/>
      <c r="H183" s="24" t="str" cm="1">
        <f t="array" aca="1" ref="H183" ca="1">IF(OR(Formulas!J180=0,Formulas!J180="",RIGHT(Formulas!K180)="0"),"",
HYPERLINK("["&amp;Archivo_Nombre&amp;"]Datos!"&amp;LEFT(SUBSTITUTE(ADDRESS(1,IF(Formulas!J180=1,1,RIGHT(Formulas!K180)+2)),"$",""))&amp;Formulas!I180+1,
IFERROR(INDEX(Datos!$A$1:$L$1,1,RIGHT(Formulas!K180)+2)&amp;IF(Formulas!J180=1," "&amp;Formulas!I180,"")&amp;":","")))</f>
        <v/>
      </c>
      <c r="I183" s="107" t="str" cm="1">
        <f t="array" aca="1" ref="I183" ca="1">IF(OR(Formulas!J180=0,Formulas!J180="",RIGHT(Formulas!K180)="0"),"",
HYPERLINK("["&amp;Archivo_Nombre&amp;"]Datos!"&amp;LEFT(SUBSTITUTE(ADDRESS(1,RIGHT(Formulas!K180)+2),"$",""))&amp;Formulas!I180+1,
IFERROR(INDEX(Datos!$A$2:$L$101,Formulas!I180,RIGHT(Formulas!K180)+2),"")))</f>
        <v/>
      </c>
      <c r="J183" s="107" t="str" cm="1">
        <f t="array" aca="1" ref="J183" ca="1">IF(OR(Formulas!K181=0,Formulas!K181=""),"",HYPERLINK("["&amp;Archivo_Nombre&amp;"]Datos!"&amp;LEFT(SUBSTITUTE(ADDRESS(1,Formulas!K181+2),"$",""))&amp;Formulas!J181+1,
IFERROR(INDEX(Datos!$A$2:$L$101,Formulas!J181,Formulas!K181+2),"")))</f>
        <v/>
      </c>
      <c r="K183" s="5"/>
      <c r="L183" s="6"/>
      <c r="M183" s="24" t="str" cm="1">
        <f t="array" aca="1" ref="M183" ca="1">IF(OR(Formulas!O180=0,Formulas!O180="",RIGHT(Formulas!P180)="0"),"",
HYPERLINK("["&amp;Archivo_Nombre&amp;"]Datos!"&amp;LEFT(SUBSTITUTE(ADDRESS(1,IF(Formulas!O180=1,1,RIGHT(Formulas!P180)+2)),"$",""))&amp;Formulas!N180+1,
IFERROR(INDEX(Datos!$A$1:$L$1,1,RIGHT(Formulas!P180)+2)&amp;IF(Formulas!O180=1," "&amp;Formulas!N180,"")&amp;":","")))</f>
        <v/>
      </c>
      <c r="N183" s="107" t="str" cm="1">
        <f t="array" aca="1" ref="N183" ca="1">IF(OR(Formulas!O180=0,Formulas!O180="",RIGHT(Formulas!P180)="0"),"",
HYPERLINK("["&amp;Archivo_Nombre&amp;"]Datos!"&amp;LEFT(SUBSTITUTE(ADDRESS(1,RIGHT(Formulas!P180)+2),"$",""))&amp;Formulas!N180+1,
IFERROR(INDEX(Datos!$A$2:$L$101,Formulas!N180,RIGHT(Formulas!P180)+2),"")))</f>
        <v/>
      </c>
      <c r="O183" s="107" t="str" cm="1">
        <f t="array" aca="1" ref="O183" ca="1">IF(OR(Formulas!P181=0,Formulas!P181=""),"",HYPERLINK("["&amp;Archivo_Nombre&amp;"]Datos!"&amp;LEFT(SUBSTITUTE(ADDRESS(1,Formulas!P181+2),"$",""))&amp;Formulas!O181+1,
IFERROR(INDEX(Datos!$A$2:$L$101,Formulas!O181,Formulas!P181+2),"")))</f>
        <v/>
      </c>
      <c r="P183" s="5"/>
      <c r="Q183" s="6"/>
      <c r="R183" s="24" t="str" cm="1">
        <f t="array" aca="1" ref="R183" ca="1">IF(OR(Formulas!T180=0,Formulas!T180="",RIGHT(Formulas!U180)="0"),"",
HYPERLINK("["&amp;Archivo_Nombre&amp;"]Datos!"&amp;LEFT(SUBSTITUTE(ADDRESS(1,IF(Formulas!T180=1,1,RIGHT(Formulas!U180)+2)),"$",""))&amp;Formulas!S180+1,
IFERROR(INDEX(Datos!$A$1:$L$1,1,RIGHT(Formulas!U180)+2)&amp;IF(Formulas!T180=1," "&amp;Formulas!S180,"")&amp;":","")))</f>
        <v>Retraso:</v>
      </c>
      <c r="S183" s="107" t="str" cm="1">
        <f t="array" aca="1" ref="S183" ca="1">IF(OR(Formulas!T180=0,Formulas!T180="",RIGHT(Formulas!U180)="0"),"",
HYPERLINK("["&amp;Archivo_Nombre&amp;"]Datos!"&amp;LEFT(SUBSTITUTE(ADDRESS(1,RIGHT(Formulas!U180)+2),"$",""))&amp;Formulas!S180+1,
IFERROR(INDEX(Datos!$A$2:$L$101,Formulas!S180,RIGHT(Formulas!U180)+2),"")))</f>
        <v>0 días</v>
      </c>
      <c r="T183" s="107" t="e" cm="1">
        <f t="array" aca="1" ref="T183" ca="1">IF(OR(Formulas!U181=0,Formulas!U181=""),"",HYPERLINK("["&amp;Archivo_Nombre&amp;"]Datos!"&amp;LEFT(SUBSTITUTE(ADDRESS(1,Formulas!U181+2),"$",""))&amp;Formulas!T181+1,
IFERROR(INDEX(Datos!$A$2:$L$101,Formulas!T181,Formulas!U181+2),"")))</f>
        <v>#VALUE!</v>
      </c>
      <c r="U183" s="5"/>
      <c r="V183" s="6"/>
      <c r="W183" s="24" t="str" cm="1">
        <f t="array" aca="1" ref="W183" ca="1">IF(OR(Formulas!Y180=0,Formulas!Y180="",RIGHT(Formulas!Z180)="0"),"",
HYPERLINK("["&amp;Archivo_Nombre&amp;"]Datos!"&amp;LEFT(SUBSTITUTE(ADDRESS(1,IF(Formulas!Y180=1,1,RIGHT(Formulas!Z180)+2)),"$",""))&amp;Formulas!X180+1,
IFERROR(INDEX(Datos!$A$1:$L$1,1,RIGHT(Formulas!Z180)+2)&amp;IF(Formulas!Y180=1," "&amp;Formulas!X180,"")&amp;":","")))</f>
        <v/>
      </c>
      <c r="X183" s="107" t="str" cm="1">
        <f t="array" aca="1" ref="X183" ca="1">IF(OR(Formulas!Y180=0,Formulas!Y180="",RIGHT(Formulas!Z180)="0"),"",
HYPERLINK("["&amp;Archivo_Nombre&amp;"]Datos!"&amp;LEFT(SUBSTITUTE(ADDRESS(1,RIGHT(Formulas!Z180)+2),"$",""))&amp;Formulas!X180+1,
IFERROR(INDEX(Datos!$A$2:$L$101,Formulas!X180,RIGHT(Formulas!Z180)+2),"")))</f>
        <v/>
      </c>
      <c r="Y183" s="107" t="str" cm="1">
        <f t="array" aca="1" ref="Y183" ca="1">IF(OR(Formulas!Z181=0,Formulas!Z181=""),"",HYPERLINK("["&amp;Archivo_Nombre&amp;"]Datos!"&amp;LEFT(SUBSTITUTE(ADDRESS(1,Formulas!Z181+2),"$",""))&amp;Formulas!Y181+1,
IFERROR(INDEX(Datos!$A$2:$L$101,Formulas!Y181,Formulas!Z181+2),"")))</f>
        <v/>
      </c>
      <c r="Z183" s="13"/>
      <c r="AA183" s="6"/>
      <c r="AB183" s="24" t="str" cm="1">
        <f t="array" aca="1" ref="AB183" ca="1">IF(OR(Formulas!AD180=0,Formulas!AD180="",RIGHT(Formulas!AE180)="0"),"",
HYPERLINK("["&amp;Archivo_Nombre&amp;"]Datos!"&amp;LEFT(SUBSTITUTE(ADDRESS(1,IF(Formulas!AD180=1,1,RIGHT(Formulas!AE180)+2)),"$",""))&amp;Formulas!AC180+1,
IFERROR(INDEX(Datos!$A$1:$L$1,1,RIGHT(Formulas!AE180)+2)&amp;IF(Formulas!AD180=1," "&amp;Formulas!AC180,"")&amp;":","")))</f>
        <v/>
      </c>
      <c r="AC183" s="107" t="str" cm="1">
        <f t="array" aca="1" ref="AC183" ca="1">IF(OR(Formulas!AD180=0,Formulas!AD180="",RIGHT(Formulas!AE180)="0"),"",
HYPERLINK("["&amp;Archivo_Nombre&amp;"]Datos!"&amp;LEFT(SUBSTITUTE(ADDRESS(1,RIGHT(Formulas!AE180)+2),"$",""))&amp;Formulas!AC180+1,
IFERROR(INDEX(Datos!$A$2:$L$101,Formulas!AC180,RIGHT(Formulas!AE180)+2),"")))</f>
        <v/>
      </c>
      <c r="AD183" s="107" t="str" cm="1">
        <f t="array" aca="1" ref="AD183" ca="1">IF(OR(Formulas!AE181=0,Formulas!AE181=""),"",HYPERLINK("["&amp;Archivo_Nombre&amp;"]Datos!"&amp;LEFT(SUBSTITUTE(ADDRESS(1,Formulas!AE181+2),"$",""))&amp;Formulas!AD181+1,
IFERROR(INDEX(Datos!$A$2:$L$101,Formulas!AD181,Formulas!AE181+2),"")))</f>
        <v/>
      </c>
      <c r="AE183" s="13"/>
      <c r="AF183" s="6"/>
      <c r="AG183" s="24" t="str" cm="1">
        <f t="array" aca="1" ref="AG183" ca="1">IF(OR(Formulas!AI180=0,Formulas!AI180="",RIGHT(Formulas!AJ180)="0"),"",
HYPERLINK("["&amp;Archivo_Nombre&amp;"]Datos!"&amp;LEFT(SUBSTITUTE(ADDRESS(1,IF(Formulas!AI180=1,1,RIGHT(Formulas!AJ180)+2)),"$",""))&amp;Formulas!AH180+1,
IFERROR(INDEX(Datos!$A$1:$L$1,1,RIGHT(Formulas!AJ180)+2)&amp;IF(Formulas!AI180=1," "&amp;Formulas!AH180,"")&amp;":","")))</f>
        <v/>
      </c>
      <c r="AH183" s="107" t="str" cm="1">
        <f t="array" aca="1" ref="AH183" ca="1">IF(OR(Formulas!AI180=0,Formulas!AI180="",RIGHT(Formulas!AJ180)="0"),"",
HYPERLINK("["&amp;Archivo_Nombre&amp;"]Datos!"&amp;LEFT(SUBSTITUTE(ADDRESS(1,RIGHT(Formulas!AJ180)+2),"$",""))&amp;Formulas!AH180+1,
IFERROR(INDEX(Datos!$A$2:$L$101,Formulas!AH180,RIGHT(Formulas!AJ180)+2),"")))</f>
        <v/>
      </c>
      <c r="AI183" s="107" t="str" cm="1">
        <f t="array" aca="1" ref="AI183" ca="1">IF(OR(Formulas!AJ181=0,Formulas!AJ181=""),"",HYPERLINK("["&amp;Archivo_Nombre&amp;"]Datos!"&amp;LEFT(SUBSTITUTE(ADDRESS(1,Formulas!AJ181+2),"$",""))&amp;Formulas!AI181+1,
IFERROR(INDEX(Datos!$A$2:$L$101,Formulas!AI181,Formulas!AJ181+2),"")))</f>
        <v/>
      </c>
      <c r="AJ183" s="13"/>
      <c r="AK183" s="6"/>
      <c r="AL183" s="24" t="str" cm="1">
        <f t="array" aca="1" ref="AL183" ca="1">IF(OR(Formulas!AN180=0,Formulas!AN180="",RIGHT(Formulas!AO180)="0"),"",
HYPERLINK("["&amp;Archivo_Nombre&amp;"]Datos!"&amp;LEFT(SUBSTITUTE(ADDRESS(1,IF(Formulas!AN180=1,1,RIGHT(Formulas!AO180)+2)),"$",""))&amp;Formulas!AM180+1,
IFERROR(INDEX(Datos!$A$1:$L$1,1,RIGHT(Formulas!AO180)+2)&amp;IF(Formulas!AN180=1," "&amp;Formulas!AM180,"")&amp;":","")))</f>
        <v/>
      </c>
      <c r="AM183" s="107" t="str" cm="1">
        <f t="array" aca="1" ref="AM183" ca="1">IF(OR(Formulas!AN180=0,Formulas!AN180="",RIGHT(Formulas!AO180)="0"),"",
HYPERLINK("["&amp;Archivo_Nombre&amp;"]Datos!"&amp;LEFT(SUBSTITUTE(ADDRESS(1,RIGHT(Formulas!AO180)+2),"$",""))&amp;Formulas!AM180+1,
IFERROR(INDEX(Datos!$A$2:$L$101,Formulas!AM180,RIGHT(Formulas!AO180)+2),"")))</f>
        <v/>
      </c>
      <c r="AN183" s="107" t="str" cm="1">
        <f t="array" aca="1" ref="AN183" ca="1">IF(OR(Formulas!AO181=0,Formulas!AO181=""),"",HYPERLINK("["&amp;Archivo_Nombre&amp;"]Datos!"&amp;LEFT(SUBSTITUTE(ADDRESS(1,Formulas!AO181+2),"$",""))&amp;Formulas!AN181+1,
IFERROR(INDEX(Datos!$A$2:$L$101,Formulas!AN181,Formulas!AO181+2),"")))</f>
        <v/>
      </c>
      <c r="AO183" s="13"/>
      <c r="AP183" s="6"/>
      <c r="AQ183" s="24" t="str" cm="1">
        <f t="array" aca="1" ref="AQ183" ca="1">IF(OR(Formulas!AS180=0,Formulas!AS180="",RIGHT(Formulas!AT180)="0"),"",
HYPERLINK("["&amp;Archivo_Nombre&amp;"]Datos!"&amp;LEFT(SUBSTITUTE(ADDRESS(1,IF(Formulas!AS180=1,1,RIGHT(Formulas!AT180)+2)),"$",""))&amp;Formulas!AR180+1,
IFERROR(INDEX(Datos!$A$1:$L$1,1,RIGHT(Formulas!AT180)+2)&amp;IF(Formulas!AS180=1," "&amp;Formulas!AR180,"")&amp;":","")))</f>
        <v/>
      </c>
      <c r="AR183" s="107" t="str" cm="1">
        <f t="array" aca="1" ref="AR183" ca="1">IF(OR(Formulas!AS180=0,Formulas!AS180="",RIGHT(Formulas!AT180)="0"),"",
HYPERLINK("["&amp;Archivo_Nombre&amp;"]Datos!"&amp;LEFT(SUBSTITUTE(ADDRESS(1,RIGHT(Formulas!AT180)+2),"$",""))&amp;Formulas!AR180+1,
IFERROR(INDEX(Datos!$A$2:$L$101,Formulas!AR180,RIGHT(Formulas!AT180)+2),"")))</f>
        <v/>
      </c>
      <c r="AS183" s="107" t="str" cm="1">
        <f t="array" aca="1" ref="AS183" ca="1">IF(OR(Formulas!AT181=0,Formulas!AT181=""),"",HYPERLINK("["&amp;Archivo_Nombre&amp;"]Datos!"&amp;LEFT(SUBSTITUTE(ADDRESS(1,Formulas!AT181+2),"$",""))&amp;Formulas!AS181+1,
IFERROR(INDEX(Datos!$A$2:$L$101,Formulas!AS181,Formulas!AT181+2),"")))</f>
        <v/>
      </c>
      <c r="AT183" s="13"/>
      <c r="AU183" s="6"/>
      <c r="AV183" s="24" t="str" cm="1">
        <f t="array" aca="1" ref="AV183" ca="1">IF(OR(Formulas!AX180=0,Formulas!AX180="",RIGHT(Formulas!AY180)="0"),"",
HYPERLINK("["&amp;Archivo_Nombre&amp;"]Datos!"&amp;LEFT(SUBSTITUTE(ADDRESS(1,IF(Formulas!AX180=1,1,RIGHT(Formulas!AY180)+2)),"$",""))&amp;Formulas!AW180+1,
IFERROR(INDEX(Datos!$A$1:$L$1,1,RIGHT(Formulas!AY180)+2)&amp;IF(Formulas!AX180=1," "&amp;Formulas!AW180,"")&amp;":","")))</f>
        <v/>
      </c>
      <c r="AW183" s="107" t="str" cm="1">
        <f t="array" aca="1" ref="AW183" ca="1">IF(OR(Formulas!AX180=0,Formulas!AX180="",RIGHT(Formulas!AY180)="0"),"",
HYPERLINK("["&amp;Archivo_Nombre&amp;"]Datos!"&amp;LEFT(SUBSTITUTE(ADDRESS(1,RIGHT(Formulas!AY180)+2),"$",""))&amp;Formulas!AW180+1,
IFERROR(INDEX(Datos!$A$2:$L$101,Formulas!AW180,RIGHT(Formulas!AY180)+2),"")))</f>
        <v/>
      </c>
      <c r="AX183" s="107" t="str" cm="1">
        <f t="array" aca="1" ref="AX183" ca="1">IF(OR(Formulas!AY181=0,Formulas!AY181=""),"",HYPERLINK("["&amp;Archivo_Nombre&amp;"]Datos!"&amp;LEFT(SUBSTITUTE(ADDRESS(1,Formulas!AY181+2),"$",""))&amp;Formulas!AX181+1,
IFERROR(INDEX(Datos!$A$2:$L$101,Formulas!AX181,Formulas!AY181+2),"")))</f>
        <v/>
      </c>
      <c r="AY183" s="13"/>
    </row>
    <row r="184" spans="2:51" x14ac:dyDescent="0.25">
      <c r="B184" s="11"/>
      <c r="C184" s="24" t="str" cm="1">
        <f t="array" aca="1" ref="C184" ca="1">IF(OR(Formulas!E181=0,Formulas!E181="",RIGHT(Formulas!F181)="0"),"",
HYPERLINK("["&amp;Archivo_Nombre&amp;"]Datos!"&amp;LEFT(SUBSTITUTE(ADDRESS(1,IF(Formulas!E181=1,1,RIGHT(Formulas!F181)+2)),"$",""))&amp;Formulas!D181+1,
IFERROR(INDEX(Datos!$A$1:$L$1,1,RIGHT(Formulas!F181)+2)&amp;IF(Formulas!E181=1," "&amp;Formulas!D181,"")&amp;":","")))</f>
        <v/>
      </c>
      <c r="D184" s="107" t="str" cm="1">
        <f t="array" aca="1" ref="D184" ca="1">IF(OR(Formulas!E181=0,Formulas!E181="",RIGHT(Formulas!F181)="0"),"",
HYPERLINK("["&amp;Archivo_Nombre&amp;"]Datos!"&amp;LEFT(SUBSTITUTE(ADDRESS(1,RIGHT(Formulas!F181)+2),"$",""))&amp;Formulas!D181+1,
IFERROR(INDEX(Datos!$A$2:$L$101,Formulas!D181,RIGHT(Formulas!F181)+2),"")))</f>
        <v/>
      </c>
      <c r="E184" s="107" t="str" cm="1">
        <f t="array" aca="1" ref="E184" ca="1">IF(OR(Formulas!F182=0,Formulas!F182=""),"",HYPERLINK("["&amp;Archivo_Nombre&amp;"]Datos!"&amp;LEFT(SUBSTITUTE(ADDRESS(1,Formulas!F182+2),"$",""))&amp;Formulas!E182+1,
IFERROR(INDEX(Datos!$A$2:$L$101,Formulas!E182,Formulas!F182+2),"")))</f>
        <v/>
      </c>
      <c r="F184" s="5"/>
      <c r="G184" s="6"/>
      <c r="H184" s="24" t="str" cm="1">
        <f t="array" aca="1" ref="H184" ca="1">IF(OR(Formulas!J181=0,Formulas!J181="",RIGHT(Formulas!K181)="0"),"",
HYPERLINK("["&amp;Archivo_Nombre&amp;"]Datos!"&amp;LEFT(SUBSTITUTE(ADDRESS(1,IF(Formulas!J181=1,1,RIGHT(Formulas!K181)+2)),"$",""))&amp;Formulas!I181+1,
IFERROR(INDEX(Datos!$A$1:$L$1,1,RIGHT(Formulas!K181)+2)&amp;IF(Formulas!J181=1," "&amp;Formulas!I181,"")&amp;":","")))</f>
        <v/>
      </c>
      <c r="I184" s="107" t="str" cm="1">
        <f t="array" aca="1" ref="I184" ca="1">IF(OR(Formulas!J181=0,Formulas!J181="",RIGHT(Formulas!K181)="0"),"",
HYPERLINK("["&amp;Archivo_Nombre&amp;"]Datos!"&amp;LEFT(SUBSTITUTE(ADDRESS(1,RIGHT(Formulas!K181)+2),"$",""))&amp;Formulas!I181+1,
IFERROR(INDEX(Datos!$A$2:$L$101,Formulas!I181,RIGHT(Formulas!K181)+2),"")))</f>
        <v/>
      </c>
      <c r="J184" s="107" t="str" cm="1">
        <f t="array" aca="1" ref="J184" ca="1">IF(OR(Formulas!K182=0,Formulas!K182=""),"",HYPERLINK("["&amp;Archivo_Nombre&amp;"]Datos!"&amp;LEFT(SUBSTITUTE(ADDRESS(1,Formulas!K182+2),"$",""))&amp;Formulas!J182+1,
IFERROR(INDEX(Datos!$A$2:$L$101,Formulas!J182,Formulas!K182+2),"")))</f>
        <v/>
      </c>
      <c r="K184" s="5"/>
      <c r="L184" s="6"/>
      <c r="M184" s="24" t="str" cm="1">
        <f t="array" aca="1" ref="M184" ca="1">IF(OR(Formulas!O181=0,Formulas!O181="",RIGHT(Formulas!P181)="0"),"",
HYPERLINK("["&amp;Archivo_Nombre&amp;"]Datos!"&amp;LEFT(SUBSTITUTE(ADDRESS(1,IF(Formulas!O181=1,1,RIGHT(Formulas!P181)+2)),"$",""))&amp;Formulas!N181+1,
IFERROR(INDEX(Datos!$A$1:$L$1,1,RIGHT(Formulas!P181)+2)&amp;IF(Formulas!O181=1," "&amp;Formulas!N181,"")&amp;":","")))</f>
        <v/>
      </c>
      <c r="N184" s="107" t="str" cm="1">
        <f t="array" aca="1" ref="N184" ca="1">IF(OR(Formulas!O181=0,Formulas!O181="",RIGHT(Formulas!P181)="0"),"",
HYPERLINK("["&amp;Archivo_Nombre&amp;"]Datos!"&amp;LEFT(SUBSTITUTE(ADDRESS(1,RIGHT(Formulas!P181)+2),"$",""))&amp;Formulas!N181+1,
IFERROR(INDEX(Datos!$A$2:$L$101,Formulas!N181,RIGHT(Formulas!P181)+2),"")))</f>
        <v/>
      </c>
      <c r="O184" s="107" t="str" cm="1">
        <f t="array" aca="1" ref="O184" ca="1">IF(OR(Formulas!P182=0,Formulas!P182=""),"",HYPERLINK("["&amp;Archivo_Nombre&amp;"]Datos!"&amp;LEFT(SUBSTITUTE(ADDRESS(1,Formulas!P182+2),"$",""))&amp;Formulas!O182+1,
IFERROR(INDEX(Datos!$A$2:$L$101,Formulas!O182,Formulas!P182+2),"")))</f>
        <v/>
      </c>
      <c r="P184" s="5"/>
      <c r="Q184" s="6"/>
      <c r="R184" s="24" t="str" cm="1">
        <f t="array" aca="1" ref="R184" ca="1">IF(OR(Formulas!T181=0,Formulas!T181="",RIGHT(Formulas!U181)="0"),"",
HYPERLINK("["&amp;Archivo_Nombre&amp;"]Datos!"&amp;LEFT(SUBSTITUTE(ADDRESS(1,IF(Formulas!T181=1,1,RIGHT(Formulas!U181)+2)),"$",""))&amp;Formulas!S181+1,
IFERROR(INDEX(Datos!$A$1:$L$1,1,RIGHT(Formulas!U181)+2)&amp;IF(Formulas!T181=1," "&amp;Formulas!S181,"")&amp;":","")))</f>
        <v/>
      </c>
      <c r="S184" s="107" t="str" cm="1">
        <f t="array" aca="1" ref="S184" ca="1">IF(OR(Formulas!T181=0,Formulas!T181="",RIGHT(Formulas!U181)="0"),"",
HYPERLINK("["&amp;Archivo_Nombre&amp;"]Datos!"&amp;LEFT(SUBSTITUTE(ADDRESS(1,RIGHT(Formulas!U181)+2),"$",""))&amp;Formulas!S181+1,
IFERROR(INDEX(Datos!$A$2:$L$101,Formulas!S181,RIGHT(Formulas!U181)+2),"")))</f>
        <v/>
      </c>
      <c r="T184" s="107" t="str" cm="1">
        <f t="array" aca="1" ref="T184" ca="1">IF(OR(Formulas!U182=0,Formulas!U182=""),"",HYPERLINK("["&amp;Archivo_Nombre&amp;"]Datos!"&amp;LEFT(SUBSTITUTE(ADDRESS(1,Formulas!U182+2),"$",""))&amp;Formulas!T182+1,
IFERROR(INDEX(Datos!$A$2:$L$101,Formulas!T182,Formulas!U182+2),"")))</f>
        <v/>
      </c>
      <c r="U184" s="5"/>
      <c r="V184" s="6"/>
      <c r="W184" s="24" t="str" cm="1">
        <f t="array" aca="1" ref="W184" ca="1">IF(OR(Formulas!Y181=0,Formulas!Y181="",RIGHT(Formulas!Z181)="0"),"",
HYPERLINK("["&amp;Archivo_Nombre&amp;"]Datos!"&amp;LEFT(SUBSTITUTE(ADDRESS(1,IF(Formulas!Y181=1,1,RIGHT(Formulas!Z181)+2)),"$",""))&amp;Formulas!X181+1,
IFERROR(INDEX(Datos!$A$1:$L$1,1,RIGHT(Formulas!Z181)+2)&amp;IF(Formulas!Y181=1," "&amp;Formulas!X181,"")&amp;":","")))</f>
        <v/>
      </c>
      <c r="X184" s="107" t="str" cm="1">
        <f t="array" aca="1" ref="X184" ca="1">IF(OR(Formulas!Y181=0,Formulas!Y181="",RIGHT(Formulas!Z181)="0"),"",
HYPERLINK("["&amp;Archivo_Nombre&amp;"]Datos!"&amp;LEFT(SUBSTITUTE(ADDRESS(1,RIGHT(Formulas!Z181)+2),"$",""))&amp;Formulas!X181+1,
IFERROR(INDEX(Datos!$A$2:$L$101,Formulas!X181,RIGHT(Formulas!Z181)+2),"")))</f>
        <v/>
      </c>
      <c r="Y184" s="107" t="str" cm="1">
        <f t="array" aca="1" ref="Y184" ca="1">IF(OR(Formulas!Z182=0,Formulas!Z182=""),"",HYPERLINK("["&amp;Archivo_Nombre&amp;"]Datos!"&amp;LEFT(SUBSTITUTE(ADDRESS(1,Formulas!Z182+2),"$",""))&amp;Formulas!Y182+1,
IFERROR(INDEX(Datos!$A$2:$L$101,Formulas!Y182,Formulas!Z182+2),"")))</f>
        <v/>
      </c>
      <c r="Z184" s="13"/>
      <c r="AA184" s="6"/>
      <c r="AB184" s="24" t="str" cm="1">
        <f t="array" aca="1" ref="AB184" ca="1">IF(OR(Formulas!AD181=0,Formulas!AD181="",RIGHT(Formulas!AE181)="0"),"",
HYPERLINK("["&amp;Archivo_Nombre&amp;"]Datos!"&amp;LEFT(SUBSTITUTE(ADDRESS(1,IF(Formulas!AD181=1,1,RIGHT(Formulas!AE181)+2)),"$",""))&amp;Formulas!AC181+1,
IFERROR(INDEX(Datos!$A$1:$L$1,1,RIGHT(Formulas!AE181)+2)&amp;IF(Formulas!AD181=1," "&amp;Formulas!AC181,"")&amp;":","")))</f>
        <v/>
      </c>
      <c r="AC184" s="107" t="str" cm="1">
        <f t="array" aca="1" ref="AC184" ca="1">IF(OR(Formulas!AD181=0,Formulas!AD181="",RIGHT(Formulas!AE181)="0"),"",
HYPERLINK("["&amp;Archivo_Nombre&amp;"]Datos!"&amp;LEFT(SUBSTITUTE(ADDRESS(1,RIGHT(Formulas!AE181)+2),"$",""))&amp;Formulas!AC181+1,
IFERROR(INDEX(Datos!$A$2:$L$101,Formulas!AC181,RIGHT(Formulas!AE181)+2),"")))</f>
        <v/>
      </c>
      <c r="AD184" s="107" t="str" cm="1">
        <f t="array" aca="1" ref="AD184" ca="1">IF(OR(Formulas!AE182=0,Formulas!AE182=""),"",HYPERLINK("["&amp;Archivo_Nombre&amp;"]Datos!"&amp;LEFT(SUBSTITUTE(ADDRESS(1,Formulas!AE182+2),"$",""))&amp;Formulas!AD182+1,
IFERROR(INDEX(Datos!$A$2:$L$101,Formulas!AD182,Formulas!AE182+2),"")))</f>
        <v/>
      </c>
      <c r="AE184" s="13"/>
      <c r="AF184" s="6"/>
      <c r="AG184" s="24" t="str" cm="1">
        <f t="array" aca="1" ref="AG184" ca="1">IF(OR(Formulas!AI181=0,Formulas!AI181="",RIGHT(Formulas!AJ181)="0"),"",
HYPERLINK("["&amp;Archivo_Nombre&amp;"]Datos!"&amp;LEFT(SUBSTITUTE(ADDRESS(1,IF(Formulas!AI181=1,1,RIGHT(Formulas!AJ181)+2)),"$",""))&amp;Formulas!AH181+1,
IFERROR(INDEX(Datos!$A$1:$L$1,1,RIGHT(Formulas!AJ181)+2)&amp;IF(Formulas!AI181=1," "&amp;Formulas!AH181,"")&amp;":","")))</f>
        <v/>
      </c>
      <c r="AH184" s="107" t="str" cm="1">
        <f t="array" aca="1" ref="AH184" ca="1">IF(OR(Formulas!AI181=0,Formulas!AI181="",RIGHT(Formulas!AJ181)="0"),"",
HYPERLINK("["&amp;Archivo_Nombre&amp;"]Datos!"&amp;LEFT(SUBSTITUTE(ADDRESS(1,RIGHT(Formulas!AJ181)+2),"$",""))&amp;Formulas!AH181+1,
IFERROR(INDEX(Datos!$A$2:$L$101,Formulas!AH181,RIGHT(Formulas!AJ181)+2),"")))</f>
        <v/>
      </c>
      <c r="AI184" s="107" t="str" cm="1">
        <f t="array" aca="1" ref="AI184" ca="1">IF(OR(Formulas!AJ182=0,Formulas!AJ182=""),"",HYPERLINK("["&amp;Archivo_Nombre&amp;"]Datos!"&amp;LEFT(SUBSTITUTE(ADDRESS(1,Formulas!AJ182+2),"$",""))&amp;Formulas!AI182+1,
IFERROR(INDEX(Datos!$A$2:$L$101,Formulas!AI182,Formulas!AJ182+2),"")))</f>
        <v/>
      </c>
      <c r="AJ184" s="13"/>
      <c r="AK184" s="6"/>
      <c r="AL184" s="24" t="str" cm="1">
        <f t="array" aca="1" ref="AL184" ca="1">IF(OR(Formulas!AN181=0,Formulas!AN181="",RIGHT(Formulas!AO181)="0"),"",
HYPERLINK("["&amp;Archivo_Nombre&amp;"]Datos!"&amp;LEFT(SUBSTITUTE(ADDRESS(1,IF(Formulas!AN181=1,1,RIGHT(Formulas!AO181)+2)),"$",""))&amp;Formulas!AM181+1,
IFERROR(INDEX(Datos!$A$1:$L$1,1,RIGHT(Formulas!AO181)+2)&amp;IF(Formulas!AN181=1," "&amp;Formulas!AM181,"")&amp;":","")))</f>
        <v/>
      </c>
      <c r="AM184" s="107" t="str" cm="1">
        <f t="array" aca="1" ref="AM184" ca="1">IF(OR(Formulas!AN181=0,Formulas!AN181="",RIGHT(Formulas!AO181)="0"),"",
HYPERLINK("["&amp;Archivo_Nombre&amp;"]Datos!"&amp;LEFT(SUBSTITUTE(ADDRESS(1,RIGHT(Formulas!AO181)+2),"$",""))&amp;Formulas!AM181+1,
IFERROR(INDEX(Datos!$A$2:$L$101,Formulas!AM181,RIGHT(Formulas!AO181)+2),"")))</f>
        <v/>
      </c>
      <c r="AN184" s="107" t="str" cm="1">
        <f t="array" aca="1" ref="AN184" ca="1">IF(OR(Formulas!AO182=0,Formulas!AO182=""),"",HYPERLINK("["&amp;Archivo_Nombre&amp;"]Datos!"&amp;LEFT(SUBSTITUTE(ADDRESS(1,Formulas!AO182+2),"$",""))&amp;Formulas!AN182+1,
IFERROR(INDEX(Datos!$A$2:$L$101,Formulas!AN182,Formulas!AO182+2),"")))</f>
        <v/>
      </c>
      <c r="AO184" s="13"/>
      <c r="AP184" s="6"/>
      <c r="AQ184" s="24" t="str" cm="1">
        <f t="array" aca="1" ref="AQ184" ca="1">IF(OR(Formulas!AS181=0,Formulas!AS181="",RIGHT(Formulas!AT181)="0"),"",
HYPERLINK("["&amp;Archivo_Nombre&amp;"]Datos!"&amp;LEFT(SUBSTITUTE(ADDRESS(1,IF(Formulas!AS181=1,1,RIGHT(Formulas!AT181)+2)),"$",""))&amp;Formulas!AR181+1,
IFERROR(INDEX(Datos!$A$1:$L$1,1,RIGHT(Formulas!AT181)+2)&amp;IF(Formulas!AS181=1," "&amp;Formulas!AR181,"")&amp;":","")))</f>
        <v/>
      </c>
      <c r="AR184" s="107" t="str" cm="1">
        <f t="array" aca="1" ref="AR184" ca="1">IF(OR(Formulas!AS181=0,Formulas!AS181="",RIGHT(Formulas!AT181)="0"),"",
HYPERLINK("["&amp;Archivo_Nombre&amp;"]Datos!"&amp;LEFT(SUBSTITUTE(ADDRESS(1,RIGHT(Formulas!AT181)+2),"$",""))&amp;Formulas!AR181+1,
IFERROR(INDEX(Datos!$A$2:$L$101,Formulas!AR181,RIGHT(Formulas!AT181)+2),"")))</f>
        <v/>
      </c>
      <c r="AS184" s="107" t="str" cm="1">
        <f t="array" aca="1" ref="AS184" ca="1">IF(OR(Formulas!AT182=0,Formulas!AT182=""),"",HYPERLINK("["&amp;Archivo_Nombre&amp;"]Datos!"&amp;LEFT(SUBSTITUTE(ADDRESS(1,Formulas!AT182+2),"$",""))&amp;Formulas!AS182+1,
IFERROR(INDEX(Datos!$A$2:$L$101,Formulas!AS182,Formulas!AT182+2),"")))</f>
        <v/>
      </c>
      <c r="AT184" s="13"/>
      <c r="AU184" s="6"/>
      <c r="AV184" s="24" t="str" cm="1">
        <f t="array" aca="1" ref="AV184" ca="1">IF(OR(Formulas!AX181=0,Formulas!AX181="",RIGHT(Formulas!AY181)="0"),"",
HYPERLINK("["&amp;Archivo_Nombre&amp;"]Datos!"&amp;LEFT(SUBSTITUTE(ADDRESS(1,IF(Formulas!AX181=1,1,RIGHT(Formulas!AY181)+2)),"$",""))&amp;Formulas!AW181+1,
IFERROR(INDEX(Datos!$A$1:$L$1,1,RIGHT(Formulas!AY181)+2)&amp;IF(Formulas!AX181=1," "&amp;Formulas!AW181,"")&amp;":","")))</f>
        <v/>
      </c>
      <c r="AW184" s="107" t="str" cm="1">
        <f t="array" aca="1" ref="AW184" ca="1">IF(OR(Formulas!AX181=0,Formulas!AX181="",RIGHT(Formulas!AY181)="0"),"",
HYPERLINK("["&amp;Archivo_Nombre&amp;"]Datos!"&amp;LEFT(SUBSTITUTE(ADDRESS(1,RIGHT(Formulas!AY181)+2),"$",""))&amp;Formulas!AW181+1,
IFERROR(INDEX(Datos!$A$2:$L$101,Formulas!AW181,RIGHT(Formulas!AY181)+2),"")))</f>
        <v/>
      </c>
      <c r="AX184" s="107" t="str" cm="1">
        <f t="array" aca="1" ref="AX184" ca="1">IF(OR(Formulas!AY182=0,Formulas!AY182=""),"",HYPERLINK("["&amp;Archivo_Nombre&amp;"]Datos!"&amp;LEFT(SUBSTITUTE(ADDRESS(1,Formulas!AY182+2),"$",""))&amp;Formulas!AX182+1,
IFERROR(INDEX(Datos!$A$2:$L$101,Formulas!AX182,Formulas!AY182+2),"")))</f>
        <v/>
      </c>
      <c r="AY184" s="13"/>
    </row>
    <row r="185" spans="2:51" x14ac:dyDescent="0.25">
      <c r="B185" s="11"/>
      <c r="C185" s="24" t="str" cm="1">
        <f t="array" aca="1" ref="C185" ca="1">IF(OR(Formulas!E182=0,Formulas!E182="",RIGHT(Formulas!F182)="0"),"",
HYPERLINK("["&amp;Archivo_Nombre&amp;"]Datos!"&amp;LEFT(SUBSTITUTE(ADDRESS(1,IF(Formulas!E182=1,1,RIGHT(Formulas!F182)+2)),"$",""))&amp;Formulas!D182+1,
IFERROR(INDEX(Datos!$A$1:$L$1,1,RIGHT(Formulas!F182)+2)&amp;IF(Formulas!E182=1," "&amp;Formulas!D182,"")&amp;":","")))</f>
        <v/>
      </c>
      <c r="D185" s="107" t="str" cm="1">
        <f t="array" aca="1" ref="D185" ca="1">IF(OR(Formulas!E182=0,Formulas!E182="",RIGHT(Formulas!F182)="0"),"",
HYPERLINK("["&amp;Archivo_Nombre&amp;"]Datos!"&amp;LEFT(SUBSTITUTE(ADDRESS(1,RIGHT(Formulas!F182)+2),"$",""))&amp;Formulas!D182+1,
IFERROR(INDEX(Datos!$A$2:$L$101,Formulas!D182,RIGHT(Formulas!F182)+2),"")))</f>
        <v/>
      </c>
      <c r="E185" s="107" t="str" cm="1">
        <f t="array" aca="1" ref="E185" ca="1">IF(OR(Formulas!F183=0,Formulas!F183=""),"",HYPERLINK("["&amp;Archivo_Nombre&amp;"]Datos!"&amp;LEFT(SUBSTITUTE(ADDRESS(1,Formulas!F183+2),"$",""))&amp;Formulas!E183+1,
IFERROR(INDEX(Datos!$A$2:$L$101,Formulas!E183,Formulas!F183+2),"")))</f>
        <v/>
      </c>
      <c r="F185" s="5"/>
      <c r="G185" s="6"/>
      <c r="H185" s="24" t="str" cm="1">
        <f t="array" aca="1" ref="H185" ca="1">IF(OR(Formulas!J182=0,Formulas!J182="",RIGHT(Formulas!K182)="0"),"",
HYPERLINK("["&amp;Archivo_Nombre&amp;"]Datos!"&amp;LEFT(SUBSTITUTE(ADDRESS(1,IF(Formulas!J182=1,1,RIGHT(Formulas!K182)+2)),"$",""))&amp;Formulas!I182+1,
IFERROR(INDEX(Datos!$A$1:$L$1,1,RIGHT(Formulas!K182)+2)&amp;IF(Formulas!J182=1," "&amp;Formulas!I182,"")&amp;":","")))</f>
        <v/>
      </c>
      <c r="I185" s="107" t="str" cm="1">
        <f t="array" aca="1" ref="I185" ca="1">IF(OR(Formulas!J182=0,Formulas!J182="",RIGHT(Formulas!K182)="0"),"",
HYPERLINK("["&amp;Archivo_Nombre&amp;"]Datos!"&amp;LEFT(SUBSTITUTE(ADDRESS(1,RIGHT(Formulas!K182)+2),"$",""))&amp;Formulas!I182+1,
IFERROR(INDEX(Datos!$A$2:$L$101,Formulas!I182,RIGHT(Formulas!K182)+2),"")))</f>
        <v/>
      </c>
      <c r="J185" s="107" t="str" cm="1">
        <f t="array" aca="1" ref="J185" ca="1">IF(OR(Formulas!K183=0,Formulas!K183=""),"",HYPERLINK("["&amp;Archivo_Nombre&amp;"]Datos!"&amp;LEFT(SUBSTITUTE(ADDRESS(1,Formulas!K183+2),"$",""))&amp;Formulas!J183+1,
IFERROR(INDEX(Datos!$A$2:$L$101,Formulas!J183,Formulas!K183+2),"")))</f>
        <v/>
      </c>
      <c r="K185" s="5"/>
      <c r="L185" s="6"/>
      <c r="M185" s="24" t="str" cm="1">
        <f t="array" aca="1" ref="M185" ca="1">IF(OR(Formulas!O182=0,Formulas!O182="",RIGHT(Formulas!P182)="0"),"",
HYPERLINK("["&amp;Archivo_Nombre&amp;"]Datos!"&amp;LEFT(SUBSTITUTE(ADDRESS(1,IF(Formulas!O182=1,1,RIGHT(Formulas!P182)+2)),"$",""))&amp;Formulas!N182+1,
IFERROR(INDEX(Datos!$A$1:$L$1,1,RIGHT(Formulas!P182)+2)&amp;IF(Formulas!O182=1," "&amp;Formulas!N182,"")&amp;":","")))</f>
        <v/>
      </c>
      <c r="N185" s="107" t="str" cm="1">
        <f t="array" aca="1" ref="N185" ca="1">IF(OR(Formulas!O182=0,Formulas!O182="",RIGHT(Formulas!P182)="0"),"",
HYPERLINK("["&amp;Archivo_Nombre&amp;"]Datos!"&amp;LEFT(SUBSTITUTE(ADDRESS(1,RIGHT(Formulas!P182)+2),"$",""))&amp;Formulas!N182+1,
IFERROR(INDEX(Datos!$A$2:$L$101,Formulas!N182,RIGHT(Formulas!P182)+2),"")))</f>
        <v/>
      </c>
      <c r="O185" s="107" t="str" cm="1">
        <f t="array" aca="1" ref="O185" ca="1">IF(OR(Formulas!P183=0,Formulas!P183=""),"",HYPERLINK("["&amp;Archivo_Nombre&amp;"]Datos!"&amp;LEFT(SUBSTITUTE(ADDRESS(1,Formulas!P183+2),"$",""))&amp;Formulas!O183+1,
IFERROR(INDEX(Datos!$A$2:$L$101,Formulas!O183,Formulas!P183+2),"")))</f>
        <v/>
      </c>
      <c r="P185" s="5"/>
      <c r="Q185" s="6"/>
      <c r="R185" s="24" t="str" cm="1">
        <f t="array" aca="1" ref="R185" ca="1">IF(OR(Formulas!T182=0,Formulas!T182="",RIGHT(Formulas!U182)="0"),"",
HYPERLINK("["&amp;Archivo_Nombre&amp;"]Datos!"&amp;LEFT(SUBSTITUTE(ADDRESS(1,IF(Formulas!T182=1,1,RIGHT(Formulas!U182)+2)),"$",""))&amp;Formulas!S182+1,
IFERROR(INDEX(Datos!$A$1:$L$1,1,RIGHT(Formulas!U182)+2)&amp;IF(Formulas!T182=1," "&amp;Formulas!S182,"")&amp;":","")))</f>
        <v/>
      </c>
      <c r="S185" s="107" t="str" cm="1">
        <f t="array" aca="1" ref="S185" ca="1">IF(OR(Formulas!T182=0,Formulas!T182="",RIGHT(Formulas!U182)="0"),"",
HYPERLINK("["&amp;Archivo_Nombre&amp;"]Datos!"&amp;LEFT(SUBSTITUTE(ADDRESS(1,RIGHT(Formulas!U182)+2),"$",""))&amp;Formulas!S182+1,
IFERROR(INDEX(Datos!$A$2:$L$101,Formulas!S182,RIGHT(Formulas!U182)+2),"")))</f>
        <v/>
      </c>
      <c r="T185" s="107" t="e" cm="1">
        <f t="array" aca="1" ref="T185" ca="1">IF(OR(Formulas!U183=0,Formulas!U183=""),"",HYPERLINK("["&amp;Archivo_Nombre&amp;"]Datos!"&amp;LEFT(SUBSTITUTE(ADDRESS(1,Formulas!U183+2),"$",""))&amp;Formulas!T183+1,
IFERROR(INDEX(Datos!$A$2:$L$101,Formulas!T183,Formulas!U183+2),"")))</f>
        <v>#VALUE!</v>
      </c>
      <c r="U185" s="5"/>
      <c r="V185" s="6"/>
      <c r="W185" s="24" t="str" cm="1">
        <f t="array" aca="1" ref="W185" ca="1">IF(OR(Formulas!Y182=0,Formulas!Y182="",RIGHT(Formulas!Z182)="0"),"",
HYPERLINK("["&amp;Archivo_Nombre&amp;"]Datos!"&amp;LEFT(SUBSTITUTE(ADDRESS(1,IF(Formulas!Y182=1,1,RIGHT(Formulas!Z182)+2)),"$",""))&amp;Formulas!X182+1,
IFERROR(INDEX(Datos!$A$1:$L$1,1,RIGHT(Formulas!Z182)+2)&amp;IF(Formulas!Y182=1," "&amp;Formulas!X182,"")&amp;":","")))</f>
        <v/>
      </c>
      <c r="X185" s="107" t="str" cm="1">
        <f t="array" aca="1" ref="X185" ca="1">IF(OR(Formulas!Y182=0,Formulas!Y182="",RIGHT(Formulas!Z182)="0"),"",
HYPERLINK("["&amp;Archivo_Nombre&amp;"]Datos!"&amp;LEFT(SUBSTITUTE(ADDRESS(1,RIGHT(Formulas!Z182)+2),"$",""))&amp;Formulas!X182+1,
IFERROR(INDEX(Datos!$A$2:$L$101,Formulas!X182,RIGHT(Formulas!Z182)+2),"")))</f>
        <v/>
      </c>
      <c r="Y185" s="107" t="str" cm="1">
        <f t="array" aca="1" ref="Y185" ca="1">IF(OR(Formulas!Z183=0,Formulas!Z183=""),"",HYPERLINK("["&amp;Archivo_Nombre&amp;"]Datos!"&amp;LEFT(SUBSTITUTE(ADDRESS(1,Formulas!Z183+2),"$",""))&amp;Formulas!Y183+1,
IFERROR(INDEX(Datos!$A$2:$L$101,Formulas!Y183,Formulas!Z183+2),"")))</f>
        <v/>
      </c>
      <c r="Z185" s="13"/>
      <c r="AA185" s="6"/>
      <c r="AB185" s="24" t="str" cm="1">
        <f t="array" aca="1" ref="AB185" ca="1">IF(OR(Formulas!AD182=0,Formulas!AD182="",RIGHT(Formulas!AE182)="0"),"",
HYPERLINK("["&amp;Archivo_Nombre&amp;"]Datos!"&amp;LEFT(SUBSTITUTE(ADDRESS(1,IF(Formulas!AD182=1,1,RIGHT(Formulas!AE182)+2)),"$",""))&amp;Formulas!AC182+1,
IFERROR(INDEX(Datos!$A$1:$L$1,1,RIGHT(Formulas!AE182)+2)&amp;IF(Formulas!AD182=1," "&amp;Formulas!AC182,"")&amp;":","")))</f>
        <v/>
      </c>
      <c r="AC185" s="107" t="str" cm="1">
        <f t="array" aca="1" ref="AC185" ca="1">IF(OR(Formulas!AD182=0,Formulas!AD182="",RIGHT(Formulas!AE182)="0"),"",
HYPERLINK("["&amp;Archivo_Nombre&amp;"]Datos!"&amp;LEFT(SUBSTITUTE(ADDRESS(1,RIGHT(Formulas!AE182)+2),"$",""))&amp;Formulas!AC182+1,
IFERROR(INDEX(Datos!$A$2:$L$101,Formulas!AC182,RIGHT(Formulas!AE182)+2),"")))</f>
        <v/>
      </c>
      <c r="AD185" s="107" t="str" cm="1">
        <f t="array" aca="1" ref="AD185" ca="1">IF(OR(Formulas!AE183=0,Formulas!AE183=""),"",HYPERLINK("["&amp;Archivo_Nombre&amp;"]Datos!"&amp;LEFT(SUBSTITUTE(ADDRESS(1,Formulas!AE183+2),"$",""))&amp;Formulas!AD183+1,
IFERROR(INDEX(Datos!$A$2:$L$101,Formulas!AD183,Formulas!AE183+2),"")))</f>
        <v/>
      </c>
      <c r="AE185" s="13"/>
      <c r="AF185" s="6"/>
      <c r="AG185" s="24" t="str" cm="1">
        <f t="array" aca="1" ref="AG185" ca="1">IF(OR(Formulas!AI182=0,Formulas!AI182="",RIGHT(Formulas!AJ182)="0"),"",
HYPERLINK("["&amp;Archivo_Nombre&amp;"]Datos!"&amp;LEFT(SUBSTITUTE(ADDRESS(1,IF(Formulas!AI182=1,1,RIGHT(Formulas!AJ182)+2)),"$",""))&amp;Formulas!AH182+1,
IFERROR(INDEX(Datos!$A$1:$L$1,1,RIGHT(Formulas!AJ182)+2)&amp;IF(Formulas!AI182=1," "&amp;Formulas!AH182,"")&amp;":","")))</f>
        <v/>
      </c>
      <c r="AH185" s="107" t="str" cm="1">
        <f t="array" aca="1" ref="AH185" ca="1">IF(OR(Formulas!AI182=0,Formulas!AI182="",RIGHT(Formulas!AJ182)="0"),"",
HYPERLINK("["&amp;Archivo_Nombre&amp;"]Datos!"&amp;LEFT(SUBSTITUTE(ADDRESS(1,RIGHT(Formulas!AJ182)+2),"$",""))&amp;Formulas!AH182+1,
IFERROR(INDEX(Datos!$A$2:$L$101,Formulas!AH182,RIGHT(Formulas!AJ182)+2),"")))</f>
        <v/>
      </c>
      <c r="AI185" s="107" t="str" cm="1">
        <f t="array" aca="1" ref="AI185" ca="1">IF(OR(Formulas!AJ183=0,Formulas!AJ183=""),"",HYPERLINK("["&amp;Archivo_Nombre&amp;"]Datos!"&amp;LEFT(SUBSTITUTE(ADDRESS(1,Formulas!AJ183+2),"$",""))&amp;Formulas!AI183+1,
IFERROR(INDEX(Datos!$A$2:$L$101,Formulas!AI183,Formulas!AJ183+2),"")))</f>
        <v/>
      </c>
      <c r="AJ185" s="13"/>
      <c r="AK185" s="6"/>
      <c r="AL185" s="24" t="str" cm="1">
        <f t="array" aca="1" ref="AL185" ca="1">IF(OR(Formulas!AN182=0,Formulas!AN182="",RIGHT(Formulas!AO182)="0"),"",
HYPERLINK("["&amp;Archivo_Nombre&amp;"]Datos!"&amp;LEFT(SUBSTITUTE(ADDRESS(1,IF(Formulas!AN182=1,1,RIGHT(Formulas!AO182)+2)),"$",""))&amp;Formulas!AM182+1,
IFERROR(INDEX(Datos!$A$1:$L$1,1,RIGHT(Formulas!AO182)+2)&amp;IF(Formulas!AN182=1," "&amp;Formulas!AM182,"")&amp;":","")))</f>
        <v/>
      </c>
      <c r="AM185" s="107" t="str" cm="1">
        <f t="array" aca="1" ref="AM185" ca="1">IF(OR(Formulas!AN182=0,Formulas!AN182="",RIGHT(Formulas!AO182)="0"),"",
HYPERLINK("["&amp;Archivo_Nombre&amp;"]Datos!"&amp;LEFT(SUBSTITUTE(ADDRESS(1,RIGHT(Formulas!AO182)+2),"$",""))&amp;Formulas!AM182+1,
IFERROR(INDEX(Datos!$A$2:$L$101,Formulas!AM182,RIGHT(Formulas!AO182)+2),"")))</f>
        <v/>
      </c>
      <c r="AN185" s="107" t="str" cm="1">
        <f t="array" aca="1" ref="AN185" ca="1">IF(OR(Formulas!AO183=0,Formulas!AO183=""),"",HYPERLINK("["&amp;Archivo_Nombre&amp;"]Datos!"&amp;LEFT(SUBSTITUTE(ADDRESS(1,Formulas!AO183+2),"$",""))&amp;Formulas!AN183+1,
IFERROR(INDEX(Datos!$A$2:$L$101,Formulas!AN183,Formulas!AO183+2),"")))</f>
        <v/>
      </c>
      <c r="AO185" s="13"/>
      <c r="AP185" s="6"/>
      <c r="AQ185" s="24" t="str" cm="1">
        <f t="array" aca="1" ref="AQ185" ca="1">IF(OR(Formulas!AS182=0,Formulas!AS182="",RIGHT(Formulas!AT182)="0"),"",
HYPERLINK("["&amp;Archivo_Nombre&amp;"]Datos!"&amp;LEFT(SUBSTITUTE(ADDRESS(1,IF(Formulas!AS182=1,1,RIGHT(Formulas!AT182)+2)),"$",""))&amp;Formulas!AR182+1,
IFERROR(INDEX(Datos!$A$1:$L$1,1,RIGHT(Formulas!AT182)+2)&amp;IF(Formulas!AS182=1," "&amp;Formulas!AR182,"")&amp;":","")))</f>
        <v/>
      </c>
      <c r="AR185" s="107" t="str" cm="1">
        <f t="array" aca="1" ref="AR185" ca="1">IF(OR(Formulas!AS182=0,Formulas!AS182="",RIGHT(Formulas!AT182)="0"),"",
HYPERLINK("["&amp;Archivo_Nombre&amp;"]Datos!"&amp;LEFT(SUBSTITUTE(ADDRESS(1,RIGHT(Formulas!AT182)+2),"$",""))&amp;Formulas!AR182+1,
IFERROR(INDEX(Datos!$A$2:$L$101,Formulas!AR182,RIGHT(Formulas!AT182)+2),"")))</f>
        <v/>
      </c>
      <c r="AS185" s="107" t="str" cm="1">
        <f t="array" aca="1" ref="AS185" ca="1">IF(OR(Formulas!AT183=0,Formulas!AT183=""),"",HYPERLINK("["&amp;Archivo_Nombre&amp;"]Datos!"&amp;LEFT(SUBSTITUTE(ADDRESS(1,Formulas!AT183+2),"$",""))&amp;Formulas!AS183+1,
IFERROR(INDEX(Datos!$A$2:$L$101,Formulas!AS183,Formulas!AT183+2),"")))</f>
        <v/>
      </c>
      <c r="AT185" s="13"/>
      <c r="AU185" s="6"/>
      <c r="AV185" s="24" t="str" cm="1">
        <f t="array" aca="1" ref="AV185" ca="1">IF(OR(Formulas!AX182=0,Formulas!AX182="",RIGHT(Formulas!AY182)="0"),"",
HYPERLINK("["&amp;Archivo_Nombre&amp;"]Datos!"&amp;LEFT(SUBSTITUTE(ADDRESS(1,IF(Formulas!AX182=1,1,RIGHT(Formulas!AY182)+2)),"$",""))&amp;Formulas!AW182+1,
IFERROR(INDEX(Datos!$A$1:$L$1,1,RIGHT(Formulas!AY182)+2)&amp;IF(Formulas!AX182=1," "&amp;Formulas!AW182,"")&amp;":","")))</f>
        <v/>
      </c>
      <c r="AW185" s="107" t="str" cm="1">
        <f t="array" aca="1" ref="AW185" ca="1">IF(OR(Formulas!AX182=0,Formulas!AX182="",RIGHT(Formulas!AY182)="0"),"",
HYPERLINK("["&amp;Archivo_Nombre&amp;"]Datos!"&amp;LEFT(SUBSTITUTE(ADDRESS(1,RIGHT(Formulas!AY182)+2),"$",""))&amp;Formulas!AW182+1,
IFERROR(INDEX(Datos!$A$2:$L$101,Formulas!AW182,RIGHT(Formulas!AY182)+2),"")))</f>
        <v/>
      </c>
      <c r="AX185" s="107" t="str" cm="1">
        <f t="array" aca="1" ref="AX185" ca="1">IF(OR(Formulas!AY183=0,Formulas!AY183=""),"",HYPERLINK("["&amp;Archivo_Nombre&amp;"]Datos!"&amp;LEFT(SUBSTITUTE(ADDRESS(1,Formulas!AY183+2),"$",""))&amp;Formulas!AX183+1,
IFERROR(INDEX(Datos!$A$2:$L$101,Formulas!AX183,Formulas!AY183+2),"")))</f>
        <v/>
      </c>
      <c r="AY185" s="13"/>
    </row>
    <row r="186" spans="2:51" x14ac:dyDescent="0.25">
      <c r="B186" s="11"/>
      <c r="C186" s="24" t="str" cm="1">
        <f t="array" aca="1" ref="C186" ca="1">IF(OR(Formulas!E183=0,Formulas!E183="",RIGHT(Formulas!F183)="0"),"",
HYPERLINK("["&amp;Archivo_Nombre&amp;"]Datos!"&amp;LEFT(SUBSTITUTE(ADDRESS(1,IF(Formulas!E183=1,1,RIGHT(Formulas!F183)+2)),"$",""))&amp;Formulas!D183+1,
IFERROR(INDEX(Datos!$A$1:$L$1,1,RIGHT(Formulas!F183)+2)&amp;IF(Formulas!E183=1," "&amp;Formulas!D183,"")&amp;":","")))</f>
        <v/>
      </c>
      <c r="D186" s="107" t="str" cm="1">
        <f t="array" aca="1" ref="D186" ca="1">IF(OR(Formulas!E183=0,Formulas!E183="",RIGHT(Formulas!F183)="0"),"",
HYPERLINK("["&amp;Archivo_Nombre&amp;"]Datos!"&amp;LEFT(SUBSTITUTE(ADDRESS(1,RIGHT(Formulas!F183)+2),"$",""))&amp;Formulas!D183+1,
IFERROR(INDEX(Datos!$A$2:$L$101,Formulas!D183,RIGHT(Formulas!F183)+2),"")))</f>
        <v/>
      </c>
      <c r="E186" s="107" t="str" cm="1">
        <f t="array" aca="1" ref="E186" ca="1">IF(OR(Formulas!F184=0,Formulas!F184=""),"",HYPERLINK("["&amp;Archivo_Nombre&amp;"]Datos!"&amp;LEFT(SUBSTITUTE(ADDRESS(1,Formulas!F184+2),"$",""))&amp;Formulas!E184+1,
IFERROR(INDEX(Datos!$A$2:$L$101,Formulas!E184,Formulas!F184+2),"")))</f>
        <v/>
      </c>
      <c r="F186" s="5"/>
      <c r="G186" s="6"/>
      <c r="H186" s="24" t="str" cm="1">
        <f t="array" aca="1" ref="H186" ca="1">IF(OR(Formulas!J183=0,Formulas!J183="",RIGHT(Formulas!K183)="0"),"",
HYPERLINK("["&amp;Archivo_Nombre&amp;"]Datos!"&amp;LEFT(SUBSTITUTE(ADDRESS(1,IF(Formulas!J183=1,1,RIGHT(Formulas!K183)+2)),"$",""))&amp;Formulas!I183+1,
IFERROR(INDEX(Datos!$A$1:$L$1,1,RIGHT(Formulas!K183)+2)&amp;IF(Formulas!J183=1," "&amp;Formulas!I183,"")&amp;":","")))</f>
        <v/>
      </c>
      <c r="I186" s="107" t="str" cm="1">
        <f t="array" aca="1" ref="I186" ca="1">IF(OR(Formulas!J183=0,Formulas!J183="",RIGHT(Formulas!K183)="0"),"",
HYPERLINK("["&amp;Archivo_Nombre&amp;"]Datos!"&amp;LEFT(SUBSTITUTE(ADDRESS(1,RIGHT(Formulas!K183)+2),"$",""))&amp;Formulas!I183+1,
IFERROR(INDEX(Datos!$A$2:$L$101,Formulas!I183,RIGHT(Formulas!K183)+2),"")))</f>
        <v/>
      </c>
      <c r="J186" s="107" t="str" cm="1">
        <f t="array" aca="1" ref="J186" ca="1">IF(OR(Formulas!K184=0,Formulas!K184=""),"",HYPERLINK("["&amp;Archivo_Nombre&amp;"]Datos!"&amp;LEFT(SUBSTITUTE(ADDRESS(1,Formulas!K184+2),"$",""))&amp;Formulas!J184+1,
IFERROR(INDEX(Datos!$A$2:$L$101,Formulas!J184,Formulas!K184+2),"")))</f>
        <v/>
      </c>
      <c r="K186" s="5"/>
      <c r="L186" s="6"/>
      <c r="M186" s="24" t="str" cm="1">
        <f t="array" aca="1" ref="M186" ca="1">IF(OR(Formulas!O183=0,Formulas!O183="",RIGHT(Formulas!P183)="0"),"",
HYPERLINK("["&amp;Archivo_Nombre&amp;"]Datos!"&amp;LEFT(SUBSTITUTE(ADDRESS(1,IF(Formulas!O183=1,1,RIGHT(Formulas!P183)+2)),"$",""))&amp;Formulas!N183+1,
IFERROR(INDEX(Datos!$A$1:$L$1,1,RIGHT(Formulas!P183)+2)&amp;IF(Formulas!O183=1," "&amp;Formulas!N183,"")&amp;":","")))</f>
        <v/>
      </c>
      <c r="N186" s="107" t="str" cm="1">
        <f t="array" aca="1" ref="N186" ca="1">IF(OR(Formulas!O183=0,Formulas!O183="",RIGHT(Formulas!P183)="0"),"",
HYPERLINK("["&amp;Archivo_Nombre&amp;"]Datos!"&amp;LEFT(SUBSTITUTE(ADDRESS(1,RIGHT(Formulas!P183)+2),"$",""))&amp;Formulas!N183+1,
IFERROR(INDEX(Datos!$A$2:$L$101,Formulas!N183,RIGHT(Formulas!P183)+2),"")))</f>
        <v/>
      </c>
      <c r="O186" s="107" t="str" cm="1">
        <f t="array" aca="1" ref="O186" ca="1">IF(OR(Formulas!P184=0,Formulas!P184=""),"",HYPERLINK("["&amp;Archivo_Nombre&amp;"]Datos!"&amp;LEFT(SUBSTITUTE(ADDRESS(1,Formulas!P184+2),"$",""))&amp;Formulas!O184+1,
IFERROR(INDEX(Datos!$A$2:$L$101,Formulas!O184,Formulas!P184+2),"")))</f>
        <v/>
      </c>
      <c r="P186" s="5"/>
      <c r="Q186" s="6"/>
      <c r="R186" s="24" t="str" cm="1">
        <f t="array" aca="1" ref="R186" ca="1">IF(OR(Formulas!T183=0,Formulas!T183="",RIGHT(Formulas!U183)="0"),"",
HYPERLINK("["&amp;Archivo_Nombre&amp;"]Datos!"&amp;LEFT(SUBSTITUTE(ADDRESS(1,IF(Formulas!T183=1,1,RIGHT(Formulas!U183)+2)),"$",""))&amp;Formulas!S183+1,
IFERROR(INDEX(Datos!$A$1:$L$1,1,RIGHT(Formulas!U183)+2)&amp;IF(Formulas!T183=1," "&amp;Formulas!S183,"")&amp;":","")))</f>
        <v>ORDEN PCRONOLOGICO 11:</v>
      </c>
      <c r="S186" s="107" cm="1">
        <f t="array" aca="1" ref="S186" ca="1">IF(OR(Formulas!T183=0,Formulas!T183="",RIGHT(Formulas!U183)="0"),"",
HYPERLINK("["&amp;Archivo_Nombre&amp;"]Datos!"&amp;LEFT(SUBSTITUTE(ADDRESS(1,RIGHT(Formulas!U183)+2),"$",""))&amp;Formulas!S183+1,
IFERROR(INDEX(Datos!$A$2:$L$101,Formulas!S183,RIGHT(Formulas!U183)+2),"")))</f>
        <v>11</v>
      </c>
      <c r="T186" s="107" t="e" cm="1">
        <f t="array" aca="1" ref="T186" ca="1">IF(OR(Formulas!U184=0,Formulas!U184=""),"",HYPERLINK("["&amp;Archivo_Nombre&amp;"]Datos!"&amp;LEFT(SUBSTITUTE(ADDRESS(1,Formulas!U184+2),"$",""))&amp;Formulas!T184+1,
IFERROR(INDEX(Datos!$A$2:$L$101,Formulas!T184,Formulas!U184+2),"")))</f>
        <v>#VALUE!</v>
      </c>
      <c r="U186" s="5"/>
      <c r="V186" s="6"/>
      <c r="W186" s="24" t="str" cm="1">
        <f t="array" aca="1" ref="W186" ca="1">IF(OR(Formulas!Y183=0,Formulas!Y183="",RIGHT(Formulas!Z183)="0"),"",
HYPERLINK("["&amp;Archivo_Nombre&amp;"]Datos!"&amp;LEFT(SUBSTITUTE(ADDRESS(1,IF(Formulas!Y183=1,1,RIGHT(Formulas!Z183)+2)),"$",""))&amp;Formulas!X183+1,
IFERROR(INDEX(Datos!$A$1:$L$1,1,RIGHT(Formulas!Z183)+2)&amp;IF(Formulas!Y183=1," "&amp;Formulas!X183,"")&amp;":","")))</f>
        <v/>
      </c>
      <c r="X186" s="107" t="str" cm="1">
        <f t="array" aca="1" ref="X186" ca="1">IF(OR(Formulas!Y183=0,Formulas!Y183="",RIGHT(Formulas!Z183)="0"),"",
HYPERLINK("["&amp;Archivo_Nombre&amp;"]Datos!"&amp;LEFT(SUBSTITUTE(ADDRESS(1,RIGHT(Formulas!Z183)+2),"$",""))&amp;Formulas!X183+1,
IFERROR(INDEX(Datos!$A$2:$L$101,Formulas!X183,RIGHT(Formulas!Z183)+2),"")))</f>
        <v/>
      </c>
      <c r="Y186" s="107" t="str" cm="1">
        <f t="array" aca="1" ref="Y186" ca="1">IF(OR(Formulas!Z184=0,Formulas!Z184=""),"",HYPERLINK("["&amp;Archivo_Nombre&amp;"]Datos!"&amp;LEFT(SUBSTITUTE(ADDRESS(1,Formulas!Z184+2),"$",""))&amp;Formulas!Y184+1,
IFERROR(INDEX(Datos!$A$2:$L$101,Formulas!Y184,Formulas!Z184+2),"")))</f>
        <v/>
      </c>
      <c r="Z186" s="13"/>
      <c r="AA186" s="6"/>
      <c r="AB186" s="24" t="str" cm="1">
        <f t="array" aca="1" ref="AB186" ca="1">IF(OR(Formulas!AD183=0,Formulas!AD183="",RIGHT(Formulas!AE183)="0"),"",
HYPERLINK("["&amp;Archivo_Nombre&amp;"]Datos!"&amp;LEFT(SUBSTITUTE(ADDRESS(1,IF(Formulas!AD183=1,1,RIGHT(Formulas!AE183)+2)),"$",""))&amp;Formulas!AC183+1,
IFERROR(INDEX(Datos!$A$1:$L$1,1,RIGHT(Formulas!AE183)+2)&amp;IF(Formulas!AD183=1," "&amp;Formulas!AC183,"")&amp;":","")))</f>
        <v/>
      </c>
      <c r="AC186" s="107" t="str" cm="1">
        <f t="array" aca="1" ref="AC186" ca="1">IF(OR(Formulas!AD183=0,Formulas!AD183="",RIGHT(Formulas!AE183)="0"),"",
HYPERLINK("["&amp;Archivo_Nombre&amp;"]Datos!"&amp;LEFT(SUBSTITUTE(ADDRESS(1,RIGHT(Formulas!AE183)+2),"$",""))&amp;Formulas!AC183+1,
IFERROR(INDEX(Datos!$A$2:$L$101,Formulas!AC183,RIGHT(Formulas!AE183)+2),"")))</f>
        <v/>
      </c>
      <c r="AD186" s="107" t="str" cm="1">
        <f t="array" aca="1" ref="AD186" ca="1">IF(OR(Formulas!AE184=0,Formulas!AE184=""),"",HYPERLINK("["&amp;Archivo_Nombre&amp;"]Datos!"&amp;LEFT(SUBSTITUTE(ADDRESS(1,Formulas!AE184+2),"$",""))&amp;Formulas!AD184+1,
IFERROR(INDEX(Datos!$A$2:$L$101,Formulas!AD184,Formulas!AE184+2),"")))</f>
        <v/>
      </c>
      <c r="AE186" s="13"/>
      <c r="AF186" s="6"/>
      <c r="AG186" s="24" t="str" cm="1">
        <f t="array" aca="1" ref="AG186" ca="1">IF(OR(Formulas!AI183=0,Formulas!AI183="",RIGHT(Formulas!AJ183)="0"),"",
HYPERLINK("["&amp;Archivo_Nombre&amp;"]Datos!"&amp;LEFT(SUBSTITUTE(ADDRESS(1,IF(Formulas!AI183=1,1,RIGHT(Formulas!AJ183)+2)),"$",""))&amp;Formulas!AH183+1,
IFERROR(INDEX(Datos!$A$1:$L$1,1,RIGHT(Formulas!AJ183)+2)&amp;IF(Formulas!AI183=1," "&amp;Formulas!AH183,"")&amp;":","")))</f>
        <v/>
      </c>
      <c r="AH186" s="107" t="str" cm="1">
        <f t="array" aca="1" ref="AH186" ca="1">IF(OR(Formulas!AI183=0,Formulas!AI183="",RIGHT(Formulas!AJ183)="0"),"",
HYPERLINK("["&amp;Archivo_Nombre&amp;"]Datos!"&amp;LEFT(SUBSTITUTE(ADDRESS(1,RIGHT(Formulas!AJ183)+2),"$",""))&amp;Formulas!AH183+1,
IFERROR(INDEX(Datos!$A$2:$L$101,Formulas!AH183,RIGHT(Formulas!AJ183)+2),"")))</f>
        <v/>
      </c>
      <c r="AI186" s="107" t="str" cm="1">
        <f t="array" aca="1" ref="AI186" ca="1">IF(OR(Formulas!AJ184=0,Formulas!AJ184=""),"",HYPERLINK("["&amp;Archivo_Nombre&amp;"]Datos!"&amp;LEFT(SUBSTITUTE(ADDRESS(1,Formulas!AJ184+2),"$",""))&amp;Formulas!AI184+1,
IFERROR(INDEX(Datos!$A$2:$L$101,Formulas!AI184,Formulas!AJ184+2),"")))</f>
        <v/>
      </c>
      <c r="AJ186" s="13"/>
      <c r="AK186" s="6"/>
      <c r="AL186" s="24" t="str" cm="1">
        <f t="array" aca="1" ref="AL186" ca="1">IF(OR(Formulas!AN183=0,Formulas!AN183="",RIGHT(Formulas!AO183)="0"),"",
HYPERLINK("["&amp;Archivo_Nombre&amp;"]Datos!"&amp;LEFT(SUBSTITUTE(ADDRESS(1,IF(Formulas!AN183=1,1,RIGHT(Formulas!AO183)+2)),"$",""))&amp;Formulas!AM183+1,
IFERROR(INDEX(Datos!$A$1:$L$1,1,RIGHT(Formulas!AO183)+2)&amp;IF(Formulas!AN183=1," "&amp;Formulas!AM183,"")&amp;":","")))</f>
        <v/>
      </c>
      <c r="AM186" s="107" t="str" cm="1">
        <f t="array" aca="1" ref="AM186" ca="1">IF(OR(Formulas!AN183=0,Formulas!AN183="",RIGHT(Formulas!AO183)="0"),"",
HYPERLINK("["&amp;Archivo_Nombre&amp;"]Datos!"&amp;LEFT(SUBSTITUTE(ADDRESS(1,RIGHT(Formulas!AO183)+2),"$",""))&amp;Formulas!AM183+1,
IFERROR(INDEX(Datos!$A$2:$L$101,Formulas!AM183,RIGHT(Formulas!AO183)+2),"")))</f>
        <v/>
      </c>
      <c r="AN186" s="107" t="str" cm="1">
        <f t="array" aca="1" ref="AN186" ca="1">IF(OR(Formulas!AO184=0,Formulas!AO184=""),"",HYPERLINK("["&amp;Archivo_Nombre&amp;"]Datos!"&amp;LEFT(SUBSTITUTE(ADDRESS(1,Formulas!AO184+2),"$",""))&amp;Formulas!AN184+1,
IFERROR(INDEX(Datos!$A$2:$L$101,Formulas!AN184,Formulas!AO184+2),"")))</f>
        <v/>
      </c>
      <c r="AO186" s="13"/>
      <c r="AP186" s="6"/>
      <c r="AQ186" s="24" t="str" cm="1">
        <f t="array" aca="1" ref="AQ186" ca="1">IF(OR(Formulas!AS183=0,Formulas!AS183="",RIGHT(Formulas!AT183)="0"),"",
HYPERLINK("["&amp;Archivo_Nombre&amp;"]Datos!"&amp;LEFT(SUBSTITUTE(ADDRESS(1,IF(Formulas!AS183=1,1,RIGHT(Formulas!AT183)+2)),"$",""))&amp;Formulas!AR183+1,
IFERROR(INDEX(Datos!$A$1:$L$1,1,RIGHT(Formulas!AT183)+2)&amp;IF(Formulas!AS183=1," "&amp;Formulas!AR183,"")&amp;":","")))</f>
        <v/>
      </c>
      <c r="AR186" s="107" t="str" cm="1">
        <f t="array" aca="1" ref="AR186" ca="1">IF(OR(Formulas!AS183=0,Formulas!AS183="",RIGHT(Formulas!AT183)="0"),"",
HYPERLINK("["&amp;Archivo_Nombre&amp;"]Datos!"&amp;LEFT(SUBSTITUTE(ADDRESS(1,RIGHT(Formulas!AT183)+2),"$",""))&amp;Formulas!AR183+1,
IFERROR(INDEX(Datos!$A$2:$L$101,Formulas!AR183,RIGHT(Formulas!AT183)+2),"")))</f>
        <v/>
      </c>
      <c r="AS186" s="107" t="str" cm="1">
        <f t="array" aca="1" ref="AS186" ca="1">IF(OR(Formulas!AT184=0,Formulas!AT184=""),"",HYPERLINK("["&amp;Archivo_Nombre&amp;"]Datos!"&amp;LEFT(SUBSTITUTE(ADDRESS(1,Formulas!AT184+2),"$",""))&amp;Formulas!AS184+1,
IFERROR(INDEX(Datos!$A$2:$L$101,Formulas!AS184,Formulas!AT184+2),"")))</f>
        <v/>
      </c>
      <c r="AT186" s="13"/>
      <c r="AU186" s="6"/>
      <c r="AV186" s="24" t="str" cm="1">
        <f t="array" aca="1" ref="AV186" ca="1">IF(OR(Formulas!AX183=0,Formulas!AX183="",RIGHT(Formulas!AY183)="0"),"",
HYPERLINK("["&amp;Archivo_Nombre&amp;"]Datos!"&amp;LEFT(SUBSTITUTE(ADDRESS(1,IF(Formulas!AX183=1,1,RIGHT(Formulas!AY183)+2)),"$",""))&amp;Formulas!AW183+1,
IFERROR(INDEX(Datos!$A$1:$L$1,1,RIGHT(Formulas!AY183)+2)&amp;IF(Formulas!AX183=1," "&amp;Formulas!AW183,"")&amp;":","")))</f>
        <v/>
      </c>
      <c r="AW186" s="107" t="str" cm="1">
        <f t="array" aca="1" ref="AW186" ca="1">IF(OR(Formulas!AX183=0,Formulas!AX183="",RIGHT(Formulas!AY183)="0"),"",
HYPERLINK("["&amp;Archivo_Nombre&amp;"]Datos!"&amp;LEFT(SUBSTITUTE(ADDRESS(1,RIGHT(Formulas!AY183)+2),"$",""))&amp;Formulas!AW183+1,
IFERROR(INDEX(Datos!$A$2:$L$101,Formulas!AW183,RIGHT(Formulas!AY183)+2),"")))</f>
        <v/>
      </c>
      <c r="AX186" s="107" t="str" cm="1">
        <f t="array" aca="1" ref="AX186" ca="1">IF(OR(Formulas!AY184=0,Formulas!AY184=""),"",HYPERLINK("["&amp;Archivo_Nombre&amp;"]Datos!"&amp;LEFT(SUBSTITUTE(ADDRESS(1,Formulas!AY184+2),"$",""))&amp;Formulas!AX184+1,
IFERROR(INDEX(Datos!$A$2:$L$101,Formulas!AX184,Formulas!AY184+2),"")))</f>
        <v/>
      </c>
      <c r="AY186" s="13"/>
    </row>
    <row r="187" spans="2:51" x14ac:dyDescent="0.25">
      <c r="B187" s="11"/>
      <c r="C187" s="24" t="str" cm="1">
        <f t="array" aca="1" ref="C187" ca="1">IF(OR(Formulas!E184=0,Formulas!E184="",RIGHT(Formulas!F184)="0"),"",
HYPERLINK("["&amp;Archivo_Nombre&amp;"]Datos!"&amp;LEFT(SUBSTITUTE(ADDRESS(1,IF(Formulas!E184=1,1,RIGHT(Formulas!F184)+2)),"$",""))&amp;Formulas!D184+1,
IFERROR(INDEX(Datos!$A$1:$L$1,1,RIGHT(Formulas!F184)+2)&amp;IF(Formulas!E184=1," "&amp;Formulas!D184,"")&amp;":","")))</f>
        <v/>
      </c>
      <c r="D187" s="107" t="str" cm="1">
        <f t="array" aca="1" ref="D187" ca="1">IF(OR(Formulas!E184=0,Formulas!E184="",RIGHT(Formulas!F184)="0"),"",
HYPERLINK("["&amp;Archivo_Nombre&amp;"]Datos!"&amp;LEFT(SUBSTITUTE(ADDRESS(1,RIGHT(Formulas!F184)+2),"$",""))&amp;Formulas!D184+1,
IFERROR(INDEX(Datos!$A$2:$L$101,Formulas!D184,RIGHT(Formulas!F184)+2),"")))</f>
        <v/>
      </c>
      <c r="E187" s="107" t="str" cm="1">
        <f t="array" aca="1" ref="E187" ca="1">IF(OR(Formulas!F185=0,Formulas!F185=""),"",HYPERLINK("["&amp;Archivo_Nombre&amp;"]Datos!"&amp;LEFT(SUBSTITUTE(ADDRESS(1,Formulas!F185+2),"$",""))&amp;Formulas!E185+1,
IFERROR(INDEX(Datos!$A$2:$L$101,Formulas!E185,Formulas!F185+2),"")))</f>
        <v/>
      </c>
      <c r="F187" s="5"/>
      <c r="G187" s="6"/>
      <c r="H187" s="24" t="str" cm="1">
        <f t="array" aca="1" ref="H187" ca="1">IF(OR(Formulas!J184=0,Formulas!J184="",RIGHT(Formulas!K184)="0"),"",
HYPERLINK("["&amp;Archivo_Nombre&amp;"]Datos!"&amp;LEFT(SUBSTITUTE(ADDRESS(1,IF(Formulas!J184=1,1,RIGHT(Formulas!K184)+2)),"$",""))&amp;Formulas!I184+1,
IFERROR(INDEX(Datos!$A$1:$L$1,1,RIGHT(Formulas!K184)+2)&amp;IF(Formulas!J184=1," "&amp;Formulas!I184,"")&amp;":","")))</f>
        <v/>
      </c>
      <c r="I187" s="107" t="str" cm="1">
        <f t="array" aca="1" ref="I187" ca="1">IF(OR(Formulas!J184=0,Formulas!J184="",RIGHT(Formulas!K184)="0"),"",
HYPERLINK("["&amp;Archivo_Nombre&amp;"]Datos!"&amp;LEFT(SUBSTITUTE(ADDRESS(1,RIGHT(Formulas!K184)+2),"$",""))&amp;Formulas!I184+1,
IFERROR(INDEX(Datos!$A$2:$L$101,Formulas!I184,RIGHT(Formulas!K184)+2),"")))</f>
        <v/>
      </c>
      <c r="J187" s="107" t="str" cm="1">
        <f t="array" aca="1" ref="J187" ca="1">IF(OR(Formulas!K185=0,Formulas!K185=""),"",HYPERLINK("["&amp;Archivo_Nombre&amp;"]Datos!"&amp;LEFT(SUBSTITUTE(ADDRESS(1,Formulas!K185+2),"$",""))&amp;Formulas!J185+1,
IFERROR(INDEX(Datos!$A$2:$L$101,Formulas!J185,Formulas!K185+2),"")))</f>
        <v/>
      </c>
      <c r="K187" s="5"/>
      <c r="L187" s="6"/>
      <c r="M187" s="24" t="str" cm="1">
        <f t="array" aca="1" ref="M187" ca="1">IF(OR(Formulas!O184=0,Formulas!O184="",RIGHT(Formulas!P184)="0"),"",
HYPERLINK("["&amp;Archivo_Nombre&amp;"]Datos!"&amp;LEFT(SUBSTITUTE(ADDRESS(1,IF(Formulas!O184=1,1,RIGHT(Formulas!P184)+2)),"$",""))&amp;Formulas!N184+1,
IFERROR(INDEX(Datos!$A$1:$L$1,1,RIGHT(Formulas!P184)+2)&amp;IF(Formulas!O184=1," "&amp;Formulas!N184,"")&amp;":","")))</f>
        <v/>
      </c>
      <c r="N187" s="107" t="str" cm="1">
        <f t="array" aca="1" ref="N187" ca="1">IF(OR(Formulas!O184=0,Formulas!O184="",RIGHT(Formulas!P184)="0"),"",
HYPERLINK("["&amp;Archivo_Nombre&amp;"]Datos!"&amp;LEFT(SUBSTITUTE(ADDRESS(1,RIGHT(Formulas!P184)+2),"$",""))&amp;Formulas!N184+1,
IFERROR(INDEX(Datos!$A$2:$L$101,Formulas!N184,RIGHT(Formulas!P184)+2),"")))</f>
        <v/>
      </c>
      <c r="O187" s="107" t="str" cm="1">
        <f t="array" aca="1" ref="O187" ca="1">IF(OR(Formulas!P185=0,Formulas!P185=""),"",HYPERLINK("["&amp;Archivo_Nombre&amp;"]Datos!"&amp;LEFT(SUBSTITUTE(ADDRESS(1,Formulas!P185+2),"$",""))&amp;Formulas!O185+1,
IFERROR(INDEX(Datos!$A$2:$L$101,Formulas!O185,Formulas!P185+2),"")))</f>
        <v/>
      </c>
      <c r="P187" s="5"/>
      <c r="Q187" s="6"/>
      <c r="R187" s="24" t="str" cm="1">
        <f t="array" aca="1" ref="R187" ca="1">IF(OR(Formulas!T184=0,Formulas!T184="",RIGHT(Formulas!U184)="0"),"",
HYPERLINK("["&amp;Archivo_Nombre&amp;"]Datos!"&amp;LEFT(SUBSTITUTE(ADDRESS(1,IF(Formulas!T184=1,1,RIGHT(Formulas!U184)+2)),"$",""))&amp;Formulas!S184+1,
IFERROR(INDEX(Datos!$A$1:$L$1,1,RIGHT(Formulas!U184)+2)&amp;IF(Formulas!T184=1," "&amp;Formulas!S184,"")&amp;":","")))</f>
        <v>Tarea:</v>
      </c>
      <c r="S187" s="107" t="str" cm="1">
        <f t="array" aca="1" ref="S187" ca="1">IF(OR(Formulas!T184=0,Formulas!T184="",RIGHT(Formulas!U184)="0"),"",
HYPERLINK("["&amp;Archivo_Nombre&amp;"]Datos!"&amp;LEFT(SUBSTITUTE(ADDRESS(1,RIGHT(Formulas!U184)+2),"$",""))&amp;Formulas!S184+1,
IFERROR(INDEX(Datos!$A$2:$L$101,Formulas!S184,RIGHT(Formulas!U184)+2),"")))</f>
        <v>Manual de historias de usuario</v>
      </c>
      <c r="T187" s="107" t="e" cm="1">
        <f t="array" aca="1" ref="T187" ca="1">IF(OR(Formulas!U185=0,Formulas!U185=""),"",HYPERLINK("["&amp;Archivo_Nombre&amp;"]Datos!"&amp;LEFT(SUBSTITUTE(ADDRESS(1,Formulas!U185+2),"$",""))&amp;Formulas!T185+1,
IFERROR(INDEX(Datos!$A$2:$L$101,Formulas!T185,Formulas!U185+2),"")))</f>
        <v>#VALUE!</v>
      </c>
      <c r="U187" s="5"/>
      <c r="V187" s="6"/>
      <c r="W187" s="24" t="str" cm="1">
        <f t="array" aca="1" ref="W187" ca="1">IF(OR(Formulas!Y184=0,Formulas!Y184="",RIGHT(Formulas!Z184)="0"),"",
HYPERLINK("["&amp;Archivo_Nombre&amp;"]Datos!"&amp;LEFT(SUBSTITUTE(ADDRESS(1,IF(Formulas!Y184=1,1,RIGHT(Formulas!Z184)+2)),"$",""))&amp;Formulas!X184+1,
IFERROR(INDEX(Datos!$A$1:$L$1,1,RIGHT(Formulas!Z184)+2)&amp;IF(Formulas!Y184=1," "&amp;Formulas!X184,"")&amp;":","")))</f>
        <v/>
      </c>
      <c r="X187" s="107" t="str" cm="1">
        <f t="array" aca="1" ref="X187" ca="1">IF(OR(Formulas!Y184=0,Formulas!Y184="",RIGHT(Formulas!Z184)="0"),"",
HYPERLINK("["&amp;Archivo_Nombre&amp;"]Datos!"&amp;LEFT(SUBSTITUTE(ADDRESS(1,RIGHT(Formulas!Z184)+2),"$",""))&amp;Formulas!X184+1,
IFERROR(INDEX(Datos!$A$2:$L$101,Formulas!X184,RIGHT(Formulas!Z184)+2),"")))</f>
        <v/>
      </c>
      <c r="Y187" s="107" t="str" cm="1">
        <f t="array" aca="1" ref="Y187" ca="1">IF(OR(Formulas!Z185=0,Formulas!Z185=""),"",HYPERLINK("["&amp;Archivo_Nombre&amp;"]Datos!"&amp;LEFT(SUBSTITUTE(ADDRESS(1,Formulas!Z185+2),"$",""))&amp;Formulas!Y185+1,
IFERROR(INDEX(Datos!$A$2:$L$101,Formulas!Y185,Formulas!Z185+2),"")))</f>
        <v/>
      </c>
      <c r="Z187" s="13"/>
      <c r="AA187" s="6"/>
      <c r="AB187" s="24" t="str" cm="1">
        <f t="array" aca="1" ref="AB187" ca="1">IF(OR(Formulas!AD184=0,Formulas!AD184="",RIGHT(Formulas!AE184)="0"),"",
HYPERLINK("["&amp;Archivo_Nombre&amp;"]Datos!"&amp;LEFT(SUBSTITUTE(ADDRESS(1,IF(Formulas!AD184=1,1,RIGHT(Formulas!AE184)+2)),"$",""))&amp;Formulas!AC184+1,
IFERROR(INDEX(Datos!$A$1:$L$1,1,RIGHT(Formulas!AE184)+2)&amp;IF(Formulas!AD184=1," "&amp;Formulas!AC184,"")&amp;":","")))</f>
        <v/>
      </c>
      <c r="AC187" s="107" t="str" cm="1">
        <f t="array" aca="1" ref="AC187" ca="1">IF(OR(Formulas!AD184=0,Formulas!AD184="",RIGHT(Formulas!AE184)="0"),"",
HYPERLINK("["&amp;Archivo_Nombre&amp;"]Datos!"&amp;LEFT(SUBSTITUTE(ADDRESS(1,RIGHT(Formulas!AE184)+2),"$",""))&amp;Formulas!AC184+1,
IFERROR(INDEX(Datos!$A$2:$L$101,Formulas!AC184,RIGHT(Formulas!AE184)+2),"")))</f>
        <v/>
      </c>
      <c r="AD187" s="107" t="str" cm="1">
        <f t="array" aca="1" ref="AD187" ca="1">IF(OR(Formulas!AE185=0,Formulas!AE185=""),"",HYPERLINK("["&amp;Archivo_Nombre&amp;"]Datos!"&amp;LEFT(SUBSTITUTE(ADDRESS(1,Formulas!AE185+2),"$",""))&amp;Formulas!AD185+1,
IFERROR(INDEX(Datos!$A$2:$L$101,Formulas!AD185,Formulas!AE185+2),"")))</f>
        <v/>
      </c>
      <c r="AE187" s="13"/>
      <c r="AF187" s="6"/>
      <c r="AG187" s="24" t="str" cm="1">
        <f t="array" aca="1" ref="AG187" ca="1">IF(OR(Formulas!AI184=0,Formulas!AI184="",RIGHT(Formulas!AJ184)="0"),"",
HYPERLINK("["&amp;Archivo_Nombre&amp;"]Datos!"&amp;LEFT(SUBSTITUTE(ADDRESS(1,IF(Formulas!AI184=1,1,RIGHT(Formulas!AJ184)+2)),"$",""))&amp;Formulas!AH184+1,
IFERROR(INDEX(Datos!$A$1:$L$1,1,RIGHT(Formulas!AJ184)+2)&amp;IF(Formulas!AI184=1," "&amp;Formulas!AH184,"")&amp;":","")))</f>
        <v/>
      </c>
      <c r="AH187" s="107" t="str" cm="1">
        <f t="array" aca="1" ref="AH187" ca="1">IF(OR(Formulas!AI184=0,Formulas!AI184="",RIGHT(Formulas!AJ184)="0"),"",
HYPERLINK("["&amp;Archivo_Nombre&amp;"]Datos!"&amp;LEFT(SUBSTITUTE(ADDRESS(1,RIGHT(Formulas!AJ184)+2),"$",""))&amp;Formulas!AH184+1,
IFERROR(INDEX(Datos!$A$2:$L$101,Formulas!AH184,RIGHT(Formulas!AJ184)+2),"")))</f>
        <v/>
      </c>
      <c r="AI187" s="107" t="str" cm="1">
        <f t="array" aca="1" ref="AI187" ca="1">IF(OR(Formulas!AJ185=0,Formulas!AJ185=""),"",HYPERLINK("["&amp;Archivo_Nombre&amp;"]Datos!"&amp;LEFT(SUBSTITUTE(ADDRESS(1,Formulas!AJ185+2),"$",""))&amp;Formulas!AI185+1,
IFERROR(INDEX(Datos!$A$2:$L$101,Formulas!AI185,Formulas!AJ185+2),"")))</f>
        <v/>
      </c>
      <c r="AJ187" s="13"/>
      <c r="AK187" s="6"/>
      <c r="AL187" s="24" t="str" cm="1">
        <f t="array" aca="1" ref="AL187" ca="1">IF(OR(Formulas!AN184=0,Formulas!AN184="",RIGHT(Formulas!AO184)="0"),"",
HYPERLINK("["&amp;Archivo_Nombre&amp;"]Datos!"&amp;LEFT(SUBSTITUTE(ADDRESS(1,IF(Formulas!AN184=1,1,RIGHT(Formulas!AO184)+2)),"$",""))&amp;Formulas!AM184+1,
IFERROR(INDEX(Datos!$A$1:$L$1,1,RIGHT(Formulas!AO184)+2)&amp;IF(Formulas!AN184=1," "&amp;Formulas!AM184,"")&amp;":","")))</f>
        <v/>
      </c>
      <c r="AM187" s="107" t="str" cm="1">
        <f t="array" aca="1" ref="AM187" ca="1">IF(OR(Formulas!AN184=0,Formulas!AN184="",RIGHT(Formulas!AO184)="0"),"",
HYPERLINK("["&amp;Archivo_Nombre&amp;"]Datos!"&amp;LEFT(SUBSTITUTE(ADDRESS(1,RIGHT(Formulas!AO184)+2),"$",""))&amp;Formulas!AM184+1,
IFERROR(INDEX(Datos!$A$2:$L$101,Formulas!AM184,RIGHT(Formulas!AO184)+2),"")))</f>
        <v/>
      </c>
      <c r="AN187" s="107" t="str" cm="1">
        <f t="array" aca="1" ref="AN187" ca="1">IF(OR(Formulas!AO185=0,Formulas!AO185=""),"",HYPERLINK("["&amp;Archivo_Nombre&amp;"]Datos!"&amp;LEFT(SUBSTITUTE(ADDRESS(1,Formulas!AO185+2),"$",""))&amp;Formulas!AN185+1,
IFERROR(INDEX(Datos!$A$2:$L$101,Formulas!AN185,Formulas!AO185+2),"")))</f>
        <v/>
      </c>
      <c r="AO187" s="13"/>
      <c r="AP187" s="6"/>
      <c r="AQ187" s="24" t="str" cm="1">
        <f t="array" aca="1" ref="AQ187" ca="1">IF(OR(Formulas!AS184=0,Formulas!AS184="",RIGHT(Formulas!AT184)="0"),"",
HYPERLINK("["&amp;Archivo_Nombre&amp;"]Datos!"&amp;LEFT(SUBSTITUTE(ADDRESS(1,IF(Formulas!AS184=1,1,RIGHT(Formulas!AT184)+2)),"$",""))&amp;Formulas!AR184+1,
IFERROR(INDEX(Datos!$A$1:$L$1,1,RIGHT(Formulas!AT184)+2)&amp;IF(Formulas!AS184=1," "&amp;Formulas!AR184,"")&amp;":","")))</f>
        <v/>
      </c>
      <c r="AR187" s="107" t="str" cm="1">
        <f t="array" aca="1" ref="AR187" ca="1">IF(OR(Formulas!AS184=0,Formulas!AS184="",RIGHT(Formulas!AT184)="0"),"",
HYPERLINK("["&amp;Archivo_Nombre&amp;"]Datos!"&amp;LEFT(SUBSTITUTE(ADDRESS(1,RIGHT(Formulas!AT184)+2),"$",""))&amp;Formulas!AR184+1,
IFERROR(INDEX(Datos!$A$2:$L$101,Formulas!AR184,RIGHT(Formulas!AT184)+2),"")))</f>
        <v/>
      </c>
      <c r="AS187" s="107" t="str" cm="1">
        <f t="array" aca="1" ref="AS187" ca="1">IF(OR(Formulas!AT185=0,Formulas!AT185=""),"",HYPERLINK("["&amp;Archivo_Nombre&amp;"]Datos!"&amp;LEFT(SUBSTITUTE(ADDRESS(1,Formulas!AT185+2),"$",""))&amp;Formulas!AS185+1,
IFERROR(INDEX(Datos!$A$2:$L$101,Formulas!AS185,Formulas!AT185+2),"")))</f>
        <v/>
      </c>
      <c r="AT187" s="13"/>
      <c r="AU187" s="6"/>
      <c r="AV187" s="24" t="str" cm="1">
        <f t="array" aca="1" ref="AV187" ca="1">IF(OR(Formulas!AX184=0,Formulas!AX184="",RIGHT(Formulas!AY184)="0"),"",
HYPERLINK("["&amp;Archivo_Nombre&amp;"]Datos!"&amp;LEFT(SUBSTITUTE(ADDRESS(1,IF(Formulas!AX184=1,1,RIGHT(Formulas!AY184)+2)),"$",""))&amp;Formulas!AW184+1,
IFERROR(INDEX(Datos!$A$1:$L$1,1,RIGHT(Formulas!AY184)+2)&amp;IF(Formulas!AX184=1," "&amp;Formulas!AW184,"")&amp;":","")))</f>
        <v/>
      </c>
      <c r="AW187" s="107" t="str" cm="1">
        <f t="array" aca="1" ref="AW187" ca="1">IF(OR(Formulas!AX184=0,Formulas!AX184="",RIGHT(Formulas!AY184)="0"),"",
HYPERLINK("["&amp;Archivo_Nombre&amp;"]Datos!"&amp;LEFT(SUBSTITUTE(ADDRESS(1,RIGHT(Formulas!AY184)+2),"$",""))&amp;Formulas!AW184+1,
IFERROR(INDEX(Datos!$A$2:$L$101,Formulas!AW184,RIGHT(Formulas!AY184)+2),"")))</f>
        <v/>
      </c>
      <c r="AX187" s="107" t="str" cm="1">
        <f t="array" aca="1" ref="AX187" ca="1">IF(OR(Formulas!AY185=0,Formulas!AY185=""),"",HYPERLINK("["&amp;Archivo_Nombre&amp;"]Datos!"&amp;LEFT(SUBSTITUTE(ADDRESS(1,Formulas!AY185+2),"$",""))&amp;Formulas!AX185+1,
IFERROR(INDEX(Datos!$A$2:$L$101,Formulas!AX185,Formulas!AY185+2),"")))</f>
        <v/>
      </c>
      <c r="AY187" s="13"/>
    </row>
    <row r="188" spans="2:51" x14ac:dyDescent="0.25">
      <c r="B188" s="11"/>
      <c r="C188" s="24" t="str" cm="1">
        <f t="array" aca="1" ref="C188" ca="1">IF(OR(Formulas!E185=0,Formulas!E185="",RIGHT(Formulas!F185)="0"),"",
HYPERLINK("["&amp;Archivo_Nombre&amp;"]Datos!"&amp;LEFT(SUBSTITUTE(ADDRESS(1,IF(Formulas!E185=1,1,RIGHT(Formulas!F185)+2)),"$",""))&amp;Formulas!D185+1,
IFERROR(INDEX(Datos!$A$1:$L$1,1,RIGHT(Formulas!F185)+2)&amp;IF(Formulas!E185=1," "&amp;Formulas!D185,"")&amp;":","")))</f>
        <v/>
      </c>
      <c r="D188" s="107" t="str" cm="1">
        <f t="array" aca="1" ref="D188" ca="1">IF(OR(Formulas!E185=0,Formulas!E185="",RIGHT(Formulas!F185)="0"),"",
HYPERLINK("["&amp;Archivo_Nombre&amp;"]Datos!"&amp;LEFT(SUBSTITUTE(ADDRESS(1,RIGHT(Formulas!F185)+2),"$",""))&amp;Formulas!D185+1,
IFERROR(INDEX(Datos!$A$2:$L$101,Formulas!D185,RIGHT(Formulas!F185)+2),"")))</f>
        <v/>
      </c>
      <c r="E188" s="107" t="str" cm="1">
        <f t="array" aca="1" ref="E188" ca="1">IF(OR(Formulas!F186=0,Formulas!F186=""),"",HYPERLINK("["&amp;Archivo_Nombre&amp;"]Datos!"&amp;LEFT(SUBSTITUTE(ADDRESS(1,Formulas!F186+2),"$",""))&amp;Formulas!E186+1,
IFERROR(INDEX(Datos!$A$2:$L$101,Formulas!E186,Formulas!F186+2),"")))</f>
        <v/>
      </c>
      <c r="F188" s="5"/>
      <c r="G188" s="6"/>
      <c r="H188" s="24" t="str" cm="1">
        <f t="array" aca="1" ref="H188" ca="1">IF(OR(Formulas!J185=0,Formulas!J185="",RIGHT(Formulas!K185)="0"),"",
HYPERLINK("["&amp;Archivo_Nombre&amp;"]Datos!"&amp;LEFT(SUBSTITUTE(ADDRESS(1,IF(Formulas!J185=1,1,RIGHT(Formulas!K185)+2)),"$",""))&amp;Formulas!I185+1,
IFERROR(INDEX(Datos!$A$1:$L$1,1,RIGHT(Formulas!K185)+2)&amp;IF(Formulas!J185=1," "&amp;Formulas!I185,"")&amp;":","")))</f>
        <v/>
      </c>
      <c r="I188" s="107" t="str" cm="1">
        <f t="array" aca="1" ref="I188" ca="1">IF(OR(Formulas!J185=0,Formulas!J185="",RIGHT(Formulas!K185)="0"),"",
HYPERLINK("["&amp;Archivo_Nombre&amp;"]Datos!"&amp;LEFT(SUBSTITUTE(ADDRESS(1,RIGHT(Formulas!K185)+2),"$",""))&amp;Formulas!I185+1,
IFERROR(INDEX(Datos!$A$2:$L$101,Formulas!I185,RIGHT(Formulas!K185)+2),"")))</f>
        <v/>
      </c>
      <c r="J188" s="107" t="str" cm="1">
        <f t="array" aca="1" ref="J188" ca="1">IF(OR(Formulas!K186=0,Formulas!K186=""),"",HYPERLINK("["&amp;Archivo_Nombre&amp;"]Datos!"&amp;LEFT(SUBSTITUTE(ADDRESS(1,Formulas!K186+2),"$",""))&amp;Formulas!J186+1,
IFERROR(INDEX(Datos!$A$2:$L$101,Formulas!J186,Formulas!K186+2),"")))</f>
        <v/>
      </c>
      <c r="K188" s="5"/>
      <c r="L188" s="6"/>
      <c r="M188" s="24" t="str" cm="1">
        <f t="array" aca="1" ref="M188" ca="1">IF(OR(Formulas!O185=0,Formulas!O185="",RIGHT(Formulas!P185)="0"),"",
HYPERLINK("["&amp;Archivo_Nombre&amp;"]Datos!"&amp;LEFT(SUBSTITUTE(ADDRESS(1,IF(Formulas!O185=1,1,RIGHT(Formulas!P185)+2)),"$",""))&amp;Formulas!N185+1,
IFERROR(INDEX(Datos!$A$1:$L$1,1,RIGHT(Formulas!P185)+2)&amp;IF(Formulas!O185=1," "&amp;Formulas!N185,"")&amp;":","")))</f>
        <v/>
      </c>
      <c r="N188" s="107" t="str" cm="1">
        <f t="array" aca="1" ref="N188" ca="1">IF(OR(Formulas!O185=0,Formulas!O185="",RIGHT(Formulas!P185)="0"),"",
HYPERLINK("["&amp;Archivo_Nombre&amp;"]Datos!"&amp;LEFT(SUBSTITUTE(ADDRESS(1,RIGHT(Formulas!P185)+2),"$",""))&amp;Formulas!N185+1,
IFERROR(INDEX(Datos!$A$2:$L$101,Formulas!N185,RIGHT(Formulas!P185)+2),"")))</f>
        <v/>
      </c>
      <c r="O188" s="107" t="str" cm="1">
        <f t="array" aca="1" ref="O188" ca="1">IF(OR(Formulas!P186=0,Formulas!P186=""),"",HYPERLINK("["&amp;Archivo_Nombre&amp;"]Datos!"&amp;LEFT(SUBSTITUTE(ADDRESS(1,Formulas!P186+2),"$",""))&amp;Formulas!O186+1,
IFERROR(INDEX(Datos!$A$2:$L$101,Formulas!O186,Formulas!P186+2),"")))</f>
        <v/>
      </c>
      <c r="P188" s="5"/>
      <c r="Q188" s="6"/>
      <c r="R188" s="24" t="str" cm="1">
        <f t="array" aca="1" ref="R188" ca="1">IF(OR(Formulas!T185=0,Formulas!T185="",RIGHT(Formulas!U185)="0"),"",
HYPERLINK("["&amp;Archivo_Nombre&amp;"]Datos!"&amp;LEFT(SUBSTITUTE(ADDRESS(1,IF(Formulas!T185=1,1,RIGHT(Formulas!U185)+2)),"$",""))&amp;Formulas!S185+1,
IFERROR(INDEX(Datos!$A$1:$L$1,1,RIGHT(Formulas!U185)+2)&amp;IF(Formulas!T185=1," "&amp;Formulas!S185,"")&amp;":","")))</f>
        <v>Descripción:</v>
      </c>
      <c r="S188" s="107" t="str" cm="1">
        <f t="array" aca="1" ref="S188" ca="1">IF(OR(Formulas!T185=0,Formulas!T185="",RIGHT(Formulas!U185)="0"),"",
HYPERLINK("["&amp;Archivo_Nombre&amp;"]Datos!"&amp;LEFT(SUBSTITUTE(ADDRESS(1,RIGHT(Formulas!U185)+2),"$",""))&amp;Formulas!S185+1,
IFERROR(INDEX(Datos!$A$2:$L$101,Formulas!S185,RIGHT(Formulas!U185)+2),"")))</f>
        <v>Manual de historias de usuario</v>
      </c>
      <c r="T188" s="107" t="e" cm="1">
        <f t="array" aca="1" ref="T188" ca="1">IF(OR(Formulas!U186=0,Formulas!U186=""),"",HYPERLINK("["&amp;Archivo_Nombre&amp;"]Datos!"&amp;LEFT(SUBSTITUTE(ADDRESS(1,Formulas!U186+2),"$",""))&amp;Formulas!T186+1,
IFERROR(INDEX(Datos!$A$2:$L$101,Formulas!T186,Formulas!U186+2),"")))</f>
        <v>#VALUE!</v>
      </c>
      <c r="U188" s="5"/>
      <c r="V188" s="6"/>
      <c r="W188" s="24" t="str" cm="1">
        <f t="array" aca="1" ref="W188" ca="1">IF(OR(Formulas!Y185=0,Formulas!Y185="",RIGHT(Formulas!Z185)="0"),"",
HYPERLINK("["&amp;Archivo_Nombre&amp;"]Datos!"&amp;LEFT(SUBSTITUTE(ADDRESS(1,IF(Formulas!Y185=1,1,RIGHT(Formulas!Z185)+2)),"$",""))&amp;Formulas!X185+1,
IFERROR(INDEX(Datos!$A$1:$L$1,1,RIGHT(Formulas!Z185)+2)&amp;IF(Formulas!Y185=1," "&amp;Formulas!X185,"")&amp;":","")))</f>
        <v/>
      </c>
      <c r="X188" s="107" t="str" cm="1">
        <f t="array" aca="1" ref="X188" ca="1">IF(OR(Formulas!Y185=0,Formulas!Y185="",RIGHT(Formulas!Z185)="0"),"",
HYPERLINK("["&amp;Archivo_Nombre&amp;"]Datos!"&amp;LEFT(SUBSTITUTE(ADDRESS(1,RIGHT(Formulas!Z185)+2),"$",""))&amp;Formulas!X185+1,
IFERROR(INDEX(Datos!$A$2:$L$101,Formulas!X185,RIGHT(Formulas!Z185)+2),"")))</f>
        <v/>
      </c>
      <c r="Y188" s="107" t="str" cm="1">
        <f t="array" aca="1" ref="Y188" ca="1">IF(OR(Formulas!Z186=0,Formulas!Z186=""),"",HYPERLINK("["&amp;Archivo_Nombre&amp;"]Datos!"&amp;LEFT(SUBSTITUTE(ADDRESS(1,Formulas!Z186+2),"$",""))&amp;Formulas!Y186+1,
IFERROR(INDEX(Datos!$A$2:$L$101,Formulas!Y186,Formulas!Z186+2),"")))</f>
        <v/>
      </c>
      <c r="Z188" s="13"/>
      <c r="AA188" s="6"/>
      <c r="AB188" s="24" t="str" cm="1">
        <f t="array" aca="1" ref="AB188" ca="1">IF(OR(Formulas!AD185=0,Formulas!AD185="",RIGHT(Formulas!AE185)="0"),"",
HYPERLINK("["&amp;Archivo_Nombre&amp;"]Datos!"&amp;LEFT(SUBSTITUTE(ADDRESS(1,IF(Formulas!AD185=1,1,RIGHT(Formulas!AE185)+2)),"$",""))&amp;Formulas!AC185+1,
IFERROR(INDEX(Datos!$A$1:$L$1,1,RIGHT(Formulas!AE185)+2)&amp;IF(Formulas!AD185=1," "&amp;Formulas!AC185,"")&amp;":","")))</f>
        <v/>
      </c>
      <c r="AC188" s="107" t="str" cm="1">
        <f t="array" aca="1" ref="AC188" ca="1">IF(OR(Formulas!AD185=0,Formulas!AD185="",RIGHT(Formulas!AE185)="0"),"",
HYPERLINK("["&amp;Archivo_Nombre&amp;"]Datos!"&amp;LEFT(SUBSTITUTE(ADDRESS(1,RIGHT(Formulas!AE185)+2),"$",""))&amp;Formulas!AC185+1,
IFERROR(INDEX(Datos!$A$2:$L$101,Formulas!AC185,RIGHT(Formulas!AE185)+2),"")))</f>
        <v/>
      </c>
      <c r="AD188" s="107" t="str" cm="1">
        <f t="array" aca="1" ref="AD188" ca="1">IF(OR(Formulas!AE186=0,Formulas!AE186=""),"",HYPERLINK("["&amp;Archivo_Nombre&amp;"]Datos!"&amp;LEFT(SUBSTITUTE(ADDRESS(1,Formulas!AE186+2),"$",""))&amp;Formulas!AD186+1,
IFERROR(INDEX(Datos!$A$2:$L$101,Formulas!AD186,Formulas!AE186+2),"")))</f>
        <v/>
      </c>
      <c r="AE188" s="13"/>
      <c r="AF188" s="6"/>
      <c r="AG188" s="24" t="str" cm="1">
        <f t="array" aca="1" ref="AG188" ca="1">IF(OR(Formulas!AI185=0,Formulas!AI185="",RIGHT(Formulas!AJ185)="0"),"",
HYPERLINK("["&amp;Archivo_Nombre&amp;"]Datos!"&amp;LEFT(SUBSTITUTE(ADDRESS(1,IF(Formulas!AI185=1,1,RIGHT(Formulas!AJ185)+2)),"$",""))&amp;Formulas!AH185+1,
IFERROR(INDEX(Datos!$A$1:$L$1,1,RIGHT(Formulas!AJ185)+2)&amp;IF(Formulas!AI185=1," "&amp;Formulas!AH185,"")&amp;":","")))</f>
        <v/>
      </c>
      <c r="AH188" s="107" t="str" cm="1">
        <f t="array" aca="1" ref="AH188" ca="1">IF(OR(Formulas!AI185=0,Formulas!AI185="",RIGHT(Formulas!AJ185)="0"),"",
HYPERLINK("["&amp;Archivo_Nombre&amp;"]Datos!"&amp;LEFT(SUBSTITUTE(ADDRESS(1,RIGHT(Formulas!AJ185)+2),"$",""))&amp;Formulas!AH185+1,
IFERROR(INDEX(Datos!$A$2:$L$101,Formulas!AH185,RIGHT(Formulas!AJ185)+2),"")))</f>
        <v/>
      </c>
      <c r="AI188" s="107" t="str" cm="1">
        <f t="array" aca="1" ref="AI188" ca="1">IF(OR(Formulas!AJ186=0,Formulas!AJ186=""),"",HYPERLINK("["&amp;Archivo_Nombre&amp;"]Datos!"&amp;LEFT(SUBSTITUTE(ADDRESS(1,Formulas!AJ186+2),"$",""))&amp;Formulas!AI186+1,
IFERROR(INDEX(Datos!$A$2:$L$101,Formulas!AI186,Formulas!AJ186+2),"")))</f>
        <v/>
      </c>
      <c r="AJ188" s="13"/>
      <c r="AK188" s="6"/>
      <c r="AL188" s="24" t="str" cm="1">
        <f t="array" aca="1" ref="AL188" ca="1">IF(OR(Formulas!AN185=0,Formulas!AN185="",RIGHT(Formulas!AO185)="0"),"",
HYPERLINK("["&amp;Archivo_Nombre&amp;"]Datos!"&amp;LEFT(SUBSTITUTE(ADDRESS(1,IF(Formulas!AN185=1,1,RIGHT(Formulas!AO185)+2)),"$",""))&amp;Formulas!AM185+1,
IFERROR(INDEX(Datos!$A$1:$L$1,1,RIGHT(Formulas!AO185)+2)&amp;IF(Formulas!AN185=1," "&amp;Formulas!AM185,"")&amp;":","")))</f>
        <v/>
      </c>
      <c r="AM188" s="107" t="str" cm="1">
        <f t="array" aca="1" ref="AM188" ca="1">IF(OR(Formulas!AN185=0,Formulas!AN185="",RIGHT(Formulas!AO185)="0"),"",
HYPERLINK("["&amp;Archivo_Nombre&amp;"]Datos!"&amp;LEFT(SUBSTITUTE(ADDRESS(1,RIGHT(Formulas!AO185)+2),"$",""))&amp;Formulas!AM185+1,
IFERROR(INDEX(Datos!$A$2:$L$101,Formulas!AM185,RIGHT(Formulas!AO185)+2),"")))</f>
        <v/>
      </c>
      <c r="AN188" s="107" t="str" cm="1">
        <f t="array" aca="1" ref="AN188" ca="1">IF(OR(Formulas!AO186=0,Formulas!AO186=""),"",HYPERLINK("["&amp;Archivo_Nombre&amp;"]Datos!"&amp;LEFT(SUBSTITUTE(ADDRESS(1,Formulas!AO186+2),"$",""))&amp;Formulas!AN186+1,
IFERROR(INDEX(Datos!$A$2:$L$101,Formulas!AN186,Formulas!AO186+2),"")))</f>
        <v/>
      </c>
      <c r="AO188" s="13"/>
      <c r="AP188" s="6"/>
      <c r="AQ188" s="24" t="str" cm="1">
        <f t="array" aca="1" ref="AQ188" ca="1">IF(OR(Formulas!AS185=0,Formulas!AS185="",RIGHT(Formulas!AT185)="0"),"",
HYPERLINK("["&amp;Archivo_Nombre&amp;"]Datos!"&amp;LEFT(SUBSTITUTE(ADDRESS(1,IF(Formulas!AS185=1,1,RIGHT(Formulas!AT185)+2)),"$",""))&amp;Formulas!AR185+1,
IFERROR(INDEX(Datos!$A$1:$L$1,1,RIGHT(Formulas!AT185)+2)&amp;IF(Formulas!AS185=1," "&amp;Formulas!AR185,"")&amp;":","")))</f>
        <v/>
      </c>
      <c r="AR188" s="107" t="str" cm="1">
        <f t="array" aca="1" ref="AR188" ca="1">IF(OR(Formulas!AS185=0,Formulas!AS185="",RIGHT(Formulas!AT185)="0"),"",
HYPERLINK("["&amp;Archivo_Nombre&amp;"]Datos!"&amp;LEFT(SUBSTITUTE(ADDRESS(1,RIGHT(Formulas!AT185)+2),"$",""))&amp;Formulas!AR185+1,
IFERROR(INDEX(Datos!$A$2:$L$101,Formulas!AR185,RIGHT(Formulas!AT185)+2),"")))</f>
        <v/>
      </c>
      <c r="AS188" s="107" t="str" cm="1">
        <f t="array" aca="1" ref="AS188" ca="1">IF(OR(Formulas!AT186=0,Formulas!AT186=""),"",HYPERLINK("["&amp;Archivo_Nombre&amp;"]Datos!"&amp;LEFT(SUBSTITUTE(ADDRESS(1,Formulas!AT186+2),"$",""))&amp;Formulas!AS186+1,
IFERROR(INDEX(Datos!$A$2:$L$101,Formulas!AS186,Formulas!AT186+2),"")))</f>
        <v/>
      </c>
      <c r="AT188" s="13"/>
      <c r="AU188" s="6"/>
      <c r="AV188" s="24" t="str" cm="1">
        <f t="array" aca="1" ref="AV188" ca="1">IF(OR(Formulas!AX185=0,Formulas!AX185="",RIGHT(Formulas!AY185)="0"),"",
HYPERLINK("["&amp;Archivo_Nombre&amp;"]Datos!"&amp;LEFT(SUBSTITUTE(ADDRESS(1,IF(Formulas!AX185=1,1,RIGHT(Formulas!AY185)+2)),"$",""))&amp;Formulas!AW185+1,
IFERROR(INDEX(Datos!$A$1:$L$1,1,RIGHT(Formulas!AY185)+2)&amp;IF(Formulas!AX185=1," "&amp;Formulas!AW185,"")&amp;":","")))</f>
        <v/>
      </c>
      <c r="AW188" s="107" t="str" cm="1">
        <f t="array" aca="1" ref="AW188" ca="1">IF(OR(Formulas!AX185=0,Formulas!AX185="",RIGHT(Formulas!AY185)="0"),"",
HYPERLINK("["&amp;Archivo_Nombre&amp;"]Datos!"&amp;LEFT(SUBSTITUTE(ADDRESS(1,RIGHT(Formulas!AY185)+2),"$",""))&amp;Formulas!AW185+1,
IFERROR(INDEX(Datos!$A$2:$L$101,Formulas!AW185,RIGHT(Formulas!AY185)+2),"")))</f>
        <v/>
      </c>
      <c r="AX188" s="107" t="str" cm="1">
        <f t="array" aca="1" ref="AX188" ca="1">IF(OR(Formulas!AY186=0,Formulas!AY186=""),"",HYPERLINK("["&amp;Archivo_Nombre&amp;"]Datos!"&amp;LEFT(SUBSTITUTE(ADDRESS(1,Formulas!AY186+2),"$",""))&amp;Formulas!AX186+1,
IFERROR(INDEX(Datos!$A$2:$L$101,Formulas!AX186,Formulas!AY186+2),"")))</f>
        <v/>
      </c>
      <c r="AY188" s="13"/>
    </row>
    <row r="189" spans="2:51" x14ac:dyDescent="0.25">
      <c r="B189" s="11"/>
      <c r="C189" s="24" t="str" cm="1">
        <f t="array" aca="1" ref="C189" ca="1">IF(OR(Formulas!E186=0,Formulas!E186="",RIGHT(Formulas!F186)="0"),"",
HYPERLINK("["&amp;Archivo_Nombre&amp;"]Datos!"&amp;LEFT(SUBSTITUTE(ADDRESS(1,IF(Formulas!E186=1,1,RIGHT(Formulas!F186)+2)),"$",""))&amp;Formulas!D186+1,
IFERROR(INDEX(Datos!$A$1:$L$1,1,RIGHT(Formulas!F186)+2)&amp;IF(Formulas!E186=1," "&amp;Formulas!D186,"")&amp;":","")))</f>
        <v/>
      </c>
      <c r="D189" s="107" t="str" cm="1">
        <f t="array" aca="1" ref="D189" ca="1">IF(OR(Formulas!E186=0,Formulas!E186="",RIGHT(Formulas!F186)="0"),"",
HYPERLINK("["&amp;Archivo_Nombre&amp;"]Datos!"&amp;LEFT(SUBSTITUTE(ADDRESS(1,RIGHT(Formulas!F186)+2),"$",""))&amp;Formulas!D186+1,
IFERROR(INDEX(Datos!$A$2:$L$101,Formulas!D186,RIGHT(Formulas!F186)+2),"")))</f>
        <v/>
      </c>
      <c r="E189" s="107" t="str" cm="1">
        <f t="array" aca="1" ref="E189" ca="1">IF(OR(Formulas!F187=0,Formulas!F187=""),"",HYPERLINK("["&amp;Archivo_Nombre&amp;"]Datos!"&amp;LEFT(SUBSTITUTE(ADDRESS(1,Formulas!F187+2),"$",""))&amp;Formulas!E187+1,
IFERROR(INDEX(Datos!$A$2:$L$101,Formulas!E187,Formulas!F187+2),"")))</f>
        <v/>
      </c>
      <c r="F189" s="5"/>
      <c r="G189" s="6"/>
      <c r="H189" s="24" t="str" cm="1">
        <f t="array" aca="1" ref="H189" ca="1">IF(OR(Formulas!J186=0,Formulas!J186="",RIGHT(Formulas!K186)="0"),"",
HYPERLINK("["&amp;Archivo_Nombre&amp;"]Datos!"&amp;LEFT(SUBSTITUTE(ADDRESS(1,IF(Formulas!J186=1,1,RIGHT(Formulas!K186)+2)),"$",""))&amp;Formulas!I186+1,
IFERROR(INDEX(Datos!$A$1:$L$1,1,RIGHT(Formulas!K186)+2)&amp;IF(Formulas!J186=1," "&amp;Formulas!I186,"")&amp;":","")))</f>
        <v/>
      </c>
      <c r="I189" s="107" t="str" cm="1">
        <f t="array" aca="1" ref="I189" ca="1">IF(OR(Formulas!J186=0,Formulas!J186="",RIGHT(Formulas!K186)="0"),"",
HYPERLINK("["&amp;Archivo_Nombre&amp;"]Datos!"&amp;LEFT(SUBSTITUTE(ADDRESS(1,RIGHT(Formulas!K186)+2),"$",""))&amp;Formulas!I186+1,
IFERROR(INDEX(Datos!$A$2:$L$101,Formulas!I186,RIGHT(Formulas!K186)+2),"")))</f>
        <v/>
      </c>
      <c r="J189" s="107" t="str" cm="1">
        <f t="array" aca="1" ref="J189" ca="1">IF(OR(Formulas!K187=0,Formulas!K187=""),"",HYPERLINK("["&amp;Archivo_Nombre&amp;"]Datos!"&amp;LEFT(SUBSTITUTE(ADDRESS(1,Formulas!K187+2),"$",""))&amp;Formulas!J187+1,
IFERROR(INDEX(Datos!$A$2:$L$101,Formulas!J187,Formulas!K187+2),"")))</f>
        <v/>
      </c>
      <c r="K189" s="5"/>
      <c r="L189" s="6"/>
      <c r="M189" s="24" t="str" cm="1">
        <f t="array" aca="1" ref="M189" ca="1">IF(OR(Formulas!O186=0,Formulas!O186="",RIGHT(Formulas!P186)="0"),"",
HYPERLINK("["&amp;Archivo_Nombre&amp;"]Datos!"&amp;LEFT(SUBSTITUTE(ADDRESS(1,IF(Formulas!O186=1,1,RIGHT(Formulas!P186)+2)),"$",""))&amp;Formulas!N186+1,
IFERROR(INDEX(Datos!$A$1:$L$1,1,RIGHT(Formulas!P186)+2)&amp;IF(Formulas!O186=1," "&amp;Formulas!N186,"")&amp;":","")))</f>
        <v/>
      </c>
      <c r="N189" s="107" t="str" cm="1">
        <f t="array" aca="1" ref="N189" ca="1">IF(OR(Formulas!O186=0,Formulas!O186="",RIGHT(Formulas!P186)="0"),"",
HYPERLINK("["&amp;Archivo_Nombre&amp;"]Datos!"&amp;LEFT(SUBSTITUTE(ADDRESS(1,RIGHT(Formulas!P186)+2),"$",""))&amp;Formulas!N186+1,
IFERROR(INDEX(Datos!$A$2:$L$101,Formulas!N186,RIGHT(Formulas!P186)+2),"")))</f>
        <v/>
      </c>
      <c r="O189" s="107" t="str" cm="1">
        <f t="array" aca="1" ref="O189" ca="1">IF(OR(Formulas!P187=0,Formulas!P187=""),"",HYPERLINK("["&amp;Archivo_Nombre&amp;"]Datos!"&amp;LEFT(SUBSTITUTE(ADDRESS(1,Formulas!P187+2),"$",""))&amp;Formulas!O187+1,
IFERROR(INDEX(Datos!$A$2:$L$101,Formulas!O187,Formulas!P187+2),"")))</f>
        <v/>
      </c>
      <c r="P189" s="5"/>
      <c r="Q189" s="6"/>
      <c r="R189" s="24" t="str" cm="1">
        <f t="array" aca="1" ref="R189" ca="1">IF(OR(Formulas!T186=0,Formulas!T186="",RIGHT(Formulas!U186)="0"),"",
HYPERLINK("["&amp;Archivo_Nombre&amp;"]Datos!"&amp;LEFT(SUBSTITUTE(ADDRESS(1,IF(Formulas!T186=1,1,RIGHT(Formulas!U186)+2)),"$",""))&amp;Formulas!S186+1,
IFERROR(INDEX(Datos!$A$1:$L$1,1,RIGHT(Formulas!U186)+2)&amp;IF(Formulas!T186=1," "&amp;Formulas!S186,"")&amp;":","")))</f>
        <v>Inicio:</v>
      </c>
      <c r="S189" s="107" cm="1">
        <f t="array" aca="1" ref="S189" ca="1">IF(OR(Formulas!T186=0,Formulas!T186="",RIGHT(Formulas!U186)="0"),"",
HYPERLINK("["&amp;Archivo_Nombre&amp;"]Datos!"&amp;LEFT(SUBSTITUTE(ADDRESS(1,RIGHT(Formulas!U186)+2),"$",""))&amp;Formulas!S186+1,
IFERROR(INDEX(Datos!$A$2:$L$101,Formulas!S186,RIGHT(Formulas!U186)+2),"")))</f>
        <v>45787</v>
      </c>
      <c r="T189" s="107" t="e" cm="1">
        <f t="array" aca="1" ref="T189" ca="1">IF(OR(Formulas!U187=0,Formulas!U187=""),"",HYPERLINK("["&amp;Archivo_Nombre&amp;"]Datos!"&amp;LEFT(SUBSTITUTE(ADDRESS(1,Formulas!U187+2),"$",""))&amp;Formulas!T187+1,
IFERROR(INDEX(Datos!$A$2:$L$101,Formulas!T187,Formulas!U187+2),"")))</f>
        <v>#VALUE!</v>
      </c>
      <c r="U189" s="5"/>
      <c r="V189" s="6"/>
      <c r="W189" s="24" t="str" cm="1">
        <f t="array" aca="1" ref="W189" ca="1">IF(OR(Formulas!Y186=0,Formulas!Y186="",RIGHT(Formulas!Z186)="0"),"",
HYPERLINK("["&amp;Archivo_Nombre&amp;"]Datos!"&amp;LEFT(SUBSTITUTE(ADDRESS(1,IF(Formulas!Y186=1,1,RIGHT(Formulas!Z186)+2)),"$",""))&amp;Formulas!X186+1,
IFERROR(INDEX(Datos!$A$1:$L$1,1,RIGHT(Formulas!Z186)+2)&amp;IF(Formulas!Y186=1," "&amp;Formulas!X186,"")&amp;":","")))</f>
        <v/>
      </c>
      <c r="X189" s="107" t="str" cm="1">
        <f t="array" aca="1" ref="X189" ca="1">IF(OR(Formulas!Y186=0,Formulas!Y186="",RIGHT(Formulas!Z186)="0"),"",
HYPERLINK("["&amp;Archivo_Nombre&amp;"]Datos!"&amp;LEFT(SUBSTITUTE(ADDRESS(1,RIGHT(Formulas!Z186)+2),"$",""))&amp;Formulas!X186+1,
IFERROR(INDEX(Datos!$A$2:$L$101,Formulas!X186,RIGHT(Formulas!Z186)+2),"")))</f>
        <v/>
      </c>
      <c r="Y189" s="107" t="str" cm="1">
        <f t="array" aca="1" ref="Y189" ca="1">IF(OR(Formulas!Z187=0,Formulas!Z187=""),"",HYPERLINK("["&amp;Archivo_Nombre&amp;"]Datos!"&amp;LEFT(SUBSTITUTE(ADDRESS(1,Formulas!Z187+2),"$",""))&amp;Formulas!Y187+1,
IFERROR(INDEX(Datos!$A$2:$L$101,Formulas!Y187,Formulas!Z187+2),"")))</f>
        <v/>
      </c>
      <c r="Z189" s="13"/>
      <c r="AA189" s="6"/>
      <c r="AB189" s="24" t="str" cm="1">
        <f t="array" aca="1" ref="AB189" ca="1">IF(OR(Formulas!AD186=0,Formulas!AD186="",RIGHT(Formulas!AE186)="0"),"",
HYPERLINK("["&amp;Archivo_Nombre&amp;"]Datos!"&amp;LEFT(SUBSTITUTE(ADDRESS(1,IF(Formulas!AD186=1,1,RIGHT(Formulas!AE186)+2)),"$",""))&amp;Formulas!AC186+1,
IFERROR(INDEX(Datos!$A$1:$L$1,1,RIGHT(Formulas!AE186)+2)&amp;IF(Formulas!AD186=1," "&amp;Formulas!AC186,"")&amp;":","")))</f>
        <v/>
      </c>
      <c r="AC189" s="107" t="str" cm="1">
        <f t="array" aca="1" ref="AC189" ca="1">IF(OR(Formulas!AD186=0,Formulas!AD186="",RIGHT(Formulas!AE186)="0"),"",
HYPERLINK("["&amp;Archivo_Nombre&amp;"]Datos!"&amp;LEFT(SUBSTITUTE(ADDRESS(1,RIGHT(Formulas!AE186)+2),"$",""))&amp;Formulas!AC186+1,
IFERROR(INDEX(Datos!$A$2:$L$101,Formulas!AC186,RIGHT(Formulas!AE186)+2),"")))</f>
        <v/>
      </c>
      <c r="AD189" s="107" t="str" cm="1">
        <f t="array" aca="1" ref="AD189" ca="1">IF(OR(Formulas!AE187=0,Formulas!AE187=""),"",HYPERLINK("["&amp;Archivo_Nombre&amp;"]Datos!"&amp;LEFT(SUBSTITUTE(ADDRESS(1,Formulas!AE187+2),"$",""))&amp;Formulas!AD187+1,
IFERROR(INDEX(Datos!$A$2:$L$101,Formulas!AD187,Formulas!AE187+2),"")))</f>
        <v/>
      </c>
      <c r="AE189" s="13"/>
      <c r="AF189" s="6"/>
      <c r="AG189" s="24" t="str" cm="1">
        <f t="array" aca="1" ref="AG189" ca="1">IF(OR(Formulas!AI186=0,Formulas!AI186="",RIGHT(Formulas!AJ186)="0"),"",
HYPERLINK("["&amp;Archivo_Nombre&amp;"]Datos!"&amp;LEFT(SUBSTITUTE(ADDRESS(1,IF(Formulas!AI186=1,1,RIGHT(Formulas!AJ186)+2)),"$",""))&amp;Formulas!AH186+1,
IFERROR(INDEX(Datos!$A$1:$L$1,1,RIGHT(Formulas!AJ186)+2)&amp;IF(Formulas!AI186=1," "&amp;Formulas!AH186,"")&amp;":","")))</f>
        <v/>
      </c>
      <c r="AH189" s="107" t="str" cm="1">
        <f t="array" aca="1" ref="AH189" ca="1">IF(OR(Formulas!AI186=0,Formulas!AI186="",RIGHT(Formulas!AJ186)="0"),"",
HYPERLINK("["&amp;Archivo_Nombre&amp;"]Datos!"&amp;LEFT(SUBSTITUTE(ADDRESS(1,RIGHT(Formulas!AJ186)+2),"$",""))&amp;Formulas!AH186+1,
IFERROR(INDEX(Datos!$A$2:$L$101,Formulas!AH186,RIGHT(Formulas!AJ186)+2),"")))</f>
        <v/>
      </c>
      <c r="AI189" s="107" t="str" cm="1">
        <f t="array" aca="1" ref="AI189" ca="1">IF(OR(Formulas!AJ187=0,Formulas!AJ187=""),"",HYPERLINK("["&amp;Archivo_Nombre&amp;"]Datos!"&amp;LEFT(SUBSTITUTE(ADDRESS(1,Formulas!AJ187+2),"$",""))&amp;Formulas!AI187+1,
IFERROR(INDEX(Datos!$A$2:$L$101,Formulas!AI187,Formulas!AJ187+2),"")))</f>
        <v/>
      </c>
      <c r="AJ189" s="13"/>
      <c r="AK189" s="6"/>
      <c r="AL189" s="24" t="str" cm="1">
        <f t="array" aca="1" ref="AL189" ca="1">IF(OR(Formulas!AN186=0,Formulas!AN186="",RIGHT(Formulas!AO186)="0"),"",
HYPERLINK("["&amp;Archivo_Nombre&amp;"]Datos!"&amp;LEFT(SUBSTITUTE(ADDRESS(1,IF(Formulas!AN186=1,1,RIGHT(Formulas!AO186)+2)),"$",""))&amp;Formulas!AM186+1,
IFERROR(INDEX(Datos!$A$1:$L$1,1,RIGHT(Formulas!AO186)+2)&amp;IF(Formulas!AN186=1," "&amp;Formulas!AM186,"")&amp;":","")))</f>
        <v/>
      </c>
      <c r="AM189" s="107" t="str" cm="1">
        <f t="array" aca="1" ref="AM189" ca="1">IF(OR(Formulas!AN186=0,Formulas!AN186="",RIGHT(Formulas!AO186)="0"),"",
HYPERLINK("["&amp;Archivo_Nombre&amp;"]Datos!"&amp;LEFT(SUBSTITUTE(ADDRESS(1,RIGHT(Formulas!AO186)+2),"$",""))&amp;Formulas!AM186+1,
IFERROR(INDEX(Datos!$A$2:$L$101,Formulas!AM186,RIGHT(Formulas!AO186)+2),"")))</f>
        <v/>
      </c>
      <c r="AN189" s="107" t="str" cm="1">
        <f t="array" aca="1" ref="AN189" ca="1">IF(OR(Formulas!AO187=0,Formulas!AO187=""),"",HYPERLINK("["&amp;Archivo_Nombre&amp;"]Datos!"&amp;LEFT(SUBSTITUTE(ADDRESS(1,Formulas!AO187+2),"$",""))&amp;Formulas!AN187+1,
IFERROR(INDEX(Datos!$A$2:$L$101,Formulas!AN187,Formulas!AO187+2),"")))</f>
        <v/>
      </c>
      <c r="AO189" s="13"/>
      <c r="AP189" s="6"/>
      <c r="AQ189" s="24" t="str" cm="1">
        <f t="array" aca="1" ref="AQ189" ca="1">IF(OR(Formulas!AS186=0,Formulas!AS186="",RIGHT(Formulas!AT186)="0"),"",
HYPERLINK("["&amp;Archivo_Nombre&amp;"]Datos!"&amp;LEFT(SUBSTITUTE(ADDRESS(1,IF(Formulas!AS186=1,1,RIGHT(Formulas!AT186)+2)),"$",""))&amp;Formulas!AR186+1,
IFERROR(INDEX(Datos!$A$1:$L$1,1,RIGHT(Formulas!AT186)+2)&amp;IF(Formulas!AS186=1," "&amp;Formulas!AR186,"")&amp;":","")))</f>
        <v/>
      </c>
      <c r="AR189" s="107" t="str" cm="1">
        <f t="array" aca="1" ref="AR189" ca="1">IF(OR(Formulas!AS186=0,Formulas!AS186="",RIGHT(Formulas!AT186)="0"),"",
HYPERLINK("["&amp;Archivo_Nombre&amp;"]Datos!"&amp;LEFT(SUBSTITUTE(ADDRESS(1,RIGHT(Formulas!AT186)+2),"$",""))&amp;Formulas!AR186+1,
IFERROR(INDEX(Datos!$A$2:$L$101,Formulas!AR186,RIGHT(Formulas!AT186)+2),"")))</f>
        <v/>
      </c>
      <c r="AS189" s="107" t="str" cm="1">
        <f t="array" aca="1" ref="AS189" ca="1">IF(OR(Formulas!AT187=0,Formulas!AT187=""),"",HYPERLINK("["&amp;Archivo_Nombre&amp;"]Datos!"&amp;LEFT(SUBSTITUTE(ADDRESS(1,Formulas!AT187+2),"$",""))&amp;Formulas!AS187+1,
IFERROR(INDEX(Datos!$A$2:$L$101,Formulas!AS187,Formulas!AT187+2),"")))</f>
        <v/>
      </c>
      <c r="AT189" s="13"/>
      <c r="AU189" s="6"/>
      <c r="AV189" s="24" t="str" cm="1">
        <f t="array" aca="1" ref="AV189" ca="1">IF(OR(Formulas!AX186=0,Formulas!AX186="",RIGHT(Formulas!AY186)="0"),"",
HYPERLINK("["&amp;Archivo_Nombre&amp;"]Datos!"&amp;LEFT(SUBSTITUTE(ADDRESS(1,IF(Formulas!AX186=1,1,RIGHT(Formulas!AY186)+2)),"$",""))&amp;Formulas!AW186+1,
IFERROR(INDEX(Datos!$A$1:$L$1,1,RIGHT(Formulas!AY186)+2)&amp;IF(Formulas!AX186=1," "&amp;Formulas!AW186,"")&amp;":","")))</f>
        <v/>
      </c>
      <c r="AW189" s="107" t="str" cm="1">
        <f t="array" aca="1" ref="AW189" ca="1">IF(OR(Formulas!AX186=0,Formulas!AX186="",RIGHT(Formulas!AY186)="0"),"",
HYPERLINK("["&amp;Archivo_Nombre&amp;"]Datos!"&amp;LEFT(SUBSTITUTE(ADDRESS(1,RIGHT(Formulas!AY186)+2),"$",""))&amp;Formulas!AW186+1,
IFERROR(INDEX(Datos!$A$2:$L$101,Formulas!AW186,RIGHT(Formulas!AY186)+2),"")))</f>
        <v/>
      </c>
      <c r="AX189" s="107" t="str" cm="1">
        <f t="array" aca="1" ref="AX189" ca="1">IF(OR(Formulas!AY187=0,Formulas!AY187=""),"",HYPERLINK("["&amp;Archivo_Nombre&amp;"]Datos!"&amp;LEFT(SUBSTITUTE(ADDRESS(1,Formulas!AY187+2),"$",""))&amp;Formulas!AX187+1,
IFERROR(INDEX(Datos!$A$2:$L$101,Formulas!AX187,Formulas!AY187+2),"")))</f>
        <v/>
      </c>
      <c r="AY189" s="13"/>
    </row>
    <row r="190" spans="2:51" x14ac:dyDescent="0.25">
      <c r="B190" s="11"/>
      <c r="C190" s="24" t="str" cm="1">
        <f t="array" aca="1" ref="C190" ca="1">IF(OR(Formulas!E187=0,Formulas!E187="",RIGHT(Formulas!F187)="0"),"",
HYPERLINK("["&amp;Archivo_Nombre&amp;"]Datos!"&amp;LEFT(SUBSTITUTE(ADDRESS(1,IF(Formulas!E187=1,1,RIGHT(Formulas!F187)+2)),"$",""))&amp;Formulas!D187+1,
IFERROR(INDEX(Datos!$A$1:$L$1,1,RIGHT(Formulas!F187)+2)&amp;IF(Formulas!E187=1," "&amp;Formulas!D187,"")&amp;":","")))</f>
        <v/>
      </c>
      <c r="D190" s="107" t="str" cm="1">
        <f t="array" aca="1" ref="D190" ca="1">IF(OR(Formulas!E187=0,Formulas!E187="",RIGHT(Formulas!F187)="0"),"",
HYPERLINK("["&amp;Archivo_Nombre&amp;"]Datos!"&amp;LEFT(SUBSTITUTE(ADDRESS(1,RIGHT(Formulas!F187)+2),"$",""))&amp;Formulas!D187+1,
IFERROR(INDEX(Datos!$A$2:$L$101,Formulas!D187,RIGHT(Formulas!F187)+2),"")))</f>
        <v/>
      </c>
      <c r="E190" s="107" t="str" cm="1">
        <f t="array" aca="1" ref="E190" ca="1">IF(OR(Formulas!F188=0,Formulas!F188=""),"",HYPERLINK("["&amp;Archivo_Nombre&amp;"]Datos!"&amp;LEFT(SUBSTITUTE(ADDRESS(1,Formulas!F188+2),"$",""))&amp;Formulas!E188+1,
IFERROR(INDEX(Datos!$A$2:$L$101,Formulas!E188,Formulas!F188+2),"")))</f>
        <v/>
      </c>
      <c r="F190" s="5"/>
      <c r="G190" s="6"/>
      <c r="H190" s="24" t="str" cm="1">
        <f t="array" aca="1" ref="H190" ca="1">IF(OR(Formulas!J187=0,Formulas!J187="",RIGHT(Formulas!K187)="0"),"",
HYPERLINK("["&amp;Archivo_Nombre&amp;"]Datos!"&amp;LEFT(SUBSTITUTE(ADDRESS(1,IF(Formulas!J187=1,1,RIGHT(Formulas!K187)+2)),"$",""))&amp;Formulas!I187+1,
IFERROR(INDEX(Datos!$A$1:$L$1,1,RIGHT(Formulas!K187)+2)&amp;IF(Formulas!J187=1," "&amp;Formulas!I187,"")&amp;":","")))</f>
        <v/>
      </c>
      <c r="I190" s="107" t="str" cm="1">
        <f t="array" aca="1" ref="I190" ca="1">IF(OR(Formulas!J187=0,Formulas!J187="",RIGHT(Formulas!K187)="0"),"",
HYPERLINK("["&amp;Archivo_Nombre&amp;"]Datos!"&amp;LEFT(SUBSTITUTE(ADDRESS(1,RIGHT(Formulas!K187)+2),"$",""))&amp;Formulas!I187+1,
IFERROR(INDEX(Datos!$A$2:$L$101,Formulas!I187,RIGHT(Formulas!K187)+2),"")))</f>
        <v/>
      </c>
      <c r="J190" s="107" t="str" cm="1">
        <f t="array" aca="1" ref="J190" ca="1">IF(OR(Formulas!K188=0,Formulas!K188=""),"",HYPERLINK("["&amp;Archivo_Nombre&amp;"]Datos!"&amp;LEFT(SUBSTITUTE(ADDRESS(1,Formulas!K188+2),"$",""))&amp;Formulas!J188+1,
IFERROR(INDEX(Datos!$A$2:$L$101,Formulas!J188,Formulas!K188+2),"")))</f>
        <v/>
      </c>
      <c r="K190" s="5"/>
      <c r="L190" s="6"/>
      <c r="M190" s="24" t="str" cm="1">
        <f t="array" aca="1" ref="M190" ca="1">IF(OR(Formulas!O187=0,Formulas!O187="",RIGHT(Formulas!P187)="0"),"",
HYPERLINK("["&amp;Archivo_Nombre&amp;"]Datos!"&amp;LEFT(SUBSTITUTE(ADDRESS(1,IF(Formulas!O187=1,1,RIGHT(Formulas!P187)+2)),"$",""))&amp;Formulas!N187+1,
IFERROR(INDEX(Datos!$A$1:$L$1,1,RIGHT(Formulas!P187)+2)&amp;IF(Formulas!O187=1," "&amp;Formulas!N187,"")&amp;":","")))</f>
        <v/>
      </c>
      <c r="N190" s="107" t="str" cm="1">
        <f t="array" aca="1" ref="N190" ca="1">IF(OR(Formulas!O187=0,Formulas!O187="",RIGHT(Formulas!P187)="0"),"",
HYPERLINK("["&amp;Archivo_Nombre&amp;"]Datos!"&amp;LEFT(SUBSTITUTE(ADDRESS(1,RIGHT(Formulas!P187)+2),"$",""))&amp;Formulas!N187+1,
IFERROR(INDEX(Datos!$A$2:$L$101,Formulas!N187,RIGHT(Formulas!P187)+2),"")))</f>
        <v/>
      </c>
      <c r="O190" s="107" t="str" cm="1">
        <f t="array" aca="1" ref="O190" ca="1">IF(OR(Formulas!P188=0,Formulas!P188=""),"",HYPERLINK("["&amp;Archivo_Nombre&amp;"]Datos!"&amp;LEFT(SUBSTITUTE(ADDRESS(1,Formulas!P188+2),"$",""))&amp;Formulas!O188+1,
IFERROR(INDEX(Datos!$A$2:$L$101,Formulas!O188,Formulas!P188+2),"")))</f>
        <v/>
      </c>
      <c r="P190" s="5"/>
      <c r="Q190" s="6"/>
      <c r="R190" s="24" t="str" cm="1">
        <f t="array" aca="1" ref="R190" ca="1">IF(OR(Formulas!T187=0,Formulas!T187="",RIGHT(Formulas!U187)="0"),"",
HYPERLINK("["&amp;Archivo_Nombre&amp;"]Datos!"&amp;LEFT(SUBSTITUTE(ADDRESS(1,IF(Formulas!T187=1,1,RIGHT(Formulas!U187)+2)),"$",""))&amp;Formulas!S187+1,
IFERROR(INDEX(Datos!$A$1:$L$1,1,RIGHT(Formulas!U187)+2)&amp;IF(Formulas!T187=1," "&amp;Formulas!S187,"")&amp;":","")))</f>
        <v>Previsto:</v>
      </c>
      <c r="S190" s="107" cm="1">
        <f t="array" aca="1" ref="S190" ca="1">IF(OR(Formulas!T187=0,Formulas!T187="",RIGHT(Formulas!U187)="0"),"",
HYPERLINK("["&amp;Archivo_Nombre&amp;"]Datos!"&amp;LEFT(SUBSTITUTE(ADDRESS(1,RIGHT(Formulas!U187)+2),"$",""))&amp;Formulas!S187+1,
IFERROR(INDEX(Datos!$A$2:$L$101,Formulas!S187,RIGHT(Formulas!U187)+2),"")))</f>
        <v>45788</v>
      </c>
      <c r="T190" s="107" t="e" cm="1">
        <f t="array" aca="1" ref="T190" ca="1">IF(OR(Formulas!U188=0,Formulas!U188=""),"",HYPERLINK("["&amp;Archivo_Nombre&amp;"]Datos!"&amp;LEFT(SUBSTITUTE(ADDRESS(1,Formulas!U188+2),"$",""))&amp;Formulas!T188+1,
IFERROR(INDEX(Datos!$A$2:$L$101,Formulas!T188,Formulas!U188+2),"")))</f>
        <v>#VALUE!</v>
      </c>
      <c r="U190" s="5"/>
      <c r="V190" s="6"/>
      <c r="W190" s="24" t="str" cm="1">
        <f t="array" aca="1" ref="W190" ca="1">IF(OR(Formulas!Y187=0,Formulas!Y187="",RIGHT(Formulas!Z187)="0"),"",
HYPERLINK("["&amp;Archivo_Nombre&amp;"]Datos!"&amp;LEFT(SUBSTITUTE(ADDRESS(1,IF(Formulas!Y187=1,1,RIGHT(Formulas!Z187)+2)),"$",""))&amp;Formulas!X187+1,
IFERROR(INDEX(Datos!$A$1:$L$1,1,RIGHT(Formulas!Z187)+2)&amp;IF(Formulas!Y187=1," "&amp;Formulas!X187,"")&amp;":","")))</f>
        <v/>
      </c>
      <c r="X190" s="107" t="str" cm="1">
        <f t="array" aca="1" ref="X190" ca="1">IF(OR(Formulas!Y187=0,Formulas!Y187="",RIGHT(Formulas!Z187)="0"),"",
HYPERLINK("["&amp;Archivo_Nombre&amp;"]Datos!"&amp;LEFT(SUBSTITUTE(ADDRESS(1,RIGHT(Formulas!Z187)+2),"$",""))&amp;Formulas!X187+1,
IFERROR(INDEX(Datos!$A$2:$L$101,Formulas!X187,RIGHT(Formulas!Z187)+2),"")))</f>
        <v/>
      </c>
      <c r="Y190" s="107" t="str" cm="1">
        <f t="array" aca="1" ref="Y190" ca="1">IF(OR(Formulas!Z188=0,Formulas!Z188=""),"",HYPERLINK("["&amp;Archivo_Nombre&amp;"]Datos!"&amp;LEFT(SUBSTITUTE(ADDRESS(1,Formulas!Z188+2),"$",""))&amp;Formulas!Y188+1,
IFERROR(INDEX(Datos!$A$2:$L$101,Formulas!Y188,Formulas!Z188+2),"")))</f>
        <v/>
      </c>
      <c r="Z190" s="13"/>
      <c r="AA190" s="6"/>
      <c r="AB190" s="24" t="str" cm="1">
        <f t="array" aca="1" ref="AB190" ca="1">IF(OR(Formulas!AD187=0,Formulas!AD187="",RIGHT(Formulas!AE187)="0"),"",
HYPERLINK("["&amp;Archivo_Nombre&amp;"]Datos!"&amp;LEFT(SUBSTITUTE(ADDRESS(1,IF(Formulas!AD187=1,1,RIGHT(Formulas!AE187)+2)),"$",""))&amp;Formulas!AC187+1,
IFERROR(INDEX(Datos!$A$1:$L$1,1,RIGHT(Formulas!AE187)+2)&amp;IF(Formulas!AD187=1," "&amp;Formulas!AC187,"")&amp;":","")))</f>
        <v/>
      </c>
      <c r="AC190" s="107" t="str" cm="1">
        <f t="array" aca="1" ref="AC190" ca="1">IF(OR(Formulas!AD187=0,Formulas!AD187="",RIGHT(Formulas!AE187)="0"),"",
HYPERLINK("["&amp;Archivo_Nombre&amp;"]Datos!"&amp;LEFT(SUBSTITUTE(ADDRESS(1,RIGHT(Formulas!AE187)+2),"$",""))&amp;Formulas!AC187+1,
IFERROR(INDEX(Datos!$A$2:$L$101,Formulas!AC187,RIGHT(Formulas!AE187)+2),"")))</f>
        <v/>
      </c>
      <c r="AD190" s="107" t="str" cm="1">
        <f t="array" aca="1" ref="AD190" ca="1">IF(OR(Formulas!AE188=0,Formulas!AE188=""),"",HYPERLINK("["&amp;Archivo_Nombre&amp;"]Datos!"&amp;LEFT(SUBSTITUTE(ADDRESS(1,Formulas!AE188+2),"$",""))&amp;Formulas!AD188+1,
IFERROR(INDEX(Datos!$A$2:$L$101,Formulas!AD188,Formulas!AE188+2),"")))</f>
        <v/>
      </c>
      <c r="AE190" s="13"/>
      <c r="AF190" s="6"/>
      <c r="AG190" s="24" t="str" cm="1">
        <f t="array" aca="1" ref="AG190" ca="1">IF(OR(Formulas!AI187=0,Formulas!AI187="",RIGHT(Formulas!AJ187)="0"),"",
HYPERLINK("["&amp;Archivo_Nombre&amp;"]Datos!"&amp;LEFT(SUBSTITUTE(ADDRESS(1,IF(Formulas!AI187=1,1,RIGHT(Formulas!AJ187)+2)),"$",""))&amp;Formulas!AH187+1,
IFERROR(INDEX(Datos!$A$1:$L$1,1,RIGHT(Formulas!AJ187)+2)&amp;IF(Formulas!AI187=1," "&amp;Formulas!AH187,"")&amp;":","")))</f>
        <v/>
      </c>
      <c r="AH190" s="107" t="str" cm="1">
        <f t="array" aca="1" ref="AH190" ca="1">IF(OR(Formulas!AI187=0,Formulas!AI187="",RIGHT(Formulas!AJ187)="0"),"",
HYPERLINK("["&amp;Archivo_Nombre&amp;"]Datos!"&amp;LEFT(SUBSTITUTE(ADDRESS(1,RIGHT(Formulas!AJ187)+2),"$",""))&amp;Formulas!AH187+1,
IFERROR(INDEX(Datos!$A$2:$L$101,Formulas!AH187,RIGHT(Formulas!AJ187)+2),"")))</f>
        <v/>
      </c>
      <c r="AI190" s="107" t="str" cm="1">
        <f t="array" aca="1" ref="AI190" ca="1">IF(OR(Formulas!AJ188=0,Formulas!AJ188=""),"",HYPERLINK("["&amp;Archivo_Nombre&amp;"]Datos!"&amp;LEFT(SUBSTITUTE(ADDRESS(1,Formulas!AJ188+2),"$",""))&amp;Formulas!AI188+1,
IFERROR(INDEX(Datos!$A$2:$L$101,Formulas!AI188,Formulas!AJ188+2),"")))</f>
        <v/>
      </c>
      <c r="AJ190" s="13"/>
      <c r="AK190" s="6"/>
      <c r="AL190" s="24" t="str" cm="1">
        <f t="array" aca="1" ref="AL190" ca="1">IF(OR(Formulas!AN187=0,Formulas!AN187="",RIGHT(Formulas!AO187)="0"),"",
HYPERLINK("["&amp;Archivo_Nombre&amp;"]Datos!"&amp;LEFT(SUBSTITUTE(ADDRESS(1,IF(Formulas!AN187=1,1,RIGHT(Formulas!AO187)+2)),"$",""))&amp;Formulas!AM187+1,
IFERROR(INDEX(Datos!$A$1:$L$1,1,RIGHT(Formulas!AO187)+2)&amp;IF(Formulas!AN187=1," "&amp;Formulas!AM187,"")&amp;":","")))</f>
        <v/>
      </c>
      <c r="AM190" s="107" t="str" cm="1">
        <f t="array" aca="1" ref="AM190" ca="1">IF(OR(Formulas!AN187=0,Formulas!AN187="",RIGHT(Formulas!AO187)="0"),"",
HYPERLINK("["&amp;Archivo_Nombre&amp;"]Datos!"&amp;LEFT(SUBSTITUTE(ADDRESS(1,RIGHT(Formulas!AO187)+2),"$",""))&amp;Formulas!AM187+1,
IFERROR(INDEX(Datos!$A$2:$L$101,Formulas!AM187,RIGHT(Formulas!AO187)+2),"")))</f>
        <v/>
      </c>
      <c r="AN190" s="107" t="str" cm="1">
        <f t="array" aca="1" ref="AN190" ca="1">IF(OR(Formulas!AO188=0,Formulas!AO188=""),"",HYPERLINK("["&amp;Archivo_Nombre&amp;"]Datos!"&amp;LEFT(SUBSTITUTE(ADDRESS(1,Formulas!AO188+2),"$",""))&amp;Formulas!AN188+1,
IFERROR(INDEX(Datos!$A$2:$L$101,Formulas!AN188,Formulas!AO188+2),"")))</f>
        <v/>
      </c>
      <c r="AO190" s="13"/>
      <c r="AP190" s="6"/>
      <c r="AQ190" s="24" t="str" cm="1">
        <f t="array" aca="1" ref="AQ190" ca="1">IF(OR(Formulas!AS187=0,Formulas!AS187="",RIGHT(Formulas!AT187)="0"),"",
HYPERLINK("["&amp;Archivo_Nombre&amp;"]Datos!"&amp;LEFT(SUBSTITUTE(ADDRESS(1,IF(Formulas!AS187=1,1,RIGHT(Formulas!AT187)+2)),"$",""))&amp;Formulas!AR187+1,
IFERROR(INDEX(Datos!$A$1:$L$1,1,RIGHT(Formulas!AT187)+2)&amp;IF(Formulas!AS187=1," "&amp;Formulas!AR187,"")&amp;":","")))</f>
        <v/>
      </c>
      <c r="AR190" s="107" t="str" cm="1">
        <f t="array" aca="1" ref="AR190" ca="1">IF(OR(Formulas!AS187=0,Formulas!AS187="",RIGHT(Formulas!AT187)="0"),"",
HYPERLINK("["&amp;Archivo_Nombre&amp;"]Datos!"&amp;LEFT(SUBSTITUTE(ADDRESS(1,RIGHT(Formulas!AT187)+2),"$",""))&amp;Formulas!AR187+1,
IFERROR(INDEX(Datos!$A$2:$L$101,Formulas!AR187,RIGHT(Formulas!AT187)+2),"")))</f>
        <v/>
      </c>
      <c r="AS190" s="107" t="str" cm="1">
        <f t="array" aca="1" ref="AS190" ca="1">IF(OR(Formulas!AT188=0,Formulas!AT188=""),"",HYPERLINK("["&amp;Archivo_Nombre&amp;"]Datos!"&amp;LEFT(SUBSTITUTE(ADDRESS(1,Formulas!AT188+2),"$",""))&amp;Formulas!AS188+1,
IFERROR(INDEX(Datos!$A$2:$L$101,Formulas!AS188,Formulas!AT188+2),"")))</f>
        <v/>
      </c>
      <c r="AT190" s="13"/>
      <c r="AU190" s="6"/>
      <c r="AV190" s="24" t="str" cm="1">
        <f t="array" aca="1" ref="AV190" ca="1">IF(OR(Formulas!AX187=0,Formulas!AX187="",RIGHT(Formulas!AY187)="0"),"",
HYPERLINK("["&amp;Archivo_Nombre&amp;"]Datos!"&amp;LEFT(SUBSTITUTE(ADDRESS(1,IF(Formulas!AX187=1,1,RIGHT(Formulas!AY187)+2)),"$",""))&amp;Formulas!AW187+1,
IFERROR(INDEX(Datos!$A$1:$L$1,1,RIGHT(Formulas!AY187)+2)&amp;IF(Formulas!AX187=1," "&amp;Formulas!AW187,"")&amp;":","")))</f>
        <v/>
      </c>
      <c r="AW190" s="107" t="str" cm="1">
        <f t="array" aca="1" ref="AW190" ca="1">IF(OR(Formulas!AX187=0,Formulas!AX187="",RIGHT(Formulas!AY187)="0"),"",
HYPERLINK("["&amp;Archivo_Nombre&amp;"]Datos!"&amp;LEFT(SUBSTITUTE(ADDRESS(1,RIGHT(Formulas!AY187)+2),"$",""))&amp;Formulas!AW187+1,
IFERROR(INDEX(Datos!$A$2:$L$101,Formulas!AW187,RIGHT(Formulas!AY187)+2),"")))</f>
        <v/>
      </c>
      <c r="AX190" s="107" t="str" cm="1">
        <f t="array" aca="1" ref="AX190" ca="1">IF(OR(Formulas!AY188=0,Formulas!AY188=""),"",HYPERLINK("["&amp;Archivo_Nombre&amp;"]Datos!"&amp;LEFT(SUBSTITUTE(ADDRESS(1,Formulas!AY188+2),"$",""))&amp;Formulas!AX188+1,
IFERROR(INDEX(Datos!$A$2:$L$101,Formulas!AX188,Formulas!AY188+2),"")))</f>
        <v/>
      </c>
      <c r="AY190" s="13"/>
    </row>
    <row r="191" spans="2:51" x14ac:dyDescent="0.25">
      <c r="B191" s="11"/>
      <c r="C191" s="24" t="str" cm="1">
        <f t="array" aca="1" ref="C191" ca="1">IF(OR(Formulas!E188=0,Formulas!E188="",RIGHT(Formulas!F188)="0"),"",
HYPERLINK("["&amp;Archivo_Nombre&amp;"]Datos!"&amp;LEFT(SUBSTITUTE(ADDRESS(1,IF(Formulas!E188=1,1,RIGHT(Formulas!F188)+2)),"$",""))&amp;Formulas!D188+1,
IFERROR(INDEX(Datos!$A$1:$L$1,1,RIGHT(Formulas!F188)+2)&amp;IF(Formulas!E188=1," "&amp;Formulas!D188,"")&amp;":","")))</f>
        <v/>
      </c>
      <c r="D191" s="107" t="str" cm="1">
        <f t="array" aca="1" ref="D191" ca="1">IF(OR(Formulas!E188=0,Formulas!E188="",RIGHT(Formulas!F188)="0"),"",
HYPERLINK("["&amp;Archivo_Nombre&amp;"]Datos!"&amp;LEFT(SUBSTITUTE(ADDRESS(1,RIGHT(Formulas!F188)+2),"$",""))&amp;Formulas!D188+1,
IFERROR(INDEX(Datos!$A$2:$L$101,Formulas!D188,RIGHT(Formulas!F188)+2),"")))</f>
        <v/>
      </c>
      <c r="E191" s="107" t="str" cm="1">
        <f t="array" aca="1" ref="E191" ca="1">IF(OR(Formulas!F189=0,Formulas!F189=""),"",HYPERLINK("["&amp;Archivo_Nombre&amp;"]Datos!"&amp;LEFT(SUBSTITUTE(ADDRESS(1,Formulas!F189+2),"$",""))&amp;Formulas!E189+1,
IFERROR(INDEX(Datos!$A$2:$L$101,Formulas!E189,Formulas!F189+2),"")))</f>
        <v/>
      </c>
      <c r="F191" s="5"/>
      <c r="G191" s="6"/>
      <c r="H191" s="24" t="str" cm="1">
        <f t="array" aca="1" ref="H191" ca="1">IF(OR(Formulas!J188=0,Formulas!J188="",RIGHT(Formulas!K188)="0"),"",
HYPERLINK("["&amp;Archivo_Nombre&amp;"]Datos!"&amp;LEFT(SUBSTITUTE(ADDRESS(1,IF(Formulas!J188=1,1,RIGHT(Formulas!K188)+2)),"$",""))&amp;Formulas!I188+1,
IFERROR(INDEX(Datos!$A$1:$L$1,1,RIGHT(Formulas!K188)+2)&amp;IF(Formulas!J188=1," "&amp;Formulas!I188,"")&amp;":","")))</f>
        <v/>
      </c>
      <c r="I191" s="107" t="str" cm="1">
        <f t="array" aca="1" ref="I191" ca="1">IF(OR(Formulas!J188=0,Formulas!J188="",RIGHT(Formulas!K188)="0"),"",
HYPERLINK("["&amp;Archivo_Nombre&amp;"]Datos!"&amp;LEFT(SUBSTITUTE(ADDRESS(1,RIGHT(Formulas!K188)+2),"$",""))&amp;Formulas!I188+1,
IFERROR(INDEX(Datos!$A$2:$L$101,Formulas!I188,RIGHT(Formulas!K188)+2),"")))</f>
        <v/>
      </c>
      <c r="J191" s="107" t="str" cm="1">
        <f t="array" aca="1" ref="J191" ca="1">IF(OR(Formulas!K189=0,Formulas!K189=""),"",HYPERLINK("["&amp;Archivo_Nombre&amp;"]Datos!"&amp;LEFT(SUBSTITUTE(ADDRESS(1,Formulas!K189+2),"$",""))&amp;Formulas!J189+1,
IFERROR(INDEX(Datos!$A$2:$L$101,Formulas!J189,Formulas!K189+2),"")))</f>
        <v/>
      </c>
      <c r="K191" s="5"/>
      <c r="L191" s="6"/>
      <c r="M191" s="24" t="str" cm="1">
        <f t="array" aca="1" ref="M191" ca="1">IF(OR(Formulas!O188=0,Formulas!O188="",RIGHT(Formulas!P188)="0"),"",
HYPERLINK("["&amp;Archivo_Nombre&amp;"]Datos!"&amp;LEFT(SUBSTITUTE(ADDRESS(1,IF(Formulas!O188=1,1,RIGHT(Formulas!P188)+2)),"$",""))&amp;Formulas!N188+1,
IFERROR(INDEX(Datos!$A$1:$L$1,1,RIGHT(Formulas!P188)+2)&amp;IF(Formulas!O188=1," "&amp;Formulas!N188,"")&amp;":","")))</f>
        <v/>
      </c>
      <c r="N191" s="107" t="str" cm="1">
        <f t="array" aca="1" ref="N191" ca="1">IF(OR(Formulas!O188=0,Formulas!O188="",RIGHT(Formulas!P188)="0"),"",
HYPERLINK("["&amp;Archivo_Nombre&amp;"]Datos!"&amp;LEFT(SUBSTITUTE(ADDRESS(1,RIGHT(Formulas!P188)+2),"$",""))&amp;Formulas!N188+1,
IFERROR(INDEX(Datos!$A$2:$L$101,Formulas!N188,RIGHT(Formulas!P188)+2),"")))</f>
        <v/>
      </c>
      <c r="O191" s="107" t="str" cm="1">
        <f t="array" aca="1" ref="O191" ca="1">IF(OR(Formulas!P189=0,Formulas!P189=""),"",HYPERLINK("["&amp;Archivo_Nombre&amp;"]Datos!"&amp;LEFT(SUBSTITUTE(ADDRESS(1,Formulas!P189+2),"$",""))&amp;Formulas!O189+1,
IFERROR(INDEX(Datos!$A$2:$L$101,Formulas!O189,Formulas!P189+2),"")))</f>
        <v/>
      </c>
      <c r="P191" s="5"/>
      <c r="Q191" s="6"/>
      <c r="R191" s="24" t="str" cm="1">
        <f t="array" aca="1" ref="R191" ca="1">IF(OR(Formulas!T188=0,Formulas!T188="",RIGHT(Formulas!U188)="0"),"",
HYPERLINK("["&amp;Archivo_Nombre&amp;"]Datos!"&amp;LEFT(SUBSTITUTE(ADDRESS(1,IF(Formulas!T188=1,1,RIGHT(Formulas!U188)+2)),"$",""))&amp;Formulas!S188+1,
IFERROR(INDEX(Datos!$A$1:$L$1,1,RIGHT(Formulas!U188)+2)&amp;IF(Formulas!T188=1," "&amp;Formulas!S188,"")&amp;":","")))</f>
        <v>Final:</v>
      </c>
      <c r="S191" s="107" cm="1">
        <f t="array" aca="1" ref="S191" ca="1">IF(OR(Formulas!T188=0,Formulas!T188="",RIGHT(Formulas!U188)="0"),"",
HYPERLINK("["&amp;Archivo_Nombre&amp;"]Datos!"&amp;LEFT(SUBSTITUTE(ADDRESS(1,RIGHT(Formulas!U188)+2),"$",""))&amp;Formulas!S188+1,
IFERROR(INDEX(Datos!$A$2:$L$101,Formulas!S188,RIGHT(Formulas!U188)+2),"")))</f>
        <v>45788</v>
      </c>
      <c r="T191" s="107" t="e" cm="1">
        <f t="array" aca="1" ref="T191" ca="1">IF(OR(Formulas!U189=0,Formulas!U189=""),"",HYPERLINK("["&amp;Archivo_Nombre&amp;"]Datos!"&amp;LEFT(SUBSTITUTE(ADDRESS(1,Formulas!U189+2),"$",""))&amp;Formulas!T189+1,
IFERROR(INDEX(Datos!$A$2:$L$101,Formulas!T189,Formulas!U189+2),"")))</f>
        <v>#VALUE!</v>
      </c>
      <c r="U191" s="5"/>
      <c r="V191" s="6"/>
      <c r="W191" s="24" t="str" cm="1">
        <f t="array" aca="1" ref="W191" ca="1">IF(OR(Formulas!Y188=0,Formulas!Y188="",RIGHT(Formulas!Z188)="0"),"",
HYPERLINK("["&amp;Archivo_Nombre&amp;"]Datos!"&amp;LEFT(SUBSTITUTE(ADDRESS(1,IF(Formulas!Y188=1,1,RIGHT(Formulas!Z188)+2)),"$",""))&amp;Formulas!X188+1,
IFERROR(INDEX(Datos!$A$1:$L$1,1,RIGHT(Formulas!Z188)+2)&amp;IF(Formulas!Y188=1," "&amp;Formulas!X188,"")&amp;":","")))</f>
        <v/>
      </c>
      <c r="X191" s="107" t="str" cm="1">
        <f t="array" aca="1" ref="X191" ca="1">IF(OR(Formulas!Y188=0,Formulas!Y188="",RIGHT(Formulas!Z188)="0"),"",
HYPERLINK("["&amp;Archivo_Nombre&amp;"]Datos!"&amp;LEFT(SUBSTITUTE(ADDRESS(1,RIGHT(Formulas!Z188)+2),"$",""))&amp;Formulas!X188+1,
IFERROR(INDEX(Datos!$A$2:$L$101,Formulas!X188,RIGHT(Formulas!Z188)+2),"")))</f>
        <v/>
      </c>
      <c r="Y191" s="107" t="str" cm="1">
        <f t="array" aca="1" ref="Y191" ca="1">IF(OR(Formulas!Z189=0,Formulas!Z189=""),"",HYPERLINK("["&amp;Archivo_Nombre&amp;"]Datos!"&amp;LEFT(SUBSTITUTE(ADDRESS(1,Formulas!Z189+2),"$",""))&amp;Formulas!Y189+1,
IFERROR(INDEX(Datos!$A$2:$L$101,Formulas!Y189,Formulas!Z189+2),"")))</f>
        <v/>
      </c>
      <c r="Z191" s="13"/>
      <c r="AA191" s="6"/>
      <c r="AB191" s="24" t="str" cm="1">
        <f t="array" aca="1" ref="AB191" ca="1">IF(OR(Formulas!AD188=0,Formulas!AD188="",RIGHT(Formulas!AE188)="0"),"",
HYPERLINK("["&amp;Archivo_Nombre&amp;"]Datos!"&amp;LEFT(SUBSTITUTE(ADDRESS(1,IF(Formulas!AD188=1,1,RIGHT(Formulas!AE188)+2)),"$",""))&amp;Formulas!AC188+1,
IFERROR(INDEX(Datos!$A$1:$L$1,1,RIGHT(Formulas!AE188)+2)&amp;IF(Formulas!AD188=1," "&amp;Formulas!AC188,"")&amp;":","")))</f>
        <v/>
      </c>
      <c r="AC191" s="107" t="str" cm="1">
        <f t="array" aca="1" ref="AC191" ca="1">IF(OR(Formulas!AD188=0,Formulas!AD188="",RIGHT(Formulas!AE188)="0"),"",
HYPERLINK("["&amp;Archivo_Nombre&amp;"]Datos!"&amp;LEFT(SUBSTITUTE(ADDRESS(1,RIGHT(Formulas!AE188)+2),"$",""))&amp;Formulas!AC188+1,
IFERROR(INDEX(Datos!$A$2:$L$101,Formulas!AC188,RIGHT(Formulas!AE188)+2),"")))</f>
        <v/>
      </c>
      <c r="AD191" s="107" t="str" cm="1">
        <f t="array" aca="1" ref="AD191" ca="1">IF(OR(Formulas!AE189=0,Formulas!AE189=""),"",HYPERLINK("["&amp;Archivo_Nombre&amp;"]Datos!"&amp;LEFT(SUBSTITUTE(ADDRESS(1,Formulas!AE189+2),"$",""))&amp;Formulas!AD189+1,
IFERROR(INDEX(Datos!$A$2:$L$101,Formulas!AD189,Formulas!AE189+2),"")))</f>
        <v/>
      </c>
      <c r="AE191" s="13"/>
      <c r="AF191" s="6"/>
      <c r="AG191" s="24" t="str" cm="1">
        <f t="array" aca="1" ref="AG191" ca="1">IF(OR(Formulas!AI188=0,Formulas!AI188="",RIGHT(Formulas!AJ188)="0"),"",
HYPERLINK("["&amp;Archivo_Nombre&amp;"]Datos!"&amp;LEFT(SUBSTITUTE(ADDRESS(1,IF(Formulas!AI188=1,1,RIGHT(Formulas!AJ188)+2)),"$",""))&amp;Formulas!AH188+1,
IFERROR(INDEX(Datos!$A$1:$L$1,1,RIGHT(Formulas!AJ188)+2)&amp;IF(Formulas!AI188=1," "&amp;Formulas!AH188,"")&amp;":","")))</f>
        <v/>
      </c>
      <c r="AH191" s="107" t="str" cm="1">
        <f t="array" aca="1" ref="AH191" ca="1">IF(OR(Formulas!AI188=0,Formulas!AI188="",RIGHT(Formulas!AJ188)="0"),"",
HYPERLINK("["&amp;Archivo_Nombre&amp;"]Datos!"&amp;LEFT(SUBSTITUTE(ADDRESS(1,RIGHT(Formulas!AJ188)+2),"$",""))&amp;Formulas!AH188+1,
IFERROR(INDEX(Datos!$A$2:$L$101,Formulas!AH188,RIGHT(Formulas!AJ188)+2),"")))</f>
        <v/>
      </c>
      <c r="AI191" s="107" t="str" cm="1">
        <f t="array" aca="1" ref="AI191" ca="1">IF(OR(Formulas!AJ189=0,Formulas!AJ189=""),"",HYPERLINK("["&amp;Archivo_Nombre&amp;"]Datos!"&amp;LEFT(SUBSTITUTE(ADDRESS(1,Formulas!AJ189+2),"$",""))&amp;Formulas!AI189+1,
IFERROR(INDEX(Datos!$A$2:$L$101,Formulas!AI189,Formulas!AJ189+2),"")))</f>
        <v/>
      </c>
      <c r="AJ191" s="13"/>
      <c r="AK191" s="6"/>
      <c r="AL191" s="24" t="str" cm="1">
        <f t="array" aca="1" ref="AL191" ca="1">IF(OR(Formulas!AN188=0,Formulas!AN188="",RIGHT(Formulas!AO188)="0"),"",
HYPERLINK("["&amp;Archivo_Nombre&amp;"]Datos!"&amp;LEFT(SUBSTITUTE(ADDRESS(1,IF(Formulas!AN188=1,1,RIGHT(Formulas!AO188)+2)),"$",""))&amp;Formulas!AM188+1,
IFERROR(INDEX(Datos!$A$1:$L$1,1,RIGHT(Formulas!AO188)+2)&amp;IF(Formulas!AN188=1," "&amp;Formulas!AM188,"")&amp;":","")))</f>
        <v/>
      </c>
      <c r="AM191" s="107" t="str" cm="1">
        <f t="array" aca="1" ref="AM191" ca="1">IF(OR(Formulas!AN188=0,Formulas!AN188="",RIGHT(Formulas!AO188)="0"),"",
HYPERLINK("["&amp;Archivo_Nombre&amp;"]Datos!"&amp;LEFT(SUBSTITUTE(ADDRESS(1,RIGHT(Formulas!AO188)+2),"$",""))&amp;Formulas!AM188+1,
IFERROR(INDEX(Datos!$A$2:$L$101,Formulas!AM188,RIGHT(Formulas!AO188)+2),"")))</f>
        <v/>
      </c>
      <c r="AN191" s="107" t="str" cm="1">
        <f t="array" aca="1" ref="AN191" ca="1">IF(OR(Formulas!AO189=0,Formulas!AO189=""),"",HYPERLINK("["&amp;Archivo_Nombre&amp;"]Datos!"&amp;LEFT(SUBSTITUTE(ADDRESS(1,Formulas!AO189+2),"$",""))&amp;Formulas!AN189+1,
IFERROR(INDEX(Datos!$A$2:$L$101,Formulas!AN189,Formulas!AO189+2),"")))</f>
        <v/>
      </c>
      <c r="AO191" s="13"/>
      <c r="AP191" s="6"/>
      <c r="AQ191" s="24" t="str" cm="1">
        <f t="array" aca="1" ref="AQ191" ca="1">IF(OR(Formulas!AS188=0,Formulas!AS188="",RIGHT(Formulas!AT188)="0"),"",
HYPERLINK("["&amp;Archivo_Nombre&amp;"]Datos!"&amp;LEFT(SUBSTITUTE(ADDRESS(1,IF(Formulas!AS188=1,1,RIGHT(Formulas!AT188)+2)),"$",""))&amp;Formulas!AR188+1,
IFERROR(INDEX(Datos!$A$1:$L$1,1,RIGHT(Formulas!AT188)+2)&amp;IF(Formulas!AS188=1," "&amp;Formulas!AR188,"")&amp;":","")))</f>
        <v/>
      </c>
      <c r="AR191" s="107" t="str" cm="1">
        <f t="array" aca="1" ref="AR191" ca="1">IF(OR(Formulas!AS188=0,Formulas!AS188="",RIGHT(Formulas!AT188)="0"),"",
HYPERLINK("["&amp;Archivo_Nombre&amp;"]Datos!"&amp;LEFT(SUBSTITUTE(ADDRESS(1,RIGHT(Formulas!AT188)+2),"$",""))&amp;Formulas!AR188+1,
IFERROR(INDEX(Datos!$A$2:$L$101,Formulas!AR188,RIGHT(Formulas!AT188)+2),"")))</f>
        <v/>
      </c>
      <c r="AS191" s="107" t="str" cm="1">
        <f t="array" aca="1" ref="AS191" ca="1">IF(OR(Formulas!AT189=0,Formulas!AT189=""),"",HYPERLINK("["&amp;Archivo_Nombre&amp;"]Datos!"&amp;LEFT(SUBSTITUTE(ADDRESS(1,Formulas!AT189+2),"$",""))&amp;Formulas!AS189+1,
IFERROR(INDEX(Datos!$A$2:$L$101,Formulas!AS189,Formulas!AT189+2),"")))</f>
        <v/>
      </c>
      <c r="AT191" s="13"/>
      <c r="AU191" s="6"/>
      <c r="AV191" s="24" t="str" cm="1">
        <f t="array" aca="1" ref="AV191" ca="1">IF(OR(Formulas!AX188=0,Formulas!AX188="",RIGHT(Formulas!AY188)="0"),"",
HYPERLINK("["&amp;Archivo_Nombre&amp;"]Datos!"&amp;LEFT(SUBSTITUTE(ADDRESS(1,IF(Formulas!AX188=1,1,RIGHT(Formulas!AY188)+2)),"$",""))&amp;Formulas!AW188+1,
IFERROR(INDEX(Datos!$A$1:$L$1,1,RIGHT(Formulas!AY188)+2)&amp;IF(Formulas!AX188=1," "&amp;Formulas!AW188,"")&amp;":","")))</f>
        <v/>
      </c>
      <c r="AW191" s="107" t="str" cm="1">
        <f t="array" aca="1" ref="AW191" ca="1">IF(OR(Formulas!AX188=0,Formulas!AX188="",RIGHT(Formulas!AY188)="0"),"",
HYPERLINK("["&amp;Archivo_Nombre&amp;"]Datos!"&amp;LEFT(SUBSTITUTE(ADDRESS(1,RIGHT(Formulas!AY188)+2),"$",""))&amp;Formulas!AW188+1,
IFERROR(INDEX(Datos!$A$2:$L$101,Formulas!AW188,RIGHT(Formulas!AY188)+2),"")))</f>
        <v/>
      </c>
      <c r="AX191" s="107" t="str" cm="1">
        <f t="array" aca="1" ref="AX191" ca="1">IF(OR(Formulas!AY189=0,Formulas!AY189=""),"",HYPERLINK("["&amp;Archivo_Nombre&amp;"]Datos!"&amp;LEFT(SUBSTITUTE(ADDRESS(1,Formulas!AY189+2),"$",""))&amp;Formulas!AX189+1,
IFERROR(INDEX(Datos!$A$2:$L$101,Formulas!AX189,Formulas!AY189+2),"")))</f>
        <v/>
      </c>
      <c r="AY191" s="13"/>
    </row>
    <row r="192" spans="2:51" x14ac:dyDescent="0.25">
      <c r="B192" s="11"/>
      <c r="C192" s="24" t="str" cm="1">
        <f t="array" aca="1" ref="C192" ca="1">IF(OR(Formulas!E189=0,Formulas!E189="",RIGHT(Formulas!F189)="0"),"",
HYPERLINK("["&amp;Archivo_Nombre&amp;"]Datos!"&amp;LEFT(SUBSTITUTE(ADDRESS(1,IF(Formulas!E189=1,1,RIGHT(Formulas!F189)+2)),"$",""))&amp;Formulas!D189+1,
IFERROR(INDEX(Datos!$A$1:$L$1,1,RIGHT(Formulas!F189)+2)&amp;IF(Formulas!E189=1," "&amp;Formulas!D189,"")&amp;":","")))</f>
        <v/>
      </c>
      <c r="D192" s="107" t="str" cm="1">
        <f t="array" aca="1" ref="D192" ca="1">IF(OR(Formulas!E189=0,Formulas!E189="",RIGHT(Formulas!F189)="0"),"",
HYPERLINK("["&amp;Archivo_Nombre&amp;"]Datos!"&amp;LEFT(SUBSTITUTE(ADDRESS(1,RIGHT(Formulas!F189)+2),"$",""))&amp;Formulas!D189+1,
IFERROR(INDEX(Datos!$A$2:$L$101,Formulas!D189,RIGHT(Formulas!F189)+2),"")))</f>
        <v/>
      </c>
      <c r="E192" s="107" t="str" cm="1">
        <f t="array" aca="1" ref="E192" ca="1">IF(OR(Formulas!F190=0,Formulas!F190=""),"",HYPERLINK("["&amp;Archivo_Nombre&amp;"]Datos!"&amp;LEFT(SUBSTITUTE(ADDRESS(1,Formulas!F190+2),"$",""))&amp;Formulas!E190+1,
IFERROR(INDEX(Datos!$A$2:$L$101,Formulas!E190,Formulas!F190+2),"")))</f>
        <v/>
      </c>
      <c r="F192" s="5"/>
      <c r="G192" s="6"/>
      <c r="H192" s="24" t="str" cm="1">
        <f t="array" aca="1" ref="H192" ca="1">IF(OR(Formulas!J189=0,Formulas!J189="",RIGHT(Formulas!K189)="0"),"",
HYPERLINK("["&amp;Archivo_Nombre&amp;"]Datos!"&amp;LEFT(SUBSTITUTE(ADDRESS(1,IF(Formulas!J189=1,1,RIGHT(Formulas!K189)+2)),"$",""))&amp;Formulas!I189+1,
IFERROR(INDEX(Datos!$A$1:$L$1,1,RIGHT(Formulas!K189)+2)&amp;IF(Formulas!J189=1," "&amp;Formulas!I189,"")&amp;":","")))</f>
        <v/>
      </c>
      <c r="I192" s="107" t="str" cm="1">
        <f t="array" aca="1" ref="I192" ca="1">IF(OR(Formulas!J189=0,Formulas!J189="",RIGHT(Formulas!K189)="0"),"",
HYPERLINK("["&amp;Archivo_Nombre&amp;"]Datos!"&amp;LEFT(SUBSTITUTE(ADDRESS(1,RIGHT(Formulas!K189)+2),"$",""))&amp;Formulas!I189+1,
IFERROR(INDEX(Datos!$A$2:$L$101,Formulas!I189,RIGHT(Formulas!K189)+2),"")))</f>
        <v/>
      </c>
      <c r="J192" s="107" t="str" cm="1">
        <f t="array" aca="1" ref="J192" ca="1">IF(OR(Formulas!K190=0,Formulas!K190=""),"",HYPERLINK("["&amp;Archivo_Nombre&amp;"]Datos!"&amp;LEFT(SUBSTITUTE(ADDRESS(1,Formulas!K190+2),"$",""))&amp;Formulas!J190+1,
IFERROR(INDEX(Datos!$A$2:$L$101,Formulas!J190,Formulas!K190+2),"")))</f>
        <v/>
      </c>
      <c r="K192" s="5"/>
      <c r="L192" s="6"/>
      <c r="M192" s="24" t="str" cm="1">
        <f t="array" aca="1" ref="M192" ca="1">IF(OR(Formulas!O189=0,Formulas!O189="",RIGHT(Formulas!P189)="0"),"",
HYPERLINK("["&amp;Archivo_Nombre&amp;"]Datos!"&amp;LEFT(SUBSTITUTE(ADDRESS(1,IF(Formulas!O189=1,1,RIGHT(Formulas!P189)+2)),"$",""))&amp;Formulas!N189+1,
IFERROR(INDEX(Datos!$A$1:$L$1,1,RIGHT(Formulas!P189)+2)&amp;IF(Formulas!O189=1," "&amp;Formulas!N189,"")&amp;":","")))</f>
        <v/>
      </c>
      <c r="N192" s="107" t="str" cm="1">
        <f t="array" aca="1" ref="N192" ca="1">IF(OR(Formulas!O189=0,Formulas!O189="",RIGHT(Formulas!P189)="0"),"",
HYPERLINK("["&amp;Archivo_Nombre&amp;"]Datos!"&amp;LEFT(SUBSTITUTE(ADDRESS(1,RIGHT(Formulas!P189)+2),"$",""))&amp;Formulas!N189+1,
IFERROR(INDEX(Datos!$A$2:$L$101,Formulas!N189,RIGHT(Formulas!P189)+2),"")))</f>
        <v/>
      </c>
      <c r="O192" s="107" t="str" cm="1">
        <f t="array" aca="1" ref="O192" ca="1">IF(OR(Formulas!P190=0,Formulas!P190=""),"",HYPERLINK("["&amp;Archivo_Nombre&amp;"]Datos!"&amp;LEFT(SUBSTITUTE(ADDRESS(1,Formulas!P190+2),"$",""))&amp;Formulas!O190+1,
IFERROR(INDEX(Datos!$A$2:$L$101,Formulas!O190,Formulas!P190+2),"")))</f>
        <v/>
      </c>
      <c r="P192" s="5"/>
      <c r="Q192" s="6"/>
      <c r="R192" s="24" t="str" cm="1">
        <f t="array" aca="1" ref="R192" ca="1">IF(OR(Formulas!T189=0,Formulas!T189="",RIGHT(Formulas!U189)="0"),"",
HYPERLINK("["&amp;Archivo_Nombre&amp;"]Datos!"&amp;LEFT(SUBSTITUTE(ADDRESS(1,IF(Formulas!T189=1,1,RIGHT(Formulas!U189)+2)),"$",""))&amp;Formulas!S189+1,
IFERROR(INDEX(Datos!$A$1:$L$1,1,RIGHT(Formulas!U189)+2)&amp;IF(Formulas!T189=1," "&amp;Formulas!S189,"")&amp;":","")))</f>
        <v>Duración:</v>
      </c>
      <c r="S192" s="107" t="str" cm="1">
        <f t="array" aca="1" ref="S192" ca="1">IF(OR(Formulas!T189=0,Formulas!T189="",RIGHT(Formulas!U189)="0"),"",
HYPERLINK("["&amp;Archivo_Nombre&amp;"]Datos!"&amp;LEFT(SUBSTITUTE(ADDRESS(1,RIGHT(Formulas!U189)+2),"$",""))&amp;Formulas!S189+1,
IFERROR(INDEX(Datos!$A$2:$L$101,Formulas!S189,RIGHT(Formulas!U189)+2),"")))</f>
        <v>2 días</v>
      </c>
      <c r="T192" s="107" t="e" cm="1">
        <f t="array" aca="1" ref="T192" ca="1">IF(OR(Formulas!U190=0,Formulas!U190=""),"",HYPERLINK("["&amp;Archivo_Nombre&amp;"]Datos!"&amp;LEFT(SUBSTITUTE(ADDRESS(1,Formulas!U190+2),"$",""))&amp;Formulas!T190+1,
IFERROR(INDEX(Datos!$A$2:$L$101,Formulas!T190,Formulas!U190+2),"")))</f>
        <v>#VALUE!</v>
      </c>
      <c r="U192" s="5"/>
      <c r="V192" s="6"/>
      <c r="W192" s="24" t="str" cm="1">
        <f t="array" aca="1" ref="W192" ca="1">IF(OR(Formulas!Y189=0,Formulas!Y189="",RIGHT(Formulas!Z189)="0"),"",
HYPERLINK("["&amp;Archivo_Nombre&amp;"]Datos!"&amp;LEFT(SUBSTITUTE(ADDRESS(1,IF(Formulas!Y189=1,1,RIGHT(Formulas!Z189)+2)),"$",""))&amp;Formulas!X189+1,
IFERROR(INDEX(Datos!$A$1:$L$1,1,RIGHT(Formulas!Z189)+2)&amp;IF(Formulas!Y189=1," "&amp;Formulas!X189,"")&amp;":","")))</f>
        <v/>
      </c>
      <c r="X192" s="107" t="str" cm="1">
        <f t="array" aca="1" ref="X192" ca="1">IF(OR(Formulas!Y189=0,Formulas!Y189="",RIGHT(Formulas!Z189)="0"),"",
HYPERLINK("["&amp;Archivo_Nombre&amp;"]Datos!"&amp;LEFT(SUBSTITUTE(ADDRESS(1,RIGHT(Formulas!Z189)+2),"$",""))&amp;Formulas!X189+1,
IFERROR(INDEX(Datos!$A$2:$L$101,Formulas!X189,RIGHT(Formulas!Z189)+2),"")))</f>
        <v/>
      </c>
      <c r="Y192" s="107" t="str" cm="1">
        <f t="array" aca="1" ref="Y192" ca="1">IF(OR(Formulas!Z190=0,Formulas!Z190=""),"",HYPERLINK("["&amp;Archivo_Nombre&amp;"]Datos!"&amp;LEFT(SUBSTITUTE(ADDRESS(1,Formulas!Z190+2),"$",""))&amp;Formulas!Y190+1,
IFERROR(INDEX(Datos!$A$2:$L$101,Formulas!Y190,Formulas!Z190+2),"")))</f>
        <v/>
      </c>
      <c r="Z192" s="13"/>
      <c r="AA192" s="6"/>
      <c r="AB192" s="24" t="str" cm="1">
        <f t="array" aca="1" ref="AB192" ca="1">IF(OR(Formulas!AD189=0,Formulas!AD189="",RIGHT(Formulas!AE189)="0"),"",
HYPERLINK("["&amp;Archivo_Nombre&amp;"]Datos!"&amp;LEFT(SUBSTITUTE(ADDRESS(1,IF(Formulas!AD189=1,1,RIGHT(Formulas!AE189)+2)),"$",""))&amp;Formulas!AC189+1,
IFERROR(INDEX(Datos!$A$1:$L$1,1,RIGHT(Formulas!AE189)+2)&amp;IF(Formulas!AD189=1," "&amp;Formulas!AC189,"")&amp;":","")))</f>
        <v/>
      </c>
      <c r="AC192" s="107" t="str" cm="1">
        <f t="array" aca="1" ref="AC192" ca="1">IF(OR(Formulas!AD189=0,Formulas!AD189="",RIGHT(Formulas!AE189)="0"),"",
HYPERLINK("["&amp;Archivo_Nombre&amp;"]Datos!"&amp;LEFT(SUBSTITUTE(ADDRESS(1,RIGHT(Formulas!AE189)+2),"$",""))&amp;Formulas!AC189+1,
IFERROR(INDEX(Datos!$A$2:$L$101,Formulas!AC189,RIGHT(Formulas!AE189)+2),"")))</f>
        <v/>
      </c>
      <c r="AD192" s="107" t="str" cm="1">
        <f t="array" aca="1" ref="AD192" ca="1">IF(OR(Formulas!AE190=0,Formulas!AE190=""),"",HYPERLINK("["&amp;Archivo_Nombre&amp;"]Datos!"&amp;LEFT(SUBSTITUTE(ADDRESS(1,Formulas!AE190+2),"$",""))&amp;Formulas!AD190+1,
IFERROR(INDEX(Datos!$A$2:$L$101,Formulas!AD190,Formulas!AE190+2),"")))</f>
        <v/>
      </c>
      <c r="AE192" s="13"/>
      <c r="AF192" s="6"/>
      <c r="AG192" s="24" t="str" cm="1">
        <f t="array" aca="1" ref="AG192" ca="1">IF(OR(Formulas!AI189=0,Formulas!AI189="",RIGHT(Formulas!AJ189)="0"),"",
HYPERLINK("["&amp;Archivo_Nombre&amp;"]Datos!"&amp;LEFT(SUBSTITUTE(ADDRESS(1,IF(Formulas!AI189=1,1,RIGHT(Formulas!AJ189)+2)),"$",""))&amp;Formulas!AH189+1,
IFERROR(INDEX(Datos!$A$1:$L$1,1,RIGHT(Formulas!AJ189)+2)&amp;IF(Formulas!AI189=1," "&amp;Formulas!AH189,"")&amp;":","")))</f>
        <v/>
      </c>
      <c r="AH192" s="107" t="str" cm="1">
        <f t="array" aca="1" ref="AH192" ca="1">IF(OR(Formulas!AI189=0,Formulas!AI189="",RIGHT(Formulas!AJ189)="0"),"",
HYPERLINK("["&amp;Archivo_Nombre&amp;"]Datos!"&amp;LEFT(SUBSTITUTE(ADDRESS(1,RIGHT(Formulas!AJ189)+2),"$",""))&amp;Formulas!AH189+1,
IFERROR(INDEX(Datos!$A$2:$L$101,Formulas!AH189,RIGHT(Formulas!AJ189)+2),"")))</f>
        <v/>
      </c>
      <c r="AI192" s="107" t="str" cm="1">
        <f t="array" aca="1" ref="AI192" ca="1">IF(OR(Formulas!AJ190=0,Formulas!AJ190=""),"",HYPERLINK("["&amp;Archivo_Nombre&amp;"]Datos!"&amp;LEFT(SUBSTITUTE(ADDRESS(1,Formulas!AJ190+2),"$",""))&amp;Formulas!AI190+1,
IFERROR(INDEX(Datos!$A$2:$L$101,Formulas!AI190,Formulas!AJ190+2),"")))</f>
        <v/>
      </c>
      <c r="AJ192" s="13"/>
      <c r="AK192" s="6"/>
      <c r="AL192" s="24" t="str" cm="1">
        <f t="array" aca="1" ref="AL192" ca="1">IF(OR(Formulas!AN189=0,Formulas!AN189="",RIGHT(Formulas!AO189)="0"),"",
HYPERLINK("["&amp;Archivo_Nombre&amp;"]Datos!"&amp;LEFT(SUBSTITUTE(ADDRESS(1,IF(Formulas!AN189=1,1,RIGHT(Formulas!AO189)+2)),"$",""))&amp;Formulas!AM189+1,
IFERROR(INDEX(Datos!$A$1:$L$1,1,RIGHT(Formulas!AO189)+2)&amp;IF(Formulas!AN189=1," "&amp;Formulas!AM189,"")&amp;":","")))</f>
        <v/>
      </c>
      <c r="AM192" s="107" t="str" cm="1">
        <f t="array" aca="1" ref="AM192" ca="1">IF(OR(Formulas!AN189=0,Formulas!AN189="",RIGHT(Formulas!AO189)="0"),"",
HYPERLINK("["&amp;Archivo_Nombre&amp;"]Datos!"&amp;LEFT(SUBSTITUTE(ADDRESS(1,RIGHT(Formulas!AO189)+2),"$",""))&amp;Formulas!AM189+1,
IFERROR(INDEX(Datos!$A$2:$L$101,Formulas!AM189,RIGHT(Formulas!AO189)+2),"")))</f>
        <v/>
      </c>
      <c r="AN192" s="107" t="str" cm="1">
        <f t="array" aca="1" ref="AN192" ca="1">IF(OR(Formulas!AO190=0,Formulas!AO190=""),"",HYPERLINK("["&amp;Archivo_Nombre&amp;"]Datos!"&amp;LEFT(SUBSTITUTE(ADDRESS(1,Formulas!AO190+2),"$",""))&amp;Formulas!AN190+1,
IFERROR(INDEX(Datos!$A$2:$L$101,Formulas!AN190,Formulas!AO190+2),"")))</f>
        <v/>
      </c>
      <c r="AO192" s="13"/>
      <c r="AP192" s="6"/>
      <c r="AQ192" s="24" t="str" cm="1">
        <f t="array" aca="1" ref="AQ192" ca="1">IF(OR(Formulas!AS189=0,Formulas!AS189="",RIGHT(Formulas!AT189)="0"),"",
HYPERLINK("["&amp;Archivo_Nombre&amp;"]Datos!"&amp;LEFT(SUBSTITUTE(ADDRESS(1,IF(Formulas!AS189=1,1,RIGHT(Formulas!AT189)+2)),"$",""))&amp;Formulas!AR189+1,
IFERROR(INDEX(Datos!$A$1:$L$1,1,RIGHT(Formulas!AT189)+2)&amp;IF(Formulas!AS189=1," "&amp;Formulas!AR189,"")&amp;":","")))</f>
        <v/>
      </c>
      <c r="AR192" s="107" t="str" cm="1">
        <f t="array" aca="1" ref="AR192" ca="1">IF(OR(Formulas!AS189=0,Formulas!AS189="",RIGHT(Formulas!AT189)="0"),"",
HYPERLINK("["&amp;Archivo_Nombre&amp;"]Datos!"&amp;LEFT(SUBSTITUTE(ADDRESS(1,RIGHT(Formulas!AT189)+2),"$",""))&amp;Formulas!AR189+1,
IFERROR(INDEX(Datos!$A$2:$L$101,Formulas!AR189,RIGHT(Formulas!AT189)+2),"")))</f>
        <v/>
      </c>
      <c r="AS192" s="107" t="str" cm="1">
        <f t="array" aca="1" ref="AS192" ca="1">IF(OR(Formulas!AT190=0,Formulas!AT190=""),"",HYPERLINK("["&amp;Archivo_Nombre&amp;"]Datos!"&amp;LEFT(SUBSTITUTE(ADDRESS(1,Formulas!AT190+2),"$",""))&amp;Formulas!AS190+1,
IFERROR(INDEX(Datos!$A$2:$L$101,Formulas!AS190,Formulas!AT190+2),"")))</f>
        <v/>
      </c>
      <c r="AT192" s="13"/>
      <c r="AU192" s="6"/>
      <c r="AV192" s="24" t="str" cm="1">
        <f t="array" aca="1" ref="AV192" ca="1">IF(OR(Formulas!AX189=0,Formulas!AX189="",RIGHT(Formulas!AY189)="0"),"",
HYPERLINK("["&amp;Archivo_Nombre&amp;"]Datos!"&amp;LEFT(SUBSTITUTE(ADDRESS(1,IF(Formulas!AX189=1,1,RIGHT(Formulas!AY189)+2)),"$",""))&amp;Formulas!AW189+1,
IFERROR(INDEX(Datos!$A$1:$L$1,1,RIGHT(Formulas!AY189)+2)&amp;IF(Formulas!AX189=1," "&amp;Formulas!AW189,"")&amp;":","")))</f>
        <v/>
      </c>
      <c r="AW192" s="107" t="str" cm="1">
        <f t="array" aca="1" ref="AW192" ca="1">IF(OR(Formulas!AX189=0,Formulas!AX189="",RIGHT(Formulas!AY189)="0"),"",
HYPERLINK("["&amp;Archivo_Nombre&amp;"]Datos!"&amp;LEFT(SUBSTITUTE(ADDRESS(1,RIGHT(Formulas!AY189)+2),"$",""))&amp;Formulas!AW189+1,
IFERROR(INDEX(Datos!$A$2:$L$101,Formulas!AW189,RIGHT(Formulas!AY189)+2),"")))</f>
        <v/>
      </c>
      <c r="AX192" s="107" t="str" cm="1">
        <f t="array" aca="1" ref="AX192" ca="1">IF(OR(Formulas!AY190=0,Formulas!AY190=""),"",HYPERLINK("["&amp;Archivo_Nombre&amp;"]Datos!"&amp;LEFT(SUBSTITUTE(ADDRESS(1,Formulas!AY190+2),"$",""))&amp;Formulas!AX190+1,
IFERROR(INDEX(Datos!$A$2:$L$101,Formulas!AX190,Formulas!AY190+2),"")))</f>
        <v/>
      </c>
      <c r="AY192" s="13"/>
    </row>
    <row r="193" spans="2:51" x14ac:dyDescent="0.25">
      <c r="B193" s="11"/>
      <c r="C193" s="24" t="str" cm="1">
        <f t="array" aca="1" ref="C193" ca="1">IF(OR(Formulas!E190=0,Formulas!E190="",RIGHT(Formulas!F190)="0"),"",
HYPERLINK("["&amp;Archivo_Nombre&amp;"]Datos!"&amp;LEFT(SUBSTITUTE(ADDRESS(1,IF(Formulas!E190=1,1,RIGHT(Formulas!F190)+2)),"$",""))&amp;Formulas!D190+1,
IFERROR(INDEX(Datos!$A$1:$L$1,1,RIGHT(Formulas!F190)+2)&amp;IF(Formulas!E190=1," "&amp;Formulas!D190,"")&amp;":","")))</f>
        <v/>
      </c>
      <c r="D193" s="107" t="str" cm="1">
        <f t="array" aca="1" ref="D193" ca="1">IF(OR(Formulas!E190=0,Formulas!E190="",RIGHT(Formulas!F190)="0"),"",
HYPERLINK("["&amp;Archivo_Nombre&amp;"]Datos!"&amp;LEFT(SUBSTITUTE(ADDRESS(1,RIGHT(Formulas!F190)+2),"$",""))&amp;Formulas!D190+1,
IFERROR(INDEX(Datos!$A$2:$L$101,Formulas!D190,RIGHT(Formulas!F190)+2),"")))</f>
        <v/>
      </c>
      <c r="E193" s="107" t="str" cm="1">
        <f t="array" aca="1" ref="E193" ca="1">IF(OR(Formulas!F191=0,Formulas!F191=""),"",HYPERLINK("["&amp;Archivo_Nombre&amp;"]Datos!"&amp;LEFT(SUBSTITUTE(ADDRESS(1,Formulas!F191+2),"$",""))&amp;Formulas!E191+1,
IFERROR(INDEX(Datos!$A$2:$L$101,Formulas!E191,Formulas!F191+2),"")))</f>
        <v/>
      </c>
      <c r="F193" s="5"/>
      <c r="G193" s="6"/>
      <c r="H193" s="24" t="str" cm="1">
        <f t="array" aca="1" ref="H193" ca="1">IF(OR(Formulas!J190=0,Formulas!J190="",RIGHT(Formulas!K190)="0"),"",
HYPERLINK("["&amp;Archivo_Nombre&amp;"]Datos!"&amp;LEFT(SUBSTITUTE(ADDRESS(1,IF(Formulas!J190=1,1,RIGHT(Formulas!K190)+2)),"$",""))&amp;Formulas!I190+1,
IFERROR(INDEX(Datos!$A$1:$L$1,1,RIGHT(Formulas!K190)+2)&amp;IF(Formulas!J190=1," "&amp;Formulas!I190,"")&amp;":","")))</f>
        <v/>
      </c>
      <c r="I193" s="107" t="str" cm="1">
        <f t="array" aca="1" ref="I193" ca="1">IF(OR(Formulas!J190=0,Formulas!J190="",RIGHT(Formulas!K190)="0"),"",
HYPERLINK("["&amp;Archivo_Nombre&amp;"]Datos!"&amp;LEFT(SUBSTITUTE(ADDRESS(1,RIGHT(Formulas!K190)+2),"$",""))&amp;Formulas!I190+1,
IFERROR(INDEX(Datos!$A$2:$L$101,Formulas!I190,RIGHT(Formulas!K190)+2),"")))</f>
        <v/>
      </c>
      <c r="J193" s="107" t="str" cm="1">
        <f t="array" aca="1" ref="J193" ca="1">IF(OR(Formulas!K191=0,Formulas!K191=""),"",HYPERLINK("["&amp;Archivo_Nombre&amp;"]Datos!"&amp;LEFT(SUBSTITUTE(ADDRESS(1,Formulas!K191+2),"$",""))&amp;Formulas!J191+1,
IFERROR(INDEX(Datos!$A$2:$L$101,Formulas!J191,Formulas!K191+2),"")))</f>
        <v/>
      </c>
      <c r="K193" s="5"/>
      <c r="L193" s="6"/>
      <c r="M193" s="24" t="str" cm="1">
        <f t="array" aca="1" ref="M193" ca="1">IF(OR(Formulas!O190=0,Formulas!O190="",RIGHT(Formulas!P190)="0"),"",
HYPERLINK("["&amp;Archivo_Nombre&amp;"]Datos!"&amp;LEFT(SUBSTITUTE(ADDRESS(1,IF(Formulas!O190=1,1,RIGHT(Formulas!P190)+2)),"$",""))&amp;Formulas!N190+1,
IFERROR(INDEX(Datos!$A$1:$L$1,1,RIGHT(Formulas!P190)+2)&amp;IF(Formulas!O190=1," "&amp;Formulas!N190,"")&amp;":","")))</f>
        <v/>
      </c>
      <c r="N193" s="107" t="str" cm="1">
        <f t="array" aca="1" ref="N193" ca="1">IF(OR(Formulas!O190=0,Formulas!O190="",RIGHT(Formulas!P190)="0"),"",
HYPERLINK("["&amp;Archivo_Nombre&amp;"]Datos!"&amp;LEFT(SUBSTITUTE(ADDRESS(1,RIGHT(Formulas!P190)+2),"$",""))&amp;Formulas!N190+1,
IFERROR(INDEX(Datos!$A$2:$L$101,Formulas!N190,RIGHT(Formulas!P190)+2),"")))</f>
        <v/>
      </c>
      <c r="O193" s="107" t="str" cm="1">
        <f t="array" aca="1" ref="O193" ca="1">IF(OR(Formulas!P191=0,Formulas!P191=""),"",HYPERLINK("["&amp;Archivo_Nombre&amp;"]Datos!"&amp;LEFT(SUBSTITUTE(ADDRESS(1,Formulas!P191+2),"$",""))&amp;Formulas!O191+1,
IFERROR(INDEX(Datos!$A$2:$L$101,Formulas!O191,Formulas!P191+2),"")))</f>
        <v/>
      </c>
      <c r="P193" s="5"/>
      <c r="Q193" s="6"/>
      <c r="R193" s="24" t="str" cm="1">
        <f t="array" aca="1" ref="R193" ca="1">IF(OR(Formulas!T190=0,Formulas!T190="",RIGHT(Formulas!U190)="0"),"",
HYPERLINK("["&amp;Archivo_Nombre&amp;"]Datos!"&amp;LEFT(SUBSTITUTE(ADDRESS(1,IF(Formulas!T190=1,1,RIGHT(Formulas!U190)+2)),"$",""))&amp;Formulas!S190+1,
IFERROR(INDEX(Datos!$A$1:$L$1,1,RIGHT(Formulas!U190)+2)&amp;IF(Formulas!T190=1," "&amp;Formulas!S190,"")&amp;":","")))</f>
        <v>Retraso:</v>
      </c>
      <c r="S193" s="107" t="str" cm="1">
        <f t="array" aca="1" ref="S193" ca="1">IF(OR(Formulas!T190=0,Formulas!T190="",RIGHT(Formulas!U190)="0"),"",
HYPERLINK("["&amp;Archivo_Nombre&amp;"]Datos!"&amp;LEFT(SUBSTITUTE(ADDRESS(1,RIGHT(Formulas!U190)+2),"$",""))&amp;Formulas!S190+1,
IFERROR(INDEX(Datos!$A$2:$L$101,Formulas!S190,RIGHT(Formulas!U190)+2),"")))</f>
        <v>0 días</v>
      </c>
      <c r="T193" s="107" t="e" cm="1">
        <f t="array" aca="1" ref="T193" ca="1">IF(OR(Formulas!U191=0,Formulas!U191=""),"",HYPERLINK("["&amp;Archivo_Nombre&amp;"]Datos!"&amp;LEFT(SUBSTITUTE(ADDRESS(1,Formulas!U191+2),"$",""))&amp;Formulas!T191+1,
IFERROR(INDEX(Datos!$A$2:$L$101,Formulas!T191,Formulas!U191+2),"")))</f>
        <v>#VALUE!</v>
      </c>
      <c r="U193" s="5"/>
      <c r="V193" s="6"/>
      <c r="W193" s="24" t="str" cm="1">
        <f t="array" aca="1" ref="W193" ca="1">IF(OR(Formulas!Y190=0,Formulas!Y190="",RIGHT(Formulas!Z190)="0"),"",
HYPERLINK("["&amp;Archivo_Nombre&amp;"]Datos!"&amp;LEFT(SUBSTITUTE(ADDRESS(1,IF(Formulas!Y190=1,1,RIGHT(Formulas!Z190)+2)),"$",""))&amp;Formulas!X190+1,
IFERROR(INDEX(Datos!$A$1:$L$1,1,RIGHT(Formulas!Z190)+2)&amp;IF(Formulas!Y190=1," "&amp;Formulas!X190,"")&amp;":","")))</f>
        <v/>
      </c>
      <c r="X193" s="107" t="str" cm="1">
        <f t="array" aca="1" ref="X193" ca="1">IF(OR(Formulas!Y190=0,Formulas!Y190="",RIGHT(Formulas!Z190)="0"),"",
HYPERLINK("["&amp;Archivo_Nombre&amp;"]Datos!"&amp;LEFT(SUBSTITUTE(ADDRESS(1,RIGHT(Formulas!Z190)+2),"$",""))&amp;Formulas!X190+1,
IFERROR(INDEX(Datos!$A$2:$L$101,Formulas!X190,RIGHT(Formulas!Z190)+2),"")))</f>
        <v/>
      </c>
      <c r="Y193" s="107" t="str" cm="1">
        <f t="array" aca="1" ref="Y193" ca="1">IF(OR(Formulas!Z191=0,Formulas!Z191=""),"",HYPERLINK("["&amp;Archivo_Nombre&amp;"]Datos!"&amp;LEFT(SUBSTITUTE(ADDRESS(1,Formulas!Z191+2),"$",""))&amp;Formulas!Y191+1,
IFERROR(INDEX(Datos!$A$2:$L$101,Formulas!Y191,Formulas!Z191+2),"")))</f>
        <v/>
      </c>
      <c r="Z193" s="13"/>
      <c r="AA193" s="6"/>
      <c r="AB193" s="24" t="str" cm="1">
        <f t="array" aca="1" ref="AB193" ca="1">IF(OR(Formulas!AD190=0,Formulas!AD190="",RIGHT(Formulas!AE190)="0"),"",
HYPERLINK("["&amp;Archivo_Nombre&amp;"]Datos!"&amp;LEFT(SUBSTITUTE(ADDRESS(1,IF(Formulas!AD190=1,1,RIGHT(Formulas!AE190)+2)),"$",""))&amp;Formulas!AC190+1,
IFERROR(INDEX(Datos!$A$1:$L$1,1,RIGHT(Formulas!AE190)+2)&amp;IF(Formulas!AD190=1," "&amp;Formulas!AC190,"")&amp;":","")))</f>
        <v/>
      </c>
      <c r="AC193" s="107" t="str" cm="1">
        <f t="array" aca="1" ref="AC193" ca="1">IF(OR(Formulas!AD190=0,Formulas!AD190="",RIGHT(Formulas!AE190)="0"),"",
HYPERLINK("["&amp;Archivo_Nombre&amp;"]Datos!"&amp;LEFT(SUBSTITUTE(ADDRESS(1,RIGHT(Formulas!AE190)+2),"$",""))&amp;Formulas!AC190+1,
IFERROR(INDEX(Datos!$A$2:$L$101,Formulas!AC190,RIGHT(Formulas!AE190)+2),"")))</f>
        <v/>
      </c>
      <c r="AD193" s="107" t="str" cm="1">
        <f t="array" aca="1" ref="AD193" ca="1">IF(OR(Formulas!AE191=0,Formulas!AE191=""),"",HYPERLINK("["&amp;Archivo_Nombre&amp;"]Datos!"&amp;LEFT(SUBSTITUTE(ADDRESS(1,Formulas!AE191+2),"$",""))&amp;Formulas!AD191+1,
IFERROR(INDEX(Datos!$A$2:$L$101,Formulas!AD191,Formulas!AE191+2),"")))</f>
        <v/>
      </c>
      <c r="AE193" s="13"/>
      <c r="AF193" s="6"/>
      <c r="AG193" s="24" t="str" cm="1">
        <f t="array" aca="1" ref="AG193" ca="1">IF(OR(Formulas!AI190=0,Formulas!AI190="",RIGHT(Formulas!AJ190)="0"),"",
HYPERLINK("["&amp;Archivo_Nombre&amp;"]Datos!"&amp;LEFT(SUBSTITUTE(ADDRESS(1,IF(Formulas!AI190=1,1,RIGHT(Formulas!AJ190)+2)),"$",""))&amp;Formulas!AH190+1,
IFERROR(INDEX(Datos!$A$1:$L$1,1,RIGHT(Formulas!AJ190)+2)&amp;IF(Formulas!AI190=1," "&amp;Formulas!AH190,"")&amp;":","")))</f>
        <v/>
      </c>
      <c r="AH193" s="107" t="str" cm="1">
        <f t="array" aca="1" ref="AH193" ca="1">IF(OR(Formulas!AI190=0,Formulas!AI190="",RIGHT(Formulas!AJ190)="0"),"",
HYPERLINK("["&amp;Archivo_Nombre&amp;"]Datos!"&amp;LEFT(SUBSTITUTE(ADDRESS(1,RIGHT(Formulas!AJ190)+2),"$",""))&amp;Formulas!AH190+1,
IFERROR(INDEX(Datos!$A$2:$L$101,Formulas!AH190,RIGHT(Formulas!AJ190)+2),"")))</f>
        <v/>
      </c>
      <c r="AI193" s="107" t="str" cm="1">
        <f t="array" aca="1" ref="AI193" ca="1">IF(OR(Formulas!AJ191=0,Formulas!AJ191=""),"",HYPERLINK("["&amp;Archivo_Nombre&amp;"]Datos!"&amp;LEFT(SUBSTITUTE(ADDRESS(1,Formulas!AJ191+2),"$",""))&amp;Formulas!AI191+1,
IFERROR(INDEX(Datos!$A$2:$L$101,Formulas!AI191,Formulas!AJ191+2),"")))</f>
        <v/>
      </c>
      <c r="AJ193" s="13"/>
      <c r="AK193" s="6"/>
      <c r="AL193" s="24" t="str" cm="1">
        <f t="array" aca="1" ref="AL193" ca="1">IF(OR(Formulas!AN190=0,Formulas!AN190="",RIGHT(Formulas!AO190)="0"),"",
HYPERLINK("["&amp;Archivo_Nombre&amp;"]Datos!"&amp;LEFT(SUBSTITUTE(ADDRESS(1,IF(Formulas!AN190=1,1,RIGHT(Formulas!AO190)+2)),"$",""))&amp;Formulas!AM190+1,
IFERROR(INDEX(Datos!$A$1:$L$1,1,RIGHT(Formulas!AO190)+2)&amp;IF(Formulas!AN190=1," "&amp;Formulas!AM190,"")&amp;":","")))</f>
        <v/>
      </c>
      <c r="AM193" s="107" t="str" cm="1">
        <f t="array" aca="1" ref="AM193" ca="1">IF(OR(Formulas!AN190=0,Formulas!AN190="",RIGHT(Formulas!AO190)="0"),"",
HYPERLINK("["&amp;Archivo_Nombre&amp;"]Datos!"&amp;LEFT(SUBSTITUTE(ADDRESS(1,RIGHT(Formulas!AO190)+2),"$",""))&amp;Formulas!AM190+1,
IFERROR(INDEX(Datos!$A$2:$L$101,Formulas!AM190,RIGHT(Formulas!AO190)+2),"")))</f>
        <v/>
      </c>
      <c r="AN193" s="107" t="str" cm="1">
        <f t="array" aca="1" ref="AN193" ca="1">IF(OR(Formulas!AO191=0,Formulas!AO191=""),"",HYPERLINK("["&amp;Archivo_Nombre&amp;"]Datos!"&amp;LEFT(SUBSTITUTE(ADDRESS(1,Formulas!AO191+2),"$",""))&amp;Formulas!AN191+1,
IFERROR(INDEX(Datos!$A$2:$L$101,Formulas!AN191,Formulas!AO191+2),"")))</f>
        <v/>
      </c>
      <c r="AO193" s="13"/>
      <c r="AP193" s="6"/>
      <c r="AQ193" s="24" t="str" cm="1">
        <f t="array" aca="1" ref="AQ193" ca="1">IF(OR(Formulas!AS190=0,Formulas!AS190="",RIGHT(Formulas!AT190)="0"),"",
HYPERLINK("["&amp;Archivo_Nombre&amp;"]Datos!"&amp;LEFT(SUBSTITUTE(ADDRESS(1,IF(Formulas!AS190=1,1,RIGHT(Formulas!AT190)+2)),"$",""))&amp;Formulas!AR190+1,
IFERROR(INDEX(Datos!$A$1:$L$1,1,RIGHT(Formulas!AT190)+2)&amp;IF(Formulas!AS190=1," "&amp;Formulas!AR190,"")&amp;":","")))</f>
        <v/>
      </c>
      <c r="AR193" s="107" t="str" cm="1">
        <f t="array" aca="1" ref="AR193" ca="1">IF(OR(Formulas!AS190=0,Formulas!AS190="",RIGHT(Formulas!AT190)="0"),"",
HYPERLINK("["&amp;Archivo_Nombre&amp;"]Datos!"&amp;LEFT(SUBSTITUTE(ADDRESS(1,RIGHT(Formulas!AT190)+2),"$",""))&amp;Formulas!AR190+1,
IFERROR(INDEX(Datos!$A$2:$L$101,Formulas!AR190,RIGHT(Formulas!AT190)+2),"")))</f>
        <v/>
      </c>
      <c r="AS193" s="107" t="str" cm="1">
        <f t="array" aca="1" ref="AS193" ca="1">IF(OR(Formulas!AT191=0,Formulas!AT191=""),"",HYPERLINK("["&amp;Archivo_Nombre&amp;"]Datos!"&amp;LEFT(SUBSTITUTE(ADDRESS(1,Formulas!AT191+2),"$",""))&amp;Formulas!AS191+1,
IFERROR(INDEX(Datos!$A$2:$L$101,Formulas!AS191,Formulas!AT191+2),"")))</f>
        <v/>
      </c>
      <c r="AT193" s="13"/>
      <c r="AU193" s="6"/>
      <c r="AV193" s="24" t="str" cm="1">
        <f t="array" aca="1" ref="AV193" ca="1">IF(OR(Formulas!AX190=0,Formulas!AX190="",RIGHT(Formulas!AY190)="0"),"",
HYPERLINK("["&amp;Archivo_Nombre&amp;"]Datos!"&amp;LEFT(SUBSTITUTE(ADDRESS(1,IF(Formulas!AX190=1,1,RIGHT(Formulas!AY190)+2)),"$",""))&amp;Formulas!AW190+1,
IFERROR(INDEX(Datos!$A$1:$L$1,1,RIGHT(Formulas!AY190)+2)&amp;IF(Formulas!AX190=1," "&amp;Formulas!AW190,"")&amp;":","")))</f>
        <v/>
      </c>
      <c r="AW193" s="107" t="str" cm="1">
        <f t="array" aca="1" ref="AW193" ca="1">IF(OR(Formulas!AX190=0,Formulas!AX190="",RIGHT(Formulas!AY190)="0"),"",
HYPERLINK("["&amp;Archivo_Nombre&amp;"]Datos!"&amp;LEFT(SUBSTITUTE(ADDRESS(1,RIGHT(Formulas!AY190)+2),"$",""))&amp;Formulas!AW190+1,
IFERROR(INDEX(Datos!$A$2:$L$101,Formulas!AW190,RIGHT(Formulas!AY190)+2),"")))</f>
        <v/>
      </c>
      <c r="AX193" s="107" t="str" cm="1">
        <f t="array" aca="1" ref="AX193" ca="1">IF(OR(Formulas!AY191=0,Formulas!AY191=""),"",HYPERLINK("["&amp;Archivo_Nombre&amp;"]Datos!"&amp;LEFT(SUBSTITUTE(ADDRESS(1,Formulas!AY191+2),"$",""))&amp;Formulas!AX191+1,
IFERROR(INDEX(Datos!$A$2:$L$101,Formulas!AX191,Formulas!AY191+2),"")))</f>
        <v/>
      </c>
      <c r="AY193" s="13"/>
    </row>
    <row r="194" spans="2:51" x14ac:dyDescent="0.25">
      <c r="B194" s="11"/>
      <c r="C194" s="24" t="str" cm="1">
        <f t="array" aca="1" ref="C194" ca="1">IF(OR(Formulas!E191=0,Formulas!E191="",RIGHT(Formulas!F191)="0"),"",
HYPERLINK("["&amp;Archivo_Nombre&amp;"]Datos!"&amp;LEFT(SUBSTITUTE(ADDRESS(1,IF(Formulas!E191=1,1,RIGHT(Formulas!F191)+2)),"$",""))&amp;Formulas!D191+1,
IFERROR(INDEX(Datos!$A$1:$L$1,1,RIGHT(Formulas!F191)+2)&amp;IF(Formulas!E191=1," "&amp;Formulas!D191,"")&amp;":","")))</f>
        <v/>
      </c>
      <c r="D194" s="107" t="str" cm="1">
        <f t="array" aca="1" ref="D194" ca="1">IF(OR(Formulas!E191=0,Formulas!E191="",RIGHT(Formulas!F191)="0"),"",
HYPERLINK("["&amp;Archivo_Nombre&amp;"]Datos!"&amp;LEFT(SUBSTITUTE(ADDRESS(1,RIGHT(Formulas!F191)+2),"$",""))&amp;Formulas!D191+1,
IFERROR(INDEX(Datos!$A$2:$L$101,Formulas!D191,RIGHT(Formulas!F191)+2),"")))</f>
        <v/>
      </c>
      <c r="E194" s="107" t="str" cm="1">
        <f t="array" aca="1" ref="E194" ca="1">IF(OR(Formulas!F192=0,Formulas!F192=""),"",HYPERLINK("["&amp;Archivo_Nombre&amp;"]Datos!"&amp;LEFT(SUBSTITUTE(ADDRESS(1,Formulas!F192+2),"$",""))&amp;Formulas!E192+1,
IFERROR(INDEX(Datos!$A$2:$L$101,Formulas!E192,Formulas!F192+2),"")))</f>
        <v/>
      </c>
      <c r="F194" s="5"/>
      <c r="G194" s="6"/>
      <c r="H194" s="24" t="str" cm="1">
        <f t="array" aca="1" ref="H194" ca="1">IF(OR(Formulas!J191=0,Formulas!J191="",RIGHT(Formulas!K191)="0"),"",
HYPERLINK("["&amp;Archivo_Nombre&amp;"]Datos!"&amp;LEFT(SUBSTITUTE(ADDRESS(1,IF(Formulas!J191=1,1,RIGHT(Formulas!K191)+2)),"$",""))&amp;Formulas!I191+1,
IFERROR(INDEX(Datos!$A$1:$L$1,1,RIGHT(Formulas!K191)+2)&amp;IF(Formulas!J191=1," "&amp;Formulas!I191,"")&amp;":","")))</f>
        <v/>
      </c>
      <c r="I194" s="107" t="str" cm="1">
        <f t="array" aca="1" ref="I194" ca="1">IF(OR(Formulas!J191=0,Formulas!J191="",RIGHT(Formulas!K191)="0"),"",
HYPERLINK("["&amp;Archivo_Nombre&amp;"]Datos!"&amp;LEFT(SUBSTITUTE(ADDRESS(1,RIGHT(Formulas!K191)+2),"$",""))&amp;Formulas!I191+1,
IFERROR(INDEX(Datos!$A$2:$L$101,Formulas!I191,RIGHT(Formulas!K191)+2),"")))</f>
        <v/>
      </c>
      <c r="J194" s="107" t="str" cm="1">
        <f t="array" aca="1" ref="J194" ca="1">IF(OR(Formulas!K192=0,Formulas!K192=""),"",HYPERLINK("["&amp;Archivo_Nombre&amp;"]Datos!"&amp;LEFT(SUBSTITUTE(ADDRESS(1,Formulas!K192+2),"$",""))&amp;Formulas!J192+1,
IFERROR(INDEX(Datos!$A$2:$L$101,Formulas!J192,Formulas!K192+2),"")))</f>
        <v/>
      </c>
      <c r="K194" s="5"/>
      <c r="L194" s="6"/>
      <c r="M194" s="24" t="str" cm="1">
        <f t="array" aca="1" ref="M194" ca="1">IF(OR(Formulas!O191=0,Formulas!O191="",RIGHT(Formulas!P191)="0"),"",
HYPERLINK("["&amp;Archivo_Nombre&amp;"]Datos!"&amp;LEFT(SUBSTITUTE(ADDRESS(1,IF(Formulas!O191=1,1,RIGHT(Formulas!P191)+2)),"$",""))&amp;Formulas!N191+1,
IFERROR(INDEX(Datos!$A$1:$L$1,1,RIGHT(Formulas!P191)+2)&amp;IF(Formulas!O191=1," "&amp;Formulas!N191,"")&amp;":","")))</f>
        <v/>
      </c>
      <c r="N194" s="107" t="str" cm="1">
        <f t="array" aca="1" ref="N194" ca="1">IF(OR(Formulas!O191=0,Formulas!O191="",RIGHT(Formulas!P191)="0"),"",
HYPERLINK("["&amp;Archivo_Nombre&amp;"]Datos!"&amp;LEFT(SUBSTITUTE(ADDRESS(1,RIGHT(Formulas!P191)+2),"$",""))&amp;Formulas!N191+1,
IFERROR(INDEX(Datos!$A$2:$L$101,Formulas!N191,RIGHT(Formulas!P191)+2),"")))</f>
        <v/>
      </c>
      <c r="O194" s="107" t="str" cm="1">
        <f t="array" aca="1" ref="O194" ca="1">IF(OR(Formulas!P192=0,Formulas!P192=""),"",HYPERLINK("["&amp;Archivo_Nombre&amp;"]Datos!"&amp;LEFT(SUBSTITUTE(ADDRESS(1,Formulas!P192+2),"$",""))&amp;Formulas!O192+1,
IFERROR(INDEX(Datos!$A$2:$L$101,Formulas!O192,Formulas!P192+2),"")))</f>
        <v/>
      </c>
      <c r="P194" s="5"/>
      <c r="Q194" s="6"/>
      <c r="R194" s="24" t="str" cm="1">
        <f t="array" aca="1" ref="R194" ca="1">IF(OR(Formulas!T191=0,Formulas!T191="",RIGHT(Formulas!U191)="0"),"",
HYPERLINK("["&amp;Archivo_Nombre&amp;"]Datos!"&amp;LEFT(SUBSTITUTE(ADDRESS(1,IF(Formulas!T191=1,1,RIGHT(Formulas!U191)+2)),"$",""))&amp;Formulas!S191+1,
IFERROR(INDEX(Datos!$A$1:$L$1,1,RIGHT(Formulas!U191)+2)&amp;IF(Formulas!T191=1," "&amp;Formulas!S191,"")&amp;":","")))</f>
        <v/>
      </c>
      <c r="S194" s="107" t="str" cm="1">
        <f t="array" aca="1" ref="S194" ca="1">IF(OR(Formulas!T191=0,Formulas!T191="",RIGHT(Formulas!U191)="0"),"",
HYPERLINK("["&amp;Archivo_Nombre&amp;"]Datos!"&amp;LEFT(SUBSTITUTE(ADDRESS(1,RIGHT(Formulas!U191)+2),"$",""))&amp;Formulas!S191+1,
IFERROR(INDEX(Datos!$A$2:$L$101,Formulas!S191,RIGHT(Formulas!U191)+2),"")))</f>
        <v/>
      </c>
      <c r="T194" s="107" t="str" cm="1">
        <f t="array" aca="1" ref="T194" ca="1">IF(OR(Formulas!U192=0,Formulas!U192=""),"",HYPERLINK("["&amp;Archivo_Nombre&amp;"]Datos!"&amp;LEFT(SUBSTITUTE(ADDRESS(1,Formulas!U192+2),"$",""))&amp;Formulas!T192+1,
IFERROR(INDEX(Datos!$A$2:$L$101,Formulas!T192,Formulas!U192+2),"")))</f>
        <v/>
      </c>
      <c r="U194" s="5"/>
      <c r="V194" s="6"/>
      <c r="W194" s="24" t="str" cm="1">
        <f t="array" aca="1" ref="W194" ca="1">IF(OR(Formulas!Y191=0,Formulas!Y191="",RIGHT(Formulas!Z191)="0"),"",
HYPERLINK("["&amp;Archivo_Nombre&amp;"]Datos!"&amp;LEFT(SUBSTITUTE(ADDRESS(1,IF(Formulas!Y191=1,1,RIGHT(Formulas!Z191)+2)),"$",""))&amp;Formulas!X191+1,
IFERROR(INDEX(Datos!$A$1:$L$1,1,RIGHT(Formulas!Z191)+2)&amp;IF(Formulas!Y191=1," "&amp;Formulas!X191,"")&amp;":","")))</f>
        <v/>
      </c>
      <c r="X194" s="107" t="str" cm="1">
        <f t="array" aca="1" ref="X194" ca="1">IF(OR(Formulas!Y191=0,Formulas!Y191="",RIGHT(Formulas!Z191)="0"),"",
HYPERLINK("["&amp;Archivo_Nombre&amp;"]Datos!"&amp;LEFT(SUBSTITUTE(ADDRESS(1,RIGHT(Formulas!Z191)+2),"$",""))&amp;Formulas!X191+1,
IFERROR(INDEX(Datos!$A$2:$L$101,Formulas!X191,RIGHT(Formulas!Z191)+2),"")))</f>
        <v/>
      </c>
      <c r="Y194" s="107" t="str" cm="1">
        <f t="array" aca="1" ref="Y194" ca="1">IF(OR(Formulas!Z192=0,Formulas!Z192=""),"",HYPERLINK("["&amp;Archivo_Nombre&amp;"]Datos!"&amp;LEFT(SUBSTITUTE(ADDRESS(1,Formulas!Z192+2),"$",""))&amp;Formulas!Y192+1,
IFERROR(INDEX(Datos!$A$2:$L$101,Formulas!Y192,Formulas!Z192+2),"")))</f>
        <v/>
      </c>
      <c r="Z194" s="13"/>
      <c r="AA194" s="6"/>
      <c r="AB194" s="24" t="str" cm="1">
        <f t="array" aca="1" ref="AB194" ca="1">IF(OR(Formulas!AD191=0,Formulas!AD191="",RIGHT(Formulas!AE191)="0"),"",
HYPERLINK("["&amp;Archivo_Nombre&amp;"]Datos!"&amp;LEFT(SUBSTITUTE(ADDRESS(1,IF(Formulas!AD191=1,1,RIGHT(Formulas!AE191)+2)),"$",""))&amp;Formulas!AC191+1,
IFERROR(INDEX(Datos!$A$1:$L$1,1,RIGHT(Formulas!AE191)+2)&amp;IF(Formulas!AD191=1," "&amp;Formulas!AC191,"")&amp;":","")))</f>
        <v/>
      </c>
      <c r="AC194" s="107" t="str" cm="1">
        <f t="array" aca="1" ref="AC194" ca="1">IF(OR(Formulas!AD191=0,Formulas!AD191="",RIGHT(Formulas!AE191)="0"),"",
HYPERLINK("["&amp;Archivo_Nombre&amp;"]Datos!"&amp;LEFT(SUBSTITUTE(ADDRESS(1,RIGHT(Formulas!AE191)+2),"$",""))&amp;Formulas!AC191+1,
IFERROR(INDEX(Datos!$A$2:$L$101,Formulas!AC191,RIGHT(Formulas!AE191)+2),"")))</f>
        <v/>
      </c>
      <c r="AD194" s="107" t="str" cm="1">
        <f t="array" aca="1" ref="AD194" ca="1">IF(OR(Formulas!AE192=0,Formulas!AE192=""),"",HYPERLINK("["&amp;Archivo_Nombre&amp;"]Datos!"&amp;LEFT(SUBSTITUTE(ADDRESS(1,Formulas!AE192+2),"$",""))&amp;Formulas!AD192+1,
IFERROR(INDEX(Datos!$A$2:$L$101,Formulas!AD192,Formulas!AE192+2),"")))</f>
        <v/>
      </c>
      <c r="AE194" s="13"/>
      <c r="AF194" s="6"/>
      <c r="AG194" s="24" t="str" cm="1">
        <f t="array" aca="1" ref="AG194" ca="1">IF(OR(Formulas!AI191=0,Formulas!AI191="",RIGHT(Formulas!AJ191)="0"),"",
HYPERLINK("["&amp;Archivo_Nombre&amp;"]Datos!"&amp;LEFT(SUBSTITUTE(ADDRESS(1,IF(Formulas!AI191=1,1,RIGHT(Formulas!AJ191)+2)),"$",""))&amp;Formulas!AH191+1,
IFERROR(INDEX(Datos!$A$1:$L$1,1,RIGHT(Formulas!AJ191)+2)&amp;IF(Formulas!AI191=1," "&amp;Formulas!AH191,"")&amp;":","")))</f>
        <v/>
      </c>
      <c r="AH194" s="107" t="str" cm="1">
        <f t="array" aca="1" ref="AH194" ca="1">IF(OR(Formulas!AI191=0,Formulas!AI191="",RIGHT(Formulas!AJ191)="0"),"",
HYPERLINK("["&amp;Archivo_Nombre&amp;"]Datos!"&amp;LEFT(SUBSTITUTE(ADDRESS(1,RIGHT(Formulas!AJ191)+2),"$",""))&amp;Formulas!AH191+1,
IFERROR(INDEX(Datos!$A$2:$L$101,Formulas!AH191,RIGHT(Formulas!AJ191)+2),"")))</f>
        <v/>
      </c>
      <c r="AI194" s="107" t="str" cm="1">
        <f t="array" aca="1" ref="AI194" ca="1">IF(OR(Formulas!AJ192=0,Formulas!AJ192=""),"",HYPERLINK("["&amp;Archivo_Nombre&amp;"]Datos!"&amp;LEFT(SUBSTITUTE(ADDRESS(1,Formulas!AJ192+2),"$",""))&amp;Formulas!AI192+1,
IFERROR(INDEX(Datos!$A$2:$L$101,Formulas!AI192,Formulas!AJ192+2),"")))</f>
        <v/>
      </c>
      <c r="AJ194" s="13"/>
      <c r="AK194" s="6"/>
      <c r="AL194" s="24" t="str" cm="1">
        <f t="array" aca="1" ref="AL194" ca="1">IF(OR(Formulas!AN191=0,Formulas!AN191="",RIGHT(Formulas!AO191)="0"),"",
HYPERLINK("["&amp;Archivo_Nombre&amp;"]Datos!"&amp;LEFT(SUBSTITUTE(ADDRESS(1,IF(Formulas!AN191=1,1,RIGHT(Formulas!AO191)+2)),"$",""))&amp;Formulas!AM191+1,
IFERROR(INDEX(Datos!$A$1:$L$1,1,RIGHT(Formulas!AO191)+2)&amp;IF(Formulas!AN191=1," "&amp;Formulas!AM191,"")&amp;":","")))</f>
        <v/>
      </c>
      <c r="AM194" s="107" t="str" cm="1">
        <f t="array" aca="1" ref="AM194" ca="1">IF(OR(Formulas!AN191=0,Formulas!AN191="",RIGHT(Formulas!AO191)="0"),"",
HYPERLINK("["&amp;Archivo_Nombre&amp;"]Datos!"&amp;LEFT(SUBSTITUTE(ADDRESS(1,RIGHT(Formulas!AO191)+2),"$",""))&amp;Formulas!AM191+1,
IFERROR(INDEX(Datos!$A$2:$L$101,Formulas!AM191,RIGHT(Formulas!AO191)+2),"")))</f>
        <v/>
      </c>
      <c r="AN194" s="107" t="str" cm="1">
        <f t="array" aca="1" ref="AN194" ca="1">IF(OR(Formulas!AO192=0,Formulas!AO192=""),"",HYPERLINK("["&amp;Archivo_Nombre&amp;"]Datos!"&amp;LEFT(SUBSTITUTE(ADDRESS(1,Formulas!AO192+2),"$",""))&amp;Formulas!AN192+1,
IFERROR(INDEX(Datos!$A$2:$L$101,Formulas!AN192,Formulas!AO192+2),"")))</f>
        <v/>
      </c>
      <c r="AO194" s="13"/>
      <c r="AP194" s="6"/>
      <c r="AQ194" s="24" t="str" cm="1">
        <f t="array" aca="1" ref="AQ194" ca="1">IF(OR(Formulas!AS191=0,Formulas!AS191="",RIGHT(Formulas!AT191)="0"),"",
HYPERLINK("["&amp;Archivo_Nombre&amp;"]Datos!"&amp;LEFT(SUBSTITUTE(ADDRESS(1,IF(Formulas!AS191=1,1,RIGHT(Formulas!AT191)+2)),"$",""))&amp;Formulas!AR191+1,
IFERROR(INDEX(Datos!$A$1:$L$1,1,RIGHT(Formulas!AT191)+2)&amp;IF(Formulas!AS191=1," "&amp;Formulas!AR191,"")&amp;":","")))</f>
        <v/>
      </c>
      <c r="AR194" s="107" t="str" cm="1">
        <f t="array" aca="1" ref="AR194" ca="1">IF(OR(Formulas!AS191=0,Formulas!AS191="",RIGHT(Formulas!AT191)="0"),"",
HYPERLINK("["&amp;Archivo_Nombre&amp;"]Datos!"&amp;LEFT(SUBSTITUTE(ADDRESS(1,RIGHT(Formulas!AT191)+2),"$",""))&amp;Formulas!AR191+1,
IFERROR(INDEX(Datos!$A$2:$L$101,Formulas!AR191,RIGHT(Formulas!AT191)+2),"")))</f>
        <v/>
      </c>
      <c r="AS194" s="107" t="str" cm="1">
        <f t="array" aca="1" ref="AS194" ca="1">IF(OR(Formulas!AT192=0,Formulas!AT192=""),"",HYPERLINK("["&amp;Archivo_Nombre&amp;"]Datos!"&amp;LEFT(SUBSTITUTE(ADDRESS(1,Formulas!AT192+2),"$",""))&amp;Formulas!AS192+1,
IFERROR(INDEX(Datos!$A$2:$L$101,Formulas!AS192,Formulas!AT192+2),"")))</f>
        <v/>
      </c>
      <c r="AT194" s="13"/>
      <c r="AU194" s="6"/>
      <c r="AV194" s="24" t="str" cm="1">
        <f t="array" aca="1" ref="AV194" ca="1">IF(OR(Formulas!AX191=0,Formulas!AX191="",RIGHT(Formulas!AY191)="0"),"",
HYPERLINK("["&amp;Archivo_Nombre&amp;"]Datos!"&amp;LEFT(SUBSTITUTE(ADDRESS(1,IF(Formulas!AX191=1,1,RIGHT(Formulas!AY191)+2)),"$",""))&amp;Formulas!AW191+1,
IFERROR(INDEX(Datos!$A$1:$L$1,1,RIGHT(Formulas!AY191)+2)&amp;IF(Formulas!AX191=1," "&amp;Formulas!AW191,"")&amp;":","")))</f>
        <v/>
      </c>
      <c r="AW194" s="107" t="str" cm="1">
        <f t="array" aca="1" ref="AW194" ca="1">IF(OR(Formulas!AX191=0,Formulas!AX191="",RIGHT(Formulas!AY191)="0"),"",
HYPERLINK("["&amp;Archivo_Nombre&amp;"]Datos!"&amp;LEFT(SUBSTITUTE(ADDRESS(1,RIGHT(Formulas!AY191)+2),"$",""))&amp;Formulas!AW191+1,
IFERROR(INDEX(Datos!$A$2:$L$101,Formulas!AW191,RIGHT(Formulas!AY191)+2),"")))</f>
        <v/>
      </c>
      <c r="AX194" s="107" t="str" cm="1">
        <f t="array" aca="1" ref="AX194" ca="1">IF(OR(Formulas!AY192=0,Formulas!AY192=""),"",HYPERLINK("["&amp;Archivo_Nombre&amp;"]Datos!"&amp;LEFT(SUBSTITUTE(ADDRESS(1,Formulas!AY192+2),"$",""))&amp;Formulas!AX192+1,
IFERROR(INDEX(Datos!$A$2:$L$101,Formulas!AX192,Formulas!AY192+2),"")))</f>
        <v/>
      </c>
      <c r="AY194" s="13"/>
    </row>
    <row r="195" spans="2:51" x14ac:dyDescent="0.25">
      <c r="B195" s="11"/>
      <c r="C195" s="24" t="str" cm="1">
        <f t="array" aca="1" ref="C195" ca="1">IF(OR(Formulas!E192=0,Formulas!E192="",RIGHT(Formulas!F192)="0"),"",
HYPERLINK("["&amp;Archivo_Nombre&amp;"]Datos!"&amp;LEFT(SUBSTITUTE(ADDRESS(1,IF(Formulas!E192=1,1,RIGHT(Formulas!F192)+2)),"$",""))&amp;Formulas!D192+1,
IFERROR(INDEX(Datos!$A$1:$L$1,1,RIGHT(Formulas!F192)+2)&amp;IF(Formulas!E192=1," "&amp;Formulas!D192,"")&amp;":","")))</f>
        <v/>
      </c>
      <c r="D195" s="107" t="str" cm="1">
        <f t="array" aca="1" ref="D195" ca="1">IF(OR(Formulas!E192=0,Formulas!E192="",RIGHT(Formulas!F192)="0"),"",
HYPERLINK("["&amp;Archivo_Nombre&amp;"]Datos!"&amp;LEFT(SUBSTITUTE(ADDRESS(1,RIGHT(Formulas!F192)+2),"$",""))&amp;Formulas!D192+1,
IFERROR(INDEX(Datos!$A$2:$L$101,Formulas!D192,RIGHT(Formulas!F192)+2),"")))</f>
        <v/>
      </c>
      <c r="E195" s="107" t="str" cm="1">
        <f t="array" aca="1" ref="E195" ca="1">IF(OR(Formulas!F193=0,Formulas!F193=""),"",HYPERLINK("["&amp;Archivo_Nombre&amp;"]Datos!"&amp;LEFT(SUBSTITUTE(ADDRESS(1,Formulas!F193+2),"$",""))&amp;Formulas!E193+1,
IFERROR(INDEX(Datos!$A$2:$L$101,Formulas!E193,Formulas!F193+2),"")))</f>
        <v/>
      </c>
      <c r="F195" s="5"/>
      <c r="G195" s="6"/>
      <c r="H195" s="24" t="str" cm="1">
        <f t="array" aca="1" ref="H195" ca="1">IF(OR(Formulas!J192=0,Formulas!J192="",RIGHT(Formulas!K192)="0"),"",
HYPERLINK("["&amp;Archivo_Nombre&amp;"]Datos!"&amp;LEFT(SUBSTITUTE(ADDRESS(1,IF(Formulas!J192=1,1,RIGHT(Formulas!K192)+2)),"$",""))&amp;Formulas!I192+1,
IFERROR(INDEX(Datos!$A$1:$L$1,1,RIGHT(Formulas!K192)+2)&amp;IF(Formulas!J192=1," "&amp;Formulas!I192,"")&amp;":","")))</f>
        <v/>
      </c>
      <c r="I195" s="107" t="str" cm="1">
        <f t="array" aca="1" ref="I195" ca="1">IF(OR(Formulas!J192=0,Formulas!J192="",RIGHT(Formulas!K192)="0"),"",
HYPERLINK("["&amp;Archivo_Nombre&amp;"]Datos!"&amp;LEFT(SUBSTITUTE(ADDRESS(1,RIGHT(Formulas!K192)+2),"$",""))&amp;Formulas!I192+1,
IFERROR(INDEX(Datos!$A$2:$L$101,Formulas!I192,RIGHT(Formulas!K192)+2),"")))</f>
        <v/>
      </c>
      <c r="J195" s="107" t="str" cm="1">
        <f t="array" aca="1" ref="J195" ca="1">IF(OR(Formulas!K193=0,Formulas!K193=""),"",HYPERLINK("["&amp;Archivo_Nombre&amp;"]Datos!"&amp;LEFT(SUBSTITUTE(ADDRESS(1,Formulas!K193+2),"$",""))&amp;Formulas!J193+1,
IFERROR(INDEX(Datos!$A$2:$L$101,Formulas!J193,Formulas!K193+2),"")))</f>
        <v/>
      </c>
      <c r="K195" s="5"/>
      <c r="L195" s="6"/>
      <c r="M195" s="24" t="str" cm="1">
        <f t="array" aca="1" ref="M195" ca="1">IF(OR(Formulas!O192=0,Formulas!O192="",RIGHT(Formulas!P192)="0"),"",
HYPERLINK("["&amp;Archivo_Nombre&amp;"]Datos!"&amp;LEFT(SUBSTITUTE(ADDRESS(1,IF(Formulas!O192=1,1,RIGHT(Formulas!P192)+2)),"$",""))&amp;Formulas!N192+1,
IFERROR(INDEX(Datos!$A$1:$L$1,1,RIGHT(Formulas!P192)+2)&amp;IF(Formulas!O192=1," "&amp;Formulas!N192,"")&amp;":","")))</f>
        <v/>
      </c>
      <c r="N195" s="107" t="str" cm="1">
        <f t="array" aca="1" ref="N195" ca="1">IF(OR(Formulas!O192=0,Formulas!O192="",RIGHT(Formulas!P192)="0"),"",
HYPERLINK("["&amp;Archivo_Nombre&amp;"]Datos!"&amp;LEFT(SUBSTITUTE(ADDRESS(1,RIGHT(Formulas!P192)+2),"$",""))&amp;Formulas!N192+1,
IFERROR(INDEX(Datos!$A$2:$L$101,Formulas!N192,RIGHT(Formulas!P192)+2),"")))</f>
        <v/>
      </c>
      <c r="O195" s="107" t="str" cm="1">
        <f t="array" aca="1" ref="O195" ca="1">IF(OR(Formulas!P193=0,Formulas!P193=""),"",HYPERLINK("["&amp;Archivo_Nombre&amp;"]Datos!"&amp;LEFT(SUBSTITUTE(ADDRESS(1,Formulas!P193+2),"$",""))&amp;Formulas!O193+1,
IFERROR(INDEX(Datos!$A$2:$L$101,Formulas!O193,Formulas!P193+2),"")))</f>
        <v/>
      </c>
      <c r="P195" s="5"/>
      <c r="Q195" s="6"/>
      <c r="R195" s="24" t="str" cm="1">
        <f t="array" aca="1" ref="R195" ca="1">IF(OR(Formulas!T192=0,Formulas!T192="",RIGHT(Formulas!U192)="0"),"",
HYPERLINK("["&amp;Archivo_Nombre&amp;"]Datos!"&amp;LEFT(SUBSTITUTE(ADDRESS(1,IF(Formulas!T192=1,1,RIGHT(Formulas!U192)+2)),"$",""))&amp;Formulas!S192+1,
IFERROR(INDEX(Datos!$A$1:$L$1,1,RIGHT(Formulas!U192)+2)&amp;IF(Formulas!T192=1," "&amp;Formulas!S192,"")&amp;":","")))</f>
        <v/>
      </c>
      <c r="S195" s="107" t="str" cm="1">
        <f t="array" aca="1" ref="S195" ca="1">IF(OR(Formulas!T192=0,Formulas!T192="",RIGHT(Formulas!U192)="0"),"",
HYPERLINK("["&amp;Archivo_Nombre&amp;"]Datos!"&amp;LEFT(SUBSTITUTE(ADDRESS(1,RIGHT(Formulas!U192)+2),"$",""))&amp;Formulas!S192+1,
IFERROR(INDEX(Datos!$A$2:$L$101,Formulas!S192,RIGHT(Formulas!U192)+2),"")))</f>
        <v/>
      </c>
      <c r="T195" s="107" t="e" cm="1">
        <f t="array" aca="1" ref="T195" ca="1">IF(OR(Formulas!U193=0,Formulas!U193=""),"",HYPERLINK("["&amp;Archivo_Nombre&amp;"]Datos!"&amp;LEFT(SUBSTITUTE(ADDRESS(1,Formulas!U193+2),"$",""))&amp;Formulas!T193+1,
IFERROR(INDEX(Datos!$A$2:$L$101,Formulas!T193,Formulas!U193+2),"")))</f>
        <v>#VALUE!</v>
      </c>
      <c r="U195" s="5"/>
      <c r="V195" s="6"/>
      <c r="W195" s="24" t="str" cm="1">
        <f t="array" aca="1" ref="W195" ca="1">IF(OR(Formulas!Y192=0,Formulas!Y192="",RIGHT(Formulas!Z192)="0"),"",
HYPERLINK("["&amp;Archivo_Nombre&amp;"]Datos!"&amp;LEFT(SUBSTITUTE(ADDRESS(1,IF(Formulas!Y192=1,1,RIGHT(Formulas!Z192)+2)),"$",""))&amp;Formulas!X192+1,
IFERROR(INDEX(Datos!$A$1:$L$1,1,RIGHT(Formulas!Z192)+2)&amp;IF(Formulas!Y192=1," "&amp;Formulas!X192,"")&amp;":","")))</f>
        <v/>
      </c>
      <c r="X195" s="107" t="str" cm="1">
        <f t="array" aca="1" ref="X195" ca="1">IF(OR(Formulas!Y192=0,Formulas!Y192="",RIGHT(Formulas!Z192)="0"),"",
HYPERLINK("["&amp;Archivo_Nombre&amp;"]Datos!"&amp;LEFT(SUBSTITUTE(ADDRESS(1,RIGHT(Formulas!Z192)+2),"$",""))&amp;Formulas!X192+1,
IFERROR(INDEX(Datos!$A$2:$L$101,Formulas!X192,RIGHT(Formulas!Z192)+2),"")))</f>
        <v/>
      </c>
      <c r="Y195" s="107" t="str" cm="1">
        <f t="array" aca="1" ref="Y195" ca="1">IF(OR(Formulas!Z193=0,Formulas!Z193=""),"",HYPERLINK("["&amp;Archivo_Nombre&amp;"]Datos!"&amp;LEFT(SUBSTITUTE(ADDRESS(1,Formulas!Z193+2),"$",""))&amp;Formulas!Y193+1,
IFERROR(INDEX(Datos!$A$2:$L$101,Formulas!Y193,Formulas!Z193+2),"")))</f>
        <v/>
      </c>
      <c r="Z195" s="13"/>
      <c r="AA195" s="6"/>
      <c r="AB195" s="24" t="str" cm="1">
        <f t="array" aca="1" ref="AB195" ca="1">IF(OR(Formulas!AD192=0,Formulas!AD192="",RIGHT(Formulas!AE192)="0"),"",
HYPERLINK("["&amp;Archivo_Nombre&amp;"]Datos!"&amp;LEFT(SUBSTITUTE(ADDRESS(1,IF(Formulas!AD192=1,1,RIGHT(Formulas!AE192)+2)),"$",""))&amp;Formulas!AC192+1,
IFERROR(INDEX(Datos!$A$1:$L$1,1,RIGHT(Formulas!AE192)+2)&amp;IF(Formulas!AD192=1," "&amp;Formulas!AC192,"")&amp;":","")))</f>
        <v/>
      </c>
      <c r="AC195" s="107" t="str" cm="1">
        <f t="array" aca="1" ref="AC195" ca="1">IF(OR(Formulas!AD192=0,Formulas!AD192="",RIGHT(Formulas!AE192)="0"),"",
HYPERLINK("["&amp;Archivo_Nombre&amp;"]Datos!"&amp;LEFT(SUBSTITUTE(ADDRESS(1,RIGHT(Formulas!AE192)+2),"$",""))&amp;Formulas!AC192+1,
IFERROR(INDEX(Datos!$A$2:$L$101,Formulas!AC192,RIGHT(Formulas!AE192)+2),"")))</f>
        <v/>
      </c>
      <c r="AD195" s="107" t="str" cm="1">
        <f t="array" aca="1" ref="AD195" ca="1">IF(OR(Formulas!AE193=0,Formulas!AE193=""),"",HYPERLINK("["&amp;Archivo_Nombre&amp;"]Datos!"&amp;LEFT(SUBSTITUTE(ADDRESS(1,Formulas!AE193+2),"$",""))&amp;Formulas!AD193+1,
IFERROR(INDEX(Datos!$A$2:$L$101,Formulas!AD193,Formulas!AE193+2),"")))</f>
        <v/>
      </c>
      <c r="AE195" s="13"/>
      <c r="AF195" s="6"/>
      <c r="AG195" s="24" t="str" cm="1">
        <f t="array" aca="1" ref="AG195" ca="1">IF(OR(Formulas!AI192=0,Formulas!AI192="",RIGHT(Formulas!AJ192)="0"),"",
HYPERLINK("["&amp;Archivo_Nombre&amp;"]Datos!"&amp;LEFT(SUBSTITUTE(ADDRESS(1,IF(Formulas!AI192=1,1,RIGHT(Formulas!AJ192)+2)),"$",""))&amp;Formulas!AH192+1,
IFERROR(INDEX(Datos!$A$1:$L$1,1,RIGHT(Formulas!AJ192)+2)&amp;IF(Formulas!AI192=1," "&amp;Formulas!AH192,"")&amp;":","")))</f>
        <v/>
      </c>
      <c r="AH195" s="107" t="str" cm="1">
        <f t="array" aca="1" ref="AH195" ca="1">IF(OR(Formulas!AI192=0,Formulas!AI192="",RIGHT(Formulas!AJ192)="0"),"",
HYPERLINK("["&amp;Archivo_Nombre&amp;"]Datos!"&amp;LEFT(SUBSTITUTE(ADDRESS(1,RIGHT(Formulas!AJ192)+2),"$",""))&amp;Formulas!AH192+1,
IFERROR(INDEX(Datos!$A$2:$L$101,Formulas!AH192,RIGHT(Formulas!AJ192)+2),"")))</f>
        <v/>
      </c>
      <c r="AI195" s="107" t="str" cm="1">
        <f t="array" aca="1" ref="AI195" ca="1">IF(OR(Formulas!AJ193=0,Formulas!AJ193=""),"",HYPERLINK("["&amp;Archivo_Nombre&amp;"]Datos!"&amp;LEFT(SUBSTITUTE(ADDRESS(1,Formulas!AJ193+2),"$",""))&amp;Formulas!AI193+1,
IFERROR(INDEX(Datos!$A$2:$L$101,Formulas!AI193,Formulas!AJ193+2),"")))</f>
        <v/>
      </c>
      <c r="AJ195" s="13"/>
      <c r="AK195" s="6"/>
      <c r="AL195" s="24" t="str" cm="1">
        <f t="array" aca="1" ref="AL195" ca="1">IF(OR(Formulas!AN192=0,Formulas!AN192="",RIGHT(Formulas!AO192)="0"),"",
HYPERLINK("["&amp;Archivo_Nombre&amp;"]Datos!"&amp;LEFT(SUBSTITUTE(ADDRESS(1,IF(Formulas!AN192=1,1,RIGHT(Formulas!AO192)+2)),"$",""))&amp;Formulas!AM192+1,
IFERROR(INDEX(Datos!$A$1:$L$1,1,RIGHT(Formulas!AO192)+2)&amp;IF(Formulas!AN192=1," "&amp;Formulas!AM192,"")&amp;":","")))</f>
        <v/>
      </c>
      <c r="AM195" s="107" t="str" cm="1">
        <f t="array" aca="1" ref="AM195" ca="1">IF(OR(Formulas!AN192=0,Formulas!AN192="",RIGHT(Formulas!AO192)="0"),"",
HYPERLINK("["&amp;Archivo_Nombre&amp;"]Datos!"&amp;LEFT(SUBSTITUTE(ADDRESS(1,RIGHT(Formulas!AO192)+2),"$",""))&amp;Formulas!AM192+1,
IFERROR(INDEX(Datos!$A$2:$L$101,Formulas!AM192,RIGHT(Formulas!AO192)+2),"")))</f>
        <v/>
      </c>
      <c r="AN195" s="107" t="str" cm="1">
        <f t="array" aca="1" ref="AN195" ca="1">IF(OR(Formulas!AO193=0,Formulas!AO193=""),"",HYPERLINK("["&amp;Archivo_Nombre&amp;"]Datos!"&amp;LEFT(SUBSTITUTE(ADDRESS(1,Formulas!AO193+2),"$",""))&amp;Formulas!AN193+1,
IFERROR(INDEX(Datos!$A$2:$L$101,Formulas!AN193,Formulas!AO193+2),"")))</f>
        <v/>
      </c>
      <c r="AO195" s="13"/>
      <c r="AP195" s="6"/>
      <c r="AQ195" s="24" t="str" cm="1">
        <f t="array" aca="1" ref="AQ195" ca="1">IF(OR(Formulas!AS192=0,Formulas!AS192="",RIGHT(Formulas!AT192)="0"),"",
HYPERLINK("["&amp;Archivo_Nombre&amp;"]Datos!"&amp;LEFT(SUBSTITUTE(ADDRESS(1,IF(Formulas!AS192=1,1,RIGHT(Formulas!AT192)+2)),"$",""))&amp;Formulas!AR192+1,
IFERROR(INDEX(Datos!$A$1:$L$1,1,RIGHT(Formulas!AT192)+2)&amp;IF(Formulas!AS192=1," "&amp;Formulas!AR192,"")&amp;":","")))</f>
        <v/>
      </c>
      <c r="AR195" s="107" t="str" cm="1">
        <f t="array" aca="1" ref="AR195" ca="1">IF(OR(Formulas!AS192=0,Formulas!AS192="",RIGHT(Formulas!AT192)="0"),"",
HYPERLINK("["&amp;Archivo_Nombre&amp;"]Datos!"&amp;LEFT(SUBSTITUTE(ADDRESS(1,RIGHT(Formulas!AT192)+2),"$",""))&amp;Formulas!AR192+1,
IFERROR(INDEX(Datos!$A$2:$L$101,Formulas!AR192,RIGHT(Formulas!AT192)+2),"")))</f>
        <v/>
      </c>
      <c r="AS195" s="107" t="str" cm="1">
        <f t="array" aca="1" ref="AS195" ca="1">IF(OR(Formulas!AT193=0,Formulas!AT193=""),"",HYPERLINK("["&amp;Archivo_Nombre&amp;"]Datos!"&amp;LEFT(SUBSTITUTE(ADDRESS(1,Formulas!AT193+2),"$",""))&amp;Formulas!AS193+1,
IFERROR(INDEX(Datos!$A$2:$L$101,Formulas!AS193,Formulas!AT193+2),"")))</f>
        <v/>
      </c>
      <c r="AT195" s="13"/>
      <c r="AU195" s="6"/>
      <c r="AV195" s="24" t="str" cm="1">
        <f t="array" aca="1" ref="AV195" ca="1">IF(OR(Formulas!AX192=0,Formulas!AX192="",RIGHT(Formulas!AY192)="0"),"",
HYPERLINK("["&amp;Archivo_Nombre&amp;"]Datos!"&amp;LEFT(SUBSTITUTE(ADDRESS(1,IF(Formulas!AX192=1,1,RIGHT(Formulas!AY192)+2)),"$",""))&amp;Formulas!AW192+1,
IFERROR(INDEX(Datos!$A$1:$L$1,1,RIGHT(Formulas!AY192)+2)&amp;IF(Formulas!AX192=1," "&amp;Formulas!AW192,"")&amp;":","")))</f>
        <v/>
      </c>
      <c r="AW195" s="107" t="str" cm="1">
        <f t="array" aca="1" ref="AW195" ca="1">IF(OR(Formulas!AX192=0,Formulas!AX192="",RIGHT(Formulas!AY192)="0"),"",
HYPERLINK("["&amp;Archivo_Nombre&amp;"]Datos!"&amp;LEFT(SUBSTITUTE(ADDRESS(1,RIGHT(Formulas!AY192)+2),"$",""))&amp;Formulas!AW192+1,
IFERROR(INDEX(Datos!$A$2:$L$101,Formulas!AW192,RIGHT(Formulas!AY192)+2),"")))</f>
        <v/>
      </c>
      <c r="AX195" s="107" t="str" cm="1">
        <f t="array" aca="1" ref="AX195" ca="1">IF(OR(Formulas!AY193=0,Formulas!AY193=""),"",HYPERLINK("["&amp;Archivo_Nombre&amp;"]Datos!"&amp;LEFT(SUBSTITUTE(ADDRESS(1,Formulas!AY193+2),"$",""))&amp;Formulas!AX193+1,
IFERROR(INDEX(Datos!$A$2:$L$101,Formulas!AX193,Formulas!AY193+2),"")))</f>
        <v/>
      </c>
      <c r="AY195" s="13"/>
    </row>
    <row r="196" spans="2:51" x14ac:dyDescent="0.25">
      <c r="B196" s="11"/>
      <c r="C196" s="24" t="str" cm="1">
        <f t="array" aca="1" ref="C196" ca="1">IF(OR(Formulas!E193=0,Formulas!E193="",RIGHT(Formulas!F193)="0"),"",
HYPERLINK("["&amp;Archivo_Nombre&amp;"]Datos!"&amp;LEFT(SUBSTITUTE(ADDRESS(1,IF(Formulas!E193=1,1,RIGHT(Formulas!F193)+2)),"$",""))&amp;Formulas!D193+1,
IFERROR(INDEX(Datos!$A$1:$L$1,1,RIGHT(Formulas!F193)+2)&amp;IF(Formulas!E193=1," "&amp;Formulas!D193,"")&amp;":","")))</f>
        <v/>
      </c>
      <c r="D196" s="107" t="str" cm="1">
        <f t="array" aca="1" ref="D196" ca="1">IF(OR(Formulas!E193=0,Formulas!E193="",RIGHT(Formulas!F193)="0"),"",
HYPERLINK("["&amp;Archivo_Nombre&amp;"]Datos!"&amp;LEFT(SUBSTITUTE(ADDRESS(1,RIGHT(Formulas!F193)+2),"$",""))&amp;Formulas!D193+1,
IFERROR(INDEX(Datos!$A$2:$L$101,Formulas!D193,RIGHT(Formulas!F193)+2),"")))</f>
        <v/>
      </c>
      <c r="E196" s="107" t="str" cm="1">
        <f t="array" aca="1" ref="E196" ca="1">IF(OR(Formulas!F194=0,Formulas!F194=""),"",HYPERLINK("["&amp;Archivo_Nombre&amp;"]Datos!"&amp;LEFT(SUBSTITUTE(ADDRESS(1,Formulas!F194+2),"$",""))&amp;Formulas!E194+1,
IFERROR(INDEX(Datos!$A$2:$L$101,Formulas!E194,Formulas!F194+2),"")))</f>
        <v/>
      </c>
      <c r="F196" s="5"/>
      <c r="G196" s="6"/>
      <c r="H196" s="24" t="str" cm="1">
        <f t="array" aca="1" ref="H196" ca="1">IF(OR(Formulas!J193=0,Formulas!J193="",RIGHT(Formulas!K193)="0"),"",
HYPERLINK("["&amp;Archivo_Nombre&amp;"]Datos!"&amp;LEFT(SUBSTITUTE(ADDRESS(1,IF(Formulas!J193=1,1,RIGHT(Formulas!K193)+2)),"$",""))&amp;Formulas!I193+1,
IFERROR(INDEX(Datos!$A$1:$L$1,1,RIGHT(Formulas!K193)+2)&amp;IF(Formulas!J193=1," "&amp;Formulas!I193,"")&amp;":","")))</f>
        <v/>
      </c>
      <c r="I196" s="107" t="str" cm="1">
        <f t="array" aca="1" ref="I196" ca="1">IF(OR(Formulas!J193=0,Formulas!J193="",RIGHT(Formulas!K193)="0"),"",
HYPERLINK("["&amp;Archivo_Nombre&amp;"]Datos!"&amp;LEFT(SUBSTITUTE(ADDRESS(1,RIGHT(Formulas!K193)+2),"$",""))&amp;Formulas!I193+1,
IFERROR(INDEX(Datos!$A$2:$L$101,Formulas!I193,RIGHT(Formulas!K193)+2),"")))</f>
        <v/>
      </c>
      <c r="J196" s="107" t="str" cm="1">
        <f t="array" aca="1" ref="J196" ca="1">IF(OR(Formulas!K194=0,Formulas!K194=""),"",HYPERLINK("["&amp;Archivo_Nombre&amp;"]Datos!"&amp;LEFT(SUBSTITUTE(ADDRESS(1,Formulas!K194+2),"$",""))&amp;Formulas!J194+1,
IFERROR(INDEX(Datos!$A$2:$L$101,Formulas!J194,Formulas!K194+2),"")))</f>
        <v/>
      </c>
      <c r="K196" s="5"/>
      <c r="L196" s="6"/>
      <c r="M196" s="24" t="str" cm="1">
        <f t="array" aca="1" ref="M196" ca="1">IF(OR(Formulas!O193=0,Formulas!O193="",RIGHT(Formulas!P193)="0"),"",
HYPERLINK("["&amp;Archivo_Nombre&amp;"]Datos!"&amp;LEFT(SUBSTITUTE(ADDRESS(1,IF(Formulas!O193=1,1,RIGHT(Formulas!P193)+2)),"$",""))&amp;Formulas!N193+1,
IFERROR(INDEX(Datos!$A$1:$L$1,1,RIGHT(Formulas!P193)+2)&amp;IF(Formulas!O193=1," "&amp;Formulas!N193,"")&amp;":","")))</f>
        <v/>
      </c>
      <c r="N196" s="107" t="str" cm="1">
        <f t="array" aca="1" ref="N196" ca="1">IF(OR(Formulas!O193=0,Formulas!O193="",RIGHT(Formulas!P193)="0"),"",
HYPERLINK("["&amp;Archivo_Nombre&amp;"]Datos!"&amp;LEFT(SUBSTITUTE(ADDRESS(1,RIGHT(Formulas!P193)+2),"$",""))&amp;Formulas!N193+1,
IFERROR(INDEX(Datos!$A$2:$L$101,Formulas!N193,RIGHT(Formulas!P193)+2),"")))</f>
        <v/>
      </c>
      <c r="O196" s="107" t="str" cm="1">
        <f t="array" aca="1" ref="O196" ca="1">IF(OR(Formulas!P194=0,Formulas!P194=""),"",HYPERLINK("["&amp;Archivo_Nombre&amp;"]Datos!"&amp;LEFT(SUBSTITUTE(ADDRESS(1,Formulas!P194+2),"$",""))&amp;Formulas!O194+1,
IFERROR(INDEX(Datos!$A$2:$L$101,Formulas!O194,Formulas!P194+2),"")))</f>
        <v/>
      </c>
      <c r="P196" s="5"/>
      <c r="Q196" s="6"/>
      <c r="R196" s="24" t="str" cm="1">
        <f t="array" aca="1" ref="R196" ca="1">IF(OR(Formulas!T193=0,Formulas!T193="",RIGHT(Formulas!U193)="0"),"",
HYPERLINK("["&amp;Archivo_Nombre&amp;"]Datos!"&amp;LEFT(SUBSTITUTE(ADDRESS(1,IF(Formulas!T193=1,1,RIGHT(Formulas!U193)+2)),"$",""))&amp;Formulas!S193+1,
IFERROR(INDEX(Datos!$A$1:$L$1,1,RIGHT(Formulas!U193)+2)&amp;IF(Formulas!T193=1," "&amp;Formulas!S193,"")&amp;":","")))</f>
        <v>ORDEN PCRONOLOGICO 9:</v>
      </c>
      <c r="S196" s="107" cm="1">
        <f t="array" aca="1" ref="S196" ca="1">IF(OR(Formulas!T193=0,Formulas!T193="",RIGHT(Formulas!U193)="0"),"",
HYPERLINK("["&amp;Archivo_Nombre&amp;"]Datos!"&amp;LEFT(SUBSTITUTE(ADDRESS(1,RIGHT(Formulas!U193)+2),"$",""))&amp;Formulas!S193+1,
IFERROR(INDEX(Datos!$A$2:$L$101,Formulas!S193,RIGHT(Formulas!U193)+2),"")))</f>
        <v>9</v>
      </c>
      <c r="T196" s="107" t="e" cm="1">
        <f t="array" aca="1" ref="T196" ca="1">IF(OR(Formulas!U194=0,Formulas!U194=""),"",HYPERLINK("["&amp;Archivo_Nombre&amp;"]Datos!"&amp;LEFT(SUBSTITUTE(ADDRESS(1,Formulas!U194+2),"$",""))&amp;Formulas!T194+1,
IFERROR(INDEX(Datos!$A$2:$L$101,Formulas!T194,Formulas!U194+2),"")))</f>
        <v>#VALUE!</v>
      </c>
      <c r="U196" s="5"/>
      <c r="V196" s="6"/>
      <c r="W196" s="24" t="str" cm="1">
        <f t="array" aca="1" ref="W196" ca="1">IF(OR(Formulas!Y193=0,Formulas!Y193="",RIGHT(Formulas!Z193)="0"),"",
HYPERLINK("["&amp;Archivo_Nombre&amp;"]Datos!"&amp;LEFT(SUBSTITUTE(ADDRESS(1,IF(Formulas!Y193=1,1,RIGHT(Formulas!Z193)+2)),"$",""))&amp;Formulas!X193+1,
IFERROR(INDEX(Datos!$A$1:$L$1,1,RIGHT(Formulas!Z193)+2)&amp;IF(Formulas!Y193=1," "&amp;Formulas!X193,"")&amp;":","")))</f>
        <v/>
      </c>
      <c r="X196" s="107" t="str" cm="1">
        <f t="array" aca="1" ref="X196" ca="1">IF(OR(Formulas!Y193=0,Formulas!Y193="",RIGHT(Formulas!Z193)="0"),"",
HYPERLINK("["&amp;Archivo_Nombre&amp;"]Datos!"&amp;LEFT(SUBSTITUTE(ADDRESS(1,RIGHT(Formulas!Z193)+2),"$",""))&amp;Formulas!X193+1,
IFERROR(INDEX(Datos!$A$2:$L$101,Formulas!X193,RIGHT(Formulas!Z193)+2),"")))</f>
        <v/>
      </c>
      <c r="Y196" s="107" t="str" cm="1">
        <f t="array" aca="1" ref="Y196" ca="1">IF(OR(Formulas!Z194=0,Formulas!Z194=""),"",HYPERLINK("["&amp;Archivo_Nombre&amp;"]Datos!"&amp;LEFT(SUBSTITUTE(ADDRESS(1,Formulas!Z194+2),"$",""))&amp;Formulas!Y194+1,
IFERROR(INDEX(Datos!$A$2:$L$101,Formulas!Y194,Formulas!Z194+2),"")))</f>
        <v/>
      </c>
      <c r="Z196" s="13"/>
      <c r="AA196" s="6"/>
      <c r="AB196" s="24" t="str" cm="1">
        <f t="array" aca="1" ref="AB196" ca="1">IF(OR(Formulas!AD193=0,Formulas!AD193="",RIGHT(Formulas!AE193)="0"),"",
HYPERLINK("["&amp;Archivo_Nombre&amp;"]Datos!"&amp;LEFT(SUBSTITUTE(ADDRESS(1,IF(Formulas!AD193=1,1,RIGHT(Formulas!AE193)+2)),"$",""))&amp;Formulas!AC193+1,
IFERROR(INDEX(Datos!$A$1:$L$1,1,RIGHT(Formulas!AE193)+2)&amp;IF(Formulas!AD193=1," "&amp;Formulas!AC193,"")&amp;":","")))</f>
        <v/>
      </c>
      <c r="AC196" s="107" t="str" cm="1">
        <f t="array" aca="1" ref="AC196" ca="1">IF(OR(Formulas!AD193=0,Formulas!AD193="",RIGHT(Formulas!AE193)="0"),"",
HYPERLINK("["&amp;Archivo_Nombre&amp;"]Datos!"&amp;LEFT(SUBSTITUTE(ADDRESS(1,RIGHT(Formulas!AE193)+2),"$",""))&amp;Formulas!AC193+1,
IFERROR(INDEX(Datos!$A$2:$L$101,Formulas!AC193,RIGHT(Formulas!AE193)+2),"")))</f>
        <v/>
      </c>
      <c r="AD196" s="107" t="str" cm="1">
        <f t="array" aca="1" ref="AD196" ca="1">IF(OR(Formulas!AE194=0,Formulas!AE194=""),"",HYPERLINK("["&amp;Archivo_Nombre&amp;"]Datos!"&amp;LEFT(SUBSTITUTE(ADDRESS(1,Formulas!AE194+2),"$",""))&amp;Formulas!AD194+1,
IFERROR(INDEX(Datos!$A$2:$L$101,Formulas!AD194,Formulas!AE194+2),"")))</f>
        <v/>
      </c>
      <c r="AE196" s="13"/>
      <c r="AF196" s="6"/>
      <c r="AG196" s="24" t="str" cm="1">
        <f t="array" aca="1" ref="AG196" ca="1">IF(OR(Formulas!AI193=0,Formulas!AI193="",RIGHT(Formulas!AJ193)="0"),"",
HYPERLINK("["&amp;Archivo_Nombre&amp;"]Datos!"&amp;LEFT(SUBSTITUTE(ADDRESS(1,IF(Formulas!AI193=1,1,RIGHT(Formulas!AJ193)+2)),"$",""))&amp;Formulas!AH193+1,
IFERROR(INDEX(Datos!$A$1:$L$1,1,RIGHT(Formulas!AJ193)+2)&amp;IF(Formulas!AI193=1," "&amp;Formulas!AH193,"")&amp;":","")))</f>
        <v/>
      </c>
      <c r="AH196" s="107" t="str" cm="1">
        <f t="array" aca="1" ref="AH196" ca="1">IF(OR(Formulas!AI193=0,Formulas!AI193="",RIGHT(Formulas!AJ193)="0"),"",
HYPERLINK("["&amp;Archivo_Nombre&amp;"]Datos!"&amp;LEFT(SUBSTITUTE(ADDRESS(1,RIGHT(Formulas!AJ193)+2),"$",""))&amp;Formulas!AH193+1,
IFERROR(INDEX(Datos!$A$2:$L$101,Formulas!AH193,RIGHT(Formulas!AJ193)+2),"")))</f>
        <v/>
      </c>
      <c r="AI196" s="107" t="str" cm="1">
        <f t="array" aca="1" ref="AI196" ca="1">IF(OR(Formulas!AJ194=0,Formulas!AJ194=""),"",HYPERLINK("["&amp;Archivo_Nombre&amp;"]Datos!"&amp;LEFT(SUBSTITUTE(ADDRESS(1,Formulas!AJ194+2),"$",""))&amp;Formulas!AI194+1,
IFERROR(INDEX(Datos!$A$2:$L$101,Formulas!AI194,Formulas!AJ194+2),"")))</f>
        <v/>
      </c>
      <c r="AJ196" s="13"/>
      <c r="AK196" s="6"/>
      <c r="AL196" s="24" t="str" cm="1">
        <f t="array" aca="1" ref="AL196" ca="1">IF(OR(Formulas!AN193=0,Formulas!AN193="",RIGHT(Formulas!AO193)="0"),"",
HYPERLINK("["&amp;Archivo_Nombre&amp;"]Datos!"&amp;LEFT(SUBSTITUTE(ADDRESS(1,IF(Formulas!AN193=1,1,RIGHT(Formulas!AO193)+2)),"$",""))&amp;Formulas!AM193+1,
IFERROR(INDEX(Datos!$A$1:$L$1,1,RIGHT(Formulas!AO193)+2)&amp;IF(Formulas!AN193=1," "&amp;Formulas!AM193,"")&amp;":","")))</f>
        <v/>
      </c>
      <c r="AM196" s="107" t="str" cm="1">
        <f t="array" aca="1" ref="AM196" ca="1">IF(OR(Formulas!AN193=0,Formulas!AN193="",RIGHT(Formulas!AO193)="0"),"",
HYPERLINK("["&amp;Archivo_Nombre&amp;"]Datos!"&amp;LEFT(SUBSTITUTE(ADDRESS(1,RIGHT(Formulas!AO193)+2),"$",""))&amp;Formulas!AM193+1,
IFERROR(INDEX(Datos!$A$2:$L$101,Formulas!AM193,RIGHT(Formulas!AO193)+2),"")))</f>
        <v/>
      </c>
      <c r="AN196" s="107" t="str" cm="1">
        <f t="array" aca="1" ref="AN196" ca="1">IF(OR(Formulas!AO194=0,Formulas!AO194=""),"",HYPERLINK("["&amp;Archivo_Nombre&amp;"]Datos!"&amp;LEFT(SUBSTITUTE(ADDRESS(1,Formulas!AO194+2),"$",""))&amp;Formulas!AN194+1,
IFERROR(INDEX(Datos!$A$2:$L$101,Formulas!AN194,Formulas!AO194+2),"")))</f>
        <v/>
      </c>
      <c r="AO196" s="13"/>
      <c r="AP196" s="6"/>
      <c r="AQ196" s="24" t="str" cm="1">
        <f t="array" aca="1" ref="AQ196" ca="1">IF(OR(Formulas!AS193=0,Formulas!AS193="",RIGHT(Formulas!AT193)="0"),"",
HYPERLINK("["&amp;Archivo_Nombre&amp;"]Datos!"&amp;LEFT(SUBSTITUTE(ADDRESS(1,IF(Formulas!AS193=1,1,RIGHT(Formulas!AT193)+2)),"$",""))&amp;Formulas!AR193+1,
IFERROR(INDEX(Datos!$A$1:$L$1,1,RIGHT(Formulas!AT193)+2)&amp;IF(Formulas!AS193=1," "&amp;Formulas!AR193,"")&amp;":","")))</f>
        <v/>
      </c>
      <c r="AR196" s="107" t="str" cm="1">
        <f t="array" aca="1" ref="AR196" ca="1">IF(OR(Formulas!AS193=0,Formulas!AS193="",RIGHT(Formulas!AT193)="0"),"",
HYPERLINK("["&amp;Archivo_Nombre&amp;"]Datos!"&amp;LEFT(SUBSTITUTE(ADDRESS(1,RIGHT(Formulas!AT193)+2),"$",""))&amp;Formulas!AR193+1,
IFERROR(INDEX(Datos!$A$2:$L$101,Formulas!AR193,RIGHT(Formulas!AT193)+2),"")))</f>
        <v/>
      </c>
      <c r="AS196" s="107" t="str" cm="1">
        <f t="array" aca="1" ref="AS196" ca="1">IF(OR(Formulas!AT194=0,Formulas!AT194=""),"",HYPERLINK("["&amp;Archivo_Nombre&amp;"]Datos!"&amp;LEFT(SUBSTITUTE(ADDRESS(1,Formulas!AT194+2),"$",""))&amp;Formulas!AS194+1,
IFERROR(INDEX(Datos!$A$2:$L$101,Formulas!AS194,Formulas!AT194+2),"")))</f>
        <v/>
      </c>
      <c r="AT196" s="13"/>
      <c r="AU196" s="6"/>
      <c r="AV196" s="24" t="str" cm="1">
        <f t="array" aca="1" ref="AV196" ca="1">IF(OR(Formulas!AX193=0,Formulas!AX193="",RIGHT(Formulas!AY193)="0"),"",
HYPERLINK("["&amp;Archivo_Nombre&amp;"]Datos!"&amp;LEFT(SUBSTITUTE(ADDRESS(1,IF(Formulas!AX193=1,1,RIGHT(Formulas!AY193)+2)),"$",""))&amp;Formulas!AW193+1,
IFERROR(INDEX(Datos!$A$1:$L$1,1,RIGHT(Formulas!AY193)+2)&amp;IF(Formulas!AX193=1," "&amp;Formulas!AW193,"")&amp;":","")))</f>
        <v/>
      </c>
      <c r="AW196" s="107" t="str" cm="1">
        <f t="array" aca="1" ref="AW196" ca="1">IF(OR(Formulas!AX193=0,Formulas!AX193="",RIGHT(Formulas!AY193)="0"),"",
HYPERLINK("["&amp;Archivo_Nombre&amp;"]Datos!"&amp;LEFT(SUBSTITUTE(ADDRESS(1,RIGHT(Formulas!AY193)+2),"$",""))&amp;Formulas!AW193+1,
IFERROR(INDEX(Datos!$A$2:$L$101,Formulas!AW193,RIGHT(Formulas!AY193)+2),"")))</f>
        <v/>
      </c>
      <c r="AX196" s="107" t="str" cm="1">
        <f t="array" aca="1" ref="AX196" ca="1">IF(OR(Formulas!AY194=0,Formulas!AY194=""),"",HYPERLINK("["&amp;Archivo_Nombre&amp;"]Datos!"&amp;LEFT(SUBSTITUTE(ADDRESS(1,Formulas!AY194+2),"$",""))&amp;Formulas!AX194+1,
IFERROR(INDEX(Datos!$A$2:$L$101,Formulas!AX194,Formulas!AY194+2),"")))</f>
        <v/>
      </c>
      <c r="AY196" s="13"/>
    </row>
    <row r="197" spans="2:51" x14ac:dyDescent="0.25">
      <c r="B197" s="11"/>
      <c r="C197" s="24" t="str" cm="1">
        <f t="array" aca="1" ref="C197" ca="1">IF(OR(Formulas!E194=0,Formulas!E194="",RIGHT(Formulas!F194)="0"),"",
HYPERLINK("["&amp;Archivo_Nombre&amp;"]Datos!"&amp;LEFT(SUBSTITUTE(ADDRESS(1,IF(Formulas!E194=1,1,RIGHT(Formulas!F194)+2)),"$",""))&amp;Formulas!D194+1,
IFERROR(INDEX(Datos!$A$1:$L$1,1,RIGHT(Formulas!F194)+2)&amp;IF(Formulas!E194=1," "&amp;Formulas!D194,"")&amp;":","")))</f>
        <v/>
      </c>
      <c r="D197" s="107" t="str" cm="1">
        <f t="array" aca="1" ref="D197" ca="1">IF(OR(Formulas!E194=0,Formulas!E194="",RIGHT(Formulas!F194)="0"),"",
HYPERLINK("["&amp;Archivo_Nombre&amp;"]Datos!"&amp;LEFT(SUBSTITUTE(ADDRESS(1,RIGHT(Formulas!F194)+2),"$",""))&amp;Formulas!D194+1,
IFERROR(INDEX(Datos!$A$2:$L$101,Formulas!D194,RIGHT(Formulas!F194)+2),"")))</f>
        <v/>
      </c>
      <c r="E197" s="107" t="str" cm="1">
        <f t="array" aca="1" ref="E197" ca="1">IF(OR(Formulas!F195=0,Formulas!F195=""),"",HYPERLINK("["&amp;Archivo_Nombre&amp;"]Datos!"&amp;LEFT(SUBSTITUTE(ADDRESS(1,Formulas!F195+2),"$",""))&amp;Formulas!E195+1,
IFERROR(INDEX(Datos!$A$2:$L$101,Formulas!E195,Formulas!F195+2),"")))</f>
        <v/>
      </c>
      <c r="F197" s="5"/>
      <c r="G197" s="6"/>
      <c r="H197" s="24" t="str" cm="1">
        <f t="array" aca="1" ref="H197" ca="1">IF(OR(Formulas!J194=0,Formulas!J194="",RIGHT(Formulas!K194)="0"),"",
HYPERLINK("["&amp;Archivo_Nombre&amp;"]Datos!"&amp;LEFT(SUBSTITUTE(ADDRESS(1,IF(Formulas!J194=1,1,RIGHT(Formulas!K194)+2)),"$",""))&amp;Formulas!I194+1,
IFERROR(INDEX(Datos!$A$1:$L$1,1,RIGHT(Formulas!K194)+2)&amp;IF(Formulas!J194=1," "&amp;Formulas!I194,"")&amp;":","")))</f>
        <v/>
      </c>
      <c r="I197" s="107" t="str" cm="1">
        <f t="array" aca="1" ref="I197" ca="1">IF(OR(Formulas!J194=0,Formulas!J194="",RIGHT(Formulas!K194)="0"),"",
HYPERLINK("["&amp;Archivo_Nombre&amp;"]Datos!"&amp;LEFT(SUBSTITUTE(ADDRESS(1,RIGHT(Formulas!K194)+2),"$",""))&amp;Formulas!I194+1,
IFERROR(INDEX(Datos!$A$2:$L$101,Formulas!I194,RIGHT(Formulas!K194)+2),"")))</f>
        <v/>
      </c>
      <c r="J197" s="107" t="str" cm="1">
        <f t="array" aca="1" ref="J197" ca="1">IF(OR(Formulas!K195=0,Formulas!K195=""),"",HYPERLINK("["&amp;Archivo_Nombre&amp;"]Datos!"&amp;LEFT(SUBSTITUTE(ADDRESS(1,Formulas!K195+2),"$",""))&amp;Formulas!J195+1,
IFERROR(INDEX(Datos!$A$2:$L$101,Formulas!J195,Formulas!K195+2),"")))</f>
        <v/>
      </c>
      <c r="K197" s="5"/>
      <c r="L197" s="6"/>
      <c r="M197" s="24" t="str" cm="1">
        <f t="array" aca="1" ref="M197" ca="1">IF(OR(Formulas!O194=0,Formulas!O194="",RIGHT(Formulas!P194)="0"),"",
HYPERLINK("["&amp;Archivo_Nombre&amp;"]Datos!"&amp;LEFT(SUBSTITUTE(ADDRESS(1,IF(Formulas!O194=1,1,RIGHT(Formulas!P194)+2)),"$",""))&amp;Formulas!N194+1,
IFERROR(INDEX(Datos!$A$1:$L$1,1,RIGHT(Formulas!P194)+2)&amp;IF(Formulas!O194=1," "&amp;Formulas!N194,"")&amp;":","")))</f>
        <v/>
      </c>
      <c r="N197" s="107" t="str" cm="1">
        <f t="array" aca="1" ref="N197" ca="1">IF(OR(Formulas!O194=0,Formulas!O194="",RIGHT(Formulas!P194)="0"),"",
HYPERLINK("["&amp;Archivo_Nombre&amp;"]Datos!"&amp;LEFT(SUBSTITUTE(ADDRESS(1,RIGHT(Formulas!P194)+2),"$",""))&amp;Formulas!N194+1,
IFERROR(INDEX(Datos!$A$2:$L$101,Formulas!N194,RIGHT(Formulas!P194)+2),"")))</f>
        <v/>
      </c>
      <c r="O197" s="107" t="str" cm="1">
        <f t="array" aca="1" ref="O197" ca="1">IF(OR(Formulas!P195=0,Formulas!P195=""),"",HYPERLINK("["&amp;Archivo_Nombre&amp;"]Datos!"&amp;LEFT(SUBSTITUTE(ADDRESS(1,Formulas!P195+2),"$",""))&amp;Formulas!O195+1,
IFERROR(INDEX(Datos!$A$2:$L$101,Formulas!O195,Formulas!P195+2),"")))</f>
        <v/>
      </c>
      <c r="P197" s="5"/>
      <c r="Q197" s="6"/>
      <c r="R197" s="24" t="str" cm="1">
        <f t="array" aca="1" ref="R197" ca="1">IF(OR(Formulas!T194=0,Formulas!T194="",RIGHT(Formulas!U194)="0"),"",
HYPERLINK("["&amp;Archivo_Nombre&amp;"]Datos!"&amp;LEFT(SUBSTITUTE(ADDRESS(1,IF(Formulas!T194=1,1,RIGHT(Formulas!U194)+2)),"$",""))&amp;Formulas!S194+1,
IFERROR(INDEX(Datos!$A$1:$L$1,1,RIGHT(Formulas!U194)+2)&amp;IF(Formulas!T194=1," "&amp;Formulas!S194,"")&amp;":","")))</f>
        <v>Tarea:</v>
      </c>
      <c r="S197" s="107" t="str" cm="1">
        <f t="array" aca="1" ref="S197" ca="1">IF(OR(Formulas!T194=0,Formulas!T194="",RIGHT(Formulas!U194)="0"),"",
HYPERLINK("["&amp;Archivo_Nombre&amp;"]Datos!"&amp;LEFT(SUBSTITUTE(ADDRESS(1,RIGHT(Formulas!U194)+2),"$",""))&amp;Formulas!S194+1,
IFERROR(INDEX(Datos!$A$2:$L$101,Formulas!S194,RIGHT(Formulas!U194)+2),"")))</f>
        <v>Investigación método de resolución 5W y 2H</v>
      </c>
      <c r="T197" s="107" t="e" cm="1">
        <f t="array" aca="1" ref="T197" ca="1">IF(OR(Formulas!U195=0,Formulas!U195=""),"",HYPERLINK("["&amp;Archivo_Nombre&amp;"]Datos!"&amp;LEFT(SUBSTITUTE(ADDRESS(1,Formulas!U195+2),"$",""))&amp;Formulas!T195+1,
IFERROR(INDEX(Datos!$A$2:$L$101,Formulas!T195,Formulas!U195+2),"")))</f>
        <v>#VALUE!</v>
      </c>
      <c r="U197" s="5"/>
      <c r="V197" s="6"/>
      <c r="W197" s="24" t="str" cm="1">
        <f t="array" aca="1" ref="W197" ca="1">IF(OR(Formulas!Y194=0,Formulas!Y194="",RIGHT(Formulas!Z194)="0"),"",
HYPERLINK("["&amp;Archivo_Nombre&amp;"]Datos!"&amp;LEFT(SUBSTITUTE(ADDRESS(1,IF(Formulas!Y194=1,1,RIGHT(Formulas!Z194)+2)),"$",""))&amp;Formulas!X194+1,
IFERROR(INDEX(Datos!$A$1:$L$1,1,RIGHT(Formulas!Z194)+2)&amp;IF(Formulas!Y194=1," "&amp;Formulas!X194,"")&amp;":","")))</f>
        <v/>
      </c>
      <c r="X197" s="107" t="str" cm="1">
        <f t="array" aca="1" ref="X197" ca="1">IF(OR(Formulas!Y194=0,Formulas!Y194="",RIGHT(Formulas!Z194)="0"),"",
HYPERLINK("["&amp;Archivo_Nombre&amp;"]Datos!"&amp;LEFT(SUBSTITUTE(ADDRESS(1,RIGHT(Formulas!Z194)+2),"$",""))&amp;Formulas!X194+1,
IFERROR(INDEX(Datos!$A$2:$L$101,Formulas!X194,RIGHT(Formulas!Z194)+2),"")))</f>
        <v/>
      </c>
      <c r="Y197" s="107" t="str" cm="1">
        <f t="array" aca="1" ref="Y197" ca="1">IF(OR(Formulas!Z195=0,Formulas!Z195=""),"",HYPERLINK("["&amp;Archivo_Nombre&amp;"]Datos!"&amp;LEFT(SUBSTITUTE(ADDRESS(1,Formulas!Z195+2),"$",""))&amp;Formulas!Y195+1,
IFERROR(INDEX(Datos!$A$2:$L$101,Formulas!Y195,Formulas!Z195+2),"")))</f>
        <v/>
      </c>
      <c r="Z197" s="13"/>
      <c r="AA197" s="6"/>
      <c r="AB197" s="24" t="str" cm="1">
        <f t="array" aca="1" ref="AB197" ca="1">IF(OR(Formulas!AD194=0,Formulas!AD194="",RIGHT(Formulas!AE194)="0"),"",
HYPERLINK("["&amp;Archivo_Nombre&amp;"]Datos!"&amp;LEFT(SUBSTITUTE(ADDRESS(1,IF(Formulas!AD194=1,1,RIGHT(Formulas!AE194)+2)),"$",""))&amp;Formulas!AC194+1,
IFERROR(INDEX(Datos!$A$1:$L$1,1,RIGHT(Formulas!AE194)+2)&amp;IF(Formulas!AD194=1," "&amp;Formulas!AC194,"")&amp;":","")))</f>
        <v/>
      </c>
      <c r="AC197" s="107" t="str" cm="1">
        <f t="array" aca="1" ref="AC197" ca="1">IF(OR(Formulas!AD194=0,Formulas!AD194="",RIGHT(Formulas!AE194)="0"),"",
HYPERLINK("["&amp;Archivo_Nombre&amp;"]Datos!"&amp;LEFT(SUBSTITUTE(ADDRESS(1,RIGHT(Formulas!AE194)+2),"$",""))&amp;Formulas!AC194+1,
IFERROR(INDEX(Datos!$A$2:$L$101,Formulas!AC194,RIGHT(Formulas!AE194)+2),"")))</f>
        <v/>
      </c>
      <c r="AD197" s="107" t="str" cm="1">
        <f t="array" aca="1" ref="AD197" ca="1">IF(OR(Formulas!AE195=0,Formulas!AE195=""),"",HYPERLINK("["&amp;Archivo_Nombre&amp;"]Datos!"&amp;LEFT(SUBSTITUTE(ADDRESS(1,Formulas!AE195+2),"$",""))&amp;Formulas!AD195+1,
IFERROR(INDEX(Datos!$A$2:$L$101,Formulas!AD195,Formulas!AE195+2),"")))</f>
        <v/>
      </c>
      <c r="AE197" s="13"/>
      <c r="AF197" s="6"/>
      <c r="AG197" s="24" t="str" cm="1">
        <f t="array" aca="1" ref="AG197" ca="1">IF(OR(Formulas!AI194=0,Formulas!AI194="",RIGHT(Formulas!AJ194)="0"),"",
HYPERLINK("["&amp;Archivo_Nombre&amp;"]Datos!"&amp;LEFT(SUBSTITUTE(ADDRESS(1,IF(Formulas!AI194=1,1,RIGHT(Formulas!AJ194)+2)),"$",""))&amp;Formulas!AH194+1,
IFERROR(INDEX(Datos!$A$1:$L$1,1,RIGHT(Formulas!AJ194)+2)&amp;IF(Formulas!AI194=1," "&amp;Formulas!AH194,"")&amp;":","")))</f>
        <v/>
      </c>
      <c r="AH197" s="107" t="str" cm="1">
        <f t="array" aca="1" ref="AH197" ca="1">IF(OR(Formulas!AI194=0,Formulas!AI194="",RIGHT(Formulas!AJ194)="0"),"",
HYPERLINK("["&amp;Archivo_Nombre&amp;"]Datos!"&amp;LEFT(SUBSTITUTE(ADDRESS(1,RIGHT(Formulas!AJ194)+2),"$",""))&amp;Formulas!AH194+1,
IFERROR(INDEX(Datos!$A$2:$L$101,Formulas!AH194,RIGHT(Formulas!AJ194)+2),"")))</f>
        <v/>
      </c>
      <c r="AI197" s="107" t="str" cm="1">
        <f t="array" aca="1" ref="AI197" ca="1">IF(OR(Formulas!AJ195=0,Formulas!AJ195=""),"",HYPERLINK("["&amp;Archivo_Nombre&amp;"]Datos!"&amp;LEFT(SUBSTITUTE(ADDRESS(1,Formulas!AJ195+2),"$",""))&amp;Formulas!AI195+1,
IFERROR(INDEX(Datos!$A$2:$L$101,Formulas!AI195,Formulas!AJ195+2),"")))</f>
        <v/>
      </c>
      <c r="AJ197" s="13"/>
      <c r="AK197" s="6"/>
      <c r="AL197" s="24" t="str" cm="1">
        <f t="array" aca="1" ref="AL197" ca="1">IF(OR(Formulas!AN194=0,Formulas!AN194="",RIGHT(Formulas!AO194)="0"),"",
HYPERLINK("["&amp;Archivo_Nombre&amp;"]Datos!"&amp;LEFT(SUBSTITUTE(ADDRESS(1,IF(Formulas!AN194=1,1,RIGHT(Formulas!AO194)+2)),"$",""))&amp;Formulas!AM194+1,
IFERROR(INDEX(Datos!$A$1:$L$1,1,RIGHT(Formulas!AO194)+2)&amp;IF(Formulas!AN194=1," "&amp;Formulas!AM194,"")&amp;":","")))</f>
        <v/>
      </c>
      <c r="AM197" s="107" t="str" cm="1">
        <f t="array" aca="1" ref="AM197" ca="1">IF(OR(Formulas!AN194=0,Formulas!AN194="",RIGHT(Formulas!AO194)="0"),"",
HYPERLINK("["&amp;Archivo_Nombre&amp;"]Datos!"&amp;LEFT(SUBSTITUTE(ADDRESS(1,RIGHT(Formulas!AO194)+2),"$",""))&amp;Formulas!AM194+1,
IFERROR(INDEX(Datos!$A$2:$L$101,Formulas!AM194,RIGHT(Formulas!AO194)+2),"")))</f>
        <v/>
      </c>
      <c r="AN197" s="107" t="str" cm="1">
        <f t="array" aca="1" ref="AN197" ca="1">IF(OR(Formulas!AO195=0,Formulas!AO195=""),"",HYPERLINK("["&amp;Archivo_Nombre&amp;"]Datos!"&amp;LEFT(SUBSTITUTE(ADDRESS(1,Formulas!AO195+2),"$",""))&amp;Formulas!AN195+1,
IFERROR(INDEX(Datos!$A$2:$L$101,Formulas!AN195,Formulas!AO195+2),"")))</f>
        <v/>
      </c>
      <c r="AO197" s="13"/>
      <c r="AP197" s="6"/>
      <c r="AQ197" s="24" t="str" cm="1">
        <f t="array" aca="1" ref="AQ197" ca="1">IF(OR(Formulas!AS194=0,Formulas!AS194="",RIGHT(Formulas!AT194)="0"),"",
HYPERLINK("["&amp;Archivo_Nombre&amp;"]Datos!"&amp;LEFT(SUBSTITUTE(ADDRESS(1,IF(Formulas!AS194=1,1,RIGHT(Formulas!AT194)+2)),"$",""))&amp;Formulas!AR194+1,
IFERROR(INDEX(Datos!$A$1:$L$1,1,RIGHT(Formulas!AT194)+2)&amp;IF(Formulas!AS194=1," "&amp;Formulas!AR194,"")&amp;":","")))</f>
        <v/>
      </c>
      <c r="AR197" s="107" t="str" cm="1">
        <f t="array" aca="1" ref="AR197" ca="1">IF(OR(Formulas!AS194=0,Formulas!AS194="",RIGHT(Formulas!AT194)="0"),"",
HYPERLINK("["&amp;Archivo_Nombre&amp;"]Datos!"&amp;LEFT(SUBSTITUTE(ADDRESS(1,RIGHT(Formulas!AT194)+2),"$",""))&amp;Formulas!AR194+1,
IFERROR(INDEX(Datos!$A$2:$L$101,Formulas!AR194,RIGHT(Formulas!AT194)+2),"")))</f>
        <v/>
      </c>
      <c r="AS197" s="107" t="str" cm="1">
        <f t="array" aca="1" ref="AS197" ca="1">IF(OR(Formulas!AT195=0,Formulas!AT195=""),"",HYPERLINK("["&amp;Archivo_Nombre&amp;"]Datos!"&amp;LEFT(SUBSTITUTE(ADDRESS(1,Formulas!AT195+2),"$",""))&amp;Formulas!AS195+1,
IFERROR(INDEX(Datos!$A$2:$L$101,Formulas!AS195,Formulas!AT195+2),"")))</f>
        <v/>
      </c>
      <c r="AT197" s="13"/>
      <c r="AU197" s="6"/>
      <c r="AV197" s="24" t="str" cm="1">
        <f t="array" aca="1" ref="AV197" ca="1">IF(OR(Formulas!AX194=0,Formulas!AX194="",RIGHT(Formulas!AY194)="0"),"",
HYPERLINK("["&amp;Archivo_Nombre&amp;"]Datos!"&amp;LEFT(SUBSTITUTE(ADDRESS(1,IF(Formulas!AX194=1,1,RIGHT(Formulas!AY194)+2)),"$",""))&amp;Formulas!AW194+1,
IFERROR(INDEX(Datos!$A$1:$L$1,1,RIGHT(Formulas!AY194)+2)&amp;IF(Formulas!AX194=1," "&amp;Formulas!AW194,"")&amp;":","")))</f>
        <v/>
      </c>
      <c r="AW197" s="107" t="str" cm="1">
        <f t="array" aca="1" ref="AW197" ca="1">IF(OR(Formulas!AX194=0,Formulas!AX194="",RIGHT(Formulas!AY194)="0"),"",
HYPERLINK("["&amp;Archivo_Nombre&amp;"]Datos!"&amp;LEFT(SUBSTITUTE(ADDRESS(1,RIGHT(Formulas!AY194)+2),"$",""))&amp;Formulas!AW194+1,
IFERROR(INDEX(Datos!$A$2:$L$101,Formulas!AW194,RIGHT(Formulas!AY194)+2),"")))</f>
        <v/>
      </c>
      <c r="AX197" s="107" t="str" cm="1">
        <f t="array" aca="1" ref="AX197" ca="1">IF(OR(Formulas!AY195=0,Formulas!AY195=""),"",HYPERLINK("["&amp;Archivo_Nombre&amp;"]Datos!"&amp;LEFT(SUBSTITUTE(ADDRESS(1,Formulas!AY195+2),"$",""))&amp;Formulas!AX195+1,
IFERROR(INDEX(Datos!$A$2:$L$101,Formulas!AX195,Formulas!AY195+2),"")))</f>
        <v/>
      </c>
      <c r="AY197" s="13"/>
    </row>
    <row r="198" spans="2:51" x14ac:dyDescent="0.25">
      <c r="B198" s="11"/>
      <c r="C198" s="24" t="str" cm="1">
        <f t="array" aca="1" ref="C198" ca="1">IF(OR(Formulas!E195=0,Formulas!E195="",RIGHT(Formulas!F195)="0"),"",
HYPERLINK("["&amp;Archivo_Nombre&amp;"]Datos!"&amp;LEFT(SUBSTITUTE(ADDRESS(1,IF(Formulas!E195=1,1,RIGHT(Formulas!F195)+2)),"$",""))&amp;Formulas!D195+1,
IFERROR(INDEX(Datos!$A$1:$L$1,1,RIGHT(Formulas!F195)+2)&amp;IF(Formulas!E195=1," "&amp;Formulas!D195,"")&amp;":","")))</f>
        <v/>
      </c>
      <c r="D198" s="107" t="str" cm="1">
        <f t="array" aca="1" ref="D198" ca="1">IF(OR(Formulas!E195=0,Formulas!E195="",RIGHT(Formulas!F195)="0"),"",
HYPERLINK("["&amp;Archivo_Nombre&amp;"]Datos!"&amp;LEFT(SUBSTITUTE(ADDRESS(1,RIGHT(Formulas!F195)+2),"$",""))&amp;Formulas!D195+1,
IFERROR(INDEX(Datos!$A$2:$L$101,Formulas!D195,RIGHT(Formulas!F195)+2),"")))</f>
        <v/>
      </c>
      <c r="E198" s="107" t="str" cm="1">
        <f t="array" aca="1" ref="E198" ca="1">IF(OR(Formulas!F196=0,Formulas!F196=""),"",HYPERLINK("["&amp;Archivo_Nombre&amp;"]Datos!"&amp;LEFT(SUBSTITUTE(ADDRESS(1,Formulas!F196+2),"$",""))&amp;Formulas!E196+1,
IFERROR(INDEX(Datos!$A$2:$L$101,Formulas!E196,Formulas!F196+2),"")))</f>
        <v/>
      </c>
      <c r="F198" s="5"/>
      <c r="G198" s="6"/>
      <c r="H198" s="24" t="str" cm="1">
        <f t="array" aca="1" ref="H198" ca="1">IF(OR(Formulas!J195=0,Formulas!J195="",RIGHT(Formulas!K195)="0"),"",
HYPERLINK("["&amp;Archivo_Nombre&amp;"]Datos!"&amp;LEFT(SUBSTITUTE(ADDRESS(1,IF(Formulas!J195=1,1,RIGHT(Formulas!K195)+2)),"$",""))&amp;Formulas!I195+1,
IFERROR(INDEX(Datos!$A$1:$L$1,1,RIGHT(Formulas!K195)+2)&amp;IF(Formulas!J195=1," "&amp;Formulas!I195,"")&amp;":","")))</f>
        <v/>
      </c>
      <c r="I198" s="107" t="str" cm="1">
        <f t="array" aca="1" ref="I198" ca="1">IF(OR(Formulas!J195=0,Formulas!J195="",RIGHT(Formulas!K195)="0"),"",
HYPERLINK("["&amp;Archivo_Nombre&amp;"]Datos!"&amp;LEFT(SUBSTITUTE(ADDRESS(1,RIGHT(Formulas!K195)+2),"$",""))&amp;Formulas!I195+1,
IFERROR(INDEX(Datos!$A$2:$L$101,Formulas!I195,RIGHT(Formulas!K195)+2),"")))</f>
        <v/>
      </c>
      <c r="J198" s="107" t="str" cm="1">
        <f t="array" aca="1" ref="J198" ca="1">IF(OR(Formulas!K196=0,Formulas!K196=""),"",HYPERLINK("["&amp;Archivo_Nombre&amp;"]Datos!"&amp;LEFT(SUBSTITUTE(ADDRESS(1,Formulas!K196+2),"$",""))&amp;Formulas!J196+1,
IFERROR(INDEX(Datos!$A$2:$L$101,Formulas!J196,Formulas!K196+2),"")))</f>
        <v/>
      </c>
      <c r="K198" s="5"/>
      <c r="L198" s="6"/>
      <c r="M198" s="24" t="str" cm="1">
        <f t="array" aca="1" ref="M198" ca="1">IF(OR(Formulas!O195=0,Formulas!O195="",RIGHT(Formulas!P195)="0"),"",
HYPERLINK("["&amp;Archivo_Nombre&amp;"]Datos!"&amp;LEFT(SUBSTITUTE(ADDRESS(1,IF(Formulas!O195=1,1,RIGHT(Formulas!P195)+2)),"$",""))&amp;Formulas!N195+1,
IFERROR(INDEX(Datos!$A$1:$L$1,1,RIGHT(Formulas!P195)+2)&amp;IF(Formulas!O195=1," "&amp;Formulas!N195,"")&amp;":","")))</f>
        <v/>
      </c>
      <c r="N198" s="107" t="str" cm="1">
        <f t="array" aca="1" ref="N198" ca="1">IF(OR(Formulas!O195=0,Formulas!O195="",RIGHT(Formulas!P195)="0"),"",
HYPERLINK("["&amp;Archivo_Nombre&amp;"]Datos!"&amp;LEFT(SUBSTITUTE(ADDRESS(1,RIGHT(Formulas!P195)+2),"$",""))&amp;Formulas!N195+1,
IFERROR(INDEX(Datos!$A$2:$L$101,Formulas!N195,RIGHT(Formulas!P195)+2),"")))</f>
        <v/>
      </c>
      <c r="O198" s="107" t="str" cm="1">
        <f t="array" aca="1" ref="O198" ca="1">IF(OR(Formulas!P196=0,Formulas!P196=""),"",HYPERLINK("["&amp;Archivo_Nombre&amp;"]Datos!"&amp;LEFT(SUBSTITUTE(ADDRESS(1,Formulas!P196+2),"$",""))&amp;Formulas!O196+1,
IFERROR(INDEX(Datos!$A$2:$L$101,Formulas!O196,Formulas!P196+2),"")))</f>
        <v/>
      </c>
      <c r="P198" s="5"/>
      <c r="Q198" s="6"/>
      <c r="R198" s="24" t="str" cm="1">
        <f t="array" aca="1" ref="R198" ca="1">IF(OR(Formulas!T195=0,Formulas!T195="",RIGHT(Formulas!U195)="0"),"",
HYPERLINK("["&amp;Archivo_Nombre&amp;"]Datos!"&amp;LEFT(SUBSTITUTE(ADDRESS(1,IF(Formulas!T195=1,1,RIGHT(Formulas!U195)+2)),"$",""))&amp;Formulas!S195+1,
IFERROR(INDEX(Datos!$A$1:$L$1,1,RIGHT(Formulas!U195)+2)&amp;IF(Formulas!T195=1," "&amp;Formulas!S195,"")&amp;":","")))</f>
        <v>Descripción:</v>
      </c>
      <c r="S198" s="107" t="str" cm="1">
        <f t="array" aca="1" ref="S198" ca="1">IF(OR(Formulas!T195=0,Formulas!T195="",RIGHT(Formulas!U195)="0"),"",
HYPERLINK("["&amp;Archivo_Nombre&amp;"]Datos!"&amp;LEFT(SUBSTITUTE(ADDRESS(1,RIGHT(Formulas!U195)+2),"$",""))&amp;Formulas!S195+1,
IFERROR(INDEX(Datos!$A$2:$L$101,Formulas!S195,RIGHT(Formulas!U195)+2),"")))</f>
        <v>Investigación método de resolución 5W y 2H</v>
      </c>
      <c r="T198" s="107" t="e" cm="1">
        <f t="array" aca="1" ref="T198" ca="1">IF(OR(Formulas!U196=0,Formulas!U196=""),"",HYPERLINK("["&amp;Archivo_Nombre&amp;"]Datos!"&amp;LEFT(SUBSTITUTE(ADDRESS(1,Formulas!U196+2),"$",""))&amp;Formulas!T196+1,
IFERROR(INDEX(Datos!$A$2:$L$101,Formulas!T196,Formulas!U196+2),"")))</f>
        <v>#VALUE!</v>
      </c>
      <c r="U198" s="5"/>
      <c r="V198" s="6"/>
      <c r="W198" s="24" t="str" cm="1">
        <f t="array" aca="1" ref="W198" ca="1">IF(OR(Formulas!Y195=0,Formulas!Y195="",RIGHT(Formulas!Z195)="0"),"",
HYPERLINK("["&amp;Archivo_Nombre&amp;"]Datos!"&amp;LEFT(SUBSTITUTE(ADDRESS(1,IF(Formulas!Y195=1,1,RIGHT(Formulas!Z195)+2)),"$",""))&amp;Formulas!X195+1,
IFERROR(INDEX(Datos!$A$1:$L$1,1,RIGHT(Formulas!Z195)+2)&amp;IF(Formulas!Y195=1," "&amp;Formulas!X195,"")&amp;":","")))</f>
        <v/>
      </c>
      <c r="X198" s="107" t="str" cm="1">
        <f t="array" aca="1" ref="X198" ca="1">IF(OR(Formulas!Y195=0,Formulas!Y195="",RIGHT(Formulas!Z195)="0"),"",
HYPERLINK("["&amp;Archivo_Nombre&amp;"]Datos!"&amp;LEFT(SUBSTITUTE(ADDRESS(1,RIGHT(Formulas!Z195)+2),"$",""))&amp;Formulas!X195+1,
IFERROR(INDEX(Datos!$A$2:$L$101,Formulas!X195,RIGHT(Formulas!Z195)+2),"")))</f>
        <v/>
      </c>
      <c r="Y198" s="107" t="str" cm="1">
        <f t="array" aca="1" ref="Y198" ca="1">IF(OR(Formulas!Z196=0,Formulas!Z196=""),"",HYPERLINK("["&amp;Archivo_Nombre&amp;"]Datos!"&amp;LEFT(SUBSTITUTE(ADDRESS(1,Formulas!Z196+2),"$",""))&amp;Formulas!Y196+1,
IFERROR(INDEX(Datos!$A$2:$L$101,Formulas!Y196,Formulas!Z196+2),"")))</f>
        <v/>
      </c>
      <c r="Z198" s="13"/>
      <c r="AA198" s="6"/>
      <c r="AB198" s="24" t="str" cm="1">
        <f t="array" aca="1" ref="AB198" ca="1">IF(OR(Formulas!AD195=0,Formulas!AD195="",RIGHT(Formulas!AE195)="0"),"",
HYPERLINK("["&amp;Archivo_Nombre&amp;"]Datos!"&amp;LEFT(SUBSTITUTE(ADDRESS(1,IF(Formulas!AD195=1,1,RIGHT(Formulas!AE195)+2)),"$",""))&amp;Formulas!AC195+1,
IFERROR(INDEX(Datos!$A$1:$L$1,1,RIGHT(Formulas!AE195)+2)&amp;IF(Formulas!AD195=1," "&amp;Formulas!AC195,"")&amp;":","")))</f>
        <v/>
      </c>
      <c r="AC198" s="107" t="str" cm="1">
        <f t="array" aca="1" ref="AC198" ca="1">IF(OR(Formulas!AD195=0,Formulas!AD195="",RIGHT(Formulas!AE195)="0"),"",
HYPERLINK("["&amp;Archivo_Nombre&amp;"]Datos!"&amp;LEFT(SUBSTITUTE(ADDRESS(1,RIGHT(Formulas!AE195)+2),"$",""))&amp;Formulas!AC195+1,
IFERROR(INDEX(Datos!$A$2:$L$101,Formulas!AC195,RIGHT(Formulas!AE195)+2),"")))</f>
        <v/>
      </c>
      <c r="AD198" s="107" t="str" cm="1">
        <f t="array" aca="1" ref="AD198" ca="1">IF(OR(Formulas!AE196=0,Formulas!AE196=""),"",HYPERLINK("["&amp;Archivo_Nombre&amp;"]Datos!"&amp;LEFT(SUBSTITUTE(ADDRESS(1,Formulas!AE196+2),"$",""))&amp;Formulas!AD196+1,
IFERROR(INDEX(Datos!$A$2:$L$101,Formulas!AD196,Formulas!AE196+2),"")))</f>
        <v/>
      </c>
      <c r="AE198" s="13"/>
      <c r="AF198" s="6"/>
      <c r="AG198" s="24" t="str" cm="1">
        <f t="array" aca="1" ref="AG198" ca="1">IF(OR(Formulas!AI195=0,Formulas!AI195="",RIGHT(Formulas!AJ195)="0"),"",
HYPERLINK("["&amp;Archivo_Nombre&amp;"]Datos!"&amp;LEFT(SUBSTITUTE(ADDRESS(1,IF(Formulas!AI195=1,1,RIGHT(Formulas!AJ195)+2)),"$",""))&amp;Formulas!AH195+1,
IFERROR(INDEX(Datos!$A$1:$L$1,1,RIGHT(Formulas!AJ195)+2)&amp;IF(Formulas!AI195=1," "&amp;Formulas!AH195,"")&amp;":","")))</f>
        <v/>
      </c>
      <c r="AH198" s="107" t="str" cm="1">
        <f t="array" aca="1" ref="AH198" ca="1">IF(OR(Formulas!AI195=0,Formulas!AI195="",RIGHT(Formulas!AJ195)="0"),"",
HYPERLINK("["&amp;Archivo_Nombre&amp;"]Datos!"&amp;LEFT(SUBSTITUTE(ADDRESS(1,RIGHT(Formulas!AJ195)+2),"$",""))&amp;Formulas!AH195+1,
IFERROR(INDEX(Datos!$A$2:$L$101,Formulas!AH195,RIGHT(Formulas!AJ195)+2),"")))</f>
        <v/>
      </c>
      <c r="AI198" s="107" t="str" cm="1">
        <f t="array" aca="1" ref="AI198" ca="1">IF(OR(Formulas!AJ196=0,Formulas!AJ196=""),"",HYPERLINK("["&amp;Archivo_Nombre&amp;"]Datos!"&amp;LEFT(SUBSTITUTE(ADDRESS(1,Formulas!AJ196+2),"$",""))&amp;Formulas!AI196+1,
IFERROR(INDEX(Datos!$A$2:$L$101,Formulas!AI196,Formulas!AJ196+2),"")))</f>
        <v/>
      </c>
      <c r="AJ198" s="13"/>
      <c r="AK198" s="6"/>
      <c r="AL198" s="24" t="str" cm="1">
        <f t="array" aca="1" ref="AL198" ca="1">IF(OR(Formulas!AN195=0,Formulas!AN195="",RIGHT(Formulas!AO195)="0"),"",
HYPERLINK("["&amp;Archivo_Nombre&amp;"]Datos!"&amp;LEFT(SUBSTITUTE(ADDRESS(1,IF(Formulas!AN195=1,1,RIGHT(Formulas!AO195)+2)),"$",""))&amp;Formulas!AM195+1,
IFERROR(INDEX(Datos!$A$1:$L$1,1,RIGHT(Formulas!AO195)+2)&amp;IF(Formulas!AN195=1," "&amp;Formulas!AM195,"")&amp;":","")))</f>
        <v/>
      </c>
      <c r="AM198" s="107" t="str" cm="1">
        <f t="array" aca="1" ref="AM198" ca="1">IF(OR(Formulas!AN195=0,Formulas!AN195="",RIGHT(Formulas!AO195)="0"),"",
HYPERLINK("["&amp;Archivo_Nombre&amp;"]Datos!"&amp;LEFT(SUBSTITUTE(ADDRESS(1,RIGHT(Formulas!AO195)+2),"$",""))&amp;Formulas!AM195+1,
IFERROR(INDEX(Datos!$A$2:$L$101,Formulas!AM195,RIGHT(Formulas!AO195)+2),"")))</f>
        <v/>
      </c>
      <c r="AN198" s="107" t="str" cm="1">
        <f t="array" aca="1" ref="AN198" ca="1">IF(OR(Formulas!AO196=0,Formulas!AO196=""),"",HYPERLINK("["&amp;Archivo_Nombre&amp;"]Datos!"&amp;LEFT(SUBSTITUTE(ADDRESS(1,Formulas!AO196+2),"$",""))&amp;Formulas!AN196+1,
IFERROR(INDEX(Datos!$A$2:$L$101,Formulas!AN196,Formulas!AO196+2),"")))</f>
        <v/>
      </c>
      <c r="AO198" s="13"/>
      <c r="AP198" s="6"/>
      <c r="AQ198" s="24" t="str" cm="1">
        <f t="array" aca="1" ref="AQ198" ca="1">IF(OR(Formulas!AS195=0,Formulas!AS195="",RIGHT(Formulas!AT195)="0"),"",
HYPERLINK("["&amp;Archivo_Nombre&amp;"]Datos!"&amp;LEFT(SUBSTITUTE(ADDRESS(1,IF(Formulas!AS195=1,1,RIGHT(Formulas!AT195)+2)),"$",""))&amp;Formulas!AR195+1,
IFERROR(INDEX(Datos!$A$1:$L$1,1,RIGHT(Formulas!AT195)+2)&amp;IF(Formulas!AS195=1," "&amp;Formulas!AR195,"")&amp;":","")))</f>
        <v/>
      </c>
      <c r="AR198" s="107" t="str" cm="1">
        <f t="array" aca="1" ref="AR198" ca="1">IF(OR(Formulas!AS195=0,Formulas!AS195="",RIGHT(Formulas!AT195)="0"),"",
HYPERLINK("["&amp;Archivo_Nombre&amp;"]Datos!"&amp;LEFT(SUBSTITUTE(ADDRESS(1,RIGHT(Formulas!AT195)+2),"$",""))&amp;Formulas!AR195+1,
IFERROR(INDEX(Datos!$A$2:$L$101,Formulas!AR195,RIGHT(Formulas!AT195)+2),"")))</f>
        <v/>
      </c>
      <c r="AS198" s="107" t="str" cm="1">
        <f t="array" aca="1" ref="AS198" ca="1">IF(OR(Formulas!AT196=0,Formulas!AT196=""),"",HYPERLINK("["&amp;Archivo_Nombre&amp;"]Datos!"&amp;LEFT(SUBSTITUTE(ADDRESS(1,Formulas!AT196+2),"$",""))&amp;Formulas!AS196+1,
IFERROR(INDEX(Datos!$A$2:$L$101,Formulas!AS196,Formulas!AT196+2),"")))</f>
        <v/>
      </c>
      <c r="AT198" s="13"/>
      <c r="AU198" s="6"/>
      <c r="AV198" s="24" t="str" cm="1">
        <f t="array" aca="1" ref="AV198" ca="1">IF(OR(Formulas!AX195=0,Formulas!AX195="",RIGHT(Formulas!AY195)="0"),"",
HYPERLINK("["&amp;Archivo_Nombre&amp;"]Datos!"&amp;LEFT(SUBSTITUTE(ADDRESS(1,IF(Formulas!AX195=1,1,RIGHT(Formulas!AY195)+2)),"$",""))&amp;Formulas!AW195+1,
IFERROR(INDEX(Datos!$A$1:$L$1,1,RIGHT(Formulas!AY195)+2)&amp;IF(Formulas!AX195=1," "&amp;Formulas!AW195,"")&amp;":","")))</f>
        <v/>
      </c>
      <c r="AW198" s="107" t="str" cm="1">
        <f t="array" aca="1" ref="AW198" ca="1">IF(OR(Formulas!AX195=0,Formulas!AX195="",RIGHT(Formulas!AY195)="0"),"",
HYPERLINK("["&amp;Archivo_Nombre&amp;"]Datos!"&amp;LEFT(SUBSTITUTE(ADDRESS(1,RIGHT(Formulas!AY195)+2),"$",""))&amp;Formulas!AW195+1,
IFERROR(INDEX(Datos!$A$2:$L$101,Formulas!AW195,RIGHT(Formulas!AY195)+2),"")))</f>
        <v/>
      </c>
      <c r="AX198" s="107" t="str" cm="1">
        <f t="array" aca="1" ref="AX198" ca="1">IF(OR(Formulas!AY196=0,Formulas!AY196=""),"",HYPERLINK("["&amp;Archivo_Nombre&amp;"]Datos!"&amp;LEFT(SUBSTITUTE(ADDRESS(1,Formulas!AY196+2),"$",""))&amp;Formulas!AX196+1,
IFERROR(INDEX(Datos!$A$2:$L$101,Formulas!AX196,Formulas!AY196+2),"")))</f>
        <v/>
      </c>
      <c r="AY198" s="13"/>
    </row>
    <row r="199" spans="2:51" x14ac:dyDescent="0.25">
      <c r="B199" s="11"/>
      <c r="C199" s="24" t="str" cm="1">
        <f t="array" aca="1" ref="C199" ca="1">IF(OR(Formulas!E196=0,Formulas!E196="",RIGHT(Formulas!F196)="0"),"",
HYPERLINK("["&amp;Archivo_Nombre&amp;"]Datos!"&amp;LEFT(SUBSTITUTE(ADDRESS(1,IF(Formulas!E196=1,1,RIGHT(Formulas!F196)+2)),"$",""))&amp;Formulas!D196+1,
IFERROR(INDEX(Datos!$A$1:$L$1,1,RIGHT(Formulas!F196)+2)&amp;IF(Formulas!E196=1," "&amp;Formulas!D196,"")&amp;":","")))</f>
        <v/>
      </c>
      <c r="D199" s="107" t="str" cm="1">
        <f t="array" aca="1" ref="D199" ca="1">IF(OR(Formulas!E196=0,Formulas!E196="",RIGHT(Formulas!F196)="0"),"",
HYPERLINK("["&amp;Archivo_Nombre&amp;"]Datos!"&amp;LEFT(SUBSTITUTE(ADDRESS(1,RIGHT(Formulas!F196)+2),"$",""))&amp;Formulas!D196+1,
IFERROR(INDEX(Datos!$A$2:$L$101,Formulas!D196,RIGHT(Formulas!F196)+2),"")))</f>
        <v/>
      </c>
      <c r="E199" s="107" t="str" cm="1">
        <f t="array" aca="1" ref="E199" ca="1">IF(OR(Formulas!F197=0,Formulas!F197=""),"",HYPERLINK("["&amp;Archivo_Nombre&amp;"]Datos!"&amp;LEFT(SUBSTITUTE(ADDRESS(1,Formulas!F197+2),"$",""))&amp;Formulas!E197+1,
IFERROR(INDEX(Datos!$A$2:$L$101,Formulas!E197,Formulas!F197+2),"")))</f>
        <v/>
      </c>
      <c r="F199" s="5"/>
      <c r="G199" s="6"/>
      <c r="H199" s="24" t="str" cm="1">
        <f t="array" aca="1" ref="H199" ca="1">IF(OR(Formulas!J196=0,Formulas!J196="",RIGHT(Formulas!K196)="0"),"",
HYPERLINK("["&amp;Archivo_Nombre&amp;"]Datos!"&amp;LEFT(SUBSTITUTE(ADDRESS(1,IF(Formulas!J196=1,1,RIGHT(Formulas!K196)+2)),"$",""))&amp;Formulas!I196+1,
IFERROR(INDEX(Datos!$A$1:$L$1,1,RIGHT(Formulas!K196)+2)&amp;IF(Formulas!J196=1," "&amp;Formulas!I196,"")&amp;":","")))</f>
        <v/>
      </c>
      <c r="I199" s="107" t="str" cm="1">
        <f t="array" aca="1" ref="I199" ca="1">IF(OR(Formulas!J196=0,Formulas!J196="",RIGHT(Formulas!K196)="0"),"",
HYPERLINK("["&amp;Archivo_Nombre&amp;"]Datos!"&amp;LEFT(SUBSTITUTE(ADDRESS(1,RIGHT(Formulas!K196)+2),"$",""))&amp;Formulas!I196+1,
IFERROR(INDEX(Datos!$A$2:$L$101,Formulas!I196,RIGHT(Formulas!K196)+2),"")))</f>
        <v/>
      </c>
      <c r="J199" s="107" t="str" cm="1">
        <f t="array" aca="1" ref="J199" ca="1">IF(OR(Formulas!K197=0,Formulas!K197=""),"",HYPERLINK("["&amp;Archivo_Nombre&amp;"]Datos!"&amp;LEFT(SUBSTITUTE(ADDRESS(1,Formulas!K197+2),"$",""))&amp;Formulas!J197+1,
IFERROR(INDEX(Datos!$A$2:$L$101,Formulas!J197,Formulas!K197+2),"")))</f>
        <v/>
      </c>
      <c r="K199" s="5"/>
      <c r="L199" s="6"/>
      <c r="M199" s="24" t="str" cm="1">
        <f t="array" aca="1" ref="M199" ca="1">IF(OR(Formulas!O196=0,Formulas!O196="",RIGHT(Formulas!P196)="0"),"",
HYPERLINK("["&amp;Archivo_Nombre&amp;"]Datos!"&amp;LEFT(SUBSTITUTE(ADDRESS(1,IF(Formulas!O196=1,1,RIGHT(Formulas!P196)+2)),"$",""))&amp;Formulas!N196+1,
IFERROR(INDEX(Datos!$A$1:$L$1,1,RIGHT(Formulas!P196)+2)&amp;IF(Formulas!O196=1," "&amp;Formulas!N196,"")&amp;":","")))</f>
        <v/>
      </c>
      <c r="N199" s="107" t="str" cm="1">
        <f t="array" aca="1" ref="N199" ca="1">IF(OR(Formulas!O196=0,Formulas!O196="",RIGHT(Formulas!P196)="0"),"",
HYPERLINK("["&amp;Archivo_Nombre&amp;"]Datos!"&amp;LEFT(SUBSTITUTE(ADDRESS(1,RIGHT(Formulas!P196)+2),"$",""))&amp;Formulas!N196+1,
IFERROR(INDEX(Datos!$A$2:$L$101,Formulas!N196,RIGHT(Formulas!P196)+2),"")))</f>
        <v/>
      </c>
      <c r="O199" s="107" t="str" cm="1">
        <f t="array" aca="1" ref="O199" ca="1">IF(OR(Formulas!P197=0,Formulas!P197=""),"",HYPERLINK("["&amp;Archivo_Nombre&amp;"]Datos!"&amp;LEFT(SUBSTITUTE(ADDRESS(1,Formulas!P197+2),"$",""))&amp;Formulas!O197+1,
IFERROR(INDEX(Datos!$A$2:$L$101,Formulas!O197,Formulas!P197+2),"")))</f>
        <v/>
      </c>
      <c r="P199" s="5"/>
      <c r="Q199" s="6"/>
      <c r="R199" s="24" t="str" cm="1">
        <f t="array" aca="1" ref="R199" ca="1">IF(OR(Formulas!T196=0,Formulas!T196="",RIGHT(Formulas!U196)="0"),"",
HYPERLINK("["&amp;Archivo_Nombre&amp;"]Datos!"&amp;LEFT(SUBSTITUTE(ADDRESS(1,IF(Formulas!T196=1,1,RIGHT(Formulas!U196)+2)),"$",""))&amp;Formulas!S196+1,
IFERROR(INDEX(Datos!$A$1:$L$1,1,RIGHT(Formulas!U196)+2)&amp;IF(Formulas!T196=1," "&amp;Formulas!S196,"")&amp;":","")))</f>
        <v>Inicio:</v>
      </c>
      <c r="S199" s="107" cm="1">
        <f t="array" aca="1" ref="S199" ca="1">IF(OR(Formulas!T196=0,Formulas!T196="",RIGHT(Formulas!U196)="0"),"",
HYPERLINK("["&amp;Archivo_Nombre&amp;"]Datos!"&amp;LEFT(SUBSTITUTE(ADDRESS(1,RIGHT(Formulas!U196)+2),"$",""))&amp;Formulas!S196+1,
IFERROR(INDEX(Datos!$A$2:$L$101,Formulas!S196,RIGHT(Formulas!U196)+2),"")))</f>
        <v>45795</v>
      </c>
      <c r="T199" s="107" t="e" cm="1">
        <f t="array" aca="1" ref="T199" ca="1">IF(OR(Formulas!U197=0,Formulas!U197=""),"",HYPERLINK("["&amp;Archivo_Nombre&amp;"]Datos!"&amp;LEFT(SUBSTITUTE(ADDRESS(1,Formulas!U197+2),"$",""))&amp;Formulas!T197+1,
IFERROR(INDEX(Datos!$A$2:$L$101,Formulas!T197,Formulas!U197+2),"")))</f>
        <v>#VALUE!</v>
      </c>
      <c r="U199" s="5"/>
      <c r="V199" s="6"/>
      <c r="W199" s="24" t="str" cm="1">
        <f t="array" aca="1" ref="W199" ca="1">IF(OR(Formulas!Y196=0,Formulas!Y196="",RIGHT(Formulas!Z196)="0"),"",
HYPERLINK("["&amp;Archivo_Nombre&amp;"]Datos!"&amp;LEFT(SUBSTITUTE(ADDRESS(1,IF(Formulas!Y196=1,1,RIGHT(Formulas!Z196)+2)),"$",""))&amp;Formulas!X196+1,
IFERROR(INDEX(Datos!$A$1:$L$1,1,RIGHT(Formulas!Z196)+2)&amp;IF(Formulas!Y196=1," "&amp;Formulas!X196,"")&amp;":","")))</f>
        <v/>
      </c>
      <c r="X199" s="107" t="str" cm="1">
        <f t="array" aca="1" ref="X199" ca="1">IF(OR(Formulas!Y196=0,Formulas!Y196="",RIGHT(Formulas!Z196)="0"),"",
HYPERLINK("["&amp;Archivo_Nombre&amp;"]Datos!"&amp;LEFT(SUBSTITUTE(ADDRESS(1,RIGHT(Formulas!Z196)+2),"$",""))&amp;Formulas!X196+1,
IFERROR(INDEX(Datos!$A$2:$L$101,Formulas!X196,RIGHT(Formulas!Z196)+2),"")))</f>
        <v/>
      </c>
      <c r="Y199" s="107" t="str" cm="1">
        <f t="array" aca="1" ref="Y199" ca="1">IF(OR(Formulas!Z197=0,Formulas!Z197=""),"",HYPERLINK("["&amp;Archivo_Nombre&amp;"]Datos!"&amp;LEFT(SUBSTITUTE(ADDRESS(1,Formulas!Z197+2),"$",""))&amp;Formulas!Y197+1,
IFERROR(INDEX(Datos!$A$2:$L$101,Formulas!Y197,Formulas!Z197+2),"")))</f>
        <v/>
      </c>
      <c r="Z199" s="13"/>
      <c r="AA199" s="6"/>
      <c r="AB199" s="24" t="str" cm="1">
        <f t="array" aca="1" ref="AB199" ca="1">IF(OR(Formulas!AD196=0,Formulas!AD196="",RIGHT(Formulas!AE196)="0"),"",
HYPERLINK("["&amp;Archivo_Nombre&amp;"]Datos!"&amp;LEFT(SUBSTITUTE(ADDRESS(1,IF(Formulas!AD196=1,1,RIGHT(Formulas!AE196)+2)),"$",""))&amp;Formulas!AC196+1,
IFERROR(INDEX(Datos!$A$1:$L$1,1,RIGHT(Formulas!AE196)+2)&amp;IF(Formulas!AD196=1," "&amp;Formulas!AC196,"")&amp;":","")))</f>
        <v/>
      </c>
      <c r="AC199" s="107" t="str" cm="1">
        <f t="array" aca="1" ref="AC199" ca="1">IF(OR(Formulas!AD196=0,Formulas!AD196="",RIGHT(Formulas!AE196)="0"),"",
HYPERLINK("["&amp;Archivo_Nombre&amp;"]Datos!"&amp;LEFT(SUBSTITUTE(ADDRESS(1,RIGHT(Formulas!AE196)+2),"$",""))&amp;Formulas!AC196+1,
IFERROR(INDEX(Datos!$A$2:$L$101,Formulas!AC196,RIGHT(Formulas!AE196)+2),"")))</f>
        <v/>
      </c>
      <c r="AD199" s="107" t="str" cm="1">
        <f t="array" aca="1" ref="AD199" ca="1">IF(OR(Formulas!AE197=0,Formulas!AE197=""),"",HYPERLINK("["&amp;Archivo_Nombre&amp;"]Datos!"&amp;LEFT(SUBSTITUTE(ADDRESS(1,Formulas!AE197+2),"$",""))&amp;Formulas!AD197+1,
IFERROR(INDEX(Datos!$A$2:$L$101,Formulas!AD197,Formulas!AE197+2),"")))</f>
        <v/>
      </c>
      <c r="AE199" s="13"/>
      <c r="AF199" s="6"/>
      <c r="AG199" s="24" t="str" cm="1">
        <f t="array" aca="1" ref="AG199" ca="1">IF(OR(Formulas!AI196=0,Formulas!AI196="",RIGHT(Formulas!AJ196)="0"),"",
HYPERLINK("["&amp;Archivo_Nombre&amp;"]Datos!"&amp;LEFT(SUBSTITUTE(ADDRESS(1,IF(Formulas!AI196=1,1,RIGHT(Formulas!AJ196)+2)),"$",""))&amp;Formulas!AH196+1,
IFERROR(INDEX(Datos!$A$1:$L$1,1,RIGHT(Formulas!AJ196)+2)&amp;IF(Formulas!AI196=1," "&amp;Formulas!AH196,"")&amp;":","")))</f>
        <v/>
      </c>
      <c r="AH199" s="107" t="str" cm="1">
        <f t="array" aca="1" ref="AH199" ca="1">IF(OR(Formulas!AI196=0,Formulas!AI196="",RIGHT(Formulas!AJ196)="0"),"",
HYPERLINK("["&amp;Archivo_Nombre&amp;"]Datos!"&amp;LEFT(SUBSTITUTE(ADDRESS(1,RIGHT(Formulas!AJ196)+2),"$",""))&amp;Formulas!AH196+1,
IFERROR(INDEX(Datos!$A$2:$L$101,Formulas!AH196,RIGHT(Formulas!AJ196)+2),"")))</f>
        <v/>
      </c>
      <c r="AI199" s="107" t="str" cm="1">
        <f t="array" aca="1" ref="AI199" ca="1">IF(OR(Formulas!AJ197=0,Formulas!AJ197=""),"",HYPERLINK("["&amp;Archivo_Nombre&amp;"]Datos!"&amp;LEFT(SUBSTITUTE(ADDRESS(1,Formulas!AJ197+2),"$",""))&amp;Formulas!AI197+1,
IFERROR(INDEX(Datos!$A$2:$L$101,Formulas!AI197,Formulas!AJ197+2),"")))</f>
        <v/>
      </c>
      <c r="AJ199" s="13"/>
      <c r="AK199" s="6"/>
      <c r="AL199" s="24" t="str" cm="1">
        <f t="array" aca="1" ref="AL199" ca="1">IF(OR(Formulas!AN196=0,Formulas!AN196="",RIGHT(Formulas!AO196)="0"),"",
HYPERLINK("["&amp;Archivo_Nombre&amp;"]Datos!"&amp;LEFT(SUBSTITUTE(ADDRESS(1,IF(Formulas!AN196=1,1,RIGHT(Formulas!AO196)+2)),"$",""))&amp;Formulas!AM196+1,
IFERROR(INDEX(Datos!$A$1:$L$1,1,RIGHT(Formulas!AO196)+2)&amp;IF(Formulas!AN196=1," "&amp;Formulas!AM196,"")&amp;":","")))</f>
        <v/>
      </c>
      <c r="AM199" s="107" t="str" cm="1">
        <f t="array" aca="1" ref="AM199" ca="1">IF(OR(Formulas!AN196=0,Formulas!AN196="",RIGHT(Formulas!AO196)="0"),"",
HYPERLINK("["&amp;Archivo_Nombre&amp;"]Datos!"&amp;LEFT(SUBSTITUTE(ADDRESS(1,RIGHT(Formulas!AO196)+2),"$",""))&amp;Formulas!AM196+1,
IFERROR(INDEX(Datos!$A$2:$L$101,Formulas!AM196,RIGHT(Formulas!AO196)+2),"")))</f>
        <v/>
      </c>
      <c r="AN199" s="107" t="str" cm="1">
        <f t="array" aca="1" ref="AN199" ca="1">IF(OR(Formulas!AO197=0,Formulas!AO197=""),"",HYPERLINK("["&amp;Archivo_Nombre&amp;"]Datos!"&amp;LEFT(SUBSTITUTE(ADDRESS(1,Formulas!AO197+2),"$",""))&amp;Formulas!AN197+1,
IFERROR(INDEX(Datos!$A$2:$L$101,Formulas!AN197,Formulas!AO197+2),"")))</f>
        <v/>
      </c>
      <c r="AO199" s="13"/>
      <c r="AP199" s="6"/>
      <c r="AQ199" s="24" t="str" cm="1">
        <f t="array" aca="1" ref="AQ199" ca="1">IF(OR(Formulas!AS196=0,Formulas!AS196="",RIGHT(Formulas!AT196)="0"),"",
HYPERLINK("["&amp;Archivo_Nombre&amp;"]Datos!"&amp;LEFT(SUBSTITUTE(ADDRESS(1,IF(Formulas!AS196=1,1,RIGHT(Formulas!AT196)+2)),"$",""))&amp;Formulas!AR196+1,
IFERROR(INDEX(Datos!$A$1:$L$1,1,RIGHT(Formulas!AT196)+2)&amp;IF(Formulas!AS196=1," "&amp;Formulas!AR196,"")&amp;":","")))</f>
        <v/>
      </c>
      <c r="AR199" s="107" t="str" cm="1">
        <f t="array" aca="1" ref="AR199" ca="1">IF(OR(Formulas!AS196=0,Formulas!AS196="",RIGHT(Formulas!AT196)="0"),"",
HYPERLINK("["&amp;Archivo_Nombre&amp;"]Datos!"&amp;LEFT(SUBSTITUTE(ADDRESS(1,RIGHT(Formulas!AT196)+2),"$",""))&amp;Formulas!AR196+1,
IFERROR(INDEX(Datos!$A$2:$L$101,Formulas!AR196,RIGHT(Formulas!AT196)+2),"")))</f>
        <v/>
      </c>
      <c r="AS199" s="107" t="str" cm="1">
        <f t="array" aca="1" ref="AS199" ca="1">IF(OR(Formulas!AT197=0,Formulas!AT197=""),"",HYPERLINK("["&amp;Archivo_Nombre&amp;"]Datos!"&amp;LEFT(SUBSTITUTE(ADDRESS(1,Formulas!AT197+2),"$",""))&amp;Formulas!AS197+1,
IFERROR(INDEX(Datos!$A$2:$L$101,Formulas!AS197,Formulas!AT197+2),"")))</f>
        <v/>
      </c>
      <c r="AT199" s="13"/>
      <c r="AU199" s="6"/>
      <c r="AV199" s="24" t="str" cm="1">
        <f t="array" aca="1" ref="AV199" ca="1">IF(OR(Formulas!AX196=0,Formulas!AX196="",RIGHT(Formulas!AY196)="0"),"",
HYPERLINK("["&amp;Archivo_Nombre&amp;"]Datos!"&amp;LEFT(SUBSTITUTE(ADDRESS(1,IF(Formulas!AX196=1,1,RIGHT(Formulas!AY196)+2)),"$",""))&amp;Formulas!AW196+1,
IFERROR(INDEX(Datos!$A$1:$L$1,1,RIGHT(Formulas!AY196)+2)&amp;IF(Formulas!AX196=1," "&amp;Formulas!AW196,"")&amp;":","")))</f>
        <v/>
      </c>
      <c r="AW199" s="107" t="str" cm="1">
        <f t="array" aca="1" ref="AW199" ca="1">IF(OR(Formulas!AX196=0,Formulas!AX196="",RIGHT(Formulas!AY196)="0"),"",
HYPERLINK("["&amp;Archivo_Nombre&amp;"]Datos!"&amp;LEFT(SUBSTITUTE(ADDRESS(1,RIGHT(Formulas!AY196)+2),"$",""))&amp;Formulas!AW196+1,
IFERROR(INDEX(Datos!$A$2:$L$101,Formulas!AW196,RIGHT(Formulas!AY196)+2),"")))</f>
        <v/>
      </c>
      <c r="AX199" s="107" t="str" cm="1">
        <f t="array" aca="1" ref="AX199" ca="1">IF(OR(Formulas!AY197=0,Formulas!AY197=""),"",HYPERLINK("["&amp;Archivo_Nombre&amp;"]Datos!"&amp;LEFT(SUBSTITUTE(ADDRESS(1,Formulas!AY197+2),"$",""))&amp;Formulas!AX197+1,
IFERROR(INDEX(Datos!$A$2:$L$101,Formulas!AX197,Formulas!AY197+2),"")))</f>
        <v/>
      </c>
      <c r="AY199" s="13"/>
    </row>
    <row r="200" spans="2:51" x14ac:dyDescent="0.25">
      <c r="B200" s="11"/>
      <c r="C200" s="24" t="str" cm="1">
        <f t="array" aca="1" ref="C200" ca="1">IF(OR(Formulas!E197=0,Formulas!E197="",RIGHT(Formulas!F197)="0"),"",
HYPERLINK("["&amp;Archivo_Nombre&amp;"]Datos!"&amp;LEFT(SUBSTITUTE(ADDRESS(1,IF(Formulas!E197=1,1,RIGHT(Formulas!F197)+2)),"$",""))&amp;Formulas!D197+1,
IFERROR(INDEX(Datos!$A$1:$L$1,1,RIGHT(Formulas!F197)+2)&amp;IF(Formulas!E197=1," "&amp;Formulas!D197,"")&amp;":","")))</f>
        <v/>
      </c>
      <c r="D200" s="107" t="str" cm="1">
        <f t="array" aca="1" ref="D200" ca="1">IF(OR(Formulas!E197=0,Formulas!E197="",RIGHT(Formulas!F197)="0"),"",
HYPERLINK("["&amp;Archivo_Nombre&amp;"]Datos!"&amp;LEFT(SUBSTITUTE(ADDRESS(1,RIGHT(Formulas!F197)+2),"$",""))&amp;Formulas!D197+1,
IFERROR(INDEX(Datos!$A$2:$L$101,Formulas!D197,RIGHT(Formulas!F197)+2),"")))</f>
        <v/>
      </c>
      <c r="E200" s="107" t="str" cm="1">
        <f t="array" aca="1" ref="E200" ca="1">IF(OR(Formulas!F198=0,Formulas!F198=""),"",HYPERLINK("["&amp;Archivo_Nombre&amp;"]Datos!"&amp;LEFT(SUBSTITUTE(ADDRESS(1,Formulas!F198+2),"$",""))&amp;Formulas!E198+1,
IFERROR(INDEX(Datos!$A$2:$L$101,Formulas!E198,Formulas!F198+2),"")))</f>
        <v/>
      </c>
      <c r="F200" s="5"/>
      <c r="G200" s="6"/>
      <c r="H200" s="24" t="str" cm="1">
        <f t="array" aca="1" ref="H200" ca="1">IF(OR(Formulas!J197=0,Formulas!J197="",RIGHT(Formulas!K197)="0"),"",
HYPERLINK("["&amp;Archivo_Nombre&amp;"]Datos!"&amp;LEFT(SUBSTITUTE(ADDRESS(1,IF(Formulas!J197=1,1,RIGHT(Formulas!K197)+2)),"$",""))&amp;Formulas!I197+1,
IFERROR(INDEX(Datos!$A$1:$L$1,1,RIGHT(Formulas!K197)+2)&amp;IF(Formulas!J197=1," "&amp;Formulas!I197,"")&amp;":","")))</f>
        <v/>
      </c>
      <c r="I200" s="107" t="str" cm="1">
        <f t="array" aca="1" ref="I200" ca="1">IF(OR(Formulas!J197=0,Formulas!J197="",RIGHT(Formulas!K197)="0"),"",
HYPERLINK("["&amp;Archivo_Nombre&amp;"]Datos!"&amp;LEFT(SUBSTITUTE(ADDRESS(1,RIGHT(Formulas!K197)+2),"$",""))&amp;Formulas!I197+1,
IFERROR(INDEX(Datos!$A$2:$L$101,Formulas!I197,RIGHT(Formulas!K197)+2),"")))</f>
        <v/>
      </c>
      <c r="J200" s="107" t="str" cm="1">
        <f t="array" aca="1" ref="J200" ca="1">IF(OR(Formulas!K198=0,Formulas!K198=""),"",HYPERLINK("["&amp;Archivo_Nombre&amp;"]Datos!"&amp;LEFT(SUBSTITUTE(ADDRESS(1,Formulas!K198+2),"$",""))&amp;Formulas!J198+1,
IFERROR(INDEX(Datos!$A$2:$L$101,Formulas!J198,Formulas!K198+2),"")))</f>
        <v/>
      </c>
      <c r="K200" s="5"/>
      <c r="L200" s="6"/>
      <c r="M200" s="24" t="str" cm="1">
        <f t="array" aca="1" ref="M200" ca="1">IF(OR(Formulas!O197=0,Formulas!O197="",RIGHT(Formulas!P197)="0"),"",
HYPERLINK("["&amp;Archivo_Nombre&amp;"]Datos!"&amp;LEFT(SUBSTITUTE(ADDRESS(1,IF(Formulas!O197=1,1,RIGHT(Formulas!P197)+2)),"$",""))&amp;Formulas!N197+1,
IFERROR(INDEX(Datos!$A$1:$L$1,1,RIGHT(Formulas!P197)+2)&amp;IF(Formulas!O197=1," "&amp;Formulas!N197,"")&amp;":","")))</f>
        <v/>
      </c>
      <c r="N200" s="107" t="str" cm="1">
        <f t="array" aca="1" ref="N200" ca="1">IF(OR(Formulas!O197=0,Formulas!O197="",RIGHT(Formulas!P197)="0"),"",
HYPERLINK("["&amp;Archivo_Nombre&amp;"]Datos!"&amp;LEFT(SUBSTITUTE(ADDRESS(1,RIGHT(Formulas!P197)+2),"$",""))&amp;Formulas!N197+1,
IFERROR(INDEX(Datos!$A$2:$L$101,Formulas!N197,RIGHT(Formulas!P197)+2),"")))</f>
        <v/>
      </c>
      <c r="O200" s="107" t="str" cm="1">
        <f t="array" aca="1" ref="O200" ca="1">IF(OR(Formulas!P198=0,Formulas!P198=""),"",HYPERLINK("["&amp;Archivo_Nombre&amp;"]Datos!"&amp;LEFT(SUBSTITUTE(ADDRESS(1,Formulas!P198+2),"$",""))&amp;Formulas!O198+1,
IFERROR(INDEX(Datos!$A$2:$L$101,Formulas!O198,Formulas!P198+2),"")))</f>
        <v/>
      </c>
      <c r="P200" s="5"/>
      <c r="Q200" s="6"/>
      <c r="R200" s="24" t="str" cm="1">
        <f t="array" aca="1" ref="R200" ca="1">IF(OR(Formulas!T197=0,Formulas!T197="",RIGHT(Formulas!U197)="0"),"",
HYPERLINK("["&amp;Archivo_Nombre&amp;"]Datos!"&amp;LEFT(SUBSTITUTE(ADDRESS(1,IF(Formulas!T197=1,1,RIGHT(Formulas!U197)+2)),"$",""))&amp;Formulas!S197+1,
IFERROR(INDEX(Datos!$A$1:$L$1,1,RIGHT(Formulas!U197)+2)&amp;IF(Formulas!T197=1," "&amp;Formulas!S197,"")&amp;":","")))</f>
        <v>Previsto:</v>
      </c>
      <c r="S200" s="107" cm="1">
        <f t="array" aca="1" ref="S200" ca="1">IF(OR(Formulas!T197=0,Formulas!T197="",RIGHT(Formulas!U197)="0"),"",
HYPERLINK("["&amp;Archivo_Nombre&amp;"]Datos!"&amp;LEFT(SUBSTITUTE(ADDRESS(1,RIGHT(Formulas!U197)+2),"$",""))&amp;Formulas!S197+1,
IFERROR(INDEX(Datos!$A$2:$L$101,Formulas!S197,RIGHT(Formulas!U197)+2),"")))</f>
        <v>45796</v>
      </c>
      <c r="T200" s="107" t="e" cm="1">
        <f t="array" aca="1" ref="T200" ca="1">IF(OR(Formulas!U198=0,Formulas!U198=""),"",HYPERLINK("["&amp;Archivo_Nombre&amp;"]Datos!"&amp;LEFT(SUBSTITUTE(ADDRESS(1,Formulas!U198+2),"$",""))&amp;Formulas!T198+1,
IFERROR(INDEX(Datos!$A$2:$L$101,Formulas!T198,Formulas!U198+2),"")))</f>
        <v>#VALUE!</v>
      </c>
      <c r="U200" s="5"/>
      <c r="V200" s="6"/>
      <c r="W200" s="24" t="str" cm="1">
        <f t="array" aca="1" ref="W200" ca="1">IF(OR(Formulas!Y197=0,Formulas!Y197="",RIGHT(Formulas!Z197)="0"),"",
HYPERLINK("["&amp;Archivo_Nombre&amp;"]Datos!"&amp;LEFT(SUBSTITUTE(ADDRESS(1,IF(Formulas!Y197=1,1,RIGHT(Formulas!Z197)+2)),"$",""))&amp;Formulas!X197+1,
IFERROR(INDEX(Datos!$A$1:$L$1,1,RIGHT(Formulas!Z197)+2)&amp;IF(Formulas!Y197=1," "&amp;Formulas!X197,"")&amp;":","")))</f>
        <v/>
      </c>
      <c r="X200" s="107" t="str" cm="1">
        <f t="array" aca="1" ref="X200" ca="1">IF(OR(Formulas!Y197=0,Formulas!Y197="",RIGHT(Formulas!Z197)="0"),"",
HYPERLINK("["&amp;Archivo_Nombre&amp;"]Datos!"&amp;LEFT(SUBSTITUTE(ADDRESS(1,RIGHT(Formulas!Z197)+2),"$",""))&amp;Formulas!X197+1,
IFERROR(INDEX(Datos!$A$2:$L$101,Formulas!X197,RIGHT(Formulas!Z197)+2),"")))</f>
        <v/>
      </c>
      <c r="Y200" s="107" t="str" cm="1">
        <f t="array" aca="1" ref="Y200" ca="1">IF(OR(Formulas!Z198=0,Formulas!Z198=""),"",HYPERLINK("["&amp;Archivo_Nombre&amp;"]Datos!"&amp;LEFT(SUBSTITUTE(ADDRESS(1,Formulas!Z198+2),"$",""))&amp;Formulas!Y198+1,
IFERROR(INDEX(Datos!$A$2:$L$101,Formulas!Y198,Formulas!Z198+2),"")))</f>
        <v/>
      </c>
      <c r="Z200" s="13"/>
      <c r="AA200" s="6"/>
      <c r="AB200" s="24" t="str" cm="1">
        <f t="array" aca="1" ref="AB200" ca="1">IF(OR(Formulas!AD197=0,Formulas!AD197="",RIGHT(Formulas!AE197)="0"),"",
HYPERLINK("["&amp;Archivo_Nombre&amp;"]Datos!"&amp;LEFT(SUBSTITUTE(ADDRESS(1,IF(Formulas!AD197=1,1,RIGHT(Formulas!AE197)+2)),"$",""))&amp;Formulas!AC197+1,
IFERROR(INDEX(Datos!$A$1:$L$1,1,RIGHT(Formulas!AE197)+2)&amp;IF(Formulas!AD197=1," "&amp;Formulas!AC197,"")&amp;":","")))</f>
        <v/>
      </c>
      <c r="AC200" s="107" t="str" cm="1">
        <f t="array" aca="1" ref="AC200" ca="1">IF(OR(Formulas!AD197=0,Formulas!AD197="",RIGHT(Formulas!AE197)="0"),"",
HYPERLINK("["&amp;Archivo_Nombre&amp;"]Datos!"&amp;LEFT(SUBSTITUTE(ADDRESS(1,RIGHT(Formulas!AE197)+2),"$",""))&amp;Formulas!AC197+1,
IFERROR(INDEX(Datos!$A$2:$L$101,Formulas!AC197,RIGHT(Formulas!AE197)+2),"")))</f>
        <v/>
      </c>
      <c r="AD200" s="107" t="str" cm="1">
        <f t="array" aca="1" ref="AD200" ca="1">IF(OR(Formulas!AE198=0,Formulas!AE198=""),"",HYPERLINK("["&amp;Archivo_Nombre&amp;"]Datos!"&amp;LEFT(SUBSTITUTE(ADDRESS(1,Formulas!AE198+2),"$",""))&amp;Formulas!AD198+1,
IFERROR(INDEX(Datos!$A$2:$L$101,Formulas!AD198,Formulas!AE198+2),"")))</f>
        <v/>
      </c>
      <c r="AE200" s="13"/>
      <c r="AF200" s="6"/>
      <c r="AG200" s="24" t="str" cm="1">
        <f t="array" aca="1" ref="AG200" ca="1">IF(OR(Formulas!AI197=0,Formulas!AI197="",RIGHT(Formulas!AJ197)="0"),"",
HYPERLINK("["&amp;Archivo_Nombre&amp;"]Datos!"&amp;LEFT(SUBSTITUTE(ADDRESS(1,IF(Formulas!AI197=1,1,RIGHT(Formulas!AJ197)+2)),"$",""))&amp;Formulas!AH197+1,
IFERROR(INDEX(Datos!$A$1:$L$1,1,RIGHT(Formulas!AJ197)+2)&amp;IF(Formulas!AI197=1," "&amp;Formulas!AH197,"")&amp;":","")))</f>
        <v/>
      </c>
      <c r="AH200" s="107" t="str" cm="1">
        <f t="array" aca="1" ref="AH200" ca="1">IF(OR(Formulas!AI197=0,Formulas!AI197="",RIGHT(Formulas!AJ197)="0"),"",
HYPERLINK("["&amp;Archivo_Nombre&amp;"]Datos!"&amp;LEFT(SUBSTITUTE(ADDRESS(1,RIGHT(Formulas!AJ197)+2),"$",""))&amp;Formulas!AH197+1,
IFERROR(INDEX(Datos!$A$2:$L$101,Formulas!AH197,RIGHT(Formulas!AJ197)+2),"")))</f>
        <v/>
      </c>
      <c r="AI200" s="107" t="str" cm="1">
        <f t="array" aca="1" ref="AI200" ca="1">IF(OR(Formulas!AJ198=0,Formulas!AJ198=""),"",HYPERLINK("["&amp;Archivo_Nombre&amp;"]Datos!"&amp;LEFT(SUBSTITUTE(ADDRESS(1,Formulas!AJ198+2),"$",""))&amp;Formulas!AI198+1,
IFERROR(INDEX(Datos!$A$2:$L$101,Formulas!AI198,Formulas!AJ198+2),"")))</f>
        <v/>
      </c>
      <c r="AJ200" s="13"/>
      <c r="AK200" s="6"/>
      <c r="AL200" s="24" t="str" cm="1">
        <f t="array" aca="1" ref="AL200" ca="1">IF(OR(Formulas!AN197=0,Formulas!AN197="",RIGHT(Formulas!AO197)="0"),"",
HYPERLINK("["&amp;Archivo_Nombre&amp;"]Datos!"&amp;LEFT(SUBSTITUTE(ADDRESS(1,IF(Formulas!AN197=1,1,RIGHT(Formulas!AO197)+2)),"$",""))&amp;Formulas!AM197+1,
IFERROR(INDEX(Datos!$A$1:$L$1,1,RIGHT(Formulas!AO197)+2)&amp;IF(Formulas!AN197=1," "&amp;Formulas!AM197,"")&amp;":","")))</f>
        <v/>
      </c>
      <c r="AM200" s="107" t="str" cm="1">
        <f t="array" aca="1" ref="AM200" ca="1">IF(OR(Formulas!AN197=0,Formulas!AN197="",RIGHT(Formulas!AO197)="0"),"",
HYPERLINK("["&amp;Archivo_Nombre&amp;"]Datos!"&amp;LEFT(SUBSTITUTE(ADDRESS(1,RIGHT(Formulas!AO197)+2),"$",""))&amp;Formulas!AM197+1,
IFERROR(INDEX(Datos!$A$2:$L$101,Formulas!AM197,RIGHT(Formulas!AO197)+2),"")))</f>
        <v/>
      </c>
      <c r="AN200" s="107" t="str" cm="1">
        <f t="array" aca="1" ref="AN200" ca="1">IF(OR(Formulas!AO198=0,Formulas!AO198=""),"",HYPERLINK("["&amp;Archivo_Nombre&amp;"]Datos!"&amp;LEFT(SUBSTITUTE(ADDRESS(1,Formulas!AO198+2),"$",""))&amp;Formulas!AN198+1,
IFERROR(INDEX(Datos!$A$2:$L$101,Formulas!AN198,Formulas!AO198+2),"")))</f>
        <v/>
      </c>
      <c r="AO200" s="13"/>
      <c r="AP200" s="6"/>
      <c r="AQ200" s="24" t="str" cm="1">
        <f t="array" aca="1" ref="AQ200" ca="1">IF(OR(Formulas!AS197=0,Formulas!AS197="",RIGHT(Formulas!AT197)="0"),"",
HYPERLINK("["&amp;Archivo_Nombre&amp;"]Datos!"&amp;LEFT(SUBSTITUTE(ADDRESS(1,IF(Formulas!AS197=1,1,RIGHT(Formulas!AT197)+2)),"$",""))&amp;Formulas!AR197+1,
IFERROR(INDEX(Datos!$A$1:$L$1,1,RIGHT(Formulas!AT197)+2)&amp;IF(Formulas!AS197=1," "&amp;Formulas!AR197,"")&amp;":","")))</f>
        <v/>
      </c>
      <c r="AR200" s="107" t="str" cm="1">
        <f t="array" aca="1" ref="AR200" ca="1">IF(OR(Formulas!AS197=0,Formulas!AS197="",RIGHT(Formulas!AT197)="0"),"",
HYPERLINK("["&amp;Archivo_Nombre&amp;"]Datos!"&amp;LEFT(SUBSTITUTE(ADDRESS(1,RIGHT(Formulas!AT197)+2),"$",""))&amp;Formulas!AR197+1,
IFERROR(INDEX(Datos!$A$2:$L$101,Formulas!AR197,RIGHT(Formulas!AT197)+2),"")))</f>
        <v/>
      </c>
      <c r="AS200" s="107" t="str" cm="1">
        <f t="array" aca="1" ref="AS200" ca="1">IF(OR(Formulas!AT198=0,Formulas!AT198=""),"",HYPERLINK("["&amp;Archivo_Nombre&amp;"]Datos!"&amp;LEFT(SUBSTITUTE(ADDRESS(1,Formulas!AT198+2),"$",""))&amp;Formulas!AS198+1,
IFERROR(INDEX(Datos!$A$2:$L$101,Formulas!AS198,Formulas!AT198+2),"")))</f>
        <v/>
      </c>
      <c r="AT200" s="13"/>
      <c r="AU200" s="6"/>
      <c r="AV200" s="24" t="str" cm="1">
        <f t="array" aca="1" ref="AV200" ca="1">IF(OR(Formulas!AX197=0,Formulas!AX197="",RIGHT(Formulas!AY197)="0"),"",
HYPERLINK("["&amp;Archivo_Nombre&amp;"]Datos!"&amp;LEFT(SUBSTITUTE(ADDRESS(1,IF(Formulas!AX197=1,1,RIGHT(Formulas!AY197)+2)),"$",""))&amp;Formulas!AW197+1,
IFERROR(INDEX(Datos!$A$1:$L$1,1,RIGHT(Formulas!AY197)+2)&amp;IF(Formulas!AX197=1," "&amp;Formulas!AW197,"")&amp;":","")))</f>
        <v/>
      </c>
      <c r="AW200" s="107" t="str" cm="1">
        <f t="array" aca="1" ref="AW200" ca="1">IF(OR(Formulas!AX197=0,Formulas!AX197="",RIGHT(Formulas!AY197)="0"),"",
HYPERLINK("["&amp;Archivo_Nombre&amp;"]Datos!"&amp;LEFT(SUBSTITUTE(ADDRESS(1,RIGHT(Formulas!AY197)+2),"$",""))&amp;Formulas!AW197+1,
IFERROR(INDEX(Datos!$A$2:$L$101,Formulas!AW197,RIGHT(Formulas!AY197)+2),"")))</f>
        <v/>
      </c>
      <c r="AX200" s="107" t="str" cm="1">
        <f t="array" aca="1" ref="AX200" ca="1">IF(OR(Formulas!AY198=0,Formulas!AY198=""),"",HYPERLINK("["&amp;Archivo_Nombre&amp;"]Datos!"&amp;LEFT(SUBSTITUTE(ADDRESS(1,Formulas!AY198+2),"$",""))&amp;Formulas!AX198+1,
IFERROR(INDEX(Datos!$A$2:$L$101,Formulas!AX198,Formulas!AY198+2),"")))</f>
        <v/>
      </c>
      <c r="AY200" s="13"/>
    </row>
    <row r="201" spans="2:51" ht="15.75" thickBot="1" x14ac:dyDescent="0.3">
      <c r="B201" s="14"/>
      <c r="C201" s="15" t="str" cm="1">
        <f t="array" aca="1" ref="C201" ca="1">IF(OR(Formulas!E198=0,Formulas!E198="",RIGHT(Formulas!F198)="0"),"",
HYPERLINK("["&amp;Archivo_Nombre&amp;"]Datos!"&amp;LEFT(SUBSTITUTE(ADDRESS(1,IF(Formulas!E198=1,1,RIGHT(Formulas!F198)+2)),"$",""))&amp;Formulas!D198+1,
IFERROR(INDEX(Datos!$A$1:$L$1,1,RIGHT(Formulas!F198)+2)&amp;IF(Formulas!E198=1," "&amp;Formulas!D198,"")&amp;":","")))</f>
        <v/>
      </c>
      <c r="D201" s="108" t="str" cm="1">
        <f t="array" aca="1" ref="D201" ca="1">IF(OR(Formulas!E198=0,Formulas!E198="",RIGHT(Formulas!F198)="0"),"",
HYPERLINK("["&amp;Archivo_Nombre&amp;"]Datos!"&amp;LEFT(SUBSTITUTE(ADDRESS(1,RIGHT(Formulas!F198)+2),"$",""))&amp;Formulas!D198+1,
IFERROR(INDEX(Datos!$A$2:$L$101,Formulas!D198,RIGHT(Formulas!F198)+2),"")))</f>
        <v/>
      </c>
      <c r="E201" s="108" t="str" cm="1">
        <f t="array" ref="E201">IF(OR(Formulas!F199=0,Formulas!F199=""),"",HYPERLINK("["&amp;Archivo_Nombre&amp;"]Datos!"&amp;LEFT(SUBSTITUTE(ADDRESS(1,Formulas!F199+2),"$",""))&amp;Formulas!E199+1,
IFERROR(INDEX(Datos!$A$2:$L$101,Formulas!E199,Formulas!F199+2),"")))</f>
        <v/>
      </c>
      <c r="F201" s="16"/>
      <c r="G201" s="17"/>
      <c r="H201" s="15" t="str" cm="1">
        <f t="array" aca="1" ref="H201" ca="1">IF(OR(Formulas!J198=0,Formulas!J198="",RIGHT(Formulas!K198)="0"),"",
HYPERLINK("["&amp;Archivo_Nombre&amp;"]Datos!"&amp;LEFT(SUBSTITUTE(ADDRESS(1,IF(Formulas!J198=1,1,RIGHT(Formulas!K198)+2)),"$",""))&amp;Formulas!I198+1,
IFERROR(INDEX(Datos!$A$1:$L$1,1,RIGHT(Formulas!K198)+2)&amp;IF(Formulas!J198=1," "&amp;Formulas!I198,"")&amp;":","")))</f>
        <v/>
      </c>
      <c r="I201" s="108" t="str" cm="1">
        <f t="array" aca="1" ref="I201" ca="1">IF(OR(Formulas!J198=0,Formulas!J198="",RIGHT(Formulas!K198)="0"),"",
HYPERLINK("["&amp;Archivo_Nombre&amp;"]Datos!"&amp;LEFT(SUBSTITUTE(ADDRESS(1,RIGHT(Formulas!K198)+2),"$",""))&amp;Formulas!I198+1,
IFERROR(INDEX(Datos!$A$2:$L$101,Formulas!I198,RIGHT(Formulas!K198)+2),"")))</f>
        <v/>
      </c>
      <c r="J201" s="108" t="str" cm="1">
        <f t="array" ref="J201">IF(OR(Formulas!K199=0,Formulas!K199=""),"",HYPERLINK("["&amp;Archivo_Nombre&amp;"]Datos!"&amp;LEFT(SUBSTITUTE(ADDRESS(1,Formulas!K199+2),"$",""))&amp;Formulas!J199+1,
IFERROR(INDEX(Datos!$A$2:$L$101,Formulas!J199,Formulas!K199+2),"")))</f>
        <v/>
      </c>
      <c r="K201" s="16"/>
      <c r="L201" s="17"/>
      <c r="M201" s="15" t="str" cm="1">
        <f t="array" aca="1" ref="M201" ca="1">IF(OR(Formulas!O198=0,Formulas!O198="",RIGHT(Formulas!P198)="0"),"",
HYPERLINK("["&amp;Archivo_Nombre&amp;"]Datos!"&amp;LEFT(SUBSTITUTE(ADDRESS(1,IF(Formulas!O198=1,1,RIGHT(Formulas!P198)+2)),"$",""))&amp;Formulas!N198+1,
IFERROR(INDEX(Datos!$A$1:$L$1,1,RIGHT(Formulas!P198)+2)&amp;IF(Formulas!O198=1," "&amp;Formulas!N198,"")&amp;":","")))</f>
        <v/>
      </c>
      <c r="N201" s="108" t="str" cm="1">
        <f t="array" aca="1" ref="N201" ca="1">IF(OR(Formulas!O198=0,Formulas!O198="",RIGHT(Formulas!P198)="0"),"",
HYPERLINK("["&amp;Archivo_Nombre&amp;"]Datos!"&amp;LEFT(SUBSTITUTE(ADDRESS(1,RIGHT(Formulas!P198)+2),"$",""))&amp;Formulas!N198+1,
IFERROR(INDEX(Datos!$A$2:$L$101,Formulas!N198,RIGHT(Formulas!P198)+2),"")))</f>
        <v/>
      </c>
      <c r="O201" s="108" t="str" cm="1">
        <f t="array" ref="O201">IF(OR(Formulas!P199=0,Formulas!P199=""),"",HYPERLINK("["&amp;Archivo_Nombre&amp;"]Datos!"&amp;LEFT(SUBSTITUTE(ADDRESS(1,Formulas!P199+2),"$",""))&amp;Formulas!O199+1,
IFERROR(INDEX(Datos!$A$2:$L$101,Formulas!O199,Formulas!P199+2),"")))</f>
        <v/>
      </c>
      <c r="P201" s="16"/>
      <c r="Q201" s="17"/>
      <c r="R201" s="15" t="str" cm="1">
        <f t="array" aca="1" ref="R201" ca="1">IF(OR(Formulas!T198=0,Formulas!T198="",RIGHT(Formulas!U198)="0"),"",
HYPERLINK("["&amp;Archivo_Nombre&amp;"]Datos!"&amp;LEFT(SUBSTITUTE(ADDRESS(1,IF(Formulas!T198=1,1,RIGHT(Formulas!U198)+2)),"$",""))&amp;Formulas!S198+1,
IFERROR(INDEX(Datos!$A$1:$L$1,1,RIGHT(Formulas!U198)+2)&amp;IF(Formulas!T198=1," "&amp;Formulas!S198,"")&amp;":","")))</f>
        <v>Final:</v>
      </c>
      <c r="S201" s="108" cm="1">
        <f t="array" aca="1" ref="S201" ca="1">IF(OR(Formulas!T198=0,Formulas!T198="",RIGHT(Formulas!U198)="0"),"",
HYPERLINK("["&amp;Archivo_Nombre&amp;"]Datos!"&amp;LEFT(SUBSTITUTE(ADDRESS(1,RIGHT(Formulas!U198)+2),"$",""))&amp;Formulas!S198+1,
IFERROR(INDEX(Datos!$A$2:$L$101,Formulas!S198,RIGHT(Formulas!U198)+2),"")))</f>
        <v>45796</v>
      </c>
      <c r="T201" s="108" t="str" cm="1">
        <f t="array" ref="T201">IF(OR(Formulas!U199=0,Formulas!U199=""),"",HYPERLINK("["&amp;Archivo_Nombre&amp;"]Datos!"&amp;LEFT(SUBSTITUTE(ADDRESS(1,Formulas!U199+2),"$",""))&amp;Formulas!T199+1,
IFERROR(INDEX(Datos!$A$2:$L$101,Formulas!T199,Formulas!U199+2),"")))</f>
        <v/>
      </c>
      <c r="U201" s="16"/>
      <c r="V201" s="17"/>
      <c r="W201" s="15" t="str" cm="1">
        <f t="array" aca="1" ref="W201" ca="1">IF(OR(Formulas!Y198=0,Formulas!Y198="",RIGHT(Formulas!Z198)="0"),"",
HYPERLINK("["&amp;Archivo_Nombre&amp;"]Datos!"&amp;LEFT(SUBSTITUTE(ADDRESS(1,IF(Formulas!Y198=1,1,RIGHT(Formulas!Z198)+2)),"$",""))&amp;Formulas!X198+1,
IFERROR(INDEX(Datos!$A$1:$L$1,1,RIGHT(Formulas!Z198)+2)&amp;IF(Formulas!Y198=1," "&amp;Formulas!X198,"")&amp;":","")))</f>
        <v/>
      </c>
      <c r="X201" s="108" t="str" cm="1">
        <f t="array" aca="1" ref="X201" ca="1">IF(OR(Formulas!Y198=0,Formulas!Y198="",RIGHT(Formulas!Z198)="0"),"",
HYPERLINK("["&amp;Archivo_Nombre&amp;"]Datos!"&amp;LEFT(SUBSTITUTE(ADDRESS(1,RIGHT(Formulas!Z198)+2),"$",""))&amp;Formulas!X198+1,
IFERROR(INDEX(Datos!$A$2:$L$101,Formulas!X198,RIGHT(Formulas!Z198)+2),"")))</f>
        <v/>
      </c>
      <c r="Y201" s="108" t="str" cm="1">
        <f t="array" ref="Y201">IF(OR(Formulas!Z199=0,Formulas!Z199=""),"",HYPERLINK("["&amp;Archivo_Nombre&amp;"]Datos!"&amp;LEFT(SUBSTITUTE(ADDRESS(1,Formulas!Z199+2),"$",""))&amp;Formulas!Y199+1,
IFERROR(INDEX(Datos!$A$2:$L$101,Formulas!Y199,Formulas!Z199+2),"")))</f>
        <v/>
      </c>
      <c r="Z201" s="18"/>
      <c r="AA201" s="17"/>
      <c r="AB201" s="15" t="str" cm="1">
        <f t="array" aca="1" ref="AB201" ca="1">IF(OR(Formulas!AD198=0,Formulas!AD198="",RIGHT(Formulas!AE198)="0"),"",
HYPERLINK("["&amp;Archivo_Nombre&amp;"]Datos!"&amp;LEFT(SUBSTITUTE(ADDRESS(1,IF(Formulas!AD198=1,1,RIGHT(Formulas!AE198)+2)),"$",""))&amp;Formulas!AC198+1,
IFERROR(INDEX(Datos!$A$1:$L$1,1,RIGHT(Formulas!AE198)+2)&amp;IF(Formulas!AD198=1," "&amp;Formulas!AC198,"")&amp;":","")))</f>
        <v/>
      </c>
      <c r="AC201" s="108" t="str" cm="1">
        <f t="array" aca="1" ref="AC201" ca="1">IF(OR(Formulas!AD198=0,Formulas!AD198="",RIGHT(Formulas!AE198)="0"),"",
HYPERLINK("["&amp;Archivo_Nombre&amp;"]Datos!"&amp;LEFT(SUBSTITUTE(ADDRESS(1,RIGHT(Formulas!AE198)+2),"$",""))&amp;Formulas!AC198+1,
IFERROR(INDEX(Datos!$A$2:$L$101,Formulas!AC198,RIGHT(Formulas!AE198)+2),"")))</f>
        <v/>
      </c>
      <c r="AD201" s="108" t="str" cm="1">
        <f t="array" ref="AD201">IF(OR(Formulas!AE199=0,Formulas!AE199=""),"",HYPERLINK("["&amp;Archivo_Nombre&amp;"]Datos!"&amp;LEFT(SUBSTITUTE(ADDRESS(1,Formulas!AE199+2),"$",""))&amp;Formulas!AD199+1,
IFERROR(INDEX(Datos!$A$2:$L$101,Formulas!AD199,Formulas!AE199+2),"")))</f>
        <v/>
      </c>
      <c r="AE201" s="18"/>
      <c r="AF201" s="17"/>
      <c r="AG201" s="15" t="str" cm="1">
        <f t="array" aca="1" ref="AG201" ca="1">IF(OR(Formulas!AI198=0,Formulas!AI198="",RIGHT(Formulas!AJ198)="0"),"",
HYPERLINK("["&amp;Archivo_Nombre&amp;"]Datos!"&amp;LEFT(SUBSTITUTE(ADDRESS(1,IF(Formulas!AI198=1,1,RIGHT(Formulas!AJ198)+2)),"$",""))&amp;Formulas!AH198+1,
IFERROR(INDEX(Datos!$A$1:$L$1,1,RIGHT(Formulas!AJ198)+2)&amp;IF(Formulas!AI198=1," "&amp;Formulas!AH198,"")&amp;":","")))</f>
        <v/>
      </c>
      <c r="AH201" s="108" t="str" cm="1">
        <f t="array" aca="1" ref="AH201" ca="1">IF(OR(Formulas!AI198=0,Formulas!AI198="",RIGHT(Formulas!AJ198)="0"),"",
HYPERLINK("["&amp;Archivo_Nombre&amp;"]Datos!"&amp;LEFT(SUBSTITUTE(ADDRESS(1,RIGHT(Formulas!AJ198)+2),"$",""))&amp;Formulas!AH198+1,
IFERROR(INDEX(Datos!$A$2:$L$101,Formulas!AH198,RIGHT(Formulas!AJ198)+2),"")))</f>
        <v/>
      </c>
      <c r="AI201" s="108" t="str" cm="1">
        <f t="array" ref="AI201">IF(OR(Formulas!AJ199=0,Formulas!AJ199=""),"",HYPERLINK("["&amp;Archivo_Nombre&amp;"]Datos!"&amp;LEFT(SUBSTITUTE(ADDRESS(1,Formulas!AJ199+2),"$",""))&amp;Formulas!AI199+1,
IFERROR(INDEX(Datos!$A$2:$L$101,Formulas!AI199,Formulas!AJ199+2),"")))</f>
        <v/>
      </c>
      <c r="AJ201" s="18"/>
      <c r="AK201" s="17"/>
      <c r="AL201" s="15" t="str" cm="1">
        <f t="array" aca="1" ref="AL201" ca="1">IF(OR(Formulas!AN198=0,Formulas!AN198="",RIGHT(Formulas!AO198)="0"),"",
HYPERLINK("["&amp;Archivo_Nombre&amp;"]Datos!"&amp;LEFT(SUBSTITUTE(ADDRESS(1,IF(Formulas!AN198=1,1,RIGHT(Formulas!AO198)+2)),"$",""))&amp;Formulas!AM198+1,
IFERROR(INDEX(Datos!$A$1:$L$1,1,RIGHT(Formulas!AO198)+2)&amp;IF(Formulas!AN198=1," "&amp;Formulas!AM198,"")&amp;":","")))</f>
        <v/>
      </c>
      <c r="AM201" s="108" t="str" cm="1">
        <f t="array" aca="1" ref="AM201" ca="1">IF(OR(Formulas!AN198=0,Formulas!AN198="",RIGHT(Formulas!AO198)="0"),"",
HYPERLINK("["&amp;Archivo_Nombre&amp;"]Datos!"&amp;LEFT(SUBSTITUTE(ADDRESS(1,RIGHT(Formulas!AO198)+2),"$",""))&amp;Formulas!AM198+1,
IFERROR(INDEX(Datos!$A$2:$L$101,Formulas!AM198,RIGHT(Formulas!AO198)+2),"")))</f>
        <v/>
      </c>
      <c r="AN201" s="108" t="str" cm="1">
        <f t="array" ref="AN201">IF(OR(Formulas!AO199=0,Formulas!AO199=""),"",HYPERLINK("["&amp;Archivo_Nombre&amp;"]Datos!"&amp;LEFT(SUBSTITUTE(ADDRESS(1,Formulas!AO199+2),"$",""))&amp;Formulas!AN199+1,
IFERROR(INDEX(Datos!$A$2:$L$101,Formulas!AN199,Formulas!AO199+2),"")))</f>
        <v/>
      </c>
      <c r="AO201" s="18"/>
      <c r="AP201" s="17"/>
      <c r="AQ201" s="15" t="str" cm="1">
        <f t="array" aca="1" ref="AQ201" ca="1">IF(OR(Formulas!AS198=0,Formulas!AS198="",RIGHT(Formulas!AT198)="0"),"",
HYPERLINK("["&amp;Archivo_Nombre&amp;"]Datos!"&amp;LEFT(SUBSTITUTE(ADDRESS(1,IF(Formulas!AS198=1,1,RIGHT(Formulas!AT198)+2)),"$",""))&amp;Formulas!AR198+1,
IFERROR(INDEX(Datos!$A$1:$L$1,1,RIGHT(Formulas!AT198)+2)&amp;IF(Formulas!AS198=1," "&amp;Formulas!AR198,"")&amp;":","")))</f>
        <v/>
      </c>
      <c r="AR201" s="108" t="str" cm="1">
        <f t="array" aca="1" ref="AR201" ca="1">IF(OR(Formulas!AS198=0,Formulas!AS198="",RIGHT(Formulas!AT198)="0"),"",
HYPERLINK("["&amp;Archivo_Nombre&amp;"]Datos!"&amp;LEFT(SUBSTITUTE(ADDRESS(1,RIGHT(Formulas!AT198)+2),"$",""))&amp;Formulas!AR198+1,
IFERROR(INDEX(Datos!$A$2:$L$101,Formulas!AR198,RIGHT(Formulas!AT198)+2),"")))</f>
        <v/>
      </c>
      <c r="AS201" s="108" t="str" cm="1">
        <f t="array" ref="AS201">IF(OR(Formulas!AT199=0,Formulas!AT199=""),"",HYPERLINK("["&amp;Archivo_Nombre&amp;"]Datos!"&amp;LEFT(SUBSTITUTE(ADDRESS(1,Formulas!AT199+2),"$",""))&amp;Formulas!AS199+1,
IFERROR(INDEX(Datos!$A$2:$L$101,Formulas!AS199,Formulas!AT199+2),"")))</f>
        <v/>
      </c>
      <c r="AT201" s="18"/>
      <c r="AU201" s="17"/>
      <c r="AV201" s="15" t="str" cm="1">
        <f t="array" aca="1" ref="AV201" ca="1">IF(OR(Formulas!AX198=0,Formulas!AX198="",RIGHT(Formulas!AY198)="0"),"",
HYPERLINK("["&amp;Archivo_Nombre&amp;"]Datos!"&amp;LEFT(SUBSTITUTE(ADDRESS(1,IF(Formulas!AX198=1,1,RIGHT(Formulas!AY198)+2)),"$",""))&amp;Formulas!AW198+1,
IFERROR(INDEX(Datos!$A$1:$L$1,1,RIGHT(Formulas!AY198)+2)&amp;IF(Formulas!AX198=1," "&amp;Formulas!AW198,"")&amp;":","")))</f>
        <v/>
      </c>
      <c r="AW201" s="108" t="str" cm="1">
        <f t="array" aca="1" ref="AW201" ca="1">IF(OR(Formulas!AX198=0,Formulas!AX198="",RIGHT(Formulas!AY198)="0"),"",
HYPERLINK("["&amp;Archivo_Nombre&amp;"]Datos!"&amp;LEFT(SUBSTITUTE(ADDRESS(1,RIGHT(Formulas!AY198)+2),"$",""))&amp;Formulas!AW198+1,
IFERROR(INDEX(Datos!$A$2:$L$101,Formulas!AW198,RIGHT(Formulas!AY198)+2),"")))</f>
        <v/>
      </c>
      <c r="AX201" s="108" t="str" cm="1">
        <f t="array" ref="AX201">IF(OR(Formulas!AY199=0,Formulas!AY199=""),"",HYPERLINK("["&amp;Archivo_Nombre&amp;"]Datos!"&amp;LEFT(SUBSTITUTE(ADDRESS(1,Formulas!AY199+2),"$",""))&amp;Formulas!AX199+1,
IFERROR(INDEX(Datos!$A$2:$L$101,Formulas!AX199,Formulas!AY199+2),"")))</f>
        <v/>
      </c>
      <c r="AY201" s="18"/>
    </row>
    <row r="202" spans="2:51" x14ac:dyDescent="0.25"/>
  </sheetData>
  <sheetProtection sheet="1" objects="1" scenarios="1"/>
  <mergeCells count="1971">
    <mergeCell ref="D24:E24"/>
    <mergeCell ref="D25:E25"/>
    <mergeCell ref="D26:E26"/>
    <mergeCell ref="D27:E27"/>
    <mergeCell ref="D28:E28"/>
    <mergeCell ref="D29:E29"/>
    <mergeCell ref="D21:E21"/>
    <mergeCell ref="D22:E22"/>
    <mergeCell ref="D23:E23"/>
    <mergeCell ref="D12:E12"/>
    <mergeCell ref="D13:E13"/>
    <mergeCell ref="D14:E14"/>
    <mergeCell ref="D15:E15"/>
    <mergeCell ref="D16:E16"/>
    <mergeCell ref="D17:E17"/>
    <mergeCell ref="D6:E6"/>
    <mergeCell ref="D7:E7"/>
    <mergeCell ref="D8:E8"/>
    <mergeCell ref="D9:E9"/>
    <mergeCell ref="D10:E10"/>
    <mergeCell ref="D11:E11"/>
    <mergeCell ref="D18:E18"/>
    <mergeCell ref="D19:E19"/>
    <mergeCell ref="D20:E20"/>
    <mergeCell ref="D42:E42"/>
    <mergeCell ref="D43:E43"/>
    <mergeCell ref="D44:E44"/>
    <mergeCell ref="D45:E45"/>
    <mergeCell ref="D46:E46"/>
    <mergeCell ref="D47:E47"/>
    <mergeCell ref="D36:E36"/>
    <mergeCell ref="D37:E37"/>
    <mergeCell ref="D38:E38"/>
    <mergeCell ref="D39:E39"/>
    <mergeCell ref="D40:E40"/>
    <mergeCell ref="D41:E41"/>
    <mergeCell ref="D30:E30"/>
    <mergeCell ref="D31:E31"/>
    <mergeCell ref="D32:E32"/>
    <mergeCell ref="D33:E33"/>
    <mergeCell ref="D34:E34"/>
    <mergeCell ref="D35:E35"/>
    <mergeCell ref="D60:E60"/>
    <mergeCell ref="D61:E61"/>
    <mergeCell ref="D62:E62"/>
    <mergeCell ref="D63:E63"/>
    <mergeCell ref="D64:E64"/>
    <mergeCell ref="D65:E65"/>
    <mergeCell ref="D54:E54"/>
    <mergeCell ref="D55:E55"/>
    <mergeCell ref="D56:E56"/>
    <mergeCell ref="D57:E57"/>
    <mergeCell ref="D58:E58"/>
    <mergeCell ref="D59:E59"/>
    <mergeCell ref="D48:E48"/>
    <mergeCell ref="D49:E49"/>
    <mergeCell ref="D50:E50"/>
    <mergeCell ref="D51:E51"/>
    <mergeCell ref="D52:E52"/>
    <mergeCell ref="D53:E53"/>
    <mergeCell ref="D78:E78"/>
    <mergeCell ref="D79:E79"/>
    <mergeCell ref="D80:E80"/>
    <mergeCell ref="D81:E81"/>
    <mergeCell ref="D82:E82"/>
    <mergeCell ref="D83:E83"/>
    <mergeCell ref="D72:E72"/>
    <mergeCell ref="D73:E73"/>
    <mergeCell ref="D74:E74"/>
    <mergeCell ref="D75:E75"/>
    <mergeCell ref="D76:E76"/>
    <mergeCell ref="D77:E77"/>
    <mergeCell ref="D66:E66"/>
    <mergeCell ref="D67:E67"/>
    <mergeCell ref="D68:E68"/>
    <mergeCell ref="D69:E69"/>
    <mergeCell ref="D70:E70"/>
    <mergeCell ref="D71:E71"/>
    <mergeCell ref="D96:E96"/>
    <mergeCell ref="D97:E97"/>
    <mergeCell ref="D98:E98"/>
    <mergeCell ref="D99:E99"/>
    <mergeCell ref="D100:E100"/>
    <mergeCell ref="D101:E101"/>
    <mergeCell ref="D90:E90"/>
    <mergeCell ref="D91:E91"/>
    <mergeCell ref="D92:E92"/>
    <mergeCell ref="D93:E93"/>
    <mergeCell ref="D94:E94"/>
    <mergeCell ref="D95:E95"/>
    <mergeCell ref="D84:E84"/>
    <mergeCell ref="D85:E85"/>
    <mergeCell ref="D86:E86"/>
    <mergeCell ref="D87:E87"/>
    <mergeCell ref="D88:E88"/>
    <mergeCell ref="D89:E89"/>
    <mergeCell ref="D114:E114"/>
    <mergeCell ref="D115:E115"/>
    <mergeCell ref="D116:E116"/>
    <mergeCell ref="D117:E117"/>
    <mergeCell ref="D118:E118"/>
    <mergeCell ref="D119:E119"/>
    <mergeCell ref="D108:E108"/>
    <mergeCell ref="D109:E109"/>
    <mergeCell ref="D110:E110"/>
    <mergeCell ref="D111:E111"/>
    <mergeCell ref="D112:E112"/>
    <mergeCell ref="D113:E113"/>
    <mergeCell ref="D102:E102"/>
    <mergeCell ref="D103:E103"/>
    <mergeCell ref="D104:E104"/>
    <mergeCell ref="D105:E105"/>
    <mergeCell ref="D106:E106"/>
    <mergeCell ref="D107:E107"/>
    <mergeCell ref="D132:E132"/>
    <mergeCell ref="D133:E133"/>
    <mergeCell ref="D134:E134"/>
    <mergeCell ref="D135:E135"/>
    <mergeCell ref="D136:E136"/>
    <mergeCell ref="D137:E137"/>
    <mergeCell ref="D126:E126"/>
    <mergeCell ref="D127:E127"/>
    <mergeCell ref="D128:E128"/>
    <mergeCell ref="D129:E129"/>
    <mergeCell ref="D130:E130"/>
    <mergeCell ref="D131:E131"/>
    <mergeCell ref="D120:E120"/>
    <mergeCell ref="D121:E121"/>
    <mergeCell ref="D122:E122"/>
    <mergeCell ref="D123:E123"/>
    <mergeCell ref="D124:E124"/>
    <mergeCell ref="D125:E125"/>
    <mergeCell ref="D150:E150"/>
    <mergeCell ref="D151:E151"/>
    <mergeCell ref="D152:E152"/>
    <mergeCell ref="D153:E153"/>
    <mergeCell ref="D154:E154"/>
    <mergeCell ref="D155:E155"/>
    <mergeCell ref="D144:E144"/>
    <mergeCell ref="D145:E145"/>
    <mergeCell ref="D146:E146"/>
    <mergeCell ref="D147:E147"/>
    <mergeCell ref="D148:E148"/>
    <mergeCell ref="D149:E149"/>
    <mergeCell ref="D138:E138"/>
    <mergeCell ref="D139:E139"/>
    <mergeCell ref="D140:E140"/>
    <mergeCell ref="D141:E141"/>
    <mergeCell ref="D142:E142"/>
    <mergeCell ref="D143:E143"/>
    <mergeCell ref="D201:E201"/>
    <mergeCell ref="I6:J6"/>
    <mergeCell ref="I7:J7"/>
    <mergeCell ref="I8:J8"/>
    <mergeCell ref="I9:J9"/>
    <mergeCell ref="I10:J10"/>
    <mergeCell ref="I11:J11"/>
    <mergeCell ref="D192:E192"/>
    <mergeCell ref="D193:E193"/>
    <mergeCell ref="D194:E194"/>
    <mergeCell ref="D195:E195"/>
    <mergeCell ref="D196:E196"/>
    <mergeCell ref="D197:E197"/>
    <mergeCell ref="D186:E186"/>
    <mergeCell ref="D187:E187"/>
    <mergeCell ref="D188:E188"/>
    <mergeCell ref="D189:E189"/>
    <mergeCell ref="D190:E190"/>
    <mergeCell ref="D191:E191"/>
    <mergeCell ref="D180:E180"/>
    <mergeCell ref="D181:E181"/>
    <mergeCell ref="D182:E182"/>
    <mergeCell ref="D183:E183"/>
    <mergeCell ref="D184:E184"/>
    <mergeCell ref="D164:E164"/>
    <mergeCell ref="D165:E165"/>
    <mergeCell ref="D166:E166"/>
    <mergeCell ref="D167:E167"/>
    <mergeCell ref="D156:E156"/>
    <mergeCell ref="D157:E157"/>
    <mergeCell ref="D158:E158"/>
    <mergeCell ref="D159:E159"/>
    <mergeCell ref="I18:J18"/>
    <mergeCell ref="I19:J19"/>
    <mergeCell ref="I20:J20"/>
    <mergeCell ref="I21:J21"/>
    <mergeCell ref="I22:J22"/>
    <mergeCell ref="I23:J23"/>
    <mergeCell ref="I12:J12"/>
    <mergeCell ref="I13:J13"/>
    <mergeCell ref="I14:J14"/>
    <mergeCell ref="I15:J15"/>
    <mergeCell ref="I16:J16"/>
    <mergeCell ref="I17:J17"/>
    <mergeCell ref="D198:E198"/>
    <mergeCell ref="D199:E199"/>
    <mergeCell ref="D200:E200"/>
    <mergeCell ref="D185:E185"/>
    <mergeCell ref="D174:E174"/>
    <mergeCell ref="D175:E175"/>
    <mergeCell ref="D176:E176"/>
    <mergeCell ref="D177:E177"/>
    <mergeCell ref="D178:E178"/>
    <mergeCell ref="D179:E179"/>
    <mergeCell ref="D168:E168"/>
    <mergeCell ref="D169:E169"/>
    <mergeCell ref="D170:E170"/>
    <mergeCell ref="D171:E171"/>
    <mergeCell ref="D172:E172"/>
    <mergeCell ref="D173:E173"/>
    <mergeCell ref="D162:E162"/>
    <mergeCell ref="D163:E163"/>
    <mergeCell ref="D160:E160"/>
    <mergeCell ref="D161:E161"/>
    <mergeCell ref="I36:J36"/>
    <mergeCell ref="I37:J37"/>
    <mergeCell ref="I38:J38"/>
    <mergeCell ref="I39:J39"/>
    <mergeCell ref="I40:J40"/>
    <mergeCell ref="I41:J41"/>
    <mergeCell ref="I30:J30"/>
    <mergeCell ref="I31:J31"/>
    <mergeCell ref="I32:J32"/>
    <mergeCell ref="I33:J33"/>
    <mergeCell ref="I34:J34"/>
    <mergeCell ref="I35:J35"/>
    <mergeCell ref="I24:J24"/>
    <mergeCell ref="I25:J25"/>
    <mergeCell ref="I26:J26"/>
    <mergeCell ref="I27:J27"/>
    <mergeCell ref="I28:J28"/>
    <mergeCell ref="I29:J29"/>
    <mergeCell ref="I54:J54"/>
    <mergeCell ref="I55:J55"/>
    <mergeCell ref="I56:J56"/>
    <mergeCell ref="I57:J57"/>
    <mergeCell ref="I58:J58"/>
    <mergeCell ref="I59:J59"/>
    <mergeCell ref="I48:J48"/>
    <mergeCell ref="I49:J49"/>
    <mergeCell ref="I50:J50"/>
    <mergeCell ref="I51:J51"/>
    <mergeCell ref="I52:J52"/>
    <mergeCell ref="I53:J53"/>
    <mergeCell ref="I42:J42"/>
    <mergeCell ref="I43:J43"/>
    <mergeCell ref="I44:J44"/>
    <mergeCell ref="I45:J45"/>
    <mergeCell ref="I46:J46"/>
    <mergeCell ref="I47:J47"/>
    <mergeCell ref="I72:J72"/>
    <mergeCell ref="I73:J73"/>
    <mergeCell ref="I74:J74"/>
    <mergeCell ref="I75:J75"/>
    <mergeCell ref="I76:J76"/>
    <mergeCell ref="I77:J77"/>
    <mergeCell ref="I66:J66"/>
    <mergeCell ref="I67:J67"/>
    <mergeCell ref="I68:J68"/>
    <mergeCell ref="I69:J69"/>
    <mergeCell ref="I70:J70"/>
    <mergeCell ref="I71:J71"/>
    <mergeCell ref="I60:J60"/>
    <mergeCell ref="I61:J61"/>
    <mergeCell ref="I62:J62"/>
    <mergeCell ref="I63:J63"/>
    <mergeCell ref="I64:J64"/>
    <mergeCell ref="I65:J65"/>
    <mergeCell ref="I90:J90"/>
    <mergeCell ref="I91:J91"/>
    <mergeCell ref="I92:J92"/>
    <mergeCell ref="I93:J93"/>
    <mergeCell ref="I94:J94"/>
    <mergeCell ref="I95:J95"/>
    <mergeCell ref="I84:J84"/>
    <mergeCell ref="I85:J85"/>
    <mergeCell ref="I86:J86"/>
    <mergeCell ref="I87:J87"/>
    <mergeCell ref="I88:J88"/>
    <mergeCell ref="I89:J89"/>
    <mergeCell ref="I78:J78"/>
    <mergeCell ref="I79:J79"/>
    <mergeCell ref="I80:J80"/>
    <mergeCell ref="I81:J81"/>
    <mergeCell ref="I82:J82"/>
    <mergeCell ref="I83:J83"/>
    <mergeCell ref="I108:J108"/>
    <mergeCell ref="I109:J109"/>
    <mergeCell ref="I110:J110"/>
    <mergeCell ref="I111:J111"/>
    <mergeCell ref="I112:J112"/>
    <mergeCell ref="I113:J113"/>
    <mergeCell ref="I102:J102"/>
    <mergeCell ref="I103:J103"/>
    <mergeCell ref="I104:J104"/>
    <mergeCell ref="I105:J105"/>
    <mergeCell ref="I106:J106"/>
    <mergeCell ref="I107:J107"/>
    <mergeCell ref="I96:J96"/>
    <mergeCell ref="I97:J97"/>
    <mergeCell ref="I98:J98"/>
    <mergeCell ref="I99:J99"/>
    <mergeCell ref="I100:J100"/>
    <mergeCell ref="I101:J101"/>
    <mergeCell ref="I126:J126"/>
    <mergeCell ref="I127:J127"/>
    <mergeCell ref="I128:J128"/>
    <mergeCell ref="I129:J129"/>
    <mergeCell ref="I130:J130"/>
    <mergeCell ref="I131:J131"/>
    <mergeCell ref="I120:J120"/>
    <mergeCell ref="I121:J121"/>
    <mergeCell ref="I122:J122"/>
    <mergeCell ref="I123:J123"/>
    <mergeCell ref="I124:J124"/>
    <mergeCell ref="I125:J125"/>
    <mergeCell ref="I114:J114"/>
    <mergeCell ref="I115:J115"/>
    <mergeCell ref="I116:J116"/>
    <mergeCell ref="I117:J117"/>
    <mergeCell ref="I118:J118"/>
    <mergeCell ref="I119:J119"/>
    <mergeCell ref="I144:J144"/>
    <mergeCell ref="I145:J145"/>
    <mergeCell ref="I146:J146"/>
    <mergeCell ref="I147:J147"/>
    <mergeCell ref="I148:J148"/>
    <mergeCell ref="I149:J149"/>
    <mergeCell ref="I138:J138"/>
    <mergeCell ref="I139:J139"/>
    <mergeCell ref="I140:J140"/>
    <mergeCell ref="I141:J141"/>
    <mergeCell ref="I142:J142"/>
    <mergeCell ref="I143:J143"/>
    <mergeCell ref="I132:J132"/>
    <mergeCell ref="I133:J133"/>
    <mergeCell ref="I134:J134"/>
    <mergeCell ref="I135:J135"/>
    <mergeCell ref="I136:J136"/>
    <mergeCell ref="I137:J137"/>
    <mergeCell ref="I162:J162"/>
    <mergeCell ref="I163:J163"/>
    <mergeCell ref="I164:J164"/>
    <mergeCell ref="I165:J165"/>
    <mergeCell ref="I166:J166"/>
    <mergeCell ref="I167:J167"/>
    <mergeCell ref="I156:J156"/>
    <mergeCell ref="I157:J157"/>
    <mergeCell ref="I158:J158"/>
    <mergeCell ref="I159:J159"/>
    <mergeCell ref="I160:J160"/>
    <mergeCell ref="I161:J161"/>
    <mergeCell ref="I150:J150"/>
    <mergeCell ref="I151:J151"/>
    <mergeCell ref="I152:J152"/>
    <mergeCell ref="I153:J153"/>
    <mergeCell ref="I154:J154"/>
    <mergeCell ref="I155:J155"/>
    <mergeCell ref="I190:J190"/>
    <mergeCell ref="I191:J191"/>
    <mergeCell ref="I180:J180"/>
    <mergeCell ref="I181:J181"/>
    <mergeCell ref="I182:J182"/>
    <mergeCell ref="I183:J183"/>
    <mergeCell ref="I184:J184"/>
    <mergeCell ref="I185:J185"/>
    <mergeCell ref="I174:J174"/>
    <mergeCell ref="I175:J175"/>
    <mergeCell ref="I176:J176"/>
    <mergeCell ref="I177:J177"/>
    <mergeCell ref="I178:J178"/>
    <mergeCell ref="I179:J179"/>
    <mergeCell ref="I168:J168"/>
    <mergeCell ref="I169:J169"/>
    <mergeCell ref="I170:J170"/>
    <mergeCell ref="I171:J171"/>
    <mergeCell ref="I172:J172"/>
    <mergeCell ref="I173:J173"/>
    <mergeCell ref="N18:O18"/>
    <mergeCell ref="N19:O19"/>
    <mergeCell ref="N20:O20"/>
    <mergeCell ref="N21:O21"/>
    <mergeCell ref="N22:O22"/>
    <mergeCell ref="N23:O23"/>
    <mergeCell ref="N12:O12"/>
    <mergeCell ref="N13:O13"/>
    <mergeCell ref="N14:O14"/>
    <mergeCell ref="N15:O15"/>
    <mergeCell ref="N16:O16"/>
    <mergeCell ref="N17:O17"/>
    <mergeCell ref="I198:J198"/>
    <mergeCell ref="I199:J199"/>
    <mergeCell ref="I200:J200"/>
    <mergeCell ref="I201:J201"/>
    <mergeCell ref="N6:O6"/>
    <mergeCell ref="N7:O7"/>
    <mergeCell ref="N8:O8"/>
    <mergeCell ref="N9:O9"/>
    <mergeCell ref="N10:O10"/>
    <mergeCell ref="N11:O11"/>
    <mergeCell ref="I192:J192"/>
    <mergeCell ref="I193:J193"/>
    <mergeCell ref="I194:J194"/>
    <mergeCell ref="I195:J195"/>
    <mergeCell ref="I196:J196"/>
    <mergeCell ref="I197:J197"/>
    <mergeCell ref="I186:J186"/>
    <mergeCell ref="I187:J187"/>
    <mergeCell ref="I188:J188"/>
    <mergeCell ref="I189:J189"/>
    <mergeCell ref="N36:O36"/>
    <mergeCell ref="N37:O37"/>
    <mergeCell ref="N38:O38"/>
    <mergeCell ref="N39:O39"/>
    <mergeCell ref="N40:O40"/>
    <mergeCell ref="N41:O41"/>
    <mergeCell ref="N30:O30"/>
    <mergeCell ref="N31:O31"/>
    <mergeCell ref="N32:O32"/>
    <mergeCell ref="N33:O33"/>
    <mergeCell ref="N34:O34"/>
    <mergeCell ref="N35:O35"/>
    <mergeCell ref="N24:O24"/>
    <mergeCell ref="N25:O25"/>
    <mergeCell ref="N26:O26"/>
    <mergeCell ref="N27:O27"/>
    <mergeCell ref="N28:O28"/>
    <mergeCell ref="N29:O29"/>
    <mergeCell ref="N54:O54"/>
    <mergeCell ref="N55:O55"/>
    <mergeCell ref="N56:O56"/>
    <mergeCell ref="N57:O57"/>
    <mergeCell ref="N58:O58"/>
    <mergeCell ref="N59:O59"/>
    <mergeCell ref="N48:O48"/>
    <mergeCell ref="N49:O49"/>
    <mergeCell ref="N50:O50"/>
    <mergeCell ref="N51:O51"/>
    <mergeCell ref="N52:O52"/>
    <mergeCell ref="N53:O53"/>
    <mergeCell ref="N42:O42"/>
    <mergeCell ref="N43:O43"/>
    <mergeCell ref="N44:O44"/>
    <mergeCell ref="N45:O45"/>
    <mergeCell ref="N46:O46"/>
    <mergeCell ref="N47:O47"/>
    <mergeCell ref="N72:O72"/>
    <mergeCell ref="N73:O73"/>
    <mergeCell ref="N74:O74"/>
    <mergeCell ref="N75:O75"/>
    <mergeCell ref="N76:O76"/>
    <mergeCell ref="N77:O77"/>
    <mergeCell ref="N66:O66"/>
    <mergeCell ref="N67:O67"/>
    <mergeCell ref="N68:O68"/>
    <mergeCell ref="N69:O69"/>
    <mergeCell ref="N70:O70"/>
    <mergeCell ref="N71:O71"/>
    <mergeCell ref="N60:O60"/>
    <mergeCell ref="N61:O61"/>
    <mergeCell ref="N62:O62"/>
    <mergeCell ref="N63:O63"/>
    <mergeCell ref="N64:O64"/>
    <mergeCell ref="N65:O65"/>
    <mergeCell ref="N90:O90"/>
    <mergeCell ref="N91:O91"/>
    <mergeCell ref="N92:O92"/>
    <mergeCell ref="N93:O93"/>
    <mergeCell ref="N94:O94"/>
    <mergeCell ref="N95:O95"/>
    <mergeCell ref="N84:O84"/>
    <mergeCell ref="N85:O85"/>
    <mergeCell ref="N86:O86"/>
    <mergeCell ref="N87:O87"/>
    <mergeCell ref="N88:O88"/>
    <mergeCell ref="N89:O89"/>
    <mergeCell ref="N78:O78"/>
    <mergeCell ref="N79:O79"/>
    <mergeCell ref="N80:O80"/>
    <mergeCell ref="N81:O81"/>
    <mergeCell ref="N82:O82"/>
    <mergeCell ref="N83:O83"/>
    <mergeCell ref="N108:O108"/>
    <mergeCell ref="N109:O109"/>
    <mergeCell ref="N110:O110"/>
    <mergeCell ref="N111:O111"/>
    <mergeCell ref="N112:O112"/>
    <mergeCell ref="N113:O113"/>
    <mergeCell ref="N102:O102"/>
    <mergeCell ref="N103:O103"/>
    <mergeCell ref="N104:O104"/>
    <mergeCell ref="N105:O105"/>
    <mergeCell ref="N106:O106"/>
    <mergeCell ref="N107:O107"/>
    <mergeCell ref="N96:O96"/>
    <mergeCell ref="N97:O97"/>
    <mergeCell ref="N98:O98"/>
    <mergeCell ref="N99:O99"/>
    <mergeCell ref="N100:O100"/>
    <mergeCell ref="N101:O101"/>
    <mergeCell ref="N126:O126"/>
    <mergeCell ref="N127:O127"/>
    <mergeCell ref="N128:O128"/>
    <mergeCell ref="N129:O129"/>
    <mergeCell ref="N130:O130"/>
    <mergeCell ref="N131:O131"/>
    <mergeCell ref="N120:O120"/>
    <mergeCell ref="N121:O121"/>
    <mergeCell ref="N122:O122"/>
    <mergeCell ref="N123:O123"/>
    <mergeCell ref="N124:O124"/>
    <mergeCell ref="N125:O125"/>
    <mergeCell ref="N114:O114"/>
    <mergeCell ref="N115:O115"/>
    <mergeCell ref="N116:O116"/>
    <mergeCell ref="N117:O117"/>
    <mergeCell ref="N118:O118"/>
    <mergeCell ref="N119:O119"/>
    <mergeCell ref="N144:O144"/>
    <mergeCell ref="N145:O145"/>
    <mergeCell ref="N146:O146"/>
    <mergeCell ref="N147:O147"/>
    <mergeCell ref="N148:O148"/>
    <mergeCell ref="N149:O149"/>
    <mergeCell ref="N138:O138"/>
    <mergeCell ref="N139:O139"/>
    <mergeCell ref="N140:O140"/>
    <mergeCell ref="N141:O141"/>
    <mergeCell ref="N142:O142"/>
    <mergeCell ref="N143:O143"/>
    <mergeCell ref="N132:O132"/>
    <mergeCell ref="N133:O133"/>
    <mergeCell ref="N134:O134"/>
    <mergeCell ref="N135:O135"/>
    <mergeCell ref="N136:O136"/>
    <mergeCell ref="N137:O137"/>
    <mergeCell ref="N201:O201"/>
    <mergeCell ref="S6:T6"/>
    <mergeCell ref="S7:T7"/>
    <mergeCell ref="S8:T8"/>
    <mergeCell ref="S9:T9"/>
    <mergeCell ref="S10:T10"/>
    <mergeCell ref="S11:T11"/>
    <mergeCell ref="N192:O192"/>
    <mergeCell ref="N193:O193"/>
    <mergeCell ref="N194:O194"/>
    <mergeCell ref="N195:O195"/>
    <mergeCell ref="N196:O196"/>
    <mergeCell ref="N197:O197"/>
    <mergeCell ref="N186:O186"/>
    <mergeCell ref="N187:O187"/>
    <mergeCell ref="N188:O188"/>
    <mergeCell ref="N189:O189"/>
    <mergeCell ref="N190:O190"/>
    <mergeCell ref="N191:O191"/>
    <mergeCell ref="N180:O180"/>
    <mergeCell ref="N181:O181"/>
    <mergeCell ref="N182:O182"/>
    <mergeCell ref="N183:O183"/>
    <mergeCell ref="N184:O184"/>
    <mergeCell ref="N164:O164"/>
    <mergeCell ref="N165:O165"/>
    <mergeCell ref="N166:O166"/>
    <mergeCell ref="N167:O167"/>
    <mergeCell ref="N156:O156"/>
    <mergeCell ref="N157:O157"/>
    <mergeCell ref="N158:O158"/>
    <mergeCell ref="N159:O159"/>
    <mergeCell ref="S12:T12"/>
    <mergeCell ref="S13:T13"/>
    <mergeCell ref="S14:T14"/>
    <mergeCell ref="S15:T15"/>
    <mergeCell ref="S16:T16"/>
    <mergeCell ref="S17:T17"/>
    <mergeCell ref="N198:O198"/>
    <mergeCell ref="N199:O199"/>
    <mergeCell ref="N200:O200"/>
    <mergeCell ref="N185:O185"/>
    <mergeCell ref="N174:O174"/>
    <mergeCell ref="N175:O175"/>
    <mergeCell ref="N176:O176"/>
    <mergeCell ref="N177:O177"/>
    <mergeCell ref="N178:O178"/>
    <mergeCell ref="N179:O179"/>
    <mergeCell ref="N168:O168"/>
    <mergeCell ref="N169:O169"/>
    <mergeCell ref="N170:O170"/>
    <mergeCell ref="N171:O171"/>
    <mergeCell ref="N172:O172"/>
    <mergeCell ref="N173:O173"/>
    <mergeCell ref="N162:O162"/>
    <mergeCell ref="N163:O163"/>
    <mergeCell ref="N160:O160"/>
    <mergeCell ref="N161:O161"/>
    <mergeCell ref="N150:O150"/>
    <mergeCell ref="N151:O151"/>
    <mergeCell ref="N152:O152"/>
    <mergeCell ref="N153:O153"/>
    <mergeCell ref="N154:O154"/>
    <mergeCell ref="N155:O155"/>
    <mergeCell ref="S30:T30"/>
    <mergeCell ref="S31:T31"/>
    <mergeCell ref="S32:T32"/>
    <mergeCell ref="S33:T33"/>
    <mergeCell ref="S34:T34"/>
    <mergeCell ref="S35:T35"/>
    <mergeCell ref="S24:T24"/>
    <mergeCell ref="S25:T25"/>
    <mergeCell ref="S26:T26"/>
    <mergeCell ref="S27:T27"/>
    <mergeCell ref="S28:T28"/>
    <mergeCell ref="S29:T29"/>
    <mergeCell ref="S18:T18"/>
    <mergeCell ref="S19:T19"/>
    <mergeCell ref="S20:T20"/>
    <mergeCell ref="S21:T21"/>
    <mergeCell ref="S22:T22"/>
    <mergeCell ref="S23:T23"/>
    <mergeCell ref="S48:T48"/>
    <mergeCell ref="S49:T49"/>
    <mergeCell ref="S50:T50"/>
    <mergeCell ref="S51:T51"/>
    <mergeCell ref="S52:T52"/>
    <mergeCell ref="S53:T53"/>
    <mergeCell ref="S42:T42"/>
    <mergeCell ref="S43:T43"/>
    <mergeCell ref="S44:T44"/>
    <mergeCell ref="S45:T45"/>
    <mergeCell ref="S46:T46"/>
    <mergeCell ref="S47:T47"/>
    <mergeCell ref="S36:T36"/>
    <mergeCell ref="S37:T37"/>
    <mergeCell ref="S38:T38"/>
    <mergeCell ref="S39:T39"/>
    <mergeCell ref="S40:T40"/>
    <mergeCell ref="S41:T41"/>
    <mergeCell ref="S66:T66"/>
    <mergeCell ref="S67:T67"/>
    <mergeCell ref="S68:T68"/>
    <mergeCell ref="S69:T69"/>
    <mergeCell ref="S70:T70"/>
    <mergeCell ref="S71:T71"/>
    <mergeCell ref="S60:T60"/>
    <mergeCell ref="S61:T61"/>
    <mergeCell ref="S62:T62"/>
    <mergeCell ref="S63:T63"/>
    <mergeCell ref="S64:T64"/>
    <mergeCell ref="S65:T65"/>
    <mergeCell ref="S54:T54"/>
    <mergeCell ref="S55:T55"/>
    <mergeCell ref="S56:T56"/>
    <mergeCell ref="S57:T57"/>
    <mergeCell ref="S58:T58"/>
    <mergeCell ref="S59:T59"/>
    <mergeCell ref="S84:T84"/>
    <mergeCell ref="S85:T85"/>
    <mergeCell ref="S86:T86"/>
    <mergeCell ref="S87:T87"/>
    <mergeCell ref="S88:T88"/>
    <mergeCell ref="S89:T89"/>
    <mergeCell ref="S78:T78"/>
    <mergeCell ref="S79:T79"/>
    <mergeCell ref="S80:T80"/>
    <mergeCell ref="S81:T81"/>
    <mergeCell ref="S82:T82"/>
    <mergeCell ref="S83:T83"/>
    <mergeCell ref="S72:T72"/>
    <mergeCell ref="S73:T73"/>
    <mergeCell ref="S74:T74"/>
    <mergeCell ref="S75:T75"/>
    <mergeCell ref="S76:T76"/>
    <mergeCell ref="S77:T77"/>
    <mergeCell ref="S102:T102"/>
    <mergeCell ref="S103:T103"/>
    <mergeCell ref="S104:T104"/>
    <mergeCell ref="S105:T105"/>
    <mergeCell ref="S106:T106"/>
    <mergeCell ref="S107:T107"/>
    <mergeCell ref="S96:T96"/>
    <mergeCell ref="S97:T97"/>
    <mergeCell ref="S98:T98"/>
    <mergeCell ref="S99:T99"/>
    <mergeCell ref="S100:T100"/>
    <mergeCell ref="S101:T101"/>
    <mergeCell ref="S90:T90"/>
    <mergeCell ref="S91:T91"/>
    <mergeCell ref="S92:T92"/>
    <mergeCell ref="S93:T93"/>
    <mergeCell ref="S94:T94"/>
    <mergeCell ref="S95:T95"/>
    <mergeCell ref="S120:T120"/>
    <mergeCell ref="S121:T121"/>
    <mergeCell ref="S122:T122"/>
    <mergeCell ref="S123:T123"/>
    <mergeCell ref="S124:T124"/>
    <mergeCell ref="S125:T125"/>
    <mergeCell ref="S114:T114"/>
    <mergeCell ref="S115:T115"/>
    <mergeCell ref="S116:T116"/>
    <mergeCell ref="S117:T117"/>
    <mergeCell ref="S118:T118"/>
    <mergeCell ref="S119:T119"/>
    <mergeCell ref="S108:T108"/>
    <mergeCell ref="S109:T109"/>
    <mergeCell ref="S110:T110"/>
    <mergeCell ref="S111:T111"/>
    <mergeCell ref="S112:T112"/>
    <mergeCell ref="S113:T113"/>
    <mergeCell ref="S138:T138"/>
    <mergeCell ref="S139:T139"/>
    <mergeCell ref="S140:T140"/>
    <mergeCell ref="S141:T141"/>
    <mergeCell ref="S142:T142"/>
    <mergeCell ref="S143:T143"/>
    <mergeCell ref="S132:T132"/>
    <mergeCell ref="S133:T133"/>
    <mergeCell ref="S134:T134"/>
    <mergeCell ref="S135:T135"/>
    <mergeCell ref="S136:T136"/>
    <mergeCell ref="S137:T137"/>
    <mergeCell ref="S126:T126"/>
    <mergeCell ref="S127:T127"/>
    <mergeCell ref="S128:T128"/>
    <mergeCell ref="S129:T129"/>
    <mergeCell ref="S130:T130"/>
    <mergeCell ref="S131:T131"/>
    <mergeCell ref="S156:T156"/>
    <mergeCell ref="S157:T157"/>
    <mergeCell ref="S158:T158"/>
    <mergeCell ref="S159:T159"/>
    <mergeCell ref="S160:T160"/>
    <mergeCell ref="S161:T161"/>
    <mergeCell ref="S150:T150"/>
    <mergeCell ref="S151:T151"/>
    <mergeCell ref="S152:T152"/>
    <mergeCell ref="S153:T153"/>
    <mergeCell ref="S154:T154"/>
    <mergeCell ref="S155:T155"/>
    <mergeCell ref="S144:T144"/>
    <mergeCell ref="S145:T145"/>
    <mergeCell ref="S146:T146"/>
    <mergeCell ref="S147:T147"/>
    <mergeCell ref="S148:T148"/>
    <mergeCell ref="S149:T149"/>
    <mergeCell ref="S184:T184"/>
    <mergeCell ref="S185:T185"/>
    <mergeCell ref="S174:T174"/>
    <mergeCell ref="S175:T175"/>
    <mergeCell ref="S176:T176"/>
    <mergeCell ref="S177:T177"/>
    <mergeCell ref="S178:T178"/>
    <mergeCell ref="S179:T179"/>
    <mergeCell ref="S168:T168"/>
    <mergeCell ref="S169:T169"/>
    <mergeCell ref="S170:T170"/>
    <mergeCell ref="S171:T171"/>
    <mergeCell ref="S172:T172"/>
    <mergeCell ref="S173:T173"/>
    <mergeCell ref="S162:T162"/>
    <mergeCell ref="S163:T163"/>
    <mergeCell ref="S164:T164"/>
    <mergeCell ref="S165:T165"/>
    <mergeCell ref="S166:T166"/>
    <mergeCell ref="S167:T167"/>
    <mergeCell ref="X12:Y12"/>
    <mergeCell ref="X13:Y13"/>
    <mergeCell ref="X14:Y14"/>
    <mergeCell ref="X15:Y15"/>
    <mergeCell ref="X16:Y16"/>
    <mergeCell ref="X17:Y17"/>
    <mergeCell ref="S198:T198"/>
    <mergeCell ref="S199:T199"/>
    <mergeCell ref="S200:T200"/>
    <mergeCell ref="S201:T201"/>
    <mergeCell ref="X6:Y6"/>
    <mergeCell ref="X7:Y7"/>
    <mergeCell ref="X8:Y8"/>
    <mergeCell ref="X9:Y9"/>
    <mergeCell ref="X10:Y10"/>
    <mergeCell ref="X11:Y11"/>
    <mergeCell ref="S192:T192"/>
    <mergeCell ref="S193:T193"/>
    <mergeCell ref="S194:T194"/>
    <mergeCell ref="S195:T195"/>
    <mergeCell ref="S196:T196"/>
    <mergeCell ref="S197:T197"/>
    <mergeCell ref="S186:T186"/>
    <mergeCell ref="S187:T187"/>
    <mergeCell ref="S188:T188"/>
    <mergeCell ref="S189:T189"/>
    <mergeCell ref="S190:T190"/>
    <mergeCell ref="S191:T191"/>
    <mergeCell ref="S180:T180"/>
    <mergeCell ref="S181:T181"/>
    <mergeCell ref="S182:T182"/>
    <mergeCell ref="S183:T183"/>
    <mergeCell ref="X30:Y30"/>
    <mergeCell ref="X31:Y31"/>
    <mergeCell ref="X32:Y32"/>
    <mergeCell ref="X33:Y33"/>
    <mergeCell ref="X34:Y34"/>
    <mergeCell ref="X35:Y35"/>
    <mergeCell ref="X24:Y24"/>
    <mergeCell ref="X25:Y25"/>
    <mergeCell ref="X26:Y26"/>
    <mergeCell ref="X27:Y27"/>
    <mergeCell ref="X28:Y28"/>
    <mergeCell ref="X29:Y29"/>
    <mergeCell ref="X18:Y18"/>
    <mergeCell ref="X19:Y19"/>
    <mergeCell ref="X20:Y20"/>
    <mergeCell ref="X21:Y21"/>
    <mergeCell ref="X22:Y22"/>
    <mergeCell ref="X23:Y23"/>
    <mergeCell ref="X48:Y48"/>
    <mergeCell ref="X49:Y49"/>
    <mergeCell ref="X50:Y50"/>
    <mergeCell ref="X51:Y51"/>
    <mergeCell ref="X52:Y52"/>
    <mergeCell ref="X53:Y53"/>
    <mergeCell ref="X42:Y42"/>
    <mergeCell ref="X43:Y43"/>
    <mergeCell ref="X44:Y44"/>
    <mergeCell ref="X45:Y45"/>
    <mergeCell ref="X46:Y46"/>
    <mergeCell ref="X47:Y47"/>
    <mergeCell ref="X36:Y36"/>
    <mergeCell ref="X37:Y37"/>
    <mergeCell ref="X38:Y38"/>
    <mergeCell ref="X39:Y39"/>
    <mergeCell ref="X40:Y40"/>
    <mergeCell ref="X41:Y41"/>
    <mergeCell ref="X66:Y66"/>
    <mergeCell ref="X67:Y67"/>
    <mergeCell ref="X68:Y68"/>
    <mergeCell ref="X69:Y69"/>
    <mergeCell ref="X70:Y70"/>
    <mergeCell ref="X71:Y71"/>
    <mergeCell ref="X60:Y60"/>
    <mergeCell ref="X61:Y61"/>
    <mergeCell ref="X62:Y62"/>
    <mergeCell ref="X63:Y63"/>
    <mergeCell ref="X64:Y64"/>
    <mergeCell ref="X65:Y65"/>
    <mergeCell ref="X54:Y54"/>
    <mergeCell ref="X55:Y55"/>
    <mergeCell ref="X56:Y56"/>
    <mergeCell ref="X57:Y57"/>
    <mergeCell ref="X58:Y58"/>
    <mergeCell ref="X59:Y59"/>
    <mergeCell ref="X84:Y84"/>
    <mergeCell ref="X85:Y85"/>
    <mergeCell ref="X86:Y86"/>
    <mergeCell ref="X87:Y87"/>
    <mergeCell ref="X88:Y88"/>
    <mergeCell ref="X89:Y89"/>
    <mergeCell ref="X78:Y78"/>
    <mergeCell ref="X79:Y79"/>
    <mergeCell ref="X80:Y80"/>
    <mergeCell ref="X81:Y81"/>
    <mergeCell ref="X82:Y82"/>
    <mergeCell ref="X83:Y83"/>
    <mergeCell ref="X72:Y72"/>
    <mergeCell ref="X73:Y73"/>
    <mergeCell ref="X74:Y74"/>
    <mergeCell ref="X75:Y75"/>
    <mergeCell ref="X76:Y76"/>
    <mergeCell ref="X77:Y77"/>
    <mergeCell ref="X102:Y102"/>
    <mergeCell ref="X103:Y103"/>
    <mergeCell ref="X104:Y104"/>
    <mergeCell ref="X105:Y105"/>
    <mergeCell ref="X106:Y106"/>
    <mergeCell ref="X107:Y107"/>
    <mergeCell ref="X96:Y96"/>
    <mergeCell ref="X97:Y97"/>
    <mergeCell ref="X98:Y98"/>
    <mergeCell ref="X99:Y99"/>
    <mergeCell ref="X100:Y100"/>
    <mergeCell ref="X101:Y101"/>
    <mergeCell ref="X90:Y90"/>
    <mergeCell ref="X91:Y91"/>
    <mergeCell ref="X92:Y92"/>
    <mergeCell ref="X93:Y93"/>
    <mergeCell ref="X94:Y94"/>
    <mergeCell ref="X95:Y95"/>
    <mergeCell ref="X120:Y120"/>
    <mergeCell ref="X121:Y121"/>
    <mergeCell ref="X122:Y122"/>
    <mergeCell ref="X123:Y123"/>
    <mergeCell ref="X124:Y124"/>
    <mergeCell ref="X125:Y125"/>
    <mergeCell ref="X114:Y114"/>
    <mergeCell ref="X115:Y115"/>
    <mergeCell ref="X116:Y116"/>
    <mergeCell ref="X117:Y117"/>
    <mergeCell ref="X118:Y118"/>
    <mergeCell ref="X119:Y119"/>
    <mergeCell ref="X108:Y108"/>
    <mergeCell ref="X109:Y109"/>
    <mergeCell ref="X110:Y110"/>
    <mergeCell ref="X111:Y111"/>
    <mergeCell ref="X112:Y112"/>
    <mergeCell ref="X113:Y113"/>
    <mergeCell ref="X138:Y138"/>
    <mergeCell ref="X139:Y139"/>
    <mergeCell ref="X140:Y140"/>
    <mergeCell ref="X141:Y141"/>
    <mergeCell ref="X142:Y142"/>
    <mergeCell ref="X143:Y143"/>
    <mergeCell ref="X132:Y132"/>
    <mergeCell ref="X133:Y133"/>
    <mergeCell ref="X134:Y134"/>
    <mergeCell ref="X135:Y135"/>
    <mergeCell ref="X136:Y136"/>
    <mergeCell ref="X137:Y137"/>
    <mergeCell ref="X126:Y126"/>
    <mergeCell ref="X127:Y127"/>
    <mergeCell ref="X128:Y128"/>
    <mergeCell ref="X129:Y129"/>
    <mergeCell ref="X130:Y130"/>
    <mergeCell ref="X131:Y131"/>
    <mergeCell ref="X156:Y156"/>
    <mergeCell ref="X157:Y157"/>
    <mergeCell ref="X158:Y158"/>
    <mergeCell ref="X159:Y159"/>
    <mergeCell ref="X160:Y160"/>
    <mergeCell ref="X161:Y161"/>
    <mergeCell ref="X150:Y150"/>
    <mergeCell ref="X151:Y151"/>
    <mergeCell ref="X152:Y152"/>
    <mergeCell ref="X153:Y153"/>
    <mergeCell ref="X154:Y154"/>
    <mergeCell ref="X155:Y155"/>
    <mergeCell ref="X144:Y144"/>
    <mergeCell ref="X145:Y145"/>
    <mergeCell ref="X146:Y146"/>
    <mergeCell ref="X147:Y147"/>
    <mergeCell ref="X148:Y148"/>
    <mergeCell ref="X149:Y149"/>
    <mergeCell ref="X175:Y175"/>
    <mergeCell ref="X176:Y176"/>
    <mergeCell ref="X177:Y177"/>
    <mergeCell ref="X178:Y178"/>
    <mergeCell ref="X179:Y179"/>
    <mergeCell ref="X168:Y168"/>
    <mergeCell ref="X169:Y169"/>
    <mergeCell ref="X170:Y170"/>
    <mergeCell ref="X171:Y171"/>
    <mergeCell ref="X172:Y172"/>
    <mergeCell ref="X173:Y173"/>
    <mergeCell ref="X162:Y162"/>
    <mergeCell ref="X163:Y163"/>
    <mergeCell ref="X164:Y164"/>
    <mergeCell ref="X165:Y165"/>
    <mergeCell ref="X166:Y166"/>
    <mergeCell ref="X167:Y167"/>
    <mergeCell ref="AC6:AD6"/>
    <mergeCell ref="AC7:AD7"/>
    <mergeCell ref="AC8:AD8"/>
    <mergeCell ref="AC9:AD9"/>
    <mergeCell ref="AC10:AD10"/>
    <mergeCell ref="AC11:AD11"/>
    <mergeCell ref="AC12:AD12"/>
    <mergeCell ref="AC13:AD13"/>
    <mergeCell ref="AC14:AD14"/>
    <mergeCell ref="X198:Y198"/>
    <mergeCell ref="X199:Y199"/>
    <mergeCell ref="X200:Y200"/>
    <mergeCell ref="X201:Y201"/>
    <mergeCell ref="X192:Y192"/>
    <mergeCell ref="X193:Y193"/>
    <mergeCell ref="X194:Y194"/>
    <mergeCell ref="X195:Y195"/>
    <mergeCell ref="X196:Y196"/>
    <mergeCell ref="X197:Y197"/>
    <mergeCell ref="X186:Y186"/>
    <mergeCell ref="X187:Y187"/>
    <mergeCell ref="X188:Y188"/>
    <mergeCell ref="X189:Y189"/>
    <mergeCell ref="X190:Y190"/>
    <mergeCell ref="X191:Y191"/>
    <mergeCell ref="X180:Y180"/>
    <mergeCell ref="X181:Y181"/>
    <mergeCell ref="X182:Y182"/>
    <mergeCell ref="X183:Y183"/>
    <mergeCell ref="X184:Y184"/>
    <mergeCell ref="X185:Y185"/>
    <mergeCell ref="X174:Y174"/>
    <mergeCell ref="AC24:AD24"/>
    <mergeCell ref="AC25:AD25"/>
    <mergeCell ref="AC26:AD26"/>
    <mergeCell ref="AC27:AD27"/>
    <mergeCell ref="AC28:AD28"/>
    <mergeCell ref="AC29:AD29"/>
    <mergeCell ref="AC30:AD30"/>
    <mergeCell ref="AC31:AD31"/>
    <mergeCell ref="AC32:AD32"/>
    <mergeCell ref="AC15:AD15"/>
    <mergeCell ref="AC16:AD16"/>
    <mergeCell ref="AC17:AD17"/>
    <mergeCell ref="AC18:AD18"/>
    <mergeCell ref="AC19:AD19"/>
    <mergeCell ref="AC20:AD20"/>
    <mergeCell ref="AC21:AD21"/>
    <mergeCell ref="AC22:AD22"/>
    <mergeCell ref="AC23:AD23"/>
    <mergeCell ref="AC42:AD42"/>
    <mergeCell ref="AC43:AD43"/>
    <mergeCell ref="AC44:AD44"/>
    <mergeCell ref="AC45:AD45"/>
    <mergeCell ref="AC46:AD46"/>
    <mergeCell ref="AC47:AD47"/>
    <mergeCell ref="AC48:AD48"/>
    <mergeCell ref="AC49:AD49"/>
    <mergeCell ref="AC50:AD50"/>
    <mergeCell ref="AC33:AD33"/>
    <mergeCell ref="AC34:AD34"/>
    <mergeCell ref="AC35:AD35"/>
    <mergeCell ref="AC36:AD36"/>
    <mergeCell ref="AC37:AD37"/>
    <mergeCell ref="AC38:AD38"/>
    <mergeCell ref="AC39:AD39"/>
    <mergeCell ref="AC40:AD40"/>
    <mergeCell ref="AC41:AD41"/>
    <mergeCell ref="AC60:AD60"/>
    <mergeCell ref="AC61:AD61"/>
    <mergeCell ref="AC62:AD62"/>
    <mergeCell ref="AC63:AD63"/>
    <mergeCell ref="AC64:AD64"/>
    <mergeCell ref="AC65:AD65"/>
    <mergeCell ref="AC66:AD66"/>
    <mergeCell ref="AC67:AD67"/>
    <mergeCell ref="AC68:AD68"/>
    <mergeCell ref="AC51:AD51"/>
    <mergeCell ref="AC52:AD52"/>
    <mergeCell ref="AC53:AD53"/>
    <mergeCell ref="AC54:AD54"/>
    <mergeCell ref="AC55:AD55"/>
    <mergeCell ref="AC56:AD56"/>
    <mergeCell ref="AC57:AD57"/>
    <mergeCell ref="AC58:AD58"/>
    <mergeCell ref="AC59:AD59"/>
    <mergeCell ref="AC78:AD78"/>
    <mergeCell ref="AC79:AD79"/>
    <mergeCell ref="AC80:AD80"/>
    <mergeCell ref="AC81:AD81"/>
    <mergeCell ref="AC82:AD82"/>
    <mergeCell ref="AC83:AD83"/>
    <mergeCell ref="AC84:AD84"/>
    <mergeCell ref="AC85:AD85"/>
    <mergeCell ref="AC86:AD86"/>
    <mergeCell ref="AC69:AD69"/>
    <mergeCell ref="AC70:AD70"/>
    <mergeCell ref="AC71:AD71"/>
    <mergeCell ref="AC72:AD72"/>
    <mergeCell ref="AC73:AD73"/>
    <mergeCell ref="AC74:AD74"/>
    <mergeCell ref="AC75:AD75"/>
    <mergeCell ref="AC76:AD76"/>
    <mergeCell ref="AC77:AD77"/>
    <mergeCell ref="AC96:AD96"/>
    <mergeCell ref="AC97:AD97"/>
    <mergeCell ref="AC98:AD98"/>
    <mergeCell ref="AC99:AD99"/>
    <mergeCell ref="AC100:AD100"/>
    <mergeCell ref="AC101:AD101"/>
    <mergeCell ref="AC102:AD102"/>
    <mergeCell ref="AC103:AD103"/>
    <mergeCell ref="AC104:AD104"/>
    <mergeCell ref="AC87:AD87"/>
    <mergeCell ref="AC88:AD88"/>
    <mergeCell ref="AC89:AD89"/>
    <mergeCell ref="AC90:AD90"/>
    <mergeCell ref="AC91:AD91"/>
    <mergeCell ref="AC92:AD92"/>
    <mergeCell ref="AC93:AD93"/>
    <mergeCell ref="AC94:AD94"/>
    <mergeCell ref="AC95:AD95"/>
    <mergeCell ref="AC114:AD114"/>
    <mergeCell ref="AC115:AD115"/>
    <mergeCell ref="AC116:AD116"/>
    <mergeCell ref="AC117:AD117"/>
    <mergeCell ref="AC118:AD118"/>
    <mergeCell ref="AC119:AD119"/>
    <mergeCell ref="AC120:AD120"/>
    <mergeCell ref="AC121:AD121"/>
    <mergeCell ref="AC122:AD122"/>
    <mergeCell ref="AC105:AD105"/>
    <mergeCell ref="AC106:AD106"/>
    <mergeCell ref="AC107:AD107"/>
    <mergeCell ref="AC108:AD108"/>
    <mergeCell ref="AC109:AD109"/>
    <mergeCell ref="AC110:AD110"/>
    <mergeCell ref="AC111:AD111"/>
    <mergeCell ref="AC112:AD112"/>
    <mergeCell ref="AC113:AD113"/>
    <mergeCell ref="AC132:AD132"/>
    <mergeCell ref="AC133:AD133"/>
    <mergeCell ref="AC134:AD134"/>
    <mergeCell ref="AC135:AD135"/>
    <mergeCell ref="AC136:AD136"/>
    <mergeCell ref="AC137:AD137"/>
    <mergeCell ref="AC138:AD138"/>
    <mergeCell ref="AC139:AD139"/>
    <mergeCell ref="AC140:AD140"/>
    <mergeCell ref="AC123:AD123"/>
    <mergeCell ref="AC124:AD124"/>
    <mergeCell ref="AC125:AD125"/>
    <mergeCell ref="AC126:AD126"/>
    <mergeCell ref="AC127:AD127"/>
    <mergeCell ref="AC128:AD128"/>
    <mergeCell ref="AC129:AD129"/>
    <mergeCell ref="AC130:AD130"/>
    <mergeCell ref="AC131:AD131"/>
    <mergeCell ref="AC150:AD150"/>
    <mergeCell ref="AC151:AD151"/>
    <mergeCell ref="AC152:AD152"/>
    <mergeCell ref="AC153:AD153"/>
    <mergeCell ref="AC154:AD154"/>
    <mergeCell ref="AC155:AD155"/>
    <mergeCell ref="AC156:AD156"/>
    <mergeCell ref="AC157:AD157"/>
    <mergeCell ref="AC158:AD158"/>
    <mergeCell ref="AC141:AD141"/>
    <mergeCell ref="AC142:AD142"/>
    <mergeCell ref="AC143:AD143"/>
    <mergeCell ref="AC144:AD144"/>
    <mergeCell ref="AC145:AD145"/>
    <mergeCell ref="AC146:AD146"/>
    <mergeCell ref="AC147:AD147"/>
    <mergeCell ref="AC148:AD148"/>
    <mergeCell ref="AC149:AD149"/>
    <mergeCell ref="AC169:AD169"/>
    <mergeCell ref="AC170:AD170"/>
    <mergeCell ref="AC171:AD171"/>
    <mergeCell ref="AC172:AD172"/>
    <mergeCell ref="AC173:AD173"/>
    <mergeCell ref="AC174:AD174"/>
    <mergeCell ref="AC175:AD175"/>
    <mergeCell ref="AC176:AD176"/>
    <mergeCell ref="AC159:AD159"/>
    <mergeCell ref="AC160:AD160"/>
    <mergeCell ref="AC161:AD161"/>
    <mergeCell ref="AC162:AD162"/>
    <mergeCell ref="AC163:AD163"/>
    <mergeCell ref="AC164:AD164"/>
    <mergeCell ref="AC165:AD165"/>
    <mergeCell ref="AC166:AD166"/>
    <mergeCell ref="AC167:AD167"/>
    <mergeCell ref="AC195:AD195"/>
    <mergeCell ref="AC196:AD196"/>
    <mergeCell ref="AC197:AD197"/>
    <mergeCell ref="AC198:AD198"/>
    <mergeCell ref="AC199:AD199"/>
    <mergeCell ref="AC200:AD200"/>
    <mergeCell ref="AC201:AD201"/>
    <mergeCell ref="C4:E4"/>
    <mergeCell ref="H4:J4"/>
    <mergeCell ref="M4:O4"/>
    <mergeCell ref="R4:T4"/>
    <mergeCell ref="W4:Y4"/>
    <mergeCell ref="AB4:AD4"/>
    <mergeCell ref="AC186:AD186"/>
    <mergeCell ref="AC187:AD187"/>
    <mergeCell ref="AC188:AD188"/>
    <mergeCell ref="AC189:AD189"/>
    <mergeCell ref="AC190:AD190"/>
    <mergeCell ref="AC191:AD191"/>
    <mergeCell ref="AC192:AD192"/>
    <mergeCell ref="AC193:AD193"/>
    <mergeCell ref="AC194:AD194"/>
    <mergeCell ref="AC177:AD177"/>
    <mergeCell ref="AC178:AD178"/>
    <mergeCell ref="AC179:AD179"/>
    <mergeCell ref="AC180:AD180"/>
    <mergeCell ref="AC181:AD181"/>
    <mergeCell ref="AC182:AD182"/>
    <mergeCell ref="AC183:AD183"/>
    <mergeCell ref="AC184:AD184"/>
    <mergeCell ref="AC185:AD185"/>
    <mergeCell ref="AC168:AD168"/>
    <mergeCell ref="AG4:AI4"/>
    <mergeCell ref="AH6:AI6"/>
    <mergeCell ref="AH7:AI7"/>
    <mergeCell ref="AH8:AI8"/>
    <mergeCell ref="AH9:AI9"/>
    <mergeCell ref="AH10:AI10"/>
    <mergeCell ref="AH11:AI11"/>
    <mergeCell ref="AH12:AI12"/>
    <mergeCell ref="AH13:AI13"/>
    <mergeCell ref="AH14:AI14"/>
    <mergeCell ref="AH15:AI15"/>
    <mergeCell ref="AH16:AI16"/>
    <mergeCell ref="AH17:AI17"/>
    <mergeCell ref="AH18:AI18"/>
    <mergeCell ref="AH19:AI19"/>
    <mergeCell ref="AH20:AI20"/>
    <mergeCell ref="AH21:AI21"/>
    <mergeCell ref="AH22:AI22"/>
    <mergeCell ref="AH23:AI23"/>
    <mergeCell ref="AH24:AI24"/>
    <mergeCell ref="AH25:AI25"/>
    <mergeCell ref="AH26:AI26"/>
    <mergeCell ref="AH27:AI27"/>
    <mergeCell ref="AH28:AI28"/>
    <mergeCell ref="AH29:AI29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56:AI56"/>
    <mergeCell ref="AH57:AI57"/>
    <mergeCell ref="AH58:AI58"/>
    <mergeCell ref="AH59:AI59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0:AI70"/>
    <mergeCell ref="AH71:AI71"/>
    <mergeCell ref="AH72:AI72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AH100:AI100"/>
    <mergeCell ref="AH101:AI101"/>
    <mergeCell ref="AH102:AI102"/>
    <mergeCell ref="AH103:AI103"/>
    <mergeCell ref="AH104:AI104"/>
    <mergeCell ref="AH105:AI105"/>
    <mergeCell ref="AH106:AI106"/>
    <mergeCell ref="AH107:AI107"/>
    <mergeCell ref="AH108:AI108"/>
    <mergeCell ref="AH109:AI109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0:AI120"/>
    <mergeCell ref="AH121:AI121"/>
    <mergeCell ref="AH122:AI122"/>
    <mergeCell ref="AH123:AI123"/>
    <mergeCell ref="AH124:AI124"/>
    <mergeCell ref="AH125:AI125"/>
    <mergeCell ref="AH126:AI126"/>
    <mergeCell ref="AH127:AI127"/>
    <mergeCell ref="AH128:AI128"/>
    <mergeCell ref="AH129:AI129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0:AI140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58:AI158"/>
    <mergeCell ref="AH159:AI159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0:AI170"/>
    <mergeCell ref="AH171:AI171"/>
    <mergeCell ref="AH172:AI172"/>
    <mergeCell ref="AH173:AI173"/>
    <mergeCell ref="AH174:AI174"/>
    <mergeCell ref="AH175:AI175"/>
    <mergeCell ref="AH176:AI176"/>
    <mergeCell ref="AH177:AI177"/>
    <mergeCell ref="AH178:AI178"/>
    <mergeCell ref="AH179:AI179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0:AI190"/>
    <mergeCell ref="AH191:AI191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0:AI200"/>
    <mergeCell ref="AH201:AI201"/>
    <mergeCell ref="AL4:AN4"/>
    <mergeCell ref="AM6:AN6"/>
    <mergeCell ref="AM7:AN7"/>
    <mergeCell ref="AM8:AN8"/>
    <mergeCell ref="AM9:AN9"/>
    <mergeCell ref="AM10:AN10"/>
    <mergeCell ref="AM11:AN11"/>
    <mergeCell ref="AM12:AN12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M21:AN21"/>
    <mergeCell ref="AM22:AN22"/>
    <mergeCell ref="AM23:AN23"/>
    <mergeCell ref="AM24:AN24"/>
    <mergeCell ref="AM25:AN25"/>
    <mergeCell ref="AM26:AN26"/>
    <mergeCell ref="AM27:AN27"/>
    <mergeCell ref="AM28:AN28"/>
    <mergeCell ref="AM29:AN29"/>
    <mergeCell ref="AM30:AN30"/>
    <mergeCell ref="AM31:AN31"/>
    <mergeCell ref="AM32:AN32"/>
    <mergeCell ref="AM33:AN33"/>
    <mergeCell ref="AM34:AN34"/>
    <mergeCell ref="AM35:AN35"/>
    <mergeCell ref="AM36:AN36"/>
    <mergeCell ref="AM37:AN37"/>
    <mergeCell ref="AM38:AN38"/>
    <mergeCell ref="AM39:AN39"/>
    <mergeCell ref="AM40:AN40"/>
    <mergeCell ref="AM41:AN41"/>
    <mergeCell ref="AM42:AN42"/>
    <mergeCell ref="AM43:AN43"/>
    <mergeCell ref="AM44:AN44"/>
    <mergeCell ref="AM45:AN45"/>
    <mergeCell ref="AM46:AN46"/>
    <mergeCell ref="AM47:AN47"/>
    <mergeCell ref="AM48:AN48"/>
    <mergeCell ref="AM49:AN49"/>
    <mergeCell ref="AM50:AN50"/>
    <mergeCell ref="AM51:AN51"/>
    <mergeCell ref="AM52:AN52"/>
    <mergeCell ref="AM53:AN53"/>
    <mergeCell ref="AM54:AN54"/>
    <mergeCell ref="AM55:AN55"/>
    <mergeCell ref="AM56:AN56"/>
    <mergeCell ref="AM57:AN57"/>
    <mergeCell ref="AM58:AN58"/>
    <mergeCell ref="AM59:AN59"/>
    <mergeCell ref="AM60:AN60"/>
    <mergeCell ref="AM61:AN61"/>
    <mergeCell ref="AM62:AN62"/>
    <mergeCell ref="AM63:AN63"/>
    <mergeCell ref="AM64:AN64"/>
    <mergeCell ref="AM65:AN65"/>
    <mergeCell ref="AM66:AN66"/>
    <mergeCell ref="AM67:AN67"/>
    <mergeCell ref="AM68:AN68"/>
    <mergeCell ref="AM69:AN69"/>
    <mergeCell ref="AM70:AN70"/>
    <mergeCell ref="AM71:AN71"/>
    <mergeCell ref="AM72:AN72"/>
    <mergeCell ref="AM73:AN73"/>
    <mergeCell ref="AM74:AN74"/>
    <mergeCell ref="AM75:AN75"/>
    <mergeCell ref="AM76:AN76"/>
    <mergeCell ref="AM77:AN77"/>
    <mergeCell ref="AM78:AN78"/>
    <mergeCell ref="AM79:AN79"/>
    <mergeCell ref="AM80:AN80"/>
    <mergeCell ref="AM81:AN81"/>
    <mergeCell ref="AM82:AN82"/>
    <mergeCell ref="AM83:AN83"/>
    <mergeCell ref="AM84:AN84"/>
    <mergeCell ref="AM85:AN85"/>
    <mergeCell ref="AM86:AN86"/>
    <mergeCell ref="AM87:AN87"/>
    <mergeCell ref="AM88:AN88"/>
    <mergeCell ref="AM89:AN89"/>
    <mergeCell ref="AM90:AN90"/>
    <mergeCell ref="AM91:AN91"/>
    <mergeCell ref="AM92:AN92"/>
    <mergeCell ref="AM93:AN93"/>
    <mergeCell ref="AM94:AN94"/>
    <mergeCell ref="AM95:AN95"/>
    <mergeCell ref="AM96:AN96"/>
    <mergeCell ref="AM97:AN97"/>
    <mergeCell ref="AM98:AN98"/>
    <mergeCell ref="AM99:AN99"/>
    <mergeCell ref="AM100:AN100"/>
    <mergeCell ref="AM101:AN101"/>
    <mergeCell ref="AM102:AN102"/>
    <mergeCell ref="AM103:AN103"/>
    <mergeCell ref="AM104:AN104"/>
    <mergeCell ref="AM105:AN105"/>
    <mergeCell ref="AM106:AN106"/>
    <mergeCell ref="AM107:AN107"/>
    <mergeCell ref="AM108:AN108"/>
    <mergeCell ref="AM109:AN109"/>
    <mergeCell ref="AM110:AN110"/>
    <mergeCell ref="AM111:AN111"/>
    <mergeCell ref="AM112:AN112"/>
    <mergeCell ref="AM113:AN113"/>
    <mergeCell ref="AM114:AN114"/>
    <mergeCell ref="AM115:AN115"/>
    <mergeCell ref="AM116:AN116"/>
    <mergeCell ref="AM117:AN117"/>
    <mergeCell ref="AM118:AN118"/>
    <mergeCell ref="AM119:AN119"/>
    <mergeCell ref="AM120:AN120"/>
    <mergeCell ref="AM121:AN121"/>
    <mergeCell ref="AM122:AN122"/>
    <mergeCell ref="AM123:AN123"/>
    <mergeCell ref="AM124:AN124"/>
    <mergeCell ref="AM125:AN125"/>
    <mergeCell ref="AM126:AN126"/>
    <mergeCell ref="AM127:AN127"/>
    <mergeCell ref="AM128:AN128"/>
    <mergeCell ref="AM129:AN129"/>
    <mergeCell ref="AM130:AN130"/>
    <mergeCell ref="AM131:AN131"/>
    <mergeCell ref="AM132:AN132"/>
    <mergeCell ref="AM133:AN133"/>
    <mergeCell ref="AM134:AN134"/>
    <mergeCell ref="AM135:AN13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M146:AN146"/>
    <mergeCell ref="AM147:AN147"/>
    <mergeCell ref="AM148:AN148"/>
    <mergeCell ref="AM149:AN149"/>
    <mergeCell ref="AM150:AN150"/>
    <mergeCell ref="AM151:AN151"/>
    <mergeCell ref="AM152:AN152"/>
    <mergeCell ref="AM153:AN153"/>
    <mergeCell ref="AM154:AN154"/>
    <mergeCell ref="AM155:AN155"/>
    <mergeCell ref="AM156:AN156"/>
    <mergeCell ref="AM157:AN157"/>
    <mergeCell ref="AM158:AN158"/>
    <mergeCell ref="AM159:AN159"/>
    <mergeCell ref="AM160:AN160"/>
    <mergeCell ref="AM161:AN161"/>
    <mergeCell ref="AM162:AN162"/>
    <mergeCell ref="AM163:AN163"/>
    <mergeCell ref="AM164:AN164"/>
    <mergeCell ref="AM165:AN165"/>
    <mergeCell ref="AM166:AN166"/>
    <mergeCell ref="AM167:AN167"/>
    <mergeCell ref="AM168:AN168"/>
    <mergeCell ref="AM169:AN169"/>
    <mergeCell ref="AM170:AN170"/>
    <mergeCell ref="AM171:AN171"/>
    <mergeCell ref="AM172:AN172"/>
    <mergeCell ref="AM173:AN173"/>
    <mergeCell ref="AM174:AN174"/>
    <mergeCell ref="AM175:AN175"/>
    <mergeCell ref="AM176:AN176"/>
    <mergeCell ref="AM177:AN177"/>
    <mergeCell ref="AM178:AN178"/>
    <mergeCell ref="AM179:AN179"/>
    <mergeCell ref="AM180:AN180"/>
    <mergeCell ref="AM181:AN181"/>
    <mergeCell ref="AM182:AN182"/>
    <mergeCell ref="AM183:AN183"/>
    <mergeCell ref="AM184:AN184"/>
    <mergeCell ref="AM185:AN185"/>
    <mergeCell ref="AM186:AN186"/>
    <mergeCell ref="AM187:AN187"/>
    <mergeCell ref="AM188:AN188"/>
    <mergeCell ref="AM189:AN189"/>
    <mergeCell ref="AM190:AN190"/>
    <mergeCell ref="AM191:AN191"/>
    <mergeCell ref="AM192:AN192"/>
    <mergeCell ref="AM193:AN193"/>
    <mergeCell ref="AM194:AN194"/>
    <mergeCell ref="AM195:AN195"/>
    <mergeCell ref="AM196:AN196"/>
    <mergeCell ref="AM197:AN197"/>
    <mergeCell ref="AM198:AN198"/>
    <mergeCell ref="AM199:AN199"/>
    <mergeCell ref="AM200:AN200"/>
    <mergeCell ref="AM201:AN201"/>
    <mergeCell ref="AQ4:AS4"/>
    <mergeCell ref="AR6:AS6"/>
    <mergeCell ref="AR7:AS7"/>
    <mergeCell ref="AR8:AS8"/>
    <mergeCell ref="AR9:AS9"/>
    <mergeCell ref="AR10:AS10"/>
    <mergeCell ref="AR11:AS11"/>
    <mergeCell ref="AR12:AS12"/>
    <mergeCell ref="AR13:AS13"/>
    <mergeCell ref="AR14:AS14"/>
    <mergeCell ref="AR15:AS15"/>
    <mergeCell ref="AR16:AS16"/>
    <mergeCell ref="AR17:AS17"/>
    <mergeCell ref="AR18:AS18"/>
    <mergeCell ref="AR19:AS19"/>
    <mergeCell ref="AR20:AS20"/>
    <mergeCell ref="AR21:AS21"/>
    <mergeCell ref="AR22:AS22"/>
    <mergeCell ref="AR23:AS23"/>
    <mergeCell ref="AR24:AS24"/>
    <mergeCell ref="AR25:AS25"/>
    <mergeCell ref="AR26:AS26"/>
    <mergeCell ref="AR27:AS27"/>
    <mergeCell ref="AR28:AS28"/>
    <mergeCell ref="AR29:AS29"/>
    <mergeCell ref="AR30:AS30"/>
    <mergeCell ref="AR31:AS31"/>
    <mergeCell ref="AR32:AS32"/>
    <mergeCell ref="AR33:AS33"/>
    <mergeCell ref="AR34:AS34"/>
    <mergeCell ref="AR35:AS35"/>
    <mergeCell ref="AR36:AS36"/>
    <mergeCell ref="AR37:AS37"/>
    <mergeCell ref="AR38:AS38"/>
    <mergeCell ref="AR39:AS39"/>
    <mergeCell ref="AR40:AS40"/>
    <mergeCell ref="AR41:AS41"/>
    <mergeCell ref="AR42:AS42"/>
    <mergeCell ref="AR43:AS43"/>
    <mergeCell ref="AR44:AS44"/>
    <mergeCell ref="AR45:AS45"/>
    <mergeCell ref="AR46:AS46"/>
    <mergeCell ref="AR47:AS47"/>
    <mergeCell ref="AR48:AS48"/>
    <mergeCell ref="AR49:AS49"/>
    <mergeCell ref="AR50:AS50"/>
    <mergeCell ref="AR51:AS51"/>
    <mergeCell ref="AR52:AS52"/>
    <mergeCell ref="AR53:AS53"/>
    <mergeCell ref="AR54:AS54"/>
    <mergeCell ref="AR55:AS55"/>
    <mergeCell ref="AR56:AS56"/>
    <mergeCell ref="AR57:AS57"/>
    <mergeCell ref="AR58:AS58"/>
    <mergeCell ref="AR59:AS59"/>
    <mergeCell ref="AR60:AS60"/>
    <mergeCell ref="AR61:AS61"/>
    <mergeCell ref="AR62:AS62"/>
    <mergeCell ref="AR63:AS63"/>
    <mergeCell ref="AR64:AS64"/>
    <mergeCell ref="AR65:AS65"/>
    <mergeCell ref="AR66:AS66"/>
    <mergeCell ref="AR67:AS67"/>
    <mergeCell ref="AR68:AS68"/>
    <mergeCell ref="AR69:AS69"/>
    <mergeCell ref="AR70:AS70"/>
    <mergeCell ref="AR71:AS71"/>
    <mergeCell ref="AR72:AS72"/>
    <mergeCell ref="AR73:AS73"/>
    <mergeCell ref="AR74:AS74"/>
    <mergeCell ref="AR75:AS75"/>
    <mergeCell ref="AR76:AS76"/>
    <mergeCell ref="AR77:AS77"/>
    <mergeCell ref="AR78:AS78"/>
    <mergeCell ref="AR79:AS79"/>
    <mergeCell ref="AR80:AS80"/>
    <mergeCell ref="AR81:AS81"/>
    <mergeCell ref="AR82:AS82"/>
    <mergeCell ref="AR83:AS83"/>
    <mergeCell ref="AR84:AS84"/>
    <mergeCell ref="AR85:AS85"/>
    <mergeCell ref="AR86:AS86"/>
    <mergeCell ref="AR87:AS87"/>
    <mergeCell ref="AR88:AS88"/>
    <mergeCell ref="AR89:AS89"/>
    <mergeCell ref="AR90:AS90"/>
    <mergeCell ref="AR91:AS91"/>
    <mergeCell ref="AR92:AS92"/>
    <mergeCell ref="AR93:AS93"/>
    <mergeCell ref="AR94:AS94"/>
    <mergeCell ref="AR95:AS95"/>
    <mergeCell ref="AR96:AS96"/>
    <mergeCell ref="AR97:AS97"/>
    <mergeCell ref="AR98:AS98"/>
    <mergeCell ref="AR99:AS99"/>
    <mergeCell ref="AR100:AS100"/>
    <mergeCell ref="AR101:AS101"/>
    <mergeCell ref="AR102:AS102"/>
    <mergeCell ref="AR103:AS103"/>
    <mergeCell ref="AR104:AS104"/>
    <mergeCell ref="AR105:AS105"/>
    <mergeCell ref="AR106:AS106"/>
    <mergeCell ref="AR107:AS107"/>
    <mergeCell ref="AR108:AS108"/>
    <mergeCell ref="AR109:AS109"/>
    <mergeCell ref="AR110:AS110"/>
    <mergeCell ref="AR111:AS111"/>
    <mergeCell ref="AR112:AS112"/>
    <mergeCell ref="AR113:AS113"/>
    <mergeCell ref="AR114:AS114"/>
    <mergeCell ref="AR115:AS115"/>
    <mergeCell ref="AR116:AS116"/>
    <mergeCell ref="AR117:AS117"/>
    <mergeCell ref="AR118:AS118"/>
    <mergeCell ref="AR119:AS119"/>
    <mergeCell ref="AR120:AS120"/>
    <mergeCell ref="AR121:AS121"/>
    <mergeCell ref="AR122:AS122"/>
    <mergeCell ref="AR123:AS123"/>
    <mergeCell ref="AR124:AS124"/>
    <mergeCell ref="AR125:AS125"/>
    <mergeCell ref="AR126:AS126"/>
    <mergeCell ref="AR127:AS127"/>
    <mergeCell ref="AR128:AS128"/>
    <mergeCell ref="AR129:AS129"/>
    <mergeCell ref="AR130:AS130"/>
    <mergeCell ref="AR131:AS131"/>
    <mergeCell ref="AR132:AS132"/>
    <mergeCell ref="AR133:AS133"/>
    <mergeCell ref="AR134:AS134"/>
    <mergeCell ref="AR135:AS135"/>
    <mergeCell ref="AR136:AS136"/>
    <mergeCell ref="AR137:AS137"/>
    <mergeCell ref="AR138:AS138"/>
    <mergeCell ref="AR139:AS139"/>
    <mergeCell ref="AR140:AS140"/>
    <mergeCell ref="AR141:AS141"/>
    <mergeCell ref="AR142:AS142"/>
    <mergeCell ref="AR143:AS143"/>
    <mergeCell ref="AR144:AS144"/>
    <mergeCell ref="AR145:AS145"/>
    <mergeCell ref="AR146:AS146"/>
    <mergeCell ref="AR147:AS147"/>
    <mergeCell ref="AR148:AS148"/>
    <mergeCell ref="AR149:AS149"/>
    <mergeCell ref="AR150:AS150"/>
    <mergeCell ref="AR151:AS151"/>
    <mergeCell ref="AR152:AS152"/>
    <mergeCell ref="AR153:AS153"/>
    <mergeCell ref="AR154:AS154"/>
    <mergeCell ref="AR155:AS155"/>
    <mergeCell ref="AR156:AS156"/>
    <mergeCell ref="AR157:AS157"/>
    <mergeCell ref="AR158:AS158"/>
    <mergeCell ref="AR159:AS159"/>
    <mergeCell ref="AR160:AS160"/>
    <mergeCell ref="AR161:AS161"/>
    <mergeCell ref="AR162:AS162"/>
    <mergeCell ref="AR163:AS163"/>
    <mergeCell ref="AR164:AS164"/>
    <mergeCell ref="AR165:AS165"/>
    <mergeCell ref="AR166:AS166"/>
    <mergeCell ref="AR167:AS167"/>
    <mergeCell ref="AR168:AS168"/>
    <mergeCell ref="AR169:AS169"/>
    <mergeCell ref="AR170:AS170"/>
    <mergeCell ref="AR171:AS171"/>
    <mergeCell ref="AR172:AS172"/>
    <mergeCell ref="AR173:AS173"/>
    <mergeCell ref="AR174:AS174"/>
    <mergeCell ref="AR175:AS175"/>
    <mergeCell ref="AR176:AS176"/>
    <mergeCell ref="AR177:AS177"/>
    <mergeCell ref="AR178:AS178"/>
    <mergeCell ref="AR179:AS179"/>
    <mergeCell ref="AR180:AS180"/>
    <mergeCell ref="AR181:AS181"/>
    <mergeCell ref="AR182:AS182"/>
    <mergeCell ref="AR183:AS183"/>
    <mergeCell ref="AR184:AS184"/>
    <mergeCell ref="AR185:AS185"/>
    <mergeCell ref="AR186:AS186"/>
    <mergeCell ref="AR187:AS187"/>
    <mergeCell ref="AR188:AS188"/>
    <mergeCell ref="AR189:AS189"/>
    <mergeCell ref="AR190:AS190"/>
    <mergeCell ref="AR191:AS191"/>
    <mergeCell ref="AR192:AS192"/>
    <mergeCell ref="AR193:AS193"/>
    <mergeCell ref="AR194:AS194"/>
    <mergeCell ref="AR195:AS195"/>
    <mergeCell ref="AR196:AS196"/>
    <mergeCell ref="AR197:AS197"/>
    <mergeCell ref="AR198:AS198"/>
    <mergeCell ref="AR199:AS199"/>
    <mergeCell ref="AR200:AS200"/>
    <mergeCell ref="AR201:AS201"/>
    <mergeCell ref="AV4:AX4"/>
    <mergeCell ref="AW6:AX6"/>
    <mergeCell ref="AW7:AX7"/>
    <mergeCell ref="AW8:AX8"/>
    <mergeCell ref="AW9:AX9"/>
    <mergeCell ref="AW10:AX10"/>
    <mergeCell ref="AW11:AX11"/>
    <mergeCell ref="AW12:AX12"/>
    <mergeCell ref="AW13:AX13"/>
    <mergeCell ref="AW14:AX14"/>
    <mergeCell ref="AW15:AX15"/>
    <mergeCell ref="AW16:AX16"/>
    <mergeCell ref="AW17:AX17"/>
    <mergeCell ref="AW18:AX18"/>
    <mergeCell ref="AW19:AX19"/>
    <mergeCell ref="AW20:AX20"/>
    <mergeCell ref="AW21:AX21"/>
    <mergeCell ref="AW22:AX22"/>
    <mergeCell ref="AW23:AX23"/>
    <mergeCell ref="AW24:AX24"/>
    <mergeCell ref="AW25:AX25"/>
    <mergeCell ref="AW26:AX26"/>
    <mergeCell ref="AW27:AX27"/>
    <mergeCell ref="AW28:AX28"/>
    <mergeCell ref="AW29:AX29"/>
    <mergeCell ref="AW30:AX30"/>
    <mergeCell ref="AW31:AX31"/>
    <mergeCell ref="AW32:AX32"/>
    <mergeCell ref="AW33:AX33"/>
    <mergeCell ref="AW34:AX34"/>
    <mergeCell ref="AW35:AX35"/>
    <mergeCell ref="AW36:AX36"/>
    <mergeCell ref="AW37:AX37"/>
    <mergeCell ref="AW38:AX38"/>
    <mergeCell ref="AW39:AX39"/>
    <mergeCell ref="AW40:AX40"/>
    <mergeCell ref="AW41:AX41"/>
    <mergeCell ref="AW42:AX42"/>
    <mergeCell ref="AW43:AX43"/>
    <mergeCell ref="AW44:AX44"/>
    <mergeCell ref="AW45:AX45"/>
    <mergeCell ref="AW46:AX46"/>
    <mergeCell ref="AW47:AX47"/>
    <mergeCell ref="AW48:AX48"/>
    <mergeCell ref="AW49:AX49"/>
    <mergeCell ref="AW50:AX50"/>
    <mergeCell ref="AW51:AX51"/>
    <mergeCell ref="AW52:AX52"/>
    <mergeCell ref="AW53:AX53"/>
    <mergeCell ref="AW54:AX54"/>
    <mergeCell ref="AW55:AX55"/>
    <mergeCell ref="AW56:AX56"/>
    <mergeCell ref="AW57:AX57"/>
    <mergeCell ref="AW58:AX58"/>
    <mergeCell ref="AW59:AX59"/>
    <mergeCell ref="AW60:AX60"/>
    <mergeCell ref="AW61:AX61"/>
    <mergeCell ref="AW62:AX62"/>
    <mergeCell ref="AW63:AX63"/>
    <mergeCell ref="AW64:AX64"/>
    <mergeCell ref="AW65:AX65"/>
    <mergeCell ref="AW66:AX66"/>
    <mergeCell ref="AW67:AX67"/>
    <mergeCell ref="AW68:AX68"/>
    <mergeCell ref="AW69:AX69"/>
    <mergeCell ref="AW70:AX70"/>
    <mergeCell ref="AW71:AX71"/>
    <mergeCell ref="AW72:AX72"/>
    <mergeCell ref="AW73:AX73"/>
    <mergeCell ref="AW74:AX74"/>
    <mergeCell ref="AW75:AX75"/>
    <mergeCell ref="AW76:AX76"/>
    <mergeCell ref="AW77:AX77"/>
    <mergeCell ref="AW78:AX78"/>
    <mergeCell ref="AW79:AX79"/>
    <mergeCell ref="AW80:AX80"/>
    <mergeCell ref="AW81:AX81"/>
    <mergeCell ref="AW82:AX82"/>
    <mergeCell ref="AW83:AX83"/>
    <mergeCell ref="AW84:AX84"/>
    <mergeCell ref="AW85:AX85"/>
    <mergeCell ref="AW86:AX86"/>
    <mergeCell ref="AW87:AX87"/>
    <mergeCell ref="AW88:AX88"/>
    <mergeCell ref="AW89:AX89"/>
    <mergeCell ref="AW90:AX90"/>
    <mergeCell ref="AW91:AX91"/>
    <mergeCell ref="AW92:AX92"/>
    <mergeCell ref="AW93:AX93"/>
    <mergeCell ref="AW94:AX94"/>
    <mergeCell ref="AW95:AX95"/>
    <mergeCell ref="AW96:AX96"/>
    <mergeCell ref="AW97:AX97"/>
    <mergeCell ref="AW98:AX98"/>
    <mergeCell ref="AW99:AX99"/>
    <mergeCell ref="AW100:AX100"/>
    <mergeCell ref="AW101:AX101"/>
    <mergeCell ref="AW102:AX102"/>
    <mergeCell ref="AW103:AX103"/>
    <mergeCell ref="AW104:AX104"/>
    <mergeCell ref="AW105:AX105"/>
    <mergeCell ref="AW106:AX106"/>
    <mergeCell ref="AW107:AX107"/>
    <mergeCell ref="AW108:AX108"/>
    <mergeCell ref="AW109:AX109"/>
    <mergeCell ref="AW110:AX110"/>
    <mergeCell ref="AW111:AX111"/>
    <mergeCell ref="AW112:AX112"/>
    <mergeCell ref="AW113:AX113"/>
    <mergeCell ref="AW114:AX114"/>
    <mergeCell ref="AW115:AX115"/>
    <mergeCell ref="AW116:AX116"/>
    <mergeCell ref="AW117:AX117"/>
    <mergeCell ref="AW118:AX118"/>
    <mergeCell ref="AW119:AX119"/>
    <mergeCell ref="AW120:AX120"/>
    <mergeCell ref="AW121:AX121"/>
    <mergeCell ref="AW122:AX122"/>
    <mergeCell ref="AW123:AX123"/>
    <mergeCell ref="AW124:AX124"/>
    <mergeCell ref="AW125:AX125"/>
    <mergeCell ref="AW126:AX126"/>
    <mergeCell ref="AW127:AX127"/>
    <mergeCell ref="AW128:AX128"/>
    <mergeCell ref="AW129:AX129"/>
    <mergeCell ref="AW130:AX130"/>
    <mergeCell ref="AW131:AX131"/>
    <mergeCell ref="AW132:AX132"/>
    <mergeCell ref="AW133:AX133"/>
    <mergeCell ref="AW134:AX134"/>
    <mergeCell ref="AW135:AX135"/>
    <mergeCell ref="AW136:AX136"/>
    <mergeCell ref="AW137:AX137"/>
    <mergeCell ref="AW138:AX138"/>
    <mergeCell ref="AW139:AX139"/>
    <mergeCell ref="AW140:AX140"/>
    <mergeCell ref="AW162:AX162"/>
    <mergeCell ref="AW163:AX163"/>
    <mergeCell ref="AW164:AX164"/>
    <mergeCell ref="AW165:AX165"/>
    <mergeCell ref="AW166:AX166"/>
    <mergeCell ref="AW167:AX167"/>
    <mergeCell ref="AW168:AX168"/>
    <mergeCell ref="AW169:AX169"/>
    <mergeCell ref="AW170:AX170"/>
    <mergeCell ref="AW171:AX171"/>
    <mergeCell ref="AW172:AX172"/>
    <mergeCell ref="AW173:AX173"/>
    <mergeCell ref="AW174:AX174"/>
    <mergeCell ref="AW141:AX141"/>
    <mergeCell ref="AW142:AX142"/>
    <mergeCell ref="AW143:AX143"/>
    <mergeCell ref="AW144:AX144"/>
    <mergeCell ref="AW145:AX145"/>
    <mergeCell ref="AW146:AX146"/>
    <mergeCell ref="AW147:AX147"/>
    <mergeCell ref="AW148:AX148"/>
    <mergeCell ref="AW149:AX149"/>
    <mergeCell ref="AW150:AX150"/>
    <mergeCell ref="AW151:AX151"/>
    <mergeCell ref="AW152:AX152"/>
    <mergeCell ref="AW153:AX153"/>
    <mergeCell ref="AW154:AX154"/>
    <mergeCell ref="AW155:AX155"/>
    <mergeCell ref="AW156:AX156"/>
    <mergeCell ref="AW157:AX157"/>
    <mergeCell ref="B2:D2"/>
    <mergeCell ref="AW192:AX192"/>
    <mergeCell ref="AW193:AX193"/>
    <mergeCell ref="AW194:AX194"/>
    <mergeCell ref="AW195:AX195"/>
    <mergeCell ref="AW196:AX196"/>
    <mergeCell ref="AW197:AX197"/>
    <mergeCell ref="AW198:AX198"/>
    <mergeCell ref="AW199:AX199"/>
    <mergeCell ref="AW200:AX200"/>
    <mergeCell ref="AW201:AX201"/>
    <mergeCell ref="AW175:AX175"/>
    <mergeCell ref="AW176:AX176"/>
    <mergeCell ref="AW177:AX177"/>
    <mergeCell ref="AW178:AX178"/>
    <mergeCell ref="AW179:AX179"/>
    <mergeCell ref="AW180:AX180"/>
    <mergeCell ref="AW181:AX181"/>
    <mergeCell ref="AW182:AX182"/>
    <mergeCell ref="AW183:AX183"/>
    <mergeCell ref="AW184:AX184"/>
    <mergeCell ref="AW185:AX185"/>
    <mergeCell ref="AW186:AX186"/>
    <mergeCell ref="AW187:AX187"/>
    <mergeCell ref="AW188:AX188"/>
    <mergeCell ref="AW189:AX189"/>
    <mergeCell ref="AW190:AX190"/>
    <mergeCell ref="AW191:AX191"/>
    <mergeCell ref="AW158:AX158"/>
    <mergeCell ref="AW159:AX159"/>
    <mergeCell ref="AW160:AX160"/>
    <mergeCell ref="AW161:AX161"/>
  </mergeCells>
  <conditionalFormatting sqref="C6:AY201">
    <cfRule type="expression" dxfId="18" priority="1" stopIfTrue="1">
      <formula>AND(B6=miCabeceraRetraso&amp;":",IFERROR(--LEFT(C6,FIND(" ",C6)-1),0)&gt;0)</formula>
    </cfRule>
    <cfRule type="expression" dxfId="17" priority="34" stopIfTrue="1">
      <formula>OR(AND(B6=miCabeceraPrevisto&amp;":",C6&lt;Fecha_Hoy,C7=0),AND(B6=miCabeceraInicio&amp;":",C6&lt;Fecha_Hoy,A$4=1),AND(B6=miCabeceraFinal&amp;":",C6=0,A$4=miNúmEstadoFinal))</formula>
    </cfRule>
    <cfRule type="expression" dxfId="16" priority="35" stopIfTrue="1">
      <formula>OR(AND(B6=miCabeceraPrevisto&amp;":",C6&lt;Fecha_Hoy+2,C7=0),AND(B6=miCabeceraInicio&amp;":",C6&lt;Fecha_Hoy+2,A$4=1))</formula>
    </cfRule>
  </conditionalFormatting>
  <dataValidations count="4">
    <dataValidation type="list" allowBlank="1" showInputMessage="1" showErrorMessage="1" errorTitle="Tablero Kanban" error="^ - Tareas en orden ascendente_x000a_v - Tareas en orden descendente" sqref="F4 K4 P4 U4 Z4 AE4 AJ4 AO4 AT4 AY4" xr:uid="{7160A7F9-E4B2-4992-B9B5-66BC40CF6ABD}">
      <formula1>"^,v"</formula1>
    </dataValidation>
    <dataValidation type="date" operator="greaterThanOrEqual" allowBlank="1" showInputMessage="1" showErrorMessage="1" errorTitle="Tablero KANBAN" error="Escribir una fecha a partir del 01/01/2000 o dejarla en blanco." sqref="T2" xr:uid="{8F4E9AC3-852E-48E4-BFD4-29619C98FF64}">
      <formula1>36526</formula1>
    </dataValidation>
    <dataValidation type="list" allowBlank="1" showInputMessage="1" showErrorMessage="1" sqref="F2" xr:uid="{BFF842A9-4D02-480C-878D-CE0C689849FF}">
      <formula1>"1,2,3,4,5,6,7,8"</formula1>
    </dataValidation>
    <dataValidation type="whole" allowBlank="1" showInputMessage="1" showErrorMessage="1" sqref="AD2 AI2" xr:uid="{98F13811-A6C7-46F3-9708-AD7CAA12780F}">
      <formula1>0</formula1>
      <formula2>1000</formula2>
    </dataValidation>
  </dataValidations>
  <hyperlinks>
    <hyperlink ref="B2:D2" location="Configura!B2" display="Configura!B2" xr:uid="{CDCBC81D-F382-4401-B2D0-408384157D52}"/>
  </hyperlinks>
  <pageMargins left="0.70866141732283472" right="0.70866141732283472" top="0.74803149606299213" bottom="0.74803149606299213" header="0.31496062992125984" footer="0.31496062992125984"/>
  <pageSetup paperSize="9" scale="2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6" stopIfTrue="1" id="{AAEABE59-487F-4DAA-9542-36088566752D}">
            <xm:f>OR(Formulas!D3="1-1",Formulas!E3="1-1",Formulas!F3="1-1")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37" stopIfTrue="1" id="{C5F268CE-2391-453A-B3FF-83ED41FEBE65}">
            <xm:f>OR(LEFT(Formulas!D3,2)="1-",LEFT(Formulas!E3,2)="1-",LEFT(Formulas!F3,2)="1-")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38" stopIfTrue="1" id="{795C40FB-21B2-4F47-9190-71173D754575}">
            <xm:f>OR(Formulas!D3="2-1",Formulas!E3="2-1",Formulas!F3="2-1")</xm:f>
            <x14:dxf>
              <font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expression" priority="39" stopIfTrue="1" id="{4BA60FC3-EB98-4C2D-BDFE-0C75A8575BBA}">
            <xm:f>OR(LEFT(Formulas!D3,2)="2-",LEFT(Formulas!E3,2)="2-",LEFT(Formulas!F3,2)="2-")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" stopIfTrue="1" id="{E3B829CA-9D96-4FE9-9163-EB2DF723F67F}">
            <xm:f>OR(Formulas!D3="3-1",Formulas!E3="3-1",Formulas!F3="3-1")</xm:f>
            <x14:dxf>
              <font>
                <color theme="0"/>
              </font>
              <fill>
                <patternFill>
                  <bgColor theme="9"/>
                </patternFill>
              </fill>
            </x14:dxf>
          </x14:cfRule>
          <x14:cfRule type="expression" priority="41" stopIfTrue="1" id="{9E5A95EC-895A-4CF6-8CBA-5D7DB6C68DA5}">
            <xm:f>OR(LEFT(Formulas!D3,2)="3-",LEFT(Formulas!E3,2)="3-",LEFT(Formulas!F3,2)="3-")</xm:f>
            <x14:dxf>
              <fill>
                <patternFill patternType="solid">
                  <fgColor auto="1"/>
                  <bgColor theme="9" tint="0.59996337778862885"/>
                </patternFill>
              </fill>
            </x14:dxf>
          </x14:cfRule>
          <xm:sqref>C6:AY201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F290561-1810-4381-9410-C074FDD31066}">
          <x14:formula1>
            <xm:f>Configura!$D$9:$D$11</xm:f>
          </x14:formula1>
          <xm:sqref>O2</xm:sqref>
        </x14:dataValidation>
        <x14:dataValidation type="list" allowBlank="1" showInputMessage="1" showErrorMessage="1" xr:uid="{3B306508-BCCC-4F0A-A7D6-C12D9D2B5C71}">
          <x14:formula1>
            <xm:f>Configura!$F$9:$F$23</xm:f>
          </x14:formula1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00B0F0"/>
    <pageSetUpPr fitToPage="1"/>
  </sheetPr>
  <dimension ref="A1:M101"/>
  <sheetViews>
    <sheetView showGridLines="0" tabSelected="1" zoomScaleNormal="80" workbookViewId="0">
      <pane ySplit="1" topLeftCell="A7" activePane="bottomLeft" state="frozen"/>
      <selection pane="bottomLeft" activeCell="E16" sqref="E16"/>
    </sheetView>
  </sheetViews>
  <sheetFormatPr baseColWidth="10" defaultColWidth="0" defaultRowHeight="15" zeroHeight="1" x14ac:dyDescent="0.25"/>
  <cols>
    <col min="1" max="1" width="15.42578125" style="3" customWidth="1"/>
    <col min="2" max="2" width="13.42578125" style="3" bestFit="1" customWidth="1"/>
    <col min="3" max="3" width="13.42578125" style="3" customWidth="1"/>
    <col min="4" max="4" width="58.42578125" style="3" bestFit="1" customWidth="1"/>
    <col min="5" max="5" width="32.42578125" style="3" customWidth="1"/>
    <col min="6" max="6" width="12.42578125" style="4" customWidth="1"/>
    <col min="7" max="7" width="14.140625" style="4" bestFit="1" customWidth="1"/>
    <col min="8" max="9" width="12.42578125" style="4" customWidth="1"/>
    <col min="10" max="10" width="13.42578125" style="4" bestFit="1" customWidth="1"/>
    <col min="11" max="11" width="32.42578125" style="3" customWidth="1"/>
    <col min="12" max="12" width="10.85546875" style="3" customWidth="1"/>
    <col min="13" max="13" width="0" style="2" hidden="1" customWidth="1"/>
    <col min="14" max="16384" width="10.85546875" style="2" hidden="1"/>
  </cols>
  <sheetData>
    <row r="1" spans="1:12" x14ac:dyDescent="0.25">
      <c r="A1" s="40" t="str">
        <f>Idiomas!$A$7</f>
        <v>Estados</v>
      </c>
      <c r="B1" s="41" t="str">
        <f>Idiomas!$A$8</f>
        <v>Criticidad</v>
      </c>
      <c r="C1" s="41" t="s">
        <v>247</v>
      </c>
      <c r="D1" s="41" t="str">
        <f>Idiomas!$A$12</f>
        <v>Tarea</v>
      </c>
      <c r="E1" s="41" t="str">
        <f>Idiomas!$A$13</f>
        <v>Descripción</v>
      </c>
      <c r="F1" s="41" t="str">
        <f>Idiomas!$A$14</f>
        <v>Inicio</v>
      </c>
      <c r="G1" s="41" t="str">
        <f>Idiomas!$A$15</f>
        <v>Previsto</v>
      </c>
      <c r="H1" s="41" t="str">
        <f>Idiomas!$A$16</f>
        <v>Final</v>
      </c>
      <c r="I1" s="41" t="str">
        <f>Idiomas!$A$17</f>
        <v>Duración</v>
      </c>
      <c r="J1" s="41" t="str">
        <f>Idiomas!$A$18</f>
        <v>Retraso</v>
      </c>
      <c r="K1" s="41" t="str">
        <f>Idiomas!$A$19</f>
        <v>Asignado</v>
      </c>
      <c r="L1" s="42" t="s">
        <v>1</v>
      </c>
    </row>
    <row r="2" spans="1:12" ht="45" x14ac:dyDescent="0.25">
      <c r="A2" s="91" t="s">
        <v>7</v>
      </c>
      <c r="B2" s="92" t="s">
        <v>3</v>
      </c>
      <c r="C2" s="95">
        <v>1</v>
      </c>
      <c r="D2" s="102" t="s">
        <v>219</v>
      </c>
      <c r="E2" s="102" t="s">
        <v>224</v>
      </c>
      <c r="F2" s="103">
        <v>45775</v>
      </c>
      <c r="G2" s="93">
        <v>45777</v>
      </c>
      <c r="H2" s="93">
        <v>45777</v>
      </c>
      <c r="I2" s="43" t="str">
        <f>IF(Datos!$H2&gt;0,Datos!$H2-Datos!$F2+1 &amp; " " &amp; Idiomas!$A$29,"")</f>
        <v>3 días</v>
      </c>
      <c r="J2" s="43" t="str" cm="1">
        <f t="array" aca="1" ref="J2" ca="1">IF(OR(Datos!$H2="",Datos!$A2=""),"",IF(AND(Datos!$H2=0,Datos!$G2&gt;0,Fecha_Hoy&gt;Datos!$G2),Fecha_Hoy-Datos!$G2,IF(Datos!$G2&lt;Datos!$H2,Datos!$H2-Datos!$G2,0))&amp; " " &amp; Idiomas!$A$29)</f>
        <v>0 días</v>
      </c>
      <c r="K2" s="92" t="s">
        <v>216</v>
      </c>
      <c r="L2" s="44" t="str" cm="1">
        <f t="array" aca="1" ref="L2" ca="1">HYPERLINK("["&amp;Archivo_Nombre&amp;"]KANBAN!"&amp;IF(Tareas!$P2="","B2",Tareas!$P2),IF(Datos!$A2="","",Idiomas!$A$12&amp;" "&amp;ROW()-1))</f>
        <v>Tarea 1</v>
      </c>
    </row>
    <row r="3" spans="1:12" ht="45" x14ac:dyDescent="0.25">
      <c r="A3" s="94" t="s">
        <v>5</v>
      </c>
      <c r="B3" s="95" t="s">
        <v>3</v>
      </c>
      <c r="C3" s="95">
        <v>2</v>
      </c>
      <c r="D3" s="95" t="s">
        <v>220</v>
      </c>
      <c r="E3" s="104" t="s">
        <v>225</v>
      </c>
      <c r="F3" s="105">
        <v>45775</v>
      </c>
      <c r="G3" s="96">
        <v>45775</v>
      </c>
      <c r="H3" s="96">
        <v>45775</v>
      </c>
      <c r="I3" s="45" t="str">
        <f>IF(Datos!$H3&gt;0,Datos!$H3-Datos!$F3+1 &amp; " " &amp; Idiomas!$A$29,"")</f>
        <v>1 días</v>
      </c>
      <c r="J3" s="45" t="str" cm="1">
        <f t="array" aca="1" ref="J3" ca="1">IF(OR(Datos!$H3="",Datos!$A3=""),"",IF(AND(Datos!$H3=0,Datos!$G3&gt;0,Fecha_Hoy&gt;Datos!$G3),Fecha_Hoy-Datos!$G3,IF(Datos!$G3&lt;Datos!$H3,Datos!$H3-Datos!$G3,0))&amp; " " &amp; Idiomas!$A$29)</f>
        <v>0 días</v>
      </c>
      <c r="K3" s="95" t="s">
        <v>228</v>
      </c>
      <c r="L3" s="46" t="str" cm="1">
        <f t="array" aca="1" ref="L3" ca="1">HYPERLINK("["&amp;Archivo_Nombre&amp;"]KANBAN!"&amp;IF(Tareas!$P3="","B2",Tareas!$P3),IF(Datos!$A3="","",Idiomas!$A$12&amp;" "&amp;ROW()-1))</f>
        <v>Tarea 2</v>
      </c>
    </row>
    <row r="4" spans="1:12" x14ac:dyDescent="0.25">
      <c r="A4" s="94" t="s">
        <v>5</v>
      </c>
      <c r="B4" s="95" t="s">
        <v>8</v>
      </c>
      <c r="C4" s="95">
        <v>3</v>
      </c>
      <c r="D4" s="95" t="s">
        <v>244</v>
      </c>
      <c r="E4" s="95" t="s">
        <v>244</v>
      </c>
      <c r="F4" s="96">
        <v>45815</v>
      </c>
      <c r="G4" s="96">
        <v>45816</v>
      </c>
      <c r="H4" s="96">
        <v>45816</v>
      </c>
      <c r="I4" s="45" t="str">
        <f>IF(Datos!$H25&gt;0,Datos!$H25-Datos!$F25+1 &amp; " " &amp; Idiomas!$A$29,"")</f>
        <v>2 días</v>
      </c>
      <c r="J4" s="45" t="str" cm="1">
        <f t="array" aca="1" ref="J4" ca="1">IF(OR(Datos!$H25="",Datos!$A25=""),"",IF(AND(Datos!$H25=0,Datos!$G25&gt;0,Fecha_Hoy&gt;Datos!$G25),Fecha_Hoy-Datos!$G25,IF(Datos!$G25&lt;Datos!$H25,Datos!$H25-Datos!$G25,0))&amp; " " &amp; Idiomas!$A$29)</f>
        <v>0 días</v>
      </c>
      <c r="K4" s="95" t="s">
        <v>218</v>
      </c>
      <c r="L4" s="46" t="str" cm="1">
        <f t="array" aca="1" ref="L4" ca="1">HYPERLINK("["&amp;Archivo_Nombre&amp;"]KANBAN!"&amp;IF(Tareas!$P25="","B2",Tareas!$P25),IF(Datos!$A25="","",Idiomas!$A$12&amp;" "&amp;ROW()-1))</f>
        <v>Tarea 3</v>
      </c>
    </row>
    <row r="5" spans="1:12" x14ac:dyDescent="0.25">
      <c r="A5" s="91" t="s">
        <v>5</v>
      </c>
      <c r="B5" s="92" t="s">
        <v>3</v>
      </c>
      <c r="C5" s="95">
        <v>4</v>
      </c>
      <c r="D5" s="92" t="s">
        <v>221</v>
      </c>
      <c r="E5" s="92" t="s">
        <v>262</v>
      </c>
      <c r="F5" s="103">
        <v>45776</v>
      </c>
      <c r="G5" s="93">
        <v>45780</v>
      </c>
      <c r="H5" s="93">
        <v>45779</v>
      </c>
      <c r="I5" s="43" t="str">
        <f>IF(Datos!$H4&gt;0,Datos!$H4-Datos!$F4+1 &amp; " " &amp; Idiomas!$A$29,"")</f>
        <v>2 días</v>
      </c>
      <c r="J5" s="43" t="str" cm="1">
        <f t="array" aca="1" ref="J5" ca="1">IF(OR(Datos!$H4="",Datos!$A4=""),"",IF(AND(Datos!$H4=0,Datos!$G4&gt;0,Fecha_Hoy&gt;Datos!$G4),Fecha_Hoy-Datos!$G4,IF(Datos!$G4&lt;Datos!$H4,Datos!$H4-Datos!$G4,0))&amp; " " &amp; Idiomas!$A$29)</f>
        <v>0 días</v>
      </c>
      <c r="K5" s="92" t="s">
        <v>216</v>
      </c>
      <c r="L5" s="44" t="str" cm="1">
        <f t="array" aca="1" ref="L5" ca="1">HYPERLINK("["&amp;Archivo_Nombre&amp;"]KANBAN!"&amp;IF(Tareas!$P4="","B2",Tareas!$P4),IF(Datos!$A4="","",Idiomas!$A$12&amp;" "&amp;ROW()-1))</f>
        <v>Tarea 4</v>
      </c>
    </row>
    <row r="6" spans="1:12" ht="45" x14ac:dyDescent="0.25">
      <c r="A6" s="91" t="s">
        <v>5</v>
      </c>
      <c r="B6" s="92" t="s">
        <v>8</v>
      </c>
      <c r="C6" s="95">
        <v>5</v>
      </c>
      <c r="D6" s="102" t="s">
        <v>226</v>
      </c>
      <c r="E6" s="102" t="s">
        <v>227</v>
      </c>
      <c r="F6" s="93">
        <v>45784</v>
      </c>
      <c r="G6" s="93">
        <v>45786</v>
      </c>
      <c r="H6" s="93">
        <v>45786</v>
      </c>
      <c r="I6" s="43" t="str">
        <f>IF(Datos!$H6&gt;0,Datos!$H6-Datos!$F6+1 &amp; " " &amp; Idiomas!$A$29,"")</f>
        <v>3 días</v>
      </c>
      <c r="J6" s="43" t="str" cm="1">
        <f t="array" aca="1" ref="J6" ca="1">IF(OR(Datos!$H6="",Datos!$A6=""),"",IF(AND(Datos!$H6=0,Datos!$G6&gt;0,Fecha_Hoy&gt;Datos!$G6),Fecha_Hoy-Datos!$G6,IF(Datos!$G6&lt;Datos!$H6,Datos!$H6-Datos!$G6,0))&amp; " " &amp; Idiomas!$A$29)</f>
        <v>0 días</v>
      </c>
      <c r="K6" s="92" t="s">
        <v>218</v>
      </c>
      <c r="L6" s="44" t="str" cm="1">
        <f t="array" aca="1" ref="L6" ca="1">HYPERLINK("["&amp;Archivo_Nombre&amp;"]KANBAN!"&amp;IF(Tareas!$P6="","B2",Tareas!$P6),IF(Datos!$A6="","",Idiomas!$A$12&amp;" "&amp;ROW()-1))</f>
        <v>Tarea 5</v>
      </c>
    </row>
    <row r="7" spans="1:12" x14ac:dyDescent="0.25">
      <c r="A7" s="91" t="s">
        <v>5</v>
      </c>
      <c r="B7" s="92" t="s">
        <v>3</v>
      </c>
      <c r="C7" s="95">
        <v>6</v>
      </c>
      <c r="D7" s="102" t="s">
        <v>236</v>
      </c>
      <c r="E7" s="102" t="s">
        <v>236</v>
      </c>
      <c r="F7" s="93">
        <v>45793</v>
      </c>
      <c r="G7" s="93">
        <v>45794</v>
      </c>
      <c r="H7" s="93">
        <v>45794</v>
      </c>
      <c r="I7" s="43" t="str">
        <f>IF(Datos!$H14&gt;0,Datos!$H14-Datos!$F14+1 &amp; " " &amp; Idiomas!$A$29,"")</f>
        <v>2 días</v>
      </c>
      <c r="J7" s="43" t="str" cm="1">
        <f t="array" aca="1" ref="J7" ca="1">IF(OR(Datos!$H14="",Datos!$A14=""),"",IF(AND(Datos!$H14=0,Datos!$G14&gt;0,Fecha_Hoy&gt;Datos!$G14),Fecha_Hoy-Datos!$G14,IF(Datos!$G14&lt;Datos!$H14,Datos!$H14-Datos!$G14,0))&amp; " " &amp; Idiomas!$A$29)</f>
        <v>0 días</v>
      </c>
      <c r="K7" s="92" t="s">
        <v>228</v>
      </c>
      <c r="L7" s="44" t="str" cm="1">
        <f t="array" aca="1" ref="L7" ca="1">HYPERLINK("["&amp;Archivo_Nombre&amp;"]KANBAN!"&amp;IF(Tareas!$P14="","B2",Tareas!$P14),IF(Datos!$A14="","",Idiomas!$A$12&amp;" "&amp;ROW()-1))</f>
        <v>Tarea 6</v>
      </c>
    </row>
    <row r="8" spans="1:12" x14ac:dyDescent="0.25">
      <c r="A8" s="94" t="s">
        <v>5</v>
      </c>
      <c r="B8" s="95" t="s">
        <v>8</v>
      </c>
      <c r="C8" s="95">
        <v>7</v>
      </c>
      <c r="D8" s="104" t="s">
        <v>222</v>
      </c>
      <c r="E8" s="95" t="s">
        <v>223</v>
      </c>
      <c r="F8" s="96">
        <v>45783</v>
      </c>
      <c r="G8" s="96">
        <v>45784</v>
      </c>
      <c r="H8" s="96">
        <v>45784</v>
      </c>
      <c r="I8" s="45" t="str">
        <f>IF(Datos!$H5&gt;0,Datos!$H5-Datos!$F5+1 &amp; " " &amp; Idiomas!$A$29,"")</f>
        <v>4 días</v>
      </c>
      <c r="J8" s="45" t="str" cm="1">
        <f t="array" aca="1" ref="J8" ca="1">IF(OR(Datos!$H5="",Datos!$A5=""),"",IF(AND(Datos!$H5=0,Datos!$G5&gt;0,Fecha_Hoy&gt;Datos!$G5),Fecha_Hoy-Datos!$G5,IF(Datos!$G5&lt;Datos!$H5,Datos!$H5-Datos!$G5,0))&amp; " " &amp; Idiomas!$A$29)</f>
        <v>0 días</v>
      </c>
      <c r="K8" s="95" t="s">
        <v>216</v>
      </c>
      <c r="L8" s="46" t="str" cm="1">
        <f t="array" aca="1" ref="L8" ca="1">HYPERLINK("["&amp;Archivo_Nombre&amp;"]KANBAN!"&amp;IF(Tareas!$P5="","B2",Tareas!$P5),IF(Datos!$A5="","",Idiomas!$A$12&amp;" "&amp;ROW()-1))</f>
        <v>Tarea 7</v>
      </c>
    </row>
    <row r="9" spans="1:12" x14ac:dyDescent="0.25">
      <c r="A9" s="94" t="s">
        <v>5</v>
      </c>
      <c r="B9" s="95" t="s">
        <v>8</v>
      </c>
      <c r="C9" s="95">
        <v>8</v>
      </c>
      <c r="D9" s="95" t="s">
        <v>240</v>
      </c>
      <c r="E9" s="104" t="s">
        <v>240</v>
      </c>
      <c r="F9" s="96">
        <v>45796</v>
      </c>
      <c r="G9" s="96">
        <v>45798</v>
      </c>
      <c r="H9" s="96">
        <v>45798</v>
      </c>
      <c r="I9" s="45" t="str">
        <f>IF(Datos!$H17&gt;0,Datos!$H17-Datos!$F17+1 &amp; " " &amp; Idiomas!$A$29,"")</f>
        <v>2 días</v>
      </c>
      <c r="J9" s="45" t="str" cm="1">
        <f t="array" aca="1" ref="J9" ca="1">IF(OR(Datos!$H17="",Datos!$A17=""),"",IF(AND(Datos!$H17=0,Datos!$G17&gt;0,Fecha_Hoy&gt;Datos!$G17),Fecha_Hoy-Datos!$G17,IF(Datos!$G17&lt;Datos!$H17,Datos!$H17-Datos!$G17,0))&amp; " " &amp; Idiomas!$A$29)</f>
        <v>0 días</v>
      </c>
      <c r="K9" s="95" t="s">
        <v>228</v>
      </c>
      <c r="L9" s="46" t="str" cm="1">
        <f t="array" aca="1" ref="L9" ca="1">HYPERLINK("["&amp;Archivo_Nombre&amp;"]KANBAN!"&amp;IF(Tareas!$P17="","B2",Tareas!$P17),IF(Datos!$A17="","",Idiomas!$A$12&amp;" "&amp;ROW()-1))</f>
        <v>Tarea 8</v>
      </c>
    </row>
    <row r="10" spans="1:12" ht="30" x14ac:dyDescent="0.25">
      <c r="A10" s="91" t="s">
        <v>5</v>
      </c>
      <c r="B10" s="92" t="s">
        <v>3</v>
      </c>
      <c r="C10" s="95">
        <v>9</v>
      </c>
      <c r="D10" s="92" t="s">
        <v>239</v>
      </c>
      <c r="E10" s="102" t="s">
        <v>239</v>
      </c>
      <c r="F10" s="93">
        <v>45795</v>
      </c>
      <c r="G10" s="93">
        <v>45796</v>
      </c>
      <c r="H10" s="93">
        <v>45796</v>
      </c>
      <c r="I10" s="43" t="str">
        <f>IF(Datos!$H16&gt;0,Datos!$H16-Datos!$F16+1 &amp; " " &amp; Idiomas!$A$29,"")</f>
        <v>1 días</v>
      </c>
      <c r="J10" s="43" t="str" cm="1">
        <f t="array" aca="1" ref="J10" ca="1">IF(OR(Datos!$H16="",Datos!$A16=""),"",IF(AND(Datos!$H16=0,Datos!$G16&gt;0,Fecha_Hoy&gt;Datos!$G16),Fecha_Hoy-Datos!$G16,IF(Datos!$G16&lt;Datos!$H16,Datos!$H16-Datos!$G16,0))&amp; " " &amp; Idiomas!$A$29)</f>
        <v>0 días</v>
      </c>
      <c r="K10" s="92" t="s">
        <v>218</v>
      </c>
      <c r="L10" s="44" t="str" cm="1">
        <f t="array" aca="1" ref="L10" ca="1">HYPERLINK("["&amp;Archivo_Nombre&amp;"]KANBAN!"&amp;IF(Tareas!$P16="","B2",Tareas!$P16),IF(Datos!$A16="","",Idiomas!$A$12&amp;" "&amp;ROW()-1))</f>
        <v>Tarea 9</v>
      </c>
    </row>
    <row r="11" spans="1:12" customFormat="1" x14ac:dyDescent="0.25">
      <c r="A11" s="94" t="s">
        <v>7</v>
      </c>
      <c r="B11" s="95" t="s">
        <v>3</v>
      </c>
      <c r="C11" s="95">
        <v>10</v>
      </c>
      <c r="D11" s="95" t="s">
        <v>229</v>
      </c>
      <c r="E11" s="95" t="s">
        <v>230</v>
      </c>
      <c r="F11" s="96">
        <v>45785</v>
      </c>
      <c r="G11" s="96">
        <v>45786</v>
      </c>
      <c r="H11" s="96">
        <v>45786</v>
      </c>
      <c r="I11" s="45" t="str">
        <f>IF(Datos!$H7&gt;0,Datos!$H7-Datos!$F7+1 &amp; " " &amp; Idiomas!$A$29,"")</f>
        <v>2 días</v>
      </c>
      <c r="J11" s="45" t="str" cm="1">
        <f t="array" aca="1" ref="J11" ca="1">IF(OR(Datos!$H7="",Datos!$A7=""),"",IF(AND(Datos!$H7=0,Datos!$G7&gt;0,Fecha_Hoy&gt;Datos!$G7),Fecha_Hoy-Datos!$G7,IF(Datos!$G7&lt;Datos!$H7,Datos!$H7-Datos!$G7,0))&amp; " " &amp; Idiomas!$A$29)</f>
        <v>0 días</v>
      </c>
      <c r="K11" s="95" t="s">
        <v>217</v>
      </c>
      <c r="L11" s="46" t="str" cm="1">
        <f t="array" aca="1" ref="L11" ca="1">HYPERLINK("["&amp;Archivo_Nombre&amp;"]KANBAN!"&amp;IF(Tareas!$P7="","B2",Tareas!$P7),IF(Datos!$A7="","",Idiomas!$A$12&amp;" "&amp;ROW()-1))</f>
        <v>Tarea 10</v>
      </c>
    </row>
    <row r="12" spans="1:12" customFormat="1" x14ac:dyDescent="0.25">
      <c r="A12" s="91" t="s">
        <v>5</v>
      </c>
      <c r="B12" s="92" t="s">
        <v>3</v>
      </c>
      <c r="C12" s="95">
        <v>11</v>
      </c>
      <c r="D12" s="92" t="s">
        <v>231</v>
      </c>
      <c r="E12" s="102" t="s">
        <v>231</v>
      </c>
      <c r="F12" s="93">
        <v>45787</v>
      </c>
      <c r="G12" s="93">
        <v>45788</v>
      </c>
      <c r="H12" s="93">
        <v>45788</v>
      </c>
      <c r="I12" s="43" t="str">
        <f>IF(Datos!$H8&gt;0,Datos!$H8-Datos!$F8+1 &amp; " " &amp; Idiomas!$A$29,"")</f>
        <v>2 días</v>
      </c>
      <c r="J12" s="43" t="str" cm="1">
        <f t="array" aca="1" ref="J12" ca="1">IF(OR(Datos!$H8="",Datos!$A8=""),"",IF(AND(Datos!$H8=0,Datos!$G8&gt;0,Fecha_Hoy&gt;Datos!$G8),Fecha_Hoy-Datos!$G8,IF(Datos!$G8&lt;Datos!$H8,Datos!$H8-Datos!$G8,0))&amp; " " &amp; Idiomas!$A$29)</f>
        <v>0 días</v>
      </c>
      <c r="K12" s="92" t="s">
        <v>216</v>
      </c>
      <c r="L12" s="44" t="str" cm="1">
        <f t="array" aca="1" ref="L12" ca="1">HYPERLINK("["&amp;Archivo_Nombre&amp;"]KANBAN!"&amp;IF(Tareas!$P8="","B2",Tareas!$P8),IF(Datos!$A8="","",Idiomas!$A$12&amp;" "&amp;ROW()-1))</f>
        <v>Tarea 11</v>
      </c>
    </row>
    <row r="13" spans="1:12" customFormat="1" x14ac:dyDescent="0.25">
      <c r="A13" s="94" t="s">
        <v>5</v>
      </c>
      <c r="B13" s="95" t="s">
        <v>6</v>
      </c>
      <c r="C13" s="95">
        <v>12</v>
      </c>
      <c r="D13" s="95" t="s">
        <v>233</v>
      </c>
      <c r="E13" s="95" t="s">
        <v>233</v>
      </c>
      <c r="F13" s="97">
        <v>45790</v>
      </c>
      <c r="G13" s="96">
        <v>45790</v>
      </c>
      <c r="H13" s="96">
        <v>45790</v>
      </c>
      <c r="I13" s="45" t="str">
        <f>IF(Datos!$H11&gt;0,Datos!$H11-Datos!$F11+1 &amp; " " &amp; Idiomas!$A$29,"")</f>
        <v>2 días</v>
      </c>
      <c r="J13" s="45" t="str" cm="1">
        <f t="array" aca="1" ref="J13" ca="1">IF(OR(Datos!$H11="",Datos!$A11=""),"",IF(AND(Datos!$H11=0,Datos!$G11&gt;0,Fecha_Hoy&gt;Datos!$G11),Fecha_Hoy-Datos!$G11,IF(Datos!$G11&lt;Datos!$H11,Datos!$H11-Datos!$G11,0))&amp; " " &amp; Idiomas!$A$29)</f>
        <v>0 días</v>
      </c>
      <c r="K13" s="95" t="s">
        <v>217</v>
      </c>
      <c r="L13" s="46" t="str" cm="1">
        <f t="array" aca="1" ref="L13" ca="1">HYPERLINK("["&amp;Archivo_Nombre&amp;"]KANBAN!"&amp;IF(Tareas!$P11="","B2",Tareas!$P11),IF(Datos!$A11="","",Idiomas!$A$12&amp;" "&amp;ROW()-1))</f>
        <v>Tarea 12</v>
      </c>
    </row>
    <row r="14" spans="1:12" customFormat="1" x14ac:dyDescent="0.25">
      <c r="A14" s="94" t="s">
        <v>5</v>
      </c>
      <c r="B14" s="95" t="s">
        <v>3</v>
      </c>
      <c r="C14" s="95">
        <v>13</v>
      </c>
      <c r="D14" s="95" t="s">
        <v>237</v>
      </c>
      <c r="E14" s="95" t="s">
        <v>238</v>
      </c>
      <c r="F14" s="96">
        <v>45794</v>
      </c>
      <c r="G14" s="96">
        <v>45795</v>
      </c>
      <c r="H14" s="96">
        <v>45795</v>
      </c>
      <c r="I14" s="45" t="str">
        <f>IF(Datos!$H15&gt;0,Datos!$H15-Datos!$F15+1 &amp; " " &amp; Idiomas!$A$29,"")</f>
        <v>2 días</v>
      </c>
      <c r="J14" s="45" t="str" cm="1">
        <f t="array" aca="1" ref="J14" ca="1">IF(OR(Datos!$H15="",Datos!$A15=""),"",IF(AND(Datos!$H15=0,Datos!$G15&gt;0,Fecha_Hoy&gt;Datos!$G15),Fecha_Hoy-Datos!$G15,IF(Datos!$G15&lt;Datos!$H15,Datos!$H15-Datos!$G15,0))&amp; " " &amp; Idiomas!$A$29)</f>
        <v>0 días</v>
      </c>
      <c r="K14" s="95" t="s">
        <v>216</v>
      </c>
      <c r="L14" s="46" t="str" cm="1">
        <f t="array" aca="1" ref="L14" ca="1">HYPERLINK("["&amp;Archivo_Nombre&amp;"]KANBAN!"&amp;IF(Tareas!$P15="","B2",Tareas!$P15),IF(Datos!$A15="","",Idiomas!$A$12&amp;" "&amp;ROW()-1))</f>
        <v>Tarea 13</v>
      </c>
    </row>
    <row r="15" spans="1:12" customFormat="1" x14ac:dyDescent="0.25">
      <c r="A15" s="91" t="s">
        <v>5</v>
      </c>
      <c r="B15" s="92" t="s">
        <v>8</v>
      </c>
      <c r="C15" s="95">
        <v>14</v>
      </c>
      <c r="D15" s="102" t="s">
        <v>232</v>
      </c>
      <c r="E15" s="92" t="s">
        <v>232</v>
      </c>
      <c r="F15" s="93">
        <v>45788</v>
      </c>
      <c r="G15" s="93">
        <v>45789</v>
      </c>
      <c r="H15" s="93">
        <v>45789</v>
      </c>
      <c r="I15" s="43" t="str">
        <f>IF(Datos!$H10&gt;0,Datos!$H10-Datos!$F10+1 &amp; " " &amp; Idiomas!$A$29,"")</f>
        <v>2 días</v>
      </c>
      <c r="J15" s="43" t="str" cm="1">
        <f t="array" aca="1" ref="J15" ca="1">IF(OR(Datos!$H10="",Datos!$A10=""),"",IF(AND(Datos!$H10=0,Datos!$G10&gt;0,Fecha_Hoy&gt;Datos!$G10),Fecha_Hoy-Datos!$G10,IF(Datos!$G10&lt;Datos!$H10,Datos!$H10-Datos!$G10,0))&amp; " " &amp; Idiomas!$A$29)</f>
        <v>0 días</v>
      </c>
      <c r="K15" s="92" t="s">
        <v>216</v>
      </c>
      <c r="L15" s="44" t="str" cm="1">
        <f t="array" aca="1" ref="L15" ca="1">HYPERLINK("["&amp;Archivo_Nombre&amp;"]KANBAN!"&amp;IF(Tareas!$P10="","B2",Tareas!$P10),IF(Datos!$A10="","",Idiomas!$A$12&amp;" "&amp;ROW()-1))</f>
        <v>Tarea 14</v>
      </c>
    </row>
    <row r="16" spans="1:12" customFormat="1" x14ac:dyDescent="0.25">
      <c r="A16" s="94" t="s">
        <v>5</v>
      </c>
      <c r="B16" s="95" t="s">
        <v>3</v>
      </c>
      <c r="C16" s="95">
        <v>15</v>
      </c>
      <c r="D16" s="95" t="s">
        <v>263</v>
      </c>
      <c r="E16" s="95" t="s">
        <v>264</v>
      </c>
      <c r="F16" s="96">
        <v>45600</v>
      </c>
      <c r="G16" s="96">
        <v>45600</v>
      </c>
      <c r="H16" s="96">
        <v>45600</v>
      </c>
      <c r="I16" s="45" t="str">
        <f>IF(Datos!$H9&gt;0,Datos!$H9-Datos!$F9+1 &amp; " " &amp; Idiomas!$A$29,"")</f>
        <v>3 días</v>
      </c>
      <c r="J16" s="45" t="str" cm="1">
        <f t="array" aca="1" ref="J16" ca="1">IF(OR(Datos!$H9="",Datos!$A9=""),"",IF(AND(Datos!$H9=0,Datos!$G9&gt;0,Fecha_Hoy&gt;Datos!$G9),Fecha_Hoy-Datos!$G9,IF(Datos!$G9&lt;Datos!$H9,Datos!$H9-Datos!$G9,0))&amp; " " &amp; Idiomas!$A$29)</f>
        <v>0 días</v>
      </c>
      <c r="K16" s="95" t="s">
        <v>217</v>
      </c>
      <c r="L16" s="46" t="str" cm="1">
        <f t="array" aca="1" ref="L16" ca="1">HYPERLINK("["&amp;Archivo_Nombre&amp;"]KANBAN!"&amp;IF(Tareas!$P9="","B2",Tareas!$P9),IF(Datos!$A9="","",Idiomas!$A$12&amp;" "&amp;ROW()-1))</f>
        <v>Tarea 15</v>
      </c>
    </row>
    <row r="17" spans="1:12" customFormat="1" ht="60" x14ac:dyDescent="0.25">
      <c r="A17" s="91" t="s">
        <v>5</v>
      </c>
      <c r="B17" s="92" t="s">
        <v>6</v>
      </c>
      <c r="C17" s="95">
        <v>16</v>
      </c>
      <c r="D17" s="102" t="s">
        <v>234</v>
      </c>
      <c r="E17" s="102" t="s">
        <v>234</v>
      </c>
      <c r="F17" s="98">
        <v>45791</v>
      </c>
      <c r="G17" s="93">
        <v>45792</v>
      </c>
      <c r="H17" s="93">
        <v>45792</v>
      </c>
      <c r="I17" s="43" t="str">
        <f>IF(Datos!$H12&gt;0,Datos!$H12-Datos!$F12+1 &amp; " " &amp; Idiomas!$A$29,"")</f>
        <v>2 días</v>
      </c>
      <c r="J17" s="43" t="str" cm="1">
        <f t="array" aca="1" ref="J17" ca="1">IF(OR(Datos!$H12="",Datos!$A12=""),"",IF(AND(Datos!$H12=0,Datos!$G12&gt;0,Fecha_Hoy&gt;Datos!$G12),Fecha_Hoy-Datos!$G12,IF(Datos!$G12&lt;Datos!$H12,Datos!$H12-Datos!$G12,0))&amp; " " &amp; Idiomas!$A$29)</f>
        <v>0 días</v>
      </c>
      <c r="K17" s="92" t="s">
        <v>228</v>
      </c>
      <c r="L17" s="44" t="str" cm="1">
        <f t="array" aca="1" ref="L17" ca="1">HYPERLINK("["&amp;Archivo_Nombre&amp;"]KANBAN!"&amp;IF(Tareas!$P12="","B2",Tareas!$P12),IF(Datos!$A12="","",Idiomas!$A$12&amp;" "&amp;ROW()-1))</f>
        <v>Tarea 16</v>
      </c>
    </row>
    <row r="18" spans="1:12" customFormat="1" x14ac:dyDescent="0.25">
      <c r="A18" s="94" t="s">
        <v>5</v>
      </c>
      <c r="B18" s="95" t="s">
        <v>6</v>
      </c>
      <c r="C18" s="95">
        <v>17</v>
      </c>
      <c r="D18" s="104" t="s">
        <v>235</v>
      </c>
      <c r="E18" s="104" t="s">
        <v>235</v>
      </c>
      <c r="F18" s="96">
        <v>45792</v>
      </c>
      <c r="G18" s="96">
        <v>45793</v>
      </c>
      <c r="H18" s="96">
        <v>45793</v>
      </c>
      <c r="I18" s="45" t="str">
        <f>IF(Datos!$H13&gt;0,Datos!$H13-Datos!$F13+1 &amp; " " &amp; Idiomas!$A$29,"")</f>
        <v>1 días</v>
      </c>
      <c r="J18" s="45" t="str" cm="1">
        <f t="array" aca="1" ref="J18" ca="1">IF(OR(Datos!$H13="",Datos!$A13=""),"",IF(AND(Datos!$H13=0,Datos!$G13&gt;0,Fecha_Hoy&gt;Datos!$G13),Fecha_Hoy-Datos!$G13,IF(Datos!$G13&lt;Datos!$H13,Datos!$H13-Datos!$G13,0))&amp; " " &amp; Idiomas!$A$29)</f>
        <v>0 días</v>
      </c>
      <c r="K18" s="95" t="s">
        <v>228</v>
      </c>
      <c r="L18" s="46" t="str" cm="1">
        <f t="array" aca="1" ref="L18" ca="1">HYPERLINK("["&amp;Archivo_Nombre&amp;"]KANBAN!"&amp;IF(Tareas!$P13="","B2",Tareas!$P13),IF(Datos!$A13="","",Idiomas!$A$12&amp;" "&amp;ROW()-1))</f>
        <v>Tarea 17</v>
      </c>
    </row>
    <row r="19" spans="1:12" customFormat="1" x14ac:dyDescent="0.25">
      <c r="A19" s="91" t="s">
        <v>5</v>
      </c>
      <c r="B19" s="92" t="s">
        <v>3</v>
      </c>
      <c r="C19" s="95">
        <v>18</v>
      </c>
      <c r="D19" s="92" t="s">
        <v>241</v>
      </c>
      <c r="E19" s="92" t="s">
        <v>241</v>
      </c>
      <c r="F19" s="93">
        <v>45798</v>
      </c>
      <c r="G19" s="93">
        <v>45800</v>
      </c>
      <c r="H19" s="93">
        <v>45800</v>
      </c>
      <c r="I19" s="43" t="str">
        <f>IF(Datos!$H18&gt;0,Datos!$H18-Datos!$F18+1 &amp; " " &amp; Idiomas!$A$29,"")</f>
        <v>2 días</v>
      </c>
      <c r="J19" s="43" t="str" cm="1">
        <f t="array" aca="1" ref="J19" ca="1">IF(OR(Datos!$H18="",Datos!$A18=""),"",IF(AND(Datos!$H18=0,Datos!$G18&gt;0,Fecha_Hoy&gt;Datos!$G18),Fecha_Hoy-Datos!$G18,IF(Datos!$G18&lt;Datos!$H18,Datos!$H18-Datos!$G18,0))&amp; " " &amp; Idiomas!$A$29)</f>
        <v>0 días</v>
      </c>
      <c r="K19" s="92" t="s">
        <v>217</v>
      </c>
      <c r="L19" s="44" t="str" cm="1">
        <f t="array" aca="1" ref="L19" ca="1">HYPERLINK("["&amp;Archivo_Nombre&amp;"]KANBAN!"&amp;IF(Tareas!$P18="","B2",Tareas!$P18),IF(Datos!$A18="","",Idiomas!$A$12&amp;" "&amp;ROW()-1))</f>
        <v>Tarea 18</v>
      </c>
    </row>
    <row r="20" spans="1:12" customFormat="1" x14ac:dyDescent="0.25">
      <c r="A20" s="94" t="s">
        <v>5</v>
      </c>
      <c r="B20" s="95" t="s">
        <v>3</v>
      </c>
      <c r="C20" s="95">
        <v>19</v>
      </c>
      <c r="D20" s="95" t="s">
        <v>248</v>
      </c>
      <c r="E20" s="95" t="s">
        <v>248</v>
      </c>
      <c r="F20" s="96">
        <v>45800</v>
      </c>
      <c r="G20" s="96">
        <v>45803</v>
      </c>
      <c r="H20" s="96">
        <v>45803</v>
      </c>
      <c r="I20" s="45" t="str">
        <f>IF(Datos!$H19&gt;0,Datos!$H19-Datos!$F19+1 &amp; " " &amp; Idiomas!$A$29,"")</f>
        <v>3 días</v>
      </c>
      <c r="J20" s="45" t="str" cm="1">
        <f t="array" aca="1" ref="J20" ca="1">IF(OR(Datos!$H19="",Datos!$A19=""),"",IF(AND(Datos!$H19=0,Datos!$G19&gt;0,Fecha_Hoy&gt;Datos!$G19),Fecha_Hoy-Datos!$G19,IF(Datos!$G19&lt;Datos!$H19,Datos!$H19-Datos!$G19,0))&amp; " " &amp; Idiomas!$A$29)</f>
        <v>0 días</v>
      </c>
      <c r="K20" s="95" t="s">
        <v>217</v>
      </c>
      <c r="L20" s="46" t="str" cm="1">
        <f t="array" aca="1" ref="L20" ca="1">HYPERLINK("["&amp;Archivo_Nombre&amp;"]KANBAN!"&amp;IF(Tareas!$P19="","B2",Tareas!$P19),IF(Datos!$A19="","",Idiomas!$A$12&amp;" "&amp;ROW()-1))</f>
        <v>Tarea 19</v>
      </c>
    </row>
    <row r="21" spans="1:12" customFormat="1" x14ac:dyDescent="0.25">
      <c r="A21" s="91" t="s">
        <v>5</v>
      </c>
      <c r="B21" s="92" t="s">
        <v>3</v>
      </c>
      <c r="C21" s="95">
        <v>20</v>
      </c>
      <c r="D21" s="92" t="s">
        <v>249</v>
      </c>
      <c r="E21" s="92" t="s">
        <v>249</v>
      </c>
      <c r="F21" s="93">
        <v>45806</v>
      </c>
      <c r="G21" s="93">
        <v>45808</v>
      </c>
      <c r="H21" s="93">
        <v>45808</v>
      </c>
      <c r="I21" s="43" t="str">
        <f>IF(Datos!$H20&gt;0,Datos!$H20-Datos!$F20+1 &amp; " " &amp; Idiomas!$A$29,"")</f>
        <v>4 días</v>
      </c>
      <c r="J21" s="43" t="str" cm="1">
        <f t="array" aca="1" ref="J21" ca="1">IF(OR(Datos!$H20="",Datos!$A20=""),"",IF(AND(Datos!$H20=0,Datos!$G20&gt;0,Fecha_Hoy&gt;Datos!$G20),Fecha_Hoy-Datos!$G20,IF(Datos!$G20&lt;Datos!$H20,Datos!$H20-Datos!$G20,0))&amp; " " &amp; Idiomas!$A$29)</f>
        <v>0 días</v>
      </c>
      <c r="K21" s="92" t="s">
        <v>217</v>
      </c>
      <c r="L21" s="44" t="str" cm="1">
        <f t="array" aca="1" ref="L21" ca="1">HYPERLINK("["&amp;Archivo_Nombre&amp;"]KANBAN!"&amp;IF(Tareas!$P20="","B2",Tareas!$P20),IF(Datos!$A20="","",Idiomas!$A$12&amp;" "&amp;ROW()-1))</f>
        <v>Tarea 20</v>
      </c>
    </row>
    <row r="22" spans="1:12" customFormat="1" ht="30" x14ac:dyDescent="0.25">
      <c r="A22" s="94" t="s">
        <v>5</v>
      </c>
      <c r="B22" s="95" t="s">
        <v>3</v>
      </c>
      <c r="C22" s="95">
        <v>21</v>
      </c>
      <c r="D22" s="104" t="s">
        <v>250</v>
      </c>
      <c r="E22" s="104" t="s">
        <v>242</v>
      </c>
      <c r="F22" s="96">
        <v>45809</v>
      </c>
      <c r="G22" s="96">
        <v>45811</v>
      </c>
      <c r="H22" s="96">
        <v>45811</v>
      </c>
      <c r="I22" s="45" t="str">
        <f>IF(Datos!$H21&gt;0,Datos!$H21-Datos!$F21+1 &amp; " " &amp; Idiomas!$A$29,"")</f>
        <v>3 días</v>
      </c>
      <c r="J22" s="45" t="str" cm="1">
        <f t="array" aca="1" ref="J22" ca="1">IF(OR(Datos!$H21="",Datos!$A21=""),"",IF(AND(Datos!$H21=0,Datos!$G21&gt;0,Fecha_Hoy&gt;Datos!$G21),Fecha_Hoy-Datos!$G21,IF(Datos!$G21&lt;Datos!$H21,Datos!$H21-Datos!$G21,0))&amp; " " &amp; Idiomas!$A$29)</f>
        <v>0 días</v>
      </c>
      <c r="K22" s="95" t="s">
        <v>216</v>
      </c>
      <c r="L22" s="46" t="str" cm="1">
        <f t="array" aca="1" ref="L22" ca="1">HYPERLINK("["&amp;Archivo_Nombre&amp;"]KANBAN!"&amp;IF(Tareas!$P21="","B2",Tareas!$P21),IF(Datos!$A21="","",Idiomas!$A$12&amp;" "&amp;ROW()-1))</f>
        <v>Tarea 21</v>
      </c>
    </row>
    <row r="23" spans="1:12" customFormat="1" x14ac:dyDescent="0.25">
      <c r="A23" s="91" t="s">
        <v>5</v>
      </c>
      <c r="B23" s="92" t="s">
        <v>3</v>
      </c>
      <c r="C23" s="95">
        <v>22</v>
      </c>
      <c r="D23" s="92" t="s">
        <v>243</v>
      </c>
      <c r="E23" s="92" t="s">
        <v>243</v>
      </c>
      <c r="F23" s="93">
        <v>45812</v>
      </c>
      <c r="G23" s="93">
        <v>45813</v>
      </c>
      <c r="H23" s="93">
        <v>45813</v>
      </c>
      <c r="I23" s="43" t="str">
        <f>IF(Datos!$H22&gt;0,Datos!$H22-Datos!$F22+1 &amp; " " &amp; Idiomas!$A$29,"")</f>
        <v>3 días</v>
      </c>
      <c r="J23" s="43" t="str" cm="1">
        <f t="array" aca="1" ref="J23" ca="1">IF(OR(Datos!$H22="",Datos!$A22=""),"",IF(AND(Datos!$H22=0,Datos!$G22&gt;0,Fecha_Hoy&gt;Datos!$G22),Fecha_Hoy-Datos!$G22,IF(Datos!$G22&lt;Datos!$H22,Datos!$H22-Datos!$G22,0))&amp; " " &amp; Idiomas!$A$29)</f>
        <v>0 días</v>
      </c>
      <c r="K23" s="92" t="s">
        <v>228</v>
      </c>
      <c r="L23" s="44" t="str" cm="1">
        <f t="array" aca="1" ref="L23" ca="1">HYPERLINK("["&amp;Archivo_Nombre&amp;"]KANBAN!"&amp;IF(Tareas!$P22="","B2",Tareas!$P22),IF(Datos!$A22="","",Idiomas!$A$12&amp;" "&amp;ROW()-1))</f>
        <v>Tarea 22</v>
      </c>
    </row>
    <row r="24" spans="1:12" customFormat="1" x14ac:dyDescent="0.25">
      <c r="A24" s="94" t="s">
        <v>5</v>
      </c>
      <c r="B24" s="95" t="s">
        <v>8</v>
      </c>
      <c r="C24" s="95">
        <v>23</v>
      </c>
      <c r="D24" s="95" t="s">
        <v>251</v>
      </c>
      <c r="E24" s="95" t="s">
        <v>251</v>
      </c>
      <c r="F24" s="96">
        <v>45813</v>
      </c>
      <c r="G24" s="96">
        <v>45814</v>
      </c>
      <c r="H24" s="96">
        <v>45814</v>
      </c>
      <c r="I24" s="45" t="str">
        <f>IF(Datos!$H23&gt;0,Datos!$H23-Datos!$F23+1 &amp; " " &amp; Idiomas!$A$29,"")</f>
        <v>2 días</v>
      </c>
      <c r="J24" s="45" t="str" cm="1">
        <f t="array" aca="1" ref="J24" ca="1">IF(OR(Datos!$H23="",Datos!$A23=""),"",IF(AND(Datos!$H23=0,Datos!$G23&gt;0,Fecha_Hoy&gt;Datos!$G23),Fecha_Hoy-Datos!$G23,IF(Datos!$G23&lt;Datos!$H23,Datos!$H23-Datos!$G23,0))&amp; " " &amp; Idiomas!$A$29)</f>
        <v>0 días</v>
      </c>
      <c r="K24" s="95" t="s">
        <v>228</v>
      </c>
      <c r="L24" s="46" t="str" cm="1">
        <f t="array" aca="1" ref="L24" ca="1">HYPERLINK("["&amp;Archivo_Nombre&amp;"]KANBAN!"&amp;IF(Tareas!$P23="","B2",Tareas!$P23),IF(Datos!$A23="","",Idiomas!$A$12&amp;" "&amp;ROW()-1))</f>
        <v>Tarea 23</v>
      </c>
    </row>
    <row r="25" spans="1:12" customFormat="1" x14ac:dyDescent="0.25">
      <c r="A25" s="91" t="s">
        <v>5</v>
      </c>
      <c r="B25" s="92" t="s">
        <v>3</v>
      </c>
      <c r="C25" s="95">
        <v>24</v>
      </c>
      <c r="D25" s="92" t="s">
        <v>252</v>
      </c>
      <c r="E25" s="92" t="s">
        <v>252</v>
      </c>
      <c r="F25" s="93">
        <v>45814</v>
      </c>
      <c r="G25" s="93">
        <v>45815</v>
      </c>
      <c r="H25" s="93">
        <v>45815</v>
      </c>
      <c r="I25" s="43" t="str">
        <f>IF(Datos!$H24&gt;0,Datos!$H24-Datos!$F24+1 &amp; " " &amp; Idiomas!$A$29,"")</f>
        <v>2 días</v>
      </c>
      <c r="J25" s="43" t="str" cm="1">
        <f t="array" aca="1" ref="J25" ca="1">IF(OR(Datos!$H24="",Datos!$A24=""),"",IF(AND(Datos!$H24=0,Datos!$G24&gt;0,Fecha_Hoy&gt;Datos!$G24),Fecha_Hoy-Datos!$G24,IF(Datos!$G24&lt;Datos!$H24,Datos!$H24-Datos!$G24,0))&amp; " " &amp; Idiomas!$A$29)</f>
        <v>0 días</v>
      </c>
      <c r="K25" s="92" t="s">
        <v>228</v>
      </c>
      <c r="L25" s="44" t="str" cm="1">
        <f t="array" aca="1" ref="L25" ca="1">HYPERLINK("["&amp;Archivo_Nombre&amp;"]KANBAN!"&amp;IF(Tareas!$P24="","B2",Tareas!$P24),IF(Datos!$A24="","",Idiomas!$A$12&amp;" "&amp;ROW()-1))</f>
        <v>Tarea 24</v>
      </c>
    </row>
    <row r="26" spans="1:12" customFormat="1" x14ac:dyDescent="0.25">
      <c r="A26" s="91" t="s">
        <v>5</v>
      </c>
      <c r="B26" s="92" t="s">
        <v>3</v>
      </c>
      <c r="C26" s="95">
        <v>25</v>
      </c>
      <c r="D26" s="92" t="s">
        <v>245</v>
      </c>
      <c r="E26" s="92" t="s">
        <v>245</v>
      </c>
      <c r="F26" s="93">
        <v>45817</v>
      </c>
      <c r="G26" s="93">
        <v>45819</v>
      </c>
      <c r="H26" s="93">
        <v>45819</v>
      </c>
      <c r="I26" s="43" t="str">
        <f>IF(Datos!$H26&gt;0,Datos!$H26-Datos!$F26+1 &amp; " " &amp; Idiomas!$A$29,"")</f>
        <v>3 días</v>
      </c>
      <c r="J26" s="43" t="str" cm="1">
        <f t="array" aca="1" ref="J26" ca="1">IF(OR(Datos!$H26="",Datos!$A26=""),"",IF(AND(Datos!$H26=0,Datos!$G26&gt;0,Fecha_Hoy&gt;Datos!$G26),Fecha_Hoy-Datos!$G26,IF(Datos!$G26&lt;Datos!$H26,Datos!$H26-Datos!$G26,0))&amp; " " &amp; Idiomas!$A$29)</f>
        <v>0 días</v>
      </c>
      <c r="K26" s="92" t="s">
        <v>217</v>
      </c>
      <c r="L26" s="44" t="str" cm="1">
        <f t="array" aca="1" ref="L26" ca="1">HYPERLINK("["&amp;Archivo_Nombre&amp;"]KANBAN!"&amp;IF(Tareas!$P26="","B2",Tareas!$P26),IF(Datos!$A26="","",Idiomas!$A$12&amp;" "&amp;ROW()-1))</f>
        <v>Tarea 25</v>
      </c>
    </row>
    <row r="27" spans="1:12" customFormat="1" x14ac:dyDescent="0.25">
      <c r="A27" s="94" t="s">
        <v>5</v>
      </c>
      <c r="B27" s="95" t="s">
        <v>3</v>
      </c>
      <c r="C27" s="95">
        <v>26</v>
      </c>
      <c r="D27" s="95" t="s">
        <v>243</v>
      </c>
      <c r="E27" s="95" t="s">
        <v>243</v>
      </c>
      <c r="F27" s="96">
        <v>45820</v>
      </c>
      <c r="G27" s="96">
        <v>45821</v>
      </c>
      <c r="H27" s="96">
        <v>45821</v>
      </c>
      <c r="I27" s="45" t="str">
        <f>IF(Datos!$H27&gt;0,Datos!$H27-Datos!$F27+1 &amp; " " &amp; Idiomas!$A$29,"")</f>
        <v>2 días</v>
      </c>
      <c r="J27" s="45" t="str" cm="1">
        <f t="array" aca="1" ref="J27" ca="1">IF(OR(Datos!$H27="",Datos!$A27=""),"",IF(AND(Datos!$H27=0,Datos!$G27&gt;0,Fecha_Hoy&gt;Datos!$G27),Fecha_Hoy-Datos!$G27,IF(Datos!$G27&lt;Datos!$H27,Datos!$H27-Datos!$G27,0))&amp; " " &amp; Idiomas!$A$29)</f>
        <v>0 días</v>
      </c>
      <c r="K27" s="95" t="s">
        <v>228</v>
      </c>
      <c r="L27" s="46" t="str" cm="1">
        <f t="array" aca="1" ref="L27" ca="1">HYPERLINK("["&amp;Archivo_Nombre&amp;"]KANBAN!"&amp;IF(Tareas!$P27="","B2",Tareas!$P27),IF(Datos!$A27="","",Idiomas!$A$12&amp;" "&amp;ROW()-1))</f>
        <v>Tarea 26</v>
      </c>
    </row>
    <row r="28" spans="1:12" customFormat="1" x14ac:dyDescent="0.25">
      <c r="A28" s="91" t="s">
        <v>5</v>
      </c>
      <c r="B28" s="92" t="s">
        <v>3</v>
      </c>
      <c r="C28" s="95">
        <v>27</v>
      </c>
      <c r="D28" s="92" t="s">
        <v>253</v>
      </c>
      <c r="E28" s="92" t="s">
        <v>253</v>
      </c>
      <c r="F28" s="93">
        <v>45821</v>
      </c>
      <c r="G28" s="93">
        <v>45822</v>
      </c>
      <c r="H28" s="93">
        <v>45822</v>
      </c>
      <c r="I28" s="43" t="str">
        <f>IF(Datos!$H28&gt;0,Datos!$H28-Datos!$F28+1 &amp; " " &amp; Idiomas!$A$29,"")</f>
        <v>2 días</v>
      </c>
      <c r="J28" s="43" t="str" cm="1">
        <f t="array" aca="1" ref="J28" ca="1">IF(OR(Datos!$H28="",Datos!$A28=""),"",IF(AND(Datos!$H28=0,Datos!$G28&gt;0,Fecha_Hoy&gt;Datos!$G28),Fecha_Hoy-Datos!$G28,IF(Datos!$G28&lt;Datos!$H28,Datos!$H28-Datos!$G28,0))&amp; " " &amp; Idiomas!$A$29)</f>
        <v>0 días</v>
      </c>
      <c r="K28" s="92" t="s">
        <v>228</v>
      </c>
      <c r="L28" s="44" t="str" cm="1">
        <f t="array" aca="1" ref="L28" ca="1">HYPERLINK("["&amp;Archivo_Nombre&amp;"]KANBAN!"&amp;IF(Tareas!$P28="","B2",Tareas!$P28),IF(Datos!$A28="","",Idiomas!$A$12&amp;" "&amp;ROW()-1))</f>
        <v>Tarea 27</v>
      </c>
    </row>
    <row r="29" spans="1:12" customFormat="1" x14ac:dyDescent="0.25">
      <c r="A29" s="94" t="s">
        <v>5</v>
      </c>
      <c r="B29" s="95" t="s">
        <v>3</v>
      </c>
      <c r="C29" s="95">
        <v>28</v>
      </c>
      <c r="D29" s="95" t="s">
        <v>254</v>
      </c>
      <c r="E29" s="95" t="s">
        <v>254</v>
      </c>
      <c r="F29" s="96">
        <v>45821</v>
      </c>
      <c r="G29" s="96">
        <v>45822</v>
      </c>
      <c r="H29" s="96">
        <v>45822</v>
      </c>
      <c r="I29" s="45" t="str">
        <f>IF(Datos!$H29&gt;0,Datos!$H29-Datos!$F29+1 &amp; " " &amp; Idiomas!$A$29,"")</f>
        <v>2 días</v>
      </c>
      <c r="J29" s="45" t="str" cm="1">
        <f t="array" aca="1" ref="J29" ca="1">IF(OR(Datos!$H29="",Datos!$A29=""),"",IF(AND(Datos!$H29=0,Datos!$G29&gt;0,Fecha_Hoy&gt;Datos!$G29),Fecha_Hoy-Datos!$G29,IF(Datos!$G29&lt;Datos!$H29,Datos!$H29-Datos!$G29,0))&amp; " " &amp; Idiomas!$A$29)</f>
        <v>0 días</v>
      </c>
      <c r="K29" s="95" t="s">
        <v>228</v>
      </c>
      <c r="L29" s="46" t="str" cm="1">
        <f t="array" aca="1" ref="L29" ca="1">HYPERLINK("["&amp;Archivo_Nombre&amp;"]KANBAN!"&amp;IF(Tareas!$P29="","B2",Tareas!$P29),IF(Datos!$A29="","",Idiomas!$A$12&amp;" "&amp;ROW()-1))</f>
        <v>Tarea 28</v>
      </c>
    </row>
    <row r="30" spans="1:12" customFormat="1" ht="45" x14ac:dyDescent="0.25">
      <c r="A30" s="94" t="s">
        <v>5</v>
      </c>
      <c r="B30" s="95" t="s">
        <v>8</v>
      </c>
      <c r="C30" s="95">
        <v>29</v>
      </c>
      <c r="D30" s="104" t="s">
        <v>255</v>
      </c>
      <c r="E30" s="104" t="s">
        <v>10</v>
      </c>
      <c r="F30" s="96">
        <v>45687</v>
      </c>
      <c r="G30" s="96">
        <v>45687</v>
      </c>
      <c r="H30" s="96">
        <v>45687</v>
      </c>
      <c r="I30" s="45" t="str">
        <f>IF(Datos!$H85&gt;0,Datos!$H85-Datos!$F85+1 &amp; " " &amp; Idiomas!$A$29,"")</f>
        <v/>
      </c>
      <c r="J30" s="45" t="str" cm="1">
        <f t="array" ref="J30">IF(OR(Datos!$H85="",Datos!$A85=""),"",IF(AND(Datos!$H85=0,Datos!$G85&gt;0,Fecha_Hoy&gt;Datos!$G85),Fecha_Hoy-Datos!$G85,IF(Datos!$G85&lt;Datos!$H85,Datos!$H85-Datos!$G85,0))&amp; " " &amp; Idiomas!$A$29)</f>
        <v/>
      </c>
      <c r="K30" s="95" t="s">
        <v>4</v>
      </c>
      <c r="L30" s="46" t="str" cm="1">
        <f t="array" aca="1" ref="L30" ca="1">HYPERLINK("["&amp;Archivo_Nombre&amp;"]KANBAN!"&amp;IF(Tareas!$P85="","B2",Tareas!$P85),IF(Datos!$A85="","",Idiomas!$A$12&amp;" "&amp;ROW()-1))</f>
        <v/>
      </c>
    </row>
    <row r="31" spans="1:12" customFormat="1" x14ac:dyDescent="0.25">
      <c r="A31" s="91" t="s">
        <v>7</v>
      </c>
      <c r="B31" s="92" t="s">
        <v>3</v>
      </c>
      <c r="C31" s="95">
        <v>30</v>
      </c>
      <c r="D31" s="92" t="s">
        <v>256</v>
      </c>
      <c r="E31" s="92" t="s">
        <v>256</v>
      </c>
      <c r="F31" s="93">
        <v>45822</v>
      </c>
      <c r="G31" s="93">
        <v>45825</v>
      </c>
      <c r="H31" s="93">
        <v>45825</v>
      </c>
      <c r="I31" s="43" t="str">
        <f>IF(Datos!$H30&gt;0,Datos!$H30-Datos!$F30+1 &amp; " " &amp; Idiomas!$A$29,"")</f>
        <v>1 días</v>
      </c>
      <c r="J31" s="43" t="str" cm="1">
        <f t="array" aca="1" ref="J31" ca="1">IF(OR(Datos!$H30="",Datos!$A30=""),"",IF(AND(Datos!$H30=0,Datos!$G30&gt;0,Fecha_Hoy&gt;Datos!$G30),Fecha_Hoy-Datos!$G30,IF(Datos!$G30&lt;Datos!$H30,Datos!$H30-Datos!$G30,0))&amp; " " &amp; Idiomas!$A$29)</f>
        <v>0 días</v>
      </c>
      <c r="K31" s="92" t="s">
        <v>218</v>
      </c>
      <c r="L31" s="44" t="str" cm="1">
        <f t="array" aca="1" ref="L31" ca="1">HYPERLINK("["&amp;Archivo_Nombre&amp;"]KANBAN!"&amp;IF(Tareas!$P30="","B2",Tareas!$P30),IF(Datos!$A30="","",Idiomas!$A$12&amp;" "&amp;ROW()-1))</f>
        <v>Tarea 30</v>
      </c>
    </row>
    <row r="32" spans="1:12" customFormat="1" x14ac:dyDescent="0.25">
      <c r="A32" s="94" t="s">
        <v>7</v>
      </c>
      <c r="B32" s="92" t="s">
        <v>3</v>
      </c>
      <c r="C32" s="95"/>
      <c r="D32" s="95" t="s">
        <v>257</v>
      </c>
      <c r="E32" s="95" t="s">
        <v>258</v>
      </c>
      <c r="F32" s="96">
        <v>45856</v>
      </c>
      <c r="G32" s="96">
        <v>45858</v>
      </c>
      <c r="H32" s="96"/>
      <c r="I32" s="45" t="str">
        <f>IF(Datos!$H31&gt;0,Datos!$H31-Datos!$F31+1 &amp; " " &amp; Idiomas!$A$29,"")</f>
        <v>4 días</v>
      </c>
      <c r="J32" s="45" t="str" cm="1">
        <f t="array" aca="1" ref="J32" ca="1">IF(OR(Datos!$H31="",Datos!$A31=""),"",IF(AND(Datos!$H31=0,Datos!$G31&gt;0,Fecha_Hoy&gt;Datos!$G31),Fecha_Hoy-Datos!$G31,IF(Datos!$G31&lt;Datos!$H31,Datos!$H31-Datos!$G31,0))&amp; " " &amp; Idiomas!$A$29)</f>
        <v>0 días</v>
      </c>
      <c r="K32" s="95" t="s">
        <v>217</v>
      </c>
      <c r="L32" s="46" t="str" cm="1">
        <f t="array" aca="1" ref="L32" ca="1">HYPERLINK("["&amp;Archivo_Nombre&amp;"]KANBAN!"&amp;IF(Tareas!$P31="","B2",Tareas!$P31),IF(Datos!$A31="","",Idiomas!$A$12&amp;" "&amp;ROW()-1))</f>
        <v>Tarea 31</v>
      </c>
    </row>
    <row r="33" spans="1:12" customFormat="1" x14ac:dyDescent="0.25">
      <c r="A33" s="91" t="s">
        <v>7</v>
      </c>
      <c r="B33" s="92" t="s">
        <v>3</v>
      </c>
      <c r="C33" s="92"/>
      <c r="D33" s="92" t="s">
        <v>259</v>
      </c>
      <c r="E33" s="92" t="s">
        <v>260</v>
      </c>
      <c r="F33" s="93">
        <v>45856</v>
      </c>
      <c r="G33" s="96">
        <v>45858</v>
      </c>
      <c r="H33" s="96"/>
      <c r="I33" s="43" t="str">
        <f>IF(Datos!$H32&gt;0,Datos!$H32-Datos!$F32+1 &amp; " " &amp; Idiomas!$A$29,"")</f>
        <v/>
      </c>
      <c r="J33" s="43" t="str" cm="1">
        <f t="array" ref="J33">IF(OR(Datos!$H32="",Datos!$A32=""),"",IF(AND(Datos!$H32=0,Datos!$G32&gt;0,Fecha_Hoy&gt;Datos!$G32),Fecha_Hoy-Datos!$G32,IF(Datos!$G32&lt;Datos!$H32,Datos!$H32-Datos!$G32,0))&amp; " " &amp; Idiomas!$A$29)</f>
        <v/>
      </c>
      <c r="K33" s="92" t="s">
        <v>217</v>
      </c>
      <c r="L33" s="44" t="str" cm="1">
        <f t="array" aca="1" ref="L33" ca="1">HYPERLINK("["&amp;Archivo_Nombre&amp;"]KANBAN!"&amp;IF(Tareas!$P32="","B2",Tareas!$P32),IF(Datos!$A32="","",Idiomas!$A$12&amp;" "&amp;ROW()-1))</f>
        <v>Tarea 32</v>
      </c>
    </row>
    <row r="34" spans="1:12" customFormat="1" x14ac:dyDescent="0.25">
      <c r="A34" s="94" t="s">
        <v>7</v>
      </c>
      <c r="B34" s="95" t="s">
        <v>3</v>
      </c>
      <c r="C34" s="95"/>
      <c r="D34" s="95" t="s">
        <v>261</v>
      </c>
      <c r="E34" s="95" t="s">
        <v>261</v>
      </c>
      <c r="F34" s="96">
        <v>45861</v>
      </c>
      <c r="G34" s="96">
        <v>45861</v>
      </c>
      <c r="H34" s="96"/>
      <c r="I34" s="45" t="str">
        <f>IF(Datos!$H33&gt;0,Datos!$H33-Datos!$F33+1 &amp; " " &amp; Idiomas!$A$29,"")</f>
        <v/>
      </c>
      <c r="J34" s="45" t="str" cm="1">
        <f t="array" ref="J34">IF(OR(Datos!$H33="",Datos!$A33=""),"",IF(AND(Datos!$H33=0,Datos!$G33&gt;0,Fecha_Hoy&gt;Datos!$G33),Fecha_Hoy-Datos!$G33,IF(Datos!$G33&lt;Datos!$H33,Datos!$H33-Datos!$G33,0))&amp; " " &amp; Idiomas!$A$29)</f>
        <v/>
      </c>
      <c r="K34" s="95" t="s">
        <v>228</v>
      </c>
      <c r="L34" s="46" t="str" cm="1">
        <f t="array" aca="1" ref="L34" ca="1">HYPERLINK("["&amp;Archivo_Nombre&amp;"]KANBAN!"&amp;IF(Tareas!$P33="","B2",Tareas!$P33),IF(Datos!$A33="","",Idiomas!$A$12&amp;" "&amp;ROW()-1))</f>
        <v>Tarea 33</v>
      </c>
    </row>
    <row r="35" spans="1:12" customFormat="1" x14ac:dyDescent="0.25">
      <c r="A35" s="91"/>
      <c r="B35" s="92"/>
      <c r="C35" s="92"/>
      <c r="D35" s="92"/>
      <c r="E35" s="92"/>
      <c r="F35" s="93"/>
      <c r="G35" s="93"/>
      <c r="H35" s="93"/>
      <c r="I35" s="43" t="str">
        <f>IF(Datos!$H34&gt;0,Datos!$H34-Datos!$F34+1 &amp; " " &amp; Idiomas!$A$29,"")</f>
        <v/>
      </c>
      <c r="J35" s="43" t="str" cm="1">
        <f t="array" ref="J35">IF(OR(Datos!$H34="",Datos!$A34=""),"",IF(AND(Datos!$H34=0,Datos!$G34&gt;0,Fecha_Hoy&gt;Datos!$G34),Fecha_Hoy-Datos!$G34,IF(Datos!$G34&lt;Datos!$H34,Datos!$H34-Datos!$G34,0))&amp; " " &amp; Idiomas!$A$29)</f>
        <v/>
      </c>
      <c r="K35" s="92"/>
      <c r="L35" s="44" t="str" cm="1">
        <f t="array" aca="1" ref="L35" ca="1">HYPERLINK("["&amp;Archivo_Nombre&amp;"]KANBAN!"&amp;IF(Tareas!$P34="","B2",Tareas!$P34),IF(Datos!$A34="","",Idiomas!$A$12&amp;" "&amp;ROW()-1))</f>
        <v>Tarea 34</v>
      </c>
    </row>
    <row r="36" spans="1:12" customFormat="1" x14ac:dyDescent="0.25">
      <c r="A36" s="94"/>
      <c r="B36" s="95"/>
      <c r="C36" s="95"/>
      <c r="D36" s="95"/>
      <c r="E36" s="95"/>
      <c r="F36" s="96"/>
      <c r="G36" s="96"/>
      <c r="H36" s="96"/>
      <c r="I36" s="45" t="str">
        <f>IF(Datos!$H35&gt;0,Datos!$H35-Datos!$F35+1 &amp; " " &amp; Idiomas!$A$29,"")</f>
        <v/>
      </c>
      <c r="J36" s="45" t="str" cm="1">
        <f t="array" ref="J36">IF(OR(Datos!$H35="",Datos!$A35=""),"",IF(AND(Datos!$H35=0,Datos!$G35&gt;0,Fecha_Hoy&gt;Datos!$G35),Fecha_Hoy-Datos!$G35,IF(Datos!$G35&lt;Datos!$H35,Datos!$H35-Datos!$G35,0))&amp; " " &amp; Idiomas!$A$29)</f>
        <v/>
      </c>
      <c r="K36" s="95"/>
      <c r="L36" s="46" t="str" cm="1">
        <f t="array" aca="1" ref="L36" ca="1">HYPERLINK("["&amp;Archivo_Nombre&amp;"]KANBAN!"&amp;IF(Tareas!$P35="","B2",Tareas!$P35),IF(Datos!$A35="","",Idiomas!$A$12&amp;" "&amp;ROW()-1))</f>
        <v/>
      </c>
    </row>
    <row r="37" spans="1:12" customFormat="1" x14ac:dyDescent="0.25">
      <c r="A37" s="91"/>
      <c r="B37" s="92"/>
      <c r="C37" s="92"/>
      <c r="D37" s="92"/>
      <c r="E37" s="92"/>
      <c r="F37" s="93"/>
      <c r="G37" s="93"/>
      <c r="H37" s="93"/>
      <c r="I37" s="43" t="str">
        <f>IF(Datos!$H36&gt;0,Datos!$H36-Datos!$F36+1 &amp; " " &amp; Idiomas!$A$29,"")</f>
        <v/>
      </c>
      <c r="J37" s="43" t="str" cm="1">
        <f t="array" ref="J37">IF(OR(Datos!$H36="",Datos!$A36=""),"",IF(AND(Datos!$H36=0,Datos!$G36&gt;0,Fecha_Hoy&gt;Datos!$G36),Fecha_Hoy-Datos!$G36,IF(Datos!$G36&lt;Datos!$H36,Datos!$H36-Datos!$G36,0))&amp; " " &amp; Idiomas!$A$29)</f>
        <v/>
      </c>
      <c r="K37" s="92"/>
      <c r="L37" s="44" t="str" cm="1">
        <f t="array" aca="1" ref="L37" ca="1">HYPERLINK("["&amp;Archivo_Nombre&amp;"]KANBAN!"&amp;IF(Tareas!$P36="","B2",Tareas!$P36),IF(Datos!$A36="","",Idiomas!$A$12&amp;" "&amp;ROW()-1))</f>
        <v/>
      </c>
    </row>
    <row r="38" spans="1:12" customFormat="1" x14ac:dyDescent="0.25">
      <c r="A38" s="94"/>
      <c r="B38" s="95"/>
      <c r="C38" s="95"/>
      <c r="D38" s="95"/>
      <c r="E38" s="95"/>
      <c r="F38" s="96"/>
      <c r="G38" s="96"/>
      <c r="H38" s="96"/>
      <c r="I38" s="45" t="str">
        <f>IF(Datos!$H37&gt;0,Datos!$H37-Datos!$F37+1 &amp; " " &amp; Idiomas!$A$29,"")</f>
        <v/>
      </c>
      <c r="J38" s="45" t="str" cm="1">
        <f t="array" ref="J38">IF(OR(Datos!$H37="",Datos!$A37=""),"",IF(AND(Datos!$H37=0,Datos!$G37&gt;0,Fecha_Hoy&gt;Datos!$G37),Fecha_Hoy-Datos!$G37,IF(Datos!$G37&lt;Datos!$H37,Datos!$H37-Datos!$G37,0))&amp; " " &amp; Idiomas!$A$29)</f>
        <v/>
      </c>
      <c r="K38" s="95"/>
      <c r="L38" s="46" t="str" cm="1">
        <f t="array" aca="1" ref="L38" ca="1">HYPERLINK("["&amp;Archivo_Nombre&amp;"]KANBAN!"&amp;IF(Tareas!$P37="","B2",Tareas!$P37),IF(Datos!$A37="","",Idiomas!$A$12&amp;" "&amp;ROW()-1))</f>
        <v/>
      </c>
    </row>
    <row r="39" spans="1:12" customFormat="1" x14ac:dyDescent="0.25">
      <c r="A39" s="91"/>
      <c r="B39" s="92"/>
      <c r="C39" s="92"/>
      <c r="D39" s="92"/>
      <c r="E39" s="92"/>
      <c r="F39" s="93"/>
      <c r="G39" s="93"/>
      <c r="H39" s="93"/>
      <c r="I39" s="43" t="str">
        <f>IF(Datos!$H38&gt;0,Datos!$H38-Datos!$F38+1 &amp; " " &amp; Idiomas!$A$29,"")</f>
        <v/>
      </c>
      <c r="J39" s="43" t="str" cm="1">
        <f t="array" ref="J39">IF(OR(Datos!$H38="",Datos!$A38=""),"",IF(AND(Datos!$H38=0,Datos!$G38&gt;0,Fecha_Hoy&gt;Datos!$G38),Fecha_Hoy-Datos!$G38,IF(Datos!$G38&lt;Datos!$H38,Datos!$H38-Datos!$G38,0))&amp; " " &amp; Idiomas!$A$29)</f>
        <v/>
      </c>
      <c r="K39" s="92"/>
      <c r="L39" s="44" t="str" cm="1">
        <f t="array" aca="1" ref="L39" ca="1">HYPERLINK("["&amp;Archivo_Nombre&amp;"]KANBAN!"&amp;IF(Tareas!$P38="","B2",Tareas!$P38),IF(Datos!$A38="","",Idiomas!$A$12&amp;" "&amp;ROW()-1))</f>
        <v/>
      </c>
    </row>
    <row r="40" spans="1:12" customFormat="1" x14ac:dyDescent="0.25">
      <c r="A40" s="94"/>
      <c r="B40" s="95"/>
      <c r="C40" s="95"/>
      <c r="D40" s="95"/>
      <c r="E40" s="95"/>
      <c r="F40" s="96"/>
      <c r="G40" s="96"/>
      <c r="H40" s="96"/>
      <c r="I40" s="45" t="str">
        <f>IF(Datos!$H39&gt;0,Datos!$H39-Datos!$F39+1 &amp; " " &amp; Idiomas!$A$29,"")</f>
        <v/>
      </c>
      <c r="J40" s="45" t="str" cm="1">
        <f t="array" ref="J40">IF(OR(Datos!$H39="",Datos!$A39=""),"",IF(AND(Datos!$H39=0,Datos!$G39&gt;0,Fecha_Hoy&gt;Datos!$G39),Fecha_Hoy-Datos!$G39,IF(Datos!$G39&lt;Datos!$H39,Datos!$H39-Datos!$G39,0))&amp; " " &amp; Idiomas!$A$29)</f>
        <v/>
      </c>
      <c r="K40" s="95"/>
      <c r="L40" s="46" t="str" cm="1">
        <f t="array" aca="1" ref="L40" ca="1">HYPERLINK("["&amp;Archivo_Nombre&amp;"]KANBAN!"&amp;IF(Tareas!$P39="","B2",Tareas!$P39),IF(Datos!$A39="","",Idiomas!$A$12&amp;" "&amp;ROW()-1))</f>
        <v/>
      </c>
    </row>
    <row r="41" spans="1:12" customFormat="1" x14ac:dyDescent="0.25">
      <c r="A41" s="91"/>
      <c r="B41" s="92"/>
      <c r="C41" s="92"/>
      <c r="D41" s="92"/>
      <c r="E41" s="92"/>
      <c r="F41" s="93"/>
      <c r="G41" s="93"/>
      <c r="H41" s="93"/>
      <c r="I41" s="43" t="str">
        <f>IF(Datos!$H40&gt;0,Datos!$H40-Datos!$F40+1 &amp; " " &amp; Idiomas!$A$29,"")</f>
        <v/>
      </c>
      <c r="J41" s="43" t="str" cm="1">
        <f t="array" ref="J41">IF(OR(Datos!$H40="",Datos!$A40=""),"",IF(AND(Datos!$H40=0,Datos!$G40&gt;0,Fecha_Hoy&gt;Datos!$G40),Fecha_Hoy-Datos!$G40,IF(Datos!$G40&lt;Datos!$H40,Datos!$H40-Datos!$G40,0))&amp; " " &amp; Idiomas!$A$29)</f>
        <v/>
      </c>
      <c r="K41" s="92"/>
      <c r="L41" s="44" t="str" cm="1">
        <f t="array" aca="1" ref="L41" ca="1">HYPERLINK("["&amp;Archivo_Nombre&amp;"]KANBAN!"&amp;IF(Tareas!$P40="","B2",Tareas!$P40),IF(Datos!$A40="","",Idiomas!$A$12&amp;" "&amp;ROW()-1))</f>
        <v/>
      </c>
    </row>
    <row r="42" spans="1:12" customFormat="1" x14ac:dyDescent="0.25">
      <c r="A42" s="94"/>
      <c r="B42" s="95"/>
      <c r="C42" s="95"/>
      <c r="D42" s="95"/>
      <c r="E42" s="95"/>
      <c r="F42" s="96"/>
      <c r="G42" s="96"/>
      <c r="H42" s="96"/>
      <c r="I42" s="45" t="str">
        <f>IF(Datos!$H41&gt;0,Datos!$H41-Datos!$F41+1 &amp; " " &amp; Idiomas!$A$29,"")</f>
        <v/>
      </c>
      <c r="J42" s="45" t="str" cm="1">
        <f t="array" ref="J42">IF(OR(Datos!$H41="",Datos!$A41=""),"",IF(AND(Datos!$H41=0,Datos!$G41&gt;0,Fecha_Hoy&gt;Datos!$G41),Fecha_Hoy-Datos!$G41,IF(Datos!$G41&lt;Datos!$H41,Datos!$H41-Datos!$G41,0))&amp; " " &amp; Idiomas!$A$29)</f>
        <v/>
      </c>
      <c r="K42" s="95"/>
      <c r="L42" s="46" t="str" cm="1">
        <f t="array" aca="1" ref="L42" ca="1">HYPERLINK("["&amp;Archivo_Nombre&amp;"]KANBAN!"&amp;IF(Tareas!$P41="","B2",Tareas!$P41),IF(Datos!$A41="","",Idiomas!$A$12&amp;" "&amp;ROW()-1))</f>
        <v/>
      </c>
    </row>
    <row r="43" spans="1:12" customFormat="1" x14ac:dyDescent="0.25">
      <c r="A43" s="91"/>
      <c r="B43" s="92"/>
      <c r="C43" s="92"/>
      <c r="D43" s="92"/>
      <c r="E43" s="92"/>
      <c r="F43" s="93"/>
      <c r="G43" s="93"/>
      <c r="H43" s="93"/>
      <c r="I43" s="43" t="str">
        <f>IF(Datos!$H42&gt;0,Datos!$H42-Datos!$F42+1 &amp; " " &amp; Idiomas!$A$29,"")</f>
        <v/>
      </c>
      <c r="J43" s="43" t="str" cm="1">
        <f t="array" ref="J43">IF(OR(Datos!$H42="",Datos!$A42=""),"",IF(AND(Datos!$H42=0,Datos!$G42&gt;0,Fecha_Hoy&gt;Datos!$G42),Fecha_Hoy-Datos!$G42,IF(Datos!$G42&lt;Datos!$H42,Datos!$H42-Datos!$G42,0))&amp; " " &amp; Idiomas!$A$29)</f>
        <v/>
      </c>
      <c r="K43" s="92"/>
      <c r="L43" s="44" t="str" cm="1">
        <f t="array" aca="1" ref="L43" ca="1">HYPERLINK("["&amp;Archivo_Nombre&amp;"]KANBAN!"&amp;IF(Tareas!$P42="","B2",Tareas!$P42),IF(Datos!$A42="","",Idiomas!$A$12&amp;" "&amp;ROW()-1))</f>
        <v/>
      </c>
    </row>
    <row r="44" spans="1:12" customFormat="1" x14ac:dyDescent="0.25">
      <c r="A44" s="94"/>
      <c r="B44" s="95"/>
      <c r="C44" s="95"/>
      <c r="D44" s="95"/>
      <c r="E44" s="95"/>
      <c r="F44" s="96"/>
      <c r="G44" s="96"/>
      <c r="H44" s="96"/>
      <c r="I44" s="45" t="str">
        <f>IF(Datos!$H43&gt;0,Datos!$H43-Datos!$F43+1 &amp; " " &amp; Idiomas!$A$29,"")</f>
        <v/>
      </c>
      <c r="J44" s="45" t="str" cm="1">
        <f t="array" ref="J44">IF(OR(Datos!$H43="",Datos!$A43=""),"",IF(AND(Datos!$H43=0,Datos!$G43&gt;0,Fecha_Hoy&gt;Datos!$G43),Fecha_Hoy-Datos!$G43,IF(Datos!$G43&lt;Datos!$H43,Datos!$H43-Datos!$G43,0))&amp; " " &amp; Idiomas!$A$29)</f>
        <v/>
      </c>
      <c r="K44" s="95"/>
      <c r="L44" s="46" t="str" cm="1">
        <f t="array" aca="1" ref="L44" ca="1">HYPERLINK("["&amp;Archivo_Nombre&amp;"]KANBAN!"&amp;IF(Tareas!$P43="","B2",Tareas!$P43),IF(Datos!$A43="","",Idiomas!$A$12&amp;" "&amp;ROW()-1))</f>
        <v/>
      </c>
    </row>
    <row r="45" spans="1:12" customFormat="1" x14ac:dyDescent="0.25">
      <c r="A45" s="91"/>
      <c r="B45" s="92"/>
      <c r="C45" s="92"/>
      <c r="D45" s="92"/>
      <c r="E45" s="92"/>
      <c r="F45" s="93"/>
      <c r="G45" s="93"/>
      <c r="H45" s="93"/>
      <c r="I45" s="43" t="str">
        <f>IF(Datos!$H44&gt;0,Datos!$H44-Datos!$F44+1 &amp; " " &amp; Idiomas!$A$29,"")</f>
        <v/>
      </c>
      <c r="J45" s="43" t="str" cm="1">
        <f t="array" ref="J45">IF(OR(Datos!$H44="",Datos!$A44=""),"",IF(AND(Datos!$H44=0,Datos!$G44&gt;0,Fecha_Hoy&gt;Datos!$G44),Fecha_Hoy-Datos!$G44,IF(Datos!$G44&lt;Datos!$H44,Datos!$H44-Datos!$G44,0))&amp; " " &amp; Idiomas!$A$29)</f>
        <v/>
      </c>
      <c r="K45" s="92"/>
      <c r="L45" s="44" t="str" cm="1">
        <f t="array" aca="1" ref="L45" ca="1">HYPERLINK("["&amp;Archivo_Nombre&amp;"]KANBAN!"&amp;IF(Tareas!$P44="","B2",Tareas!$P44),IF(Datos!$A44="","",Idiomas!$A$12&amp;" "&amp;ROW()-1))</f>
        <v/>
      </c>
    </row>
    <row r="46" spans="1:12" customFormat="1" x14ac:dyDescent="0.25">
      <c r="A46" s="94"/>
      <c r="B46" s="95"/>
      <c r="C46" s="95"/>
      <c r="D46" s="95"/>
      <c r="E46" s="95"/>
      <c r="F46" s="96"/>
      <c r="G46" s="96"/>
      <c r="H46" s="96"/>
      <c r="I46" s="45" t="str">
        <f>IF(Datos!$H45&gt;0,Datos!$H45-Datos!$F45+1 &amp; " " &amp; Idiomas!$A$29,"")</f>
        <v/>
      </c>
      <c r="J46" s="45" t="str" cm="1">
        <f t="array" ref="J46">IF(OR(Datos!$H45="",Datos!$A45=""),"",IF(AND(Datos!$H45=0,Datos!$G45&gt;0,Fecha_Hoy&gt;Datos!$G45),Fecha_Hoy-Datos!$G45,IF(Datos!$G45&lt;Datos!$H45,Datos!$H45-Datos!$G45,0))&amp; " " &amp; Idiomas!$A$29)</f>
        <v/>
      </c>
      <c r="K46" s="95"/>
      <c r="L46" s="46" t="str" cm="1">
        <f t="array" aca="1" ref="L46" ca="1">HYPERLINK("["&amp;Archivo_Nombre&amp;"]KANBAN!"&amp;IF(Tareas!$P45="","B2",Tareas!$P45),IF(Datos!$A45="","",Idiomas!$A$12&amp;" "&amp;ROW()-1))</f>
        <v/>
      </c>
    </row>
    <row r="47" spans="1:12" customFormat="1" x14ac:dyDescent="0.25">
      <c r="A47" s="91"/>
      <c r="B47" s="92"/>
      <c r="C47" s="92"/>
      <c r="D47" s="92"/>
      <c r="E47" s="92"/>
      <c r="F47" s="93"/>
      <c r="G47" s="93"/>
      <c r="H47" s="93"/>
      <c r="I47" s="43" t="str">
        <f>IF(Datos!$H46&gt;0,Datos!$H46-Datos!$F46+1 &amp; " " &amp; Idiomas!$A$29,"")</f>
        <v/>
      </c>
      <c r="J47" s="43" t="str" cm="1">
        <f t="array" ref="J47">IF(OR(Datos!$H46="",Datos!$A46=""),"",IF(AND(Datos!$H46=0,Datos!$G46&gt;0,Fecha_Hoy&gt;Datos!$G46),Fecha_Hoy-Datos!$G46,IF(Datos!$G46&lt;Datos!$H46,Datos!$H46-Datos!$G46,0))&amp; " " &amp; Idiomas!$A$29)</f>
        <v/>
      </c>
      <c r="K47" s="92"/>
      <c r="L47" s="44" t="str" cm="1">
        <f t="array" aca="1" ref="L47" ca="1">HYPERLINK("["&amp;Archivo_Nombre&amp;"]KANBAN!"&amp;IF(Tareas!$P46="","B2",Tareas!$P46),IF(Datos!$A46="","",Idiomas!$A$12&amp;" "&amp;ROW()-1))</f>
        <v/>
      </c>
    </row>
    <row r="48" spans="1:12" customFormat="1" x14ac:dyDescent="0.25">
      <c r="A48" s="94"/>
      <c r="B48" s="95"/>
      <c r="C48" s="95"/>
      <c r="D48" s="95"/>
      <c r="E48" s="95"/>
      <c r="F48" s="96"/>
      <c r="G48" s="96"/>
      <c r="H48" s="96"/>
      <c r="I48" s="45" t="str">
        <f>IF(Datos!$H47&gt;0,Datos!$H47-Datos!$F47+1 &amp; " " &amp; Idiomas!$A$29,"")</f>
        <v/>
      </c>
      <c r="J48" s="45" t="str" cm="1">
        <f t="array" ref="J48">IF(OR(Datos!$H47="",Datos!$A47=""),"",IF(AND(Datos!$H47=0,Datos!$G47&gt;0,Fecha_Hoy&gt;Datos!$G47),Fecha_Hoy-Datos!$G47,IF(Datos!$G47&lt;Datos!$H47,Datos!$H47-Datos!$G47,0))&amp; " " &amp; Idiomas!$A$29)</f>
        <v/>
      </c>
      <c r="K48" s="95"/>
      <c r="L48" s="46" t="str" cm="1">
        <f t="array" aca="1" ref="L48" ca="1">HYPERLINK("["&amp;Archivo_Nombre&amp;"]KANBAN!"&amp;IF(Tareas!$P47="","B2",Tareas!$P47),IF(Datos!$A47="","",Idiomas!$A$12&amp;" "&amp;ROW()-1))</f>
        <v/>
      </c>
    </row>
    <row r="49" spans="1:12" customFormat="1" x14ac:dyDescent="0.25">
      <c r="A49" s="91"/>
      <c r="B49" s="92"/>
      <c r="C49" s="92"/>
      <c r="D49" s="92"/>
      <c r="E49" s="92"/>
      <c r="F49" s="93"/>
      <c r="G49" s="93"/>
      <c r="H49" s="93"/>
      <c r="I49" s="43" t="str">
        <f>IF(Datos!$H48&gt;0,Datos!$H48-Datos!$F48+1 &amp; " " &amp; Idiomas!$A$29,"")</f>
        <v/>
      </c>
      <c r="J49" s="43" t="str" cm="1">
        <f t="array" ref="J49">IF(OR(Datos!$H48="",Datos!$A48=""),"",IF(AND(Datos!$H48=0,Datos!$G48&gt;0,Fecha_Hoy&gt;Datos!$G48),Fecha_Hoy-Datos!$G48,IF(Datos!$G48&lt;Datos!$H48,Datos!$H48-Datos!$G48,0))&amp; " " &amp; Idiomas!$A$29)</f>
        <v/>
      </c>
      <c r="K49" s="92"/>
      <c r="L49" s="44" t="str" cm="1">
        <f t="array" aca="1" ref="L49" ca="1">HYPERLINK("["&amp;Archivo_Nombre&amp;"]KANBAN!"&amp;IF(Tareas!$P48="","B2",Tareas!$P48),IF(Datos!$A48="","",Idiomas!$A$12&amp;" "&amp;ROW()-1))</f>
        <v/>
      </c>
    </row>
    <row r="50" spans="1:12" customFormat="1" x14ac:dyDescent="0.25">
      <c r="A50" s="94"/>
      <c r="B50" s="95"/>
      <c r="C50" s="95"/>
      <c r="D50" s="95"/>
      <c r="E50" s="95"/>
      <c r="F50" s="96"/>
      <c r="G50" s="96"/>
      <c r="H50" s="96"/>
      <c r="I50" s="45" t="str">
        <f>IF(Datos!$H49&gt;0,Datos!$H49-Datos!$F49+1 &amp; " " &amp; Idiomas!$A$29,"")</f>
        <v/>
      </c>
      <c r="J50" s="45" t="str" cm="1">
        <f t="array" ref="J50">IF(OR(Datos!$H49="",Datos!$A49=""),"",IF(AND(Datos!$H49=0,Datos!$G49&gt;0,Fecha_Hoy&gt;Datos!$G49),Fecha_Hoy-Datos!$G49,IF(Datos!$G49&lt;Datos!$H49,Datos!$H49-Datos!$G49,0))&amp; " " &amp; Idiomas!$A$29)</f>
        <v/>
      </c>
      <c r="K50" s="95"/>
      <c r="L50" s="46" t="str" cm="1">
        <f t="array" aca="1" ref="L50" ca="1">HYPERLINK("["&amp;Archivo_Nombre&amp;"]KANBAN!"&amp;IF(Tareas!$P49="","B2",Tareas!$P49),IF(Datos!$A49="","",Idiomas!$A$12&amp;" "&amp;ROW()-1))</f>
        <v/>
      </c>
    </row>
    <row r="51" spans="1:12" customFormat="1" x14ac:dyDescent="0.25">
      <c r="A51" s="91"/>
      <c r="B51" s="92"/>
      <c r="C51" s="92"/>
      <c r="D51" s="92"/>
      <c r="E51" s="92"/>
      <c r="F51" s="93"/>
      <c r="G51" s="93"/>
      <c r="H51" s="93"/>
      <c r="I51" s="43" t="str">
        <f>IF(Datos!$H50&gt;0,Datos!$H50-Datos!$F50+1 &amp; " " &amp; Idiomas!$A$29,"")</f>
        <v/>
      </c>
      <c r="J51" s="43" t="str" cm="1">
        <f t="array" ref="J51">IF(OR(Datos!$H50="",Datos!$A50=""),"",IF(AND(Datos!$H50=0,Datos!$G50&gt;0,Fecha_Hoy&gt;Datos!$G50),Fecha_Hoy-Datos!$G50,IF(Datos!$G50&lt;Datos!$H50,Datos!$H50-Datos!$G50,0))&amp; " " &amp; Idiomas!$A$29)</f>
        <v/>
      </c>
      <c r="K51" s="92"/>
      <c r="L51" s="44" t="str" cm="1">
        <f t="array" aca="1" ref="L51" ca="1">HYPERLINK("["&amp;Archivo_Nombre&amp;"]KANBAN!"&amp;IF(Tareas!$P50="","B2",Tareas!$P50),IF(Datos!$A50="","",Idiomas!$A$12&amp;" "&amp;ROW()-1))</f>
        <v/>
      </c>
    </row>
    <row r="52" spans="1:12" customFormat="1" x14ac:dyDescent="0.25">
      <c r="A52" s="94"/>
      <c r="B52" s="95"/>
      <c r="C52" s="95"/>
      <c r="D52" s="95"/>
      <c r="E52" s="95"/>
      <c r="F52" s="96"/>
      <c r="G52" s="96"/>
      <c r="H52" s="96"/>
      <c r="I52" s="45" t="str">
        <f>IF(Datos!$H51&gt;0,Datos!$H51-Datos!$F51+1 &amp; " " &amp; Idiomas!$A$29,"")</f>
        <v/>
      </c>
      <c r="J52" s="45" t="str" cm="1">
        <f t="array" ref="J52">IF(OR(Datos!$H51="",Datos!$A51=""),"",IF(AND(Datos!$H51=0,Datos!$G51&gt;0,Fecha_Hoy&gt;Datos!$G51),Fecha_Hoy-Datos!$G51,IF(Datos!$G51&lt;Datos!$H51,Datos!$H51-Datos!$G51,0))&amp; " " &amp; Idiomas!$A$29)</f>
        <v/>
      </c>
      <c r="K52" s="95"/>
      <c r="L52" s="46" t="str" cm="1">
        <f t="array" aca="1" ref="L52" ca="1">HYPERLINK("["&amp;Archivo_Nombre&amp;"]KANBAN!"&amp;IF(Tareas!$P51="","B2",Tareas!$P51),IF(Datos!$A51="","",Idiomas!$A$12&amp;" "&amp;ROW()-1))</f>
        <v/>
      </c>
    </row>
    <row r="53" spans="1:12" customFormat="1" x14ac:dyDescent="0.25">
      <c r="A53" s="91"/>
      <c r="B53" s="92"/>
      <c r="C53" s="92"/>
      <c r="D53" s="92"/>
      <c r="E53" s="92"/>
      <c r="F53" s="93"/>
      <c r="G53" s="93"/>
      <c r="H53" s="93"/>
      <c r="I53" s="43" t="str">
        <f>IF(Datos!$H52&gt;0,Datos!$H52-Datos!$F52+1 &amp; " " &amp; Idiomas!$A$29,"")</f>
        <v/>
      </c>
      <c r="J53" s="43" t="str" cm="1">
        <f t="array" ref="J53">IF(OR(Datos!$H52="",Datos!$A52=""),"",IF(AND(Datos!$H52=0,Datos!$G52&gt;0,Fecha_Hoy&gt;Datos!$G52),Fecha_Hoy-Datos!$G52,IF(Datos!$G52&lt;Datos!$H52,Datos!$H52-Datos!$G52,0))&amp; " " &amp; Idiomas!$A$29)</f>
        <v/>
      </c>
      <c r="K53" s="92"/>
      <c r="L53" s="44" t="str" cm="1">
        <f t="array" aca="1" ref="L53" ca="1">HYPERLINK("["&amp;Archivo_Nombre&amp;"]KANBAN!"&amp;IF(Tareas!$P52="","B2",Tareas!$P52),IF(Datos!$A52="","",Idiomas!$A$12&amp;" "&amp;ROW()-1))</f>
        <v/>
      </c>
    </row>
    <row r="54" spans="1:12" customFormat="1" x14ac:dyDescent="0.25">
      <c r="A54" s="94"/>
      <c r="B54" s="95"/>
      <c r="C54" s="95"/>
      <c r="D54" s="95"/>
      <c r="E54" s="95"/>
      <c r="F54" s="96"/>
      <c r="G54" s="96"/>
      <c r="H54" s="96"/>
      <c r="I54" s="45" t="str">
        <f>IF(Datos!$H53&gt;0,Datos!$H53-Datos!$F53+1 &amp; " " &amp; Idiomas!$A$29,"")</f>
        <v/>
      </c>
      <c r="J54" s="45" t="str" cm="1">
        <f t="array" ref="J54">IF(OR(Datos!$H53="",Datos!$A53=""),"",IF(AND(Datos!$H53=0,Datos!$G53&gt;0,Fecha_Hoy&gt;Datos!$G53),Fecha_Hoy-Datos!$G53,IF(Datos!$G53&lt;Datos!$H53,Datos!$H53-Datos!$G53,0))&amp; " " &amp; Idiomas!$A$29)</f>
        <v/>
      </c>
      <c r="K54" s="95"/>
      <c r="L54" s="46" t="str" cm="1">
        <f t="array" aca="1" ref="L54" ca="1">HYPERLINK("["&amp;Archivo_Nombre&amp;"]KANBAN!"&amp;IF(Tareas!$P53="","B2",Tareas!$P53),IF(Datos!$A53="","",Idiomas!$A$12&amp;" "&amp;ROW()-1))</f>
        <v/>
      </c>
    </row>
    <row r="55" spans="1:12" customFormat="1" x14ac:dyDescent="0.25">
      <c r="A55" s="91"/>
      <c r="B55" s="92"/>
      <c r="C55" s="92"/>
      <c r="D55" s="92"/>
      <c r="E55" s="92"/>
      <c r="F55" s="93"/>
      <c r="G55" s="93"/>
      <c r="H55" s="93"/>
      <c r="I55" s="43" t="str">
        <f>IF(Datos!$H54&gt;0,Datos!$H54-Datos!$F54+1 &amp; " " &amp; Idiomas!$A$29,"")</f>
        <v/>
      </c>
      <c r="J55" s="43" t="str" cm="1">
        <f t="array" ref="J55">IF(OR(Datos!$H54="",Datos!$A54=""),"",IF(AND(Datos!$H54=0,Datos!$G54&gt;0,Fecha_Hoy&gt;Datos!$G54),Fecha_Hoy-Datos!$G54,IF(Datos!$G54&lt;Datos!$H54,Datos!$H54-Datos!$G54,0))&amp; " " &amp; Idiomas!$A$29)</f>
        <v/>
      </c>
      <c r="K55" s="92"/>
      <c r="L55" s="44" t="str" cm="1">
        <f t="array" aca="1" ref="L55" ca="1">HYPERLINK("["&amp;Archivo_Nombre&amp;"]KANBAN!"&amp;IF(Tareas!$P54="","B2",Tareas!$P54),IF(Datos!$A54="","",Idiomas!$A$12&amp;" "&amp;ROW()-1))</f>
        <v/>
      </c>
    </row>
    <row r="56" spans="1:12" customFormat="1" x14ac:dyDescent="0.25">
      <c r="A56" s="94"/>
      <c r="B56" s="95"/>
      <c r="C56" s="95"/>
      <c r="D56" s="95"/>
      <c r="E56" s="95"/>
      <c r="F56" s="96"/>
      <c r="G56" s="96"/>
      <c r="H56" s="96"/>
      <c r="I56" s="45" t="str">
        <f>IF(Datos!$H55&gt;0,Datos!$H55-Datos!$F55+1 &amp; " " &amp; Idiomas!$A$29,"")</f>
        <v/>
      </c>
      <c r="J56" s="45" t="str" cm="1">
        <f t="array" ref="J56">IF(OR(Datos!$H55="",Datos!$A55=""),"",IF(AND(Datos!$H55=0,Datos!$G55&gt;0,Fecha_Hoy&gt;Datos!$G55),Fecha_Hoy-Datos!$G55,IF(Datos!$G55&lt;Datos!$H55,Datos!$H55-Datos!$G55,0))&amp; " " &amp; Idiomas!$A$29)</f>
        <v/>
      </c>
      <c r="K56" s="95"/>
      <c r="L56" s="46" t="str" cm="1">
        <f t="array" aca="1" ref="L56" ca="1">HYPERLINK("["&amp;Archivo_Nombre&amp;"]KANBAN!"&amp;IF(Tareas!$P55="","B2",Tareas!$P55),IF(Datos!$A55="","",Idiomas!$A$12&amp;" "&amp;ROW()-1))</f>
        <v/>
      </c>
    </row>
    <row r="57" spans="1:12" customFormat="1" x14ac:dyDescent="0.25">
      <c r="A57" s="91"/>
      <c r="B57" s="92"/>
      <c r="C57" s="92"/>
      <c r="D57" s="92"/>
      <c r="E57" s="92"/>
      <c r="F57" s="93"/>
      <c r="G57" s="93"/>
      <c r="H57" s="93"/>
      <c r="I57" s="43" t="str">
        <f>IF(Datos!$H56&gt;0,Datos!$H56-Datos!$F56+1 &amp; " " &amp; Idiomas!$A$29,"")</f>
        <v/>
      </c>
      <c r="J57" s="43" t="str" cm="1">
        <f t="array" ref="J57">IF(OR(Datos!$H56="",Datos!$A56=""),"",IF(AND(Datos!$H56=0,Datos!$G56&gt;0,Fecha_Hoy&gt;Datos!$G56),Fecha_Hoy-Datos!$G56,IF(Datos!$G56&lt;Datos!$H56,Datos!$H56-Datos!$G56,0))&amp; " " &amp; Idiomas!$A$29)</f>
        <v/>
      </c>
      <c r="K57" s="92"/>
      <c r="L57" s="44" t="str" cm="1">
        <f t="array" aca="1" ref="L57" ca="1">HYPERLINK("["&amp;Archivo_Nombre&amp;"]KANBAN!"&amp;IF(Tareas!$P56="","B2",Tareas!$P56),IF(Datos!$A56="","",Idiomas!$A$12&amp;" "&amp;ROW()-1))</f>
        <v/>
      </c>
    </row>
    <row r="58" spans="1:12" customFormat="1" x14ac:dyDescent="0.25">
      <c r="A58" s="94"/>
      <c r="B58" s="95"/>
      <c r="C58" s="95"/>
      <c r="D58" s="95"/>
      <c r="E58" s="95"/>
      <c r="F58" s="96"/>
      <c r="G58" s="96"/>
      <c r="H58" s="96"/>
      <c r="I58" s="45" t="str">
        <f>IF(Datos!$H57&gt;0,Datos!$H57-Datos!$F57+1 &amp; " " &amp; Idiomas!$A$29,"")</f>
        <v/>
      </c>
      <c r="J58" s="45" t="str" cm="1">
        <f t="array" ref="J58">IF(OR(Datos!$H57="",Datos!$A57=""),"",IF(AND(Datos!$H57=0,Datos!$G57&gt;0,Fecha_Hoy&gt;Datos!$G57),Fecha_Hoy-Datos!$G57,IF(Datos!$G57&lt;Datos!$H57,Datos!$H57-Datos!$G57,0))&amp; " " &amp; Idiomas!$A$29)</f>
        <v/>
      </c>
      <c r="K58" s="95"/>
      <c r="L58" s="46" t="str" cm="1">
        <f t="array" aca="1" ref="L58" ca="1">HYPERLINK("["&amp;Archivo_Nombre&amp;"]KANBAN!"&amp;IF(Tareas!$P57="","B2",Tareas!$P57),IF(Datos!$A57="","",Idiomas!$A$12&amp;" "&amp;ROW()-1))</f>
        <v/>
      </c>
    </row>
    <row r="59" spans="1:12" customFormat="1" x14ac:dyDescent="0.25">
      <c r="A59" s="91"/>
      <c r="B59" s="92"/>
      <c r="C59" s="92"/>
      <c r="D59" s="92"/>
      <c r="E59" s="92"/>
      <c r="F59" s="93"/>
      <c r="G59" s="93"/>
      <c r="H59" s="93"/>
      <c r="I59" s="43" t="str">
        <f>IF(Datos!$H58&gt;0,Datos!$H58-Datos!$F58+1 &amp; " " &amp; Idiomas!$A$29,"")</f>
        <v/>
      </c>
      <c r="J59" s="43" t="str" cm="1">
        <f t="array" ref="J59">IF(OR(Datos!$H58="",Datos!$A58=""),"",IF(AND(Datos!$H58=0,Datos!$G58&gt;0,Fecha_Hoy&gt;Datos!$G58),Fecha_Hoy-Datos!$G58,IF(Datos!$G58&lt;Datos!$H58,Datos!$H58-Datos!$G58,0))&amp; " " &amp; Idiomas!$A$29)</f>
        <v/>
      </c>
      <c r="K59" s="92"/>
      <c r="L59" s="44" t="str" cm="1">
        <f t="array" aca="1" ref="L59" ca="1">HYPERLINK("["&amp;Archivo_Nombre&amp;"]KANBAN!"&amp;IF(Tareas!$P58="","B2",Tareas!$P58),IF(Datos!$A58="","",Idiomas!$A$12&amp;" "&amp;ROW()-1))</f>
        <v/>
      </c>
    </row>
    <row r="60" spans="1:12" customFormat="1" x14ac:dyDescent="0.25">
      <c r="A60" s="94"/>
      <c r="B60" s="95"/>
      <c r="C60" s="95"/>
      <c r="D60" s="95"/>
      <c r="E60" s="95"/>
      <c r="F60" s="96"/>
      <c r="G60" s="96"/>
      <c r="H60" s="96"/>
      <c r="I60" s="45" t="str">
        <f>IF(Datos!$H59&gt;0,Datos!$H59-Datos!$F59+1 &amp; " " &amp; Idiomas!$A$29,"")</f>
        <v/>
      </c>
      <c r="J60" s="45" t="str" cm="1">
        <f t="array" ref="J60">IF(OR(Datos!$H59="",Datos!$A59=""),"",IF(AND(Datos!$H59=0,Datos!$G59&gt;0,Fecha_Hoy&gt;Datos!$G59),Fecha_Hoy-Datos!$G59,IF(Datos!$G59&lt;Datos!$H59,Datos!$H59-Datos!$G59,0))&amp; " " &amp; Idiomas!$A$29)</f>
        <v/>
      </c>
      <c r="K60" s="95"/>
      <c r="L60" s="46" t="str" cm="1">
        <f t="array" aca="1" ref="L60" ca="1">HYPERLINK("["&amp;Archivo_Nombre&amp;"]KANBAN!"&amp;IF(Tareas!$P59="","B2",Tareas!$P59),IF(Datos!$A59="","",Idiomas!$A$12&amp;" "&amp;ROW()-1))</f>
        <v/>
      </c>
    </row>
    <row r="61" spans="1:12" customFormat="1" x14ac:dyDescent="0.25">
      <c r="A61" s="91"/>
      <c r="B61" s="92"/>
      <c r="C61" s="92"/>
      <c r="D61" s="92"/>
      <c r="E61" s="92"/>
      <c r="F61" s="93"/>
      <c r="G61" s="93"/>
      <c r="H61" s="93"/>
      <c r="I61" s="43" t="str">
        <f>IF(Datos!$H60&gt;0,Datos!$H60-Datos!$F60+1 &amp; " " &amp; Idiomas!$A$29,"")</f>
        <v/>
      </c>
      <c r="J61" s="43" t="str" cm="1">
        <f t="array" ref="J61">IF(OR(Datos!$H60="",Datos!$A60=""),"",IF(AND(Datos!$H60=0,Datos!$G60&gt;0,Fecha_Hoy&gt;Datos!$G60),Fecha_Hoy-Datos!$G60,IF(Datos!$G60&lt;Datos!$H60,Datos!$H60-Datos!$G60,0))&amp; " " &amp; Idiomas!$A$29)</f>
        <v/>
      </c>
      <c r="K61" s="92"/>
      <c r="L61" s="44" t="str" cm="1">
        <f t="array" aca="1" ref="L61" ca="1">HYPERLINK("["&amp;Archivo_Nombre&amp;"]KANBAN!"&amp;IF(Tareas!$P60="","B2",Tareas!$P60),IF(Datos!$A60="","",Idiomas!$A$12&amp;" "&amp;ROW()-1))</f>
        <v/>
      </c>
    </row>
    <row r="62" spans="1:12" customFormat="1" x14ac:dyDescent="0.25">
      <c r="A62" s="94"/>
      <c r="B62" s="95"/>
      <c r="C62" s="95"/>
      <c r="D62" s="95"/>
      <c r="E62" s="95"/>
      <c r="F62" s="96"/>
      <c r="G62" s="96"/>
      <c r="H62" s="96"/>
      <c r="I62" s="45" t="str">
        <f>IF(Datos!$H61&gt;0,Datos!$H61-Datos!$F61+1 &amp; " " &amp; Idiomas!$A$29,"")</f>
        <v/>
      </c>
      <c r="J62" s="45" t="str" cm="1">
        <f t="array" ref="J62">IF(OR(Datos!$H61="",Datos!$A61=""),"",IF(AND(Datos!$H61=0,Datos!$G61&gt;0,Fecha_Hoy&gt;Datos!$G61),Fecha_Hoy-Datos!$G61,IF(Datos!$G61&lt;Datos!$H61,Datos!$H61-Datos!$G61,0))&amp; " " &amp; Idiomas!$A$29)</f>
        <v/>
      </c>
      <c r="K62" s="95"/>
      <c r="L62" s="46" t="str" cm="1">
        <f t="array" aca="1" ref="L62" ca="1">HYPERLINK("["&amp;Archivo_Nombre&amp;"]KANBAN!"&amp;IF(Tareas!$P61="","B2",Tareas!$P61),IF(Datos!$A61="","",Idiomas!$A$12&amp;" "&amp;ROW()-1))</f>
        <v/>
      </c>
    </row>
    <row r="63" spans="1:12" customFormat="1" x14ac:dyDescent="0.25">
      <c r="A63" s="91"/>
      <c r="B63" s="92"/>
      <c r="C63" s="92"/>
      <c r="D63" s="92"/>
      <c r="E63" s="92"/>
      <c r="F63" s="93"/>
      <c r="G63" s="93"/>
      <c r="H63" s="93"/>
      <c r="I63" s="43" t="str">
        <f>IF(Datos!$H62&gt;0,Datos!$H62-Datos!$F62+1 &amp; " " &amp; Idiomas!$A$29,"")</f>
        <v/>
      </c>
      <c r="J63" s="43" t="str" cm="1">
        <f t="array" ref="J63">IF(OR(Datos!$H62="",Datos!$A62=""),"",IF(AND(Datos!$H62=0,Datos!$G62&gt;0,Fecha_Hoy&gt;Datos!$G62),Fecha_Hoy-Datos!$G62,IF(Datos!$G62&lt;Datos!$H62,Datos!$H62-Datos!$G62,0))&amp; " " &amp; Idiomas!$A$29)</f>
        <v/>
      </c>
      <c r="K63" s="92"/>
      <c r="L63" s="44" t="str" cm="1">
        <f t="array" aca="1" ref="L63" ca="1">HYPERLINK("["&amp;Archivo_Nombre&amp;"]KANBAN!"&amp;IF(Tareas!$P62="","B2",Tareas!$P62),IF(Datos!$A62="","",Idiomas!$A$12&amp;" "&amp;ROW()-1))</f>
        <v/>
      </c>
    </row>
    <row r="64" spans="1:12" customFormat="1" x14ac:dyDescent="0.25">
      <c r="A64" s="94"/>
      <c r="B64" s="95"/>
      <c r="C64" s="95"/>
      <c r="D64" s="95"/>
      <c r="E64" s="95"/>
      <c r="F64" s="96"/>
      <c r="G64" s="96"/>
      <c r="H64" s="96"/>
      <c r="I64" s="45" t="str">
        <f>IF(Datos!$H63&gt;0,Datos!$H63-Datos!$F63+1 &amp; " " &amp; Idiomas!$A$29,"")</f>
        <v/>
      </c>
      <c r="J64" s="45" t="str" cm="1">
        <f t="array" ref="J64">IF(OR(Datos!$H63="",Datos!$A63=""),"",IF(AND(Datos!$H63=0,Datos!$G63&gt;0,Fecha_Hoy&gt;Datos!$G63),Fecha_Hoy-Datos!$G63,IF(Datos!$G63&lt;Datos!$H63,Datos!$H63-Datos!$G63,0))&amp; " " &amp; Idiomas!$A$29)</f>
        <v/>
      </c>
      <c r="K64" s="95"/>
      <c r="L64" s="46" t="str" cm="1">
        <f t="array" aca="1" ref="L64" ca="1">HYPERLINK("["&amp;Archivo_Nombre&amp;"]KANBAN!"&amp;IF(Tareas!$P63="","B2",Tareas!$P63),IF(Datos!$A63="","",Idiomas!$A$12&amp;" "&amp;ROW()-1))</f>
        <v/>
      </c>
    </row>
    <row r="65" spans="1:12" customFormat="1" x14ac:dyDescent="0.25">
      <c r="A65" s="91"/>
      <c r="B65" s="92"/>
      <c r="C65" s="92"/>
      <c r="D65" s="92"/>
      <c r="E65" s="92"/>
      <c r="F65" s="93"/>
      <c r="G65" s="93"/>
      <c r="H65" s="93"/>
      <c r="I65" s="43" t="str">
        <f>IF(Datos!$H64&gt;0,Datos!$H64-Datos!$F64+1 &amp; " " &amp; Idiomas!$A$29,"")</f>
        <v/>
      </c>
      <c r="J65" s="43" t="str" cm="1">
        <f t="array" ref="J65">IF(OR(Datos!$H64="",Datos!$A64=""),"",IF(AND(Datos!$H64=0,Datos!$G64&gt;0,Fecha_Hoy&gt;Datos!$G64),Fecha_Hoy-Datos!$G64,IF(Datos!$G64&lt;Datos!$H64,Datos!$H64-Datos!$G64,0))&amp; " " &amp; Idiomas!$A$29)</f>
        <v/>
      </c>
      <c r="K65" s="92"/>
      <c r="L65" s="44" t="str" cm="1">
        <f t="array" aca="1" ref="L65" ca="1">HYPERLINK("["&amp;Archivo_Nombre&amp;"]KANBAN!"&amp;IF(Tareas!$P64="","B2",Tareas!$P64),IF(Datos!$A64="","",Idiomas!$A$12&amp;" "&amp;ROW()-1))</f>
        <v/>
      </c>
    </row>
    <row r="66" spans="1:12" customFormat="1" x14ac:dyDescent="0.25">
      <c r="A66" s="94"/>
      <c r="B66" s="95"/>
      <c r="C66" s="95"/>
      <c r="D66" s="95"/>
      <c r="E66" s="95"/>
      <c r="F66" s="96"/>
      <c r="G66" s="96"/>
      <c r="H66" s="96"/>
      <c r="I66" s="45" t="str">
        <f>IF(Datos!$H65&gt;0,Datos!$H65-Datos!$F65+1 &amp; " " &amp; Idiomas!$A$29,"")</f>
        <v/>
      </c>
      <c r="J66" s="45" t="str" cm="1">
        <f t="array" ref="J66">IF(OR(Datos!$H65="",Datos!$A65=""),"",IF(AND(Datos!$H65=0,Datos!$G65&gt;0,Fecha_Hoy&gt;Datos!$G65),Fecha_Hoy-Datos!$G65,IF(Datos!$G65&lt;Datos!$H65,Datos!$H65-Datos!$G65,0))&amp; " " &amp; Idiomas!$A$29)</f>
        <v/>
      </c>
      <c r="K66" s="95"/>
      <c r="L66" s="46" t="str" cm="1">
        <f t="array" aca="1" ref="L66" ca="1">HYPERLINK("["&amp;Archivo_Nombre&amp;"]KANBAN!"&amp;IF(Tareas!$P65="","B2",Tareas!$P65),IF(Datos!$A65="","",Idiomas!$A$12&amp;" "&amp;ROW()-1))</f>
        <v/>
      </c>
    </row>
    <row r="67" spans="1:12" customFormat="1" x14ac:dyDescent="0.25">
      <c r="A67" s="91"/>
      <c r="B67" s="92"/>
      <c r="C67" s="92"/>
      <c r="D67" s="92"/>
      <c r="E67" s="92"/>
      <c r="F67" s="93"/>
      <c r="G67" s="93"/>
      <c r="H67" s="93"/>
      <c r="I67" s="43" t="str">
        <f>IF(Datos!$H66&gt;0,Datos!$H66-Datos!$F66+1 &amp; " " &amp; Idiomas!$A$29,"")</f>
        <v/>
      </c>
      <c r="J67" s="43" t="str" cm="1">
        <f t="array" ref="J67">IF(OR(Datos!$H66="",Datos!$A66=""),"",IF(AND(Datos!$H66=0,Datos!$G66&gt;0,Fecha_Hoy&gt;Datos!$G66),Fecha_Hoy-Datos!$G66,IF(Datos!$G66&lt;Datos!$H66,Datos!$H66-Datos!$G66,0))&amp; " " &amp; Idiomas!$A$29)</f>
        <v/>
      </c>
      <c r="K67" s="92"/>
      <c r="L67" s="44" t="str" cm="1">
        <f t="array" aca="1" ref="L67" ca="1">HYPERLINK("["&amp;Archivo_Nombre&amp;"]KANBAN!"&amp;IF(Tareas!$P66="","B2",Tareas!$P66),IF(Datos!$A66="","",Idiomas!$A$12&amp;" "&amp;ROW()-1))</f>
        <v/>
      </c>
    </row>
    <row r="68" spans="1:12" customFormat="1" x14ac:dyDescent="0.25">
      <c r="A68" s="94"/>
      <c r="B68" s="95"/>
      <c r="C68" s="95"/>
      <c r="D68" s="95"/>
      <c r="E68" s="95"/>
      <c r="F68" s="96"/>
      <c r="G68" s="96"/>
      <c r="H68" s="96"/>
      <c r="I68" s="45" t="str">
        <f>IF(Datos!$H67&gt;0,Datos!$H67-Datos!$F67+1 &amp; " " &amp; Idiomas!$A$29,"")</f>
        <v/>
      </c>
      <c r="J68" s="45" t="str" cm="1">
        <f t="array" ref="J68">IF(OR(Datos!$H67="",Datos!$A67=""),"",IF(AND(Datos!$H67=0,Datos!$G67&gt;0,Fecha_Hoy&gt;Datos!$G67),Fecha_Hoy-Datos!$G67,IF(Datos!$G67&lt;Datos!$H67,Datos!$H67-Datos!$G67,0))&amp; " " &amp; Idiomas!$A$29)</f>
        <v/>
      </c>
      <c r="K68" s="95"/>
      <c r="L68" s="46" t="str" cm="1">
        <f t="array" aca="1" ref="L68" ca="1">HYPERLINK("["&amp;Archivo_Nombre&amp;"]KANBAN!"&amp;IF(Tareas!$P67="","B2",Tareas!$P67),IF(Datos!$A67="","",Idiomas!$A$12&amp;" "&amp;ROW()-1))</f>
        <v/>
      </c>
    </row>
    <row r="69" spans="1:12" customFormat="1" x14ac:dyDescent="0.25">
      <c r="A69" s="91"/>
      <c r="B69" s="92"/>
      <c r="C69" s="92"/>
      <c r="D69" s="92"/>
      <c r="E69" s="92"/>
      <c r="F69" s="93"/>
      <c r="G69" s="93"/>
      <c r="H69" s="93"/>
      <c r="I69" s="43" t="str">
        <f>IF(Datos!$H68&gt;0,Datos!$H68-Datos!$F68+1 &amp; " " &amp; Idiomas!$A$29,"")</f>
        <v/>
      </c>
      <c r="J69" s="43" t="str" cm="1">
        <f t="array" ref="J69">IF(OR(Datos!$H68="",Datos!$A68=""),"",IF(AND(Datos!$H68=0,Datos!$G68&gt;0,Fecha_Hoy&gt;Datos!$G68),Fecha_Hoy-Datos!$G68,IF(Datos!$G68&lt;Datos!$H68,Datos!$H68-Datos!$G68,0))&amp; " " &amp; Idiomas!$A$29)</f>
        <v/>
      </c>
      <c r="K69" s="92"/>
      <c r="L69" s="44" t="str" cm="1">
        <f t="array" aca="1" ref="L69" ca="1">HYPERLINK("["&amp;Archivo_Nombre&amp;"]KANBAN!"&amp;IF(Tareas!$P68="","B2",Tareas!$P68),IF(Datos!$A68="","",Idiomas!$A$12&amp;" "&amp;ROW()-1))</f>
        <v/>
      </c>
    </row>
    <row r="70" spans="1:12" customFormat="1" x14ac:dyDescent="0.25">
      <c r="A70" s="94"/>
      <c r="B70" s="95"/>
      <c r="C70" s="95"/>
      <c r="D70" s="95"/>
      <c r="E70" s="95"/>
      <c r="F70" s="96"/>
      <c r="G70" s="96"/>
      <c r="H70" s="96"/>
      <c r="I70" s="45" t="str">
        <f>IF(Datos!$H69&gt;0,Datos!$H69-Datos!$F69+1 &amp; " " &amp; Idiomas!$A$29,"")</f>
        <v/>
      </c>
      <c r="J70" s="45" t="str" cm="1">
        <f t="array" ref="J70">IF(OR(Datos!$H69="",Datos!$A69=""),"",IF(AND(Datos!$H69=0,Datos!$G69&gt;0,Fecha_Hoy&gt;Datos!$G69),Fecha_Hoy-Datos!$G69,IF(Datos!$G69&lt;Datos!$H69,Datos!$H69-Datos!$G69,0))&amp; " " &amp; Idiomas!$A$29)</f>
        <v/>
      </c>
      <c r="K70" s="95"/>
      <c r="L70" s="46" t="str" cm="1">
        <f t="array" aca="1" ref="L70" ca="1">HYPERLINK("["&amp;Archivo_Nombre&amp;"]KANBAN!"&amp;IF(Tareas!$P69="","B2",Tareas!$P69),IF(Datos!$A69="","",Idiomas!$A$12&amp;" "&amp;ROW()-1))</f>
        <v/>
      </c>
    </row>
    <row r="71" spans="1:12" customFormat="1" x14ac:dyDescent="0.25">
      <c r="A71" s="91"/>
      <c r="B71" s="92"/>
      <c r="C71" s="92"/>
      <c r="D71" s="92"/>
      <c r="E71" s="92"/>
      <c r="F71" s="93"/>
      <c r="G71" s="93"/>
      <c r="H71" s="93"/>
      <c r="I71" s="43" t="str">
        <f>IF(Datos!$H70&gt;0,Datos!$H70-Datos!$F70+1 &amp; " " &amp; Idiomas!$A$29,"")</f>
        <v/>
      </c>
      <c r="J71" s="43" t="str" cm="1">
        <f t="array" ref="J71">IF(OR(Datos!$H70="",Datos!$A70=""),"",IF(AND(Datos!$H70=0,Datos!$G70&gt;0,Fecha_Hoy&gt;Datos!$G70),Fecha_Hoy-Datos!$G70,IF(Datos!$G70&lt;Datos!$H70,Datos!$H70-Datos!$G70,0))&amp; " " &amp; Idiomas!$A$29)</f>
        <v/>
      </c>
      <c r="K71" s="92"/>
      <c r="L71" s="44" t="str" cm="1">
        <f t="array" aca="1" ref="L71" ca="1">HYPERLINK("["&amp;Archivo_Nombre&amp;"]KANBAN!"&amp;IF(Tareas!$P70="","B2",Tareas!$P70),IF(Datos!$A70="","",Idiomas!$A$12&amp;" "&amp;ROW()-1))</f>
        <v/>
      </c>
    </row>
    <row r="72" spans="1:12" customFormat="1" x14ac:dyDescent="0.25">
      <c r="A72" s="94"/>
      <c r="B72" s="95"/>
      <c r="C72" s="95"/>
      <c r="D72" s="95"/>
      <c r="E72" s="95"/>
      <c r="F72" s="96"/>
      <c r="G72" s="96"/>
      <c r="H72" s="96"/>
      <c r="I72" s="45" t="str">
        <f>IF(Datos!$H71&gt;0,Datos!$H71-Datos!$F71+1 &amp; " " &amp; Idiomas!$A$29,"")</f>
        <v/>
      </c>
      <c r="J72" s="45" t="str" cm="1">
        <f t="array" ref="J72">IF(OR(Datos!$H71="",Datos!$A71=""),"",IF(AND(Datos!$H71=0,Datos!$G71&gt;0,Fecha_Hoy&gt;Datos!$G71),Fecha_Hoy-Datos!$G71,IF(Datos!$G71&lt;Datos!$H71,Datos!$H71-Datos!$G71,0))&amp; " " &amp; Idiomas!$A$29)</f>
        <v/>
      </c>
      <c r="K72" s="95"/>
      <c r="L72" s="46" t="str" cm="1">
        <f t="array" aca="1" ref="L72" ca="1">HYPERLINK("["&amp;Archivo_Nombre&amp;"]KANBAN!"&amp;IF(Tareas!$P71="","B2",Tareas!$P71),IF(Datos!$A71="","",Idiomas!$A$12&amp;" "&amp;ROW()-1))</f>
        <v/>
      </c>
    </row>
    <row r="73" spans="1:12" customFormat="1" x14ac:dyDescent="0.25">
      <c r="A73" s="91"/>
      <c r="B73" s="92"/>
      <c r="C73" s="92"/>
      <c r="D73" s="92"/>
      <c r="E73" s="92"/>
      <c r="F73" s="93"/>
      <c r="G73" s="93"/>
      <c r="H73" s="93"/>
      <c r="I73" s="43" t="str">
        <f>IF(Datos!$H72&gt;0,Datos!$H72-Datos!$F72+1 &amp; " " &amp; Idiomas!$A$29,"")</f>
        <v/>
      </c>
      <c r="J73" s="43" t="str" cm="1">
        <f t="array" ref="J73">IF(OR(Datos!$H72="",Datos!$A72=""),"",IF(AND(Datos!$H72=0,Datos!$G72&gt;0,Fecha_Hoy&gt;Datos!$G72),Fecha_Hoy-Datos!$G72,IF(Datos!$G72&lt;Datos!$H72,Datos!$H72-Datos!$G72,0))&amp; " " &amp; Idiomas!$A$29)</f>
        <v/>
      </c>
      <c r="K73" s="92"/>
      <c r="L73" s="44" t="str" cm="1">
        <f t="array" aca="1" ref="L73" ca="1">HYPERLINK("["&amp;Archivo_Nombre&amp;"]KANBAN!"&amp;IF(Tareas!$P72="","B2",Tareas!$P72),IF(Datos!$A72="","",Idiomas!$A$12&amp;" "&amp;ROW()-1))</f>
        <v/>
      </c>
    </row>
    <row r="74" spans="1:12" customFormat="1" x14ac:dyDescent="0.25">
      <c r="A74" s="94"/>
      <c r="B74" s="95"/>
      <c r="C74" s="95"/>
      <c r="D74" s="95"/>
      <c r="E74" s="95"/>
      <c r="F74" s="96"/>
      <c r="G74" s="96"/>
      <c r="H74" s="96"/>
      <c r="I74" s="45" t="str">
        <f>IF(Datos!$H73&gt;0,Datos!$H73-Datos!$F73+1 &amp; " " &amp; Idiomas!$A$29,"")</f>
        <v/>
      </c>
      <c r="J74" s="45" t="str" cm="1">
        <f t="array" ref="J74">IF(OR(Datos!$H73="",Datos!$A73=""),"",IF(AND(Datos!$H73=0,Datos!$G73&gt;0,Fecha_Hoy&gt;Datos!$G73),Fecha_Hoy-Datos!$G73,IF(Datos!$G73&lt;Datos!$H73,Datos!$H73-Datos!$G73,0))&amp; " " &amp; Idiomas!$A$29)</f>
        <v/>
      </c>
      <c r="K74" s="95"/>
      <c r="L74" s="46" t="str" cm="1">
        <f t="array" aca="1" ref="L74" ca="1">HYPERLINK("["&amp;Archivo_Nombre&amp;"]KANBAN!"&amp;IF(Tareas!$P73="","B2",Tareas!$P73),IF(Datos!$A73="","",Idiomas!$A$12&amp;" "&amp;ROW()-1))</f>
        <v/>
      </c>
    </row>
    <row r="75" spans="1:12" customFormat="1" x14ac:dyDescent="0.25">
      <c r="A75" s="91"/>
      <c r="B75" s="92"/>
      <c r="C75" s="92"/>
      <c r="D75" s="92"/>
      <c r="E75" s="92"/>
      <c r="F75" s="93"/>
      <c r="G75" s="93"/>
      <c r="H75" s="93"/>
      <c r="I75" s="43" t="str">
        <f>IF(Datos!$H74&gt;0,Datos!$H74-Datos!$F74+1 &amp; " " &amp; Idiomas!$A$29,"")</f>
        <v/>
      </c>
      <c r="J75" s="43" t="str" cm="1">
        <f t="array" ref="J75">IF(OR(Datos!$H74="",Datos!$A74=""),"",IF(AND(Datos!$H74=0,Datos!$G74&gt;0,Fecha_Hoy&gt;Datos!$G74),Fecha_Hoy-Datos!$G74,IF(Datos!$G74&lt;Datos!$H74,Datos!$H74-Datos!$G74,0))&amp; " " &amp; Idiomas!$A$29)</f>
        <v/>
      </c>
      <c r="K75" s="92"/>
      <c r="L75" s="44" t="str" cm="1">
        <f t="array" aca="1" ref="L75" ca="1">HYPERLINK("["&amp;Archivo_Nombre&amp;"]KANBAN!"&amp;IF(Tareas!$P74="","B2",Tareas!$P74),IF(Datos!$A74="","",Idiomas!$A$12&amp;" "&amp;ROW()-1))</f>
        <v/>
      </c>
    </row>
    <row r="76" spans="1:12" customFormat="1" x14ac:dyDescent="0.25">
      <c r="A76" s="94"/>
      <c r="B76" s="95"/>
      <c r="C76" s="95"/>
      <c r="D76" s="95"/>
      <c r="E76" s="95"/>
      <c r="F76" s="96"/>
      <c r="G76" s="96"/>
      <c r="H76" s="96"/>
      <c r="I76" s="45" t="str">
        <f>IF(Datos!$H75&gt;0,Datos!$H75-Datos!$F75+1 &amp; " " &amp; Idiomas!$A$29,"")</f>
        <v/>
      </c>
      <c r="J76" s="45" t="str" cm="1">
        <f t="array" ref="J76">IF(OR(Datos!$H75="",Datos!$A75=""),"",IF(AND(Datos!$H75=0,Datos!$G75&gt;0,Fecha_Hoy&gt;Datos!$G75),Fecha_Hoy-Datos!$G75,IF(Datos!$G75&lt;Datos!$H75,Datos!$H75-Datos!$G75,0))&amp; " " &amp; Idiomas!$A$29)</f>
        <v/>
      </c>
      <c r="K76" s="95"/>
      <c r="L76" s="46" t="str" cm="1">
        <f t="array" aca="1" ref="L76" ca="1">HYPERLINK("["&amp;Archivo_Nombre&amp;"]KANBAN!"&amp;IF(Tareas!$P75="","B2",Tareas!$P75),IF(Datos!$A75="","",Idiomas!$A$12&amp;" "&amp;ROW()-1))</f>
        <v/>
      </c>
    </row>
    <row r="77" spans="1:12" customFormat="1" x14ac:dyDescent="0.25">
      <c r="A77" s="91"/>
      <c r="B77" s="92"/>
      <c r="C77" s="92"/>
      <c r="D77" s="92"/>
      <c r="E77" s="92"/>
      <c r="F77" s="93"/>
      <c r="G77" s="93"/>
      <c r="H77" s="93"/>
      <c r="I77" s="43" t="str">
        <f>IF(Datos!$H76&gt;0,Datos!$H76-Datos!$F76+1 &amp; " " &amp; Idiomas!$A$29,"")</f>
        <v/>
      </c>
      <c r="J77" s="43" t="str" cm="1">
        <f t="array" ref="J77">IF(OR(Datos!$H76="",Datos!$A76=""),"",IF(AND(Datos!$H76=0,Datos!$G76&gt;0,Fecha_Hoy&gt;Datos!$G76),Fecha_Hoy-Datos!$G76,IF(Datos!$G76&lt;Datos!$H76,Datos!$H76-Datos!$G76,0))&amp; " " &amp; Idiomas!$A$29)</f>
        <v/>
      </c>
      <c r="K77" s="92"/>
      <c r="L77" s="44" t="str" cm="1">
        <f t="array" aca="1" ref="L77" ca="1">HYPERLINK("["&amp;Archivo_Nombre&amp;"]KANBAN!"&amp;IF(Tareas!$P76="","B2",Tareas!$P76),IF(Datos!$A76="","",Idiomas!$A$12&amp;" "&amp;ROW()-1))</f>
        <v/>
      </c>
    </row>
    <row r="78" spans="1:12" customFormat="1" x14ac:dyDescent="0.25">
      <c r="A78" s="94"/>
      <c r="B78" s="95"/>
      <c r="C78" s="95"/>
      <c r="D78" s="95"/>
      <c r="E78" s="95"/>
      <c r="F78" s="96"/>
      <c r="G78" s="96"/>
      <c r="H78" s="96"/>
      <c r="I78" s="45" t="str">
        <f>IF(Datos!$H77&gt;0,Datos!$H77-Datos!$F77+1 &amp; " " &amp; Idiomas!$A$29,"")</f>
        <v/>
      </c>
      <c r="J78" s="45" t="str" cm="1">
        <f t="array" ref="J78">IF(OR(Datos!$H77="",Datos!$A77=""),"",IF(AND(Datos!$H77=0,Datos!$G77&gt;0,Fecha_Hoy&gt;Datos!$G77),Fecha_Hoy-Datos!$G77,IF(Datos!$G77&lt;Datos!$H77,Datos!$H77-Datos!$G77,0))&amp; " " &amp; Idiomas!$A$29)</f>
        <v/>
      </c>
      <c r="K78" s="95"/>
      <c r="L78" s="46" t="str" cm="1">
        <f t="array" aca="1" ref="L78" ca="1">HYPERLINK("["&amp;Archivo_Nombre&amp;"]KANBAN!"&amp;IF(Tareas!$P77="","B2",Tareas!$P77),IF(Datos!$A77="","",Idiomas!$A$12&amp;" "&amp;ROW()-1))</f>
        <v/>
      </c>
    </row>
    <row r="79" spans="1:12" customFormat="1" x14ac:dyDescent="0.25">
      <c r="A79" s="91"/>
      <c r="B79" s="92"/>
      <c r="C79" s="92"/>
      <c r="D79" s="92"/>
      <c r="E79" s="92"/>
      <c r="F79" s="93"/>
      <c r="G79" s="93"/>
      <c r="H79" s="93"/>
      <c r="I79" s="43" t="str">
        <f>IF(Datos!$H78&gt;0,Datos!$H78-Datos!$F78+1 &amp; " " &amp; Idiomas!$A$29,"")</f>
        <v/>
      </c>
      <c r="J79" s="43" t="str" cm="1">
        <f t="array" ref="J79">IF(OR(Datos!$H78="",Datos!$A78=""),"",IF(AND(Datos!$H78=0,Datos!$G78&gt;0,Fecha_Hoy&gt;Datos!$G78),Fecha_Hoy-Datos!$G78,IF(Datos!$G78&lt;Datos!$H78,Datos!$H78-Datos!$G78,0))&amp; " " &amp; Idiomas!$A$29)</f>
        <v/>
      </c>
      <c r="K79" s="92"/>
      <c r="L79" s="44" t="str" cm="1">
        <f t="array" aca="1" ref="L79" ca="1">HYPERLINK("["&amp;Archivo_Nombre&amp;"]KANBAN!"&amp;IF(Tareas!$P78="","B2",Tareas!$P78),IF(Datos!$A78="","",Idiomas!$A$12&amp;" "&amp;ROW()-1))</f>
        <v/>
      </c>
    </row>
    <row r="80" spans="1:12" customFormat="1" x14ac:dyDescent="0.25">
      <c r="A80" s="94"/>
      <c r="B80" s="95"/>
      <c r="C80" s="95"/>
      <c r="D80" s="95"/>
      <c r="E80" s="95"/>
      <c r="F80" s="96"/>
      <c r="G80" s="96"/>
      <c r="H80" s="96"/>
      <c r="I80" s="45" t="str">
        <f>IF(Datos!$H79&gt;0,Datos!$H79-Datos!$F79+1 &amp; " " &amp; Idiomas!$A$29,"")</f>
        <v/>
      </c>
      <c r="J80" s="45" t="str" cm="1">
        <f t="array" ref="J80">IF(OR(Datos!$H79="",Datos!$A79=""),"",IF(AND(Datos!$H79=0,Datos!$G79&gt;0,Fecha_Hoy&gt;Datos!$G79),Fecha_Hoy-Datos!$G79,IF(Datos!$G79&lt;Datos!$H79,Datos!$H79-Datos!$G79,0))&amp; " " &amp; Idiomas!$A$29)</f>
        <v/>
      </c>
      <c r="K80" s="95"/>
      <c r="L80" s="46" t="str" cm="1">
        <f t="array" aca="1" ref="L80" ca="1">HYPERLINK("["&amp;Archivo_Nombre&amp;"]KANBAN!"&amp;IF(Tareas!$P79="","B2",Tareas!$P79),IF(Datos!$A79="","",Idiomas!$A$12&amp;" "&amp;ROW()-1))</f>
        <v/>
      </c>
    </row>
    <row r="81" spans="1:12" customFormat="1" x14ac:dyDescent="0.25">
      <c r="A81" s="91"/>
      <c r="B81" s="92"/>
      <c r="C81" s="92"/>
      <c r="D81" s="92"/>
      <c r="E81" s="92"/>
      <c r="F81" s="93"/>
      <c r="G81" s="93"/>
      <c r="H81" s="93"/>
      <c r="I81" s="43" t="str">
        <f>IF(Datos!$H80&gt;0,Datos!$H80-Datos!$F80+1 &amp; " " &amp; Idiomas!$A$29,"")</f>
        <v/>
      </c>
      <c r="J81" s="43" t="str" cm="1">
        <f t="array" ref="J81">IF(OR(Datos!$H80="",Datos!$A80=""),"",IF(AND(Datos!$H80=0,Datos!$G80&gt;0,Fecha_Hoy&gt;Datos!$G80),Fecha_Hoy-Datos!$G80,IF(Datos!$G80&lt;Datos!$H80,Datos!$H80-Datos!$G80,0))&amp; " " &amp; Idiomas!$A$29)</f>
        <v/>
      </c>
      <c r="K81" s="92"/>
      <c r="L81" s="44" t="str" cm="1">
        <f t="array" aca="1" ref="L81" ca="1">HYPERLINK("["&amp;Archivo_Nombre&amp;"]KANBAN!"&amp;IF(Tareas!$P80="","B2",Tareas!$P80),IF(Datos!$A80="","",Idiomas!$A$12&amp;" "&amp;ROW()-1))</f>
        <v/>
      </c>
    </row>
    <row r="82" spans="1:12" customFormat="1" x14ac:dyDescent="0.25">
      <c r="A82" s="94"/>
      <c r="B82" s="95"/>
      <c r="C82" s="95"/>
      <c r="D82" s="95"/>
      <c r="E82" s="95"/>
      <c r="F82" s="96"/>
      <c r="G82" s="96"/>
      <c r="H82" s="96"/>
      <c r="I82" s="45" t="str">
        <f>IF(Datos!$H81&gt;0,Datos!$H81-Datos!$F81+1 &amp; " " &amp; Idiomas!$A$29,"")</f>
        <v/>
      </c>
      <c r="J82" s="45" t="str" cm="1">
        <f t="array" ref="J82">IF(OR(Datos!$H81="",Datos!$A81=""),"",IF(AND(Datos!$H81=0,Datos!$G81&gt;0,Fecha_Hoy&gt;Datos!$G81),Fecha_Hoy-Datos!$G81,IF(Datos!$G81&lt;Datos!$H81,Datos!$H81-Datos!$G81,0))&amp; " " &amp; Idiomas!$A$29)</f>
        <v/>
      </c>
      <c r="K82" s="95"/>
      <c r="L82" s="46" t="str" cm="1">
        <f t="array" aca="1" ref="L82" ca="1">HYPERLINK("["&amp;Archivo_Nombre&amp;"]KANBAN!"&amp;IF(Tareas!$P81="","B2",Tareas!$P81),IF(Datos!$A81="","",Idiomas!$A$12&amp;" "&amp;ROW()-1))</f>
        <v/>
      </c>
    </row>
    <row r="83" spans="1:12" customFormat="1" x14ac:dyDescent="0.25">
      <c r="A83" s="91"/>
      <c r="B83" s="92"/>
      <c r="C83" s="92"/>
      <c r="D83" s="92"/>
      <c r="E83" s="92"/>
      <c r="F83" s="93"/>
      <c r="G83" s="93"/>
      <c r="H83" s="93"/>
      <c r="I83" s="43" t="str">
        <f>IF(Datos!$H82&gt;0,Datos!$H82-Datos!$F82+1 &amp; " " &amp; Idiomas!$A$29,"")</f>
        <v/>
      </c>
      <c r="J83" s="43" t="str" cm="1">
        <f t="array" ref="J83">IF(OR(Datos!$H82="",Datos!$A82=""),"",IF(AND(Datos!$H82=0,Datos!$G82&gt;0,Fecha_Hoy&gt;Datos!$G82),Fecha_Hoy-Datos!$G82,IF(Datos!$G82&lt;Datos!$H82,Datos!$H82-Datos!$G82,0))&amp; " " &amp; Idiomas!$A$29)</f>
        <v/>
      </c>
      <c r="K83" s="92"/>
      <c r="L83" s="44" t="str" cm="1">
        <f t="array" aca="1" ref="L83" ca="1">HYPERLINK("["&amp;Archivo_Nombre&amp;"]KANBAN!"&amp;IF(Tareas!$P82="","B2",Tareas!$P82),IF(Datos!$A82="","",Idiomas!$A$12&amp;" "&amp;ROW()-1))</f>
        <v/>
      </c>
    </row>
    <row r="84" spans="1:12" customFormat="1" x14ac:dyDescent="0.25">
      <c r="A84" s="94"/>
      <c r="B84" s="95"/>
      <c r="C84" s="95"/>
      <c r="D84" s="95"/>
      <c r="E84" s="95"/>
      <c r="F84" s="96"/>
      <c r="G84" s="96"/>
      <c r="H84" s="96"/>
      <c r="I84" s="45" t="str">
        <f>IF(Datos!$H83&gt;0,Datos!$H83-Datos!$F83+1 &amp; " " &amp; Idiomas!$A$29,"")</f>
        <v/>
      </c>
      <c r="J84" s="45" t="str" cm="1">
        <f t="array" ref="J84">IF(OR(Datos!$H83="",Datos!$A83=""),"",IF(AND(Datos!$H83=0,Datos!$G83&gt;0,Fecha_Hoy&gt;Datos!$G83),Fecha_Hoy-Datos!$G83,IF(Datos!$G83&lt;Datos!$H83,Datos!$H83-Datos!$G83,0))&amp; " " &amp; Idiomas!$A$29)</f>
        <v/>
      </c>
      <c r="K84" s="95"/>
      <c r="L84" s="46" t="str" cm="1">
        <f t="array" aca="1" ref="L84" ca="1">HYPERLINK("["&amp;Archivo_Nombre&amp;"]KANBAN!"&amp;IF(Tareas!$P83="","B2",Tareas!$P83),IF(Datos!$A83="","",Idiomas!$A$12&amp;" "&amp;ROW()-1))</f>
        <v/>
      </c>
    </row>
    <row r="85" spans="1:12" customFormat="1" x14ac:dyDescent="0.25">
      <c r="A85" s="91"/>
      <c r="B85" s="92"/>
      <c r="C85" s="92"/>
      <c r="D85" s="92"/>
      <c r="E85" s="92"/>
      <c r="F85" s="93"/>
      <c r="G85" s="93"/>
      <c r="H85" s="93"/>
      <c r="I85" s="43" t="str">
        <f>IF(Datos!$H84&gt;0,Datos!$H84-Datos!$F84+1 &amp; " " &amp; Idiomas!$A$29,"")</f>
        <v/>
      </c>
      <c r="J85" s="43" t="str" cm="1">
        <f t="array" ref="J85">IF(OR(Datos!$H84="",Datos!$A84=""),"",IF(AND(Datos!$H84=0,Datos!$G84&gt;0,Fecha_Hoy&gt;Datos!$G84),Fecha_Hoy-Datos!$G84,IF(Datos!$G84&lt;Datos!$H84,Datos!$H84-Datos!$G84,0))&amp; " " &amp; Idiomas!$A$29)</f>
        <v/>
      </c>
      <c r="K85" s="92"/>
      <c r="L85" s="44" t="str" cm="1">
        <f t="array" aca="1" ref="L85" ca="1">HYPERLINK("["&amp;Archivo_Nombre&amp;"]KANBAN!"&amp;IF(Tareas!$P84="","B2",Tareas!$P84),IF(Datos!$A84="","",Idiomas!$A$12&amp;" "&amp;ROW()-1))</f>
        <v/>
      </c>
    </row>
    <row r="86" spans="1:12" customFormat="1" x14ac:dyDescent="0.25">
      <c r="A86" s="91"/>
      <c r="B86" s="92"/>
      <c r="C86" s="92"/>
      <c r="D86" s="92"/>
      <c r="E86" s="92"/>
      <c r="F86" s="93"/>
      <c r="G86" s="93"/>
      <c r="H86" s="93"/>
      <c r="I86" s="43" t="str">
        <f>IF(Datos!$H86&gt;0,Datos!$H86-Datos!$F86+1 &amp; " " &amp; Idiomas!$A$29,"")</f>
        <v/>
      </c>
      <c r="J86" s="43" t="str" cm="1">
        <f t="array" ref="J86">IF(OR(Datos!$H86="",Datos!$A86=""),"",IF(AND(Datos!$H86=0,Datos!$G86&gt;0,Fecha_Hoy&gt;Datos!$G86),Fecha_Hoy-Datos!$G86,IF(Datos!$G86&lt;Datos!$H86,Datos!$H86-Datos!$G86,0))&amp; " " &amp; Idiomas!$A$29)</f>
        <v/>
      </c>
      <c r="K86" s="92"/>
      <c r="L86" s="44" t="str" cm="1">
        <f t="array" aca="1" ref="L86" ca="1">HYPERLINK("["&amp;Archivo_Nombre&amp;"]KANBAN!"&amp;IF(Tareas!$P86="","B2",Tareas!$P86),IF(Datos!$A86="","",Idiomas!$A$12&amp;" "&amp;ROW()-1))</f>
        <v/>
      </c>
    </row>
    <row r="87" spans="1:12" customFormat="1" x14ac:dyDescent="0.25">
      <c r="A87" s="94"/>
      <c r="B87" s="95"/>
      <c r="C87" s="95"/>
      <c r="D87" s="95"/>
      <c r="E87" s="95"/>
      <c r="F87" s="96"/>
      <c r="G87" s="96"/>
      <c r="H87" s="96"/>
      <c r="I87" s="45" t="str">
        <f>IF(Datos!$H87&gt;0,Datos!$H87-Datos!$F87+1 &amp; " " &amp; Idiomas!$A$29,"")</f>
        <v/>
      </c>
      <c r="J87" s="45" t="str" cm="1">
        <f t="array" ref="J87">IF(OR(Datos!$H87="",Datos!$A87=""),"",IF(AND(Datos!$H87=0,Datos!$G87&gt;0,Fecha_Hoy&gt;Datos!$G87),Fecha_Hoy-Datos!$G87,IF(Datos!$G87&lt;Datos!$H87,Datos!$H87-Datos!$G87,0))&amp; " " &amp; Idiomas!$A$29)</f>
        <v/>
      </c>
      <c r="K87" s="95"/>
      <c r="L87" s="46" t="str" cm="1">
        <f t="array" aca="1" ref="L87" ca="1">HYPERLINK("["&amp;Archivo_Nombre&amp;"]KANBAN!"&amp;IF(Tareas!$P87="","B2",Tareas!$P87),IF(Datos!$A87="","",Idiomas!$A$12&amp;" "&amp;ROW()-1))</f>
        <v/>
      </c>
    </row>
    <row r="88" spans="1:12" customFormat="1" x14ac:dyDescent="0.25">
      <c r="A88" s="91"/>
      <c r="B88" s="92"/>
      <c r="C88" s="92"/>
      <c r="D88" s="92"/>
      <c r="E88" s="92"/>
      <c r="F88" s="93"/>
      <c r="G88" s="93"/>
      <c r="H88" s="93"/>
      <c r="I88" s="43" t="str">
        <f>IF(Datos!$H88&gt;0,Datos!$H88-Datos!$F88+1 &amp; " " &amp; Idiomas!$A$29,"")</f>
        <v/>
      </c>
      <c r="J88" s="43" t="str" cm="1">
        <f t="array" ref="J88">IF(OR(Datos!$H88="",Datos!$A88=""),"",IF(AND(Datos!$H88=0,Datos!$G88&gt;0,Fecha_Hoy&gt;Datos!$G88),Fecha_Hoy-Datos!$G88,IF(Datos!$G88&lt;Datos!$H88,Datos!$H88-Datos!$G88,0))&amp; " " &amp; Idiomas!$A$29)</f>
        <v/>
      </c>
      <c r="K88" s="92"/>
      <c r="L88" s="44" t="str" cm="1">
        <f t="array" aca="1" ref="L88" ca="1">HYPERLINK("["&amp;Archivo_Nombre&amp;"]KANBAN!"&amp;IF(Tareas!$P88="","B2",Tareas!$P88),IF(Datos!$A88="","",Idiomas!$A$12&amp;" "&amp;ROW()-1))</f>
        <v/>
      </c>
    </row>
    <row r="89" spans="1:12" customFormat="1" x14ac:dyDescent="0.25">
      <c r="A89" s="94"/>
      <c r="B89" s="95"/>
      <c r="C89" s="95"/>
      <c r="D89" s="95"/>
      <c r="E89" s="95"/>
      <c r="F89" s="96"/>
      <c r="G89" s="96"/>
      <c r="H89" s="96"/>
      <c r="I89" s="45" t="str">
        <f>IF(Datos!$H89&gt;0,Datos!$H89-Datos!$F89+1 &amp; " " &amp; Idiomas!$A$29,"")</f>
        <v/>
      </c>
      <c r="J89" s="45" t="str" cm="1">
        <f t="array" ref="J89">IF(OR(Datos!$H89="",Datos!$A89=""),"",IF(AND(Datos!$H89=0,Datos!$G89&gt;0,Fecha_Hoy&gt;Datos!$G89),Fecha_Hoy-Datos!$G89,IF(Datos!$G89&lt;Datos!$H89,Datos!$H89-Datos!$G89,0))&amp; " " &amp; Idiomas!$A$29)</f>
        <v/>
      </c>
      <c r="K89" s="95"/>
      <c r="L89" s="46" t="str" cm="1">
        <f t="array" aca="1" ref="L89" ca="1">HYPERLINK("["&amp;Archivo_Nombre&amp;"]KANBAN!"&amp;IF(Tareas!$P89="","B2",Tareas!$P89),IF(Datos!$A89="","",Idiomas!$A$12&amp;" "&amp;ROW()-1))</f>
        <v/>
      </c>
    </row>
    <row r="90" spans="1:12" customFormat="1" x14ac:dyDescent="0.25">
      <c r="A90" s="91"/>
      <c r="B90" s="92"/>
      <c r="C90" s="92"/>
      <c r="D90" s="92"/>
      <c r="E90" s="92"/>
      <c r="F90" s="93"/>
      <c r="G90" s="93"/>
      <c r="H90" s="93"/>
      <c r="I90" s="43" t="str">
        <f>IF(Datos!$H90&gt;0,Datos!$H90-Datos!$F90+1 &amp; " " &amp; Idiomas!$A$29,"")</f>
        <v/>
      </c>
      <c r="J90" s="43" t="str" cm="1">
        <f t="array" ref="J90">IF(OR(Datos!$H90="",Datos!$A90=""),"",IF(AND(Datos!$H90=0,Datos!$G90&gt;0,Fecha_Hoy&gt;Datos!$G90),Fecha_Hoy-Datos!$G90,IF(Datos!$G90&lt;Datos!$H90,Datos!$H90-Datos!$G90,0))&amp; " " &amp; Idiomas!$A$29)</f>
        <v/>
      </c>
      <c r="K90" s="92"/>
      <c r="L90" s="44" t="str" cm="1">
        <f t="array" aca="1" ref="L90" ca="1">HYPERLINK("["&amp;Archivo_Nombre&amp;"]KANBAN!"&amp;IF(Tareas!$P90="","B2",Tareas!$P90),IF(Datos!$A90="","",Idiomas!$A$12&amp;" "&amp;ROW()-1))</f>
        <v/>
      </c>
    </row>
    <row r="91" spans="1:12" customFormat="1" x14ac:dyDescent="0.25">
      <c r="A91" s="94"/>
      <c r="B91" s="95"/>
      <c r="C91" s="95"/>
      <c r="D91" s="95"/>
      <c r="E91" s="95"/>
      <c r="F91" s="96"/>
      <c r="G91" s="96"/>
      <c r="H91" s="96"/>
      <c r="I91" s="45" t="str">
        <f>IF(Datos!$H91&gt;0,Datos!$H91-Datos!$F91+1 &amp; " " &amp; Idiomas!$A$29,"")</f>
        <v/>
      </c>
      <c r="J91" s="45" t="str" cm="1">
        <f t="array" ref="J91">IF(OR(Datos!$H91="",Datos!$A91=""),"",IF(AND(Datos!$H91=0,Datos!$G91&gt;0,Fecha_Hoy&gt;Datos!$G91),Fecha_Hoy-Datos!$G91,IF(Datos!$G91&lt;Datos!$H91,Datos!$H91-Datos!$G91,0))&amp; " " &amp; Idiomas!$A$29)</f>
        <v/>
      </c>
      <c r="K91" s="95"/>
      <c r="L91" s="46" t="str" cm="1">
        <f t="array" aca="1" ref="L91" ca="1">HYPERLINK("["&amp;Archivo_Nombre&amp;"]KANBAN!"&amp;IF(Tareas!$P91="","B2",Tareas!$P91),IF(Datos!$A91="","",Idiomas!$A$12&amp;" "&amp;ROW()-1))</f>
        <v/>
      </c>
    </row>
    <row r="92" spans="1:12" customFormat="1" x14ac:dyDescent="0.25">
      <c r="A92" s="91"/>
      <c r="B92" s="92"/>
      <c r="C92" s="92"/>
      <c r="D92" s="92"/>
      <c r="E92" s="92"/>
      <c r="F92" s="93"/>
      <c r="G92" s="93"/>
      <c r="H92" s="93"/>
      <c r="I92" s="43" t="str">
        <f>IF(Datos!$H92&gt;0,Datos!$H92-Datos!$F92+1 &amp; " " &amp; Idiomas!$A$29,"")</f>
        <v/>
      </c>
      <c r="J92" s="43" t="str" cm="1">
        <f t="array" ref="J92">IF(OR(Datos!$H92="",Datos!$A92=""),"",IF(AND(Datos!$H92=0,Datos!$G92&gt;0,Fecha_Hoy&gt;Datos!$G92),Fecha_Hoy-Datos!$G92,IF(Datos!$G92&lt;Datos!$H92,Datos!$H92-Datos!$G92,0))&amp; " " &amp; Idiomas!$A$29)</f>
        <v/>
      </c>
      <c r="K92" s="92"/>
      <c r="L92" s="44" t="str" cm="1">
        <f t="array" aca="1" ref="L92" ca="1">HYPERLINK("["&amp;Archivo_Nombre&amp;"]KANBAN!"&amp;IF(Tareas!$P92="","B2",Tareas!$P92),IF(Datos!$A92="","",Idiomas!$A$12&amp;" "&amp;ROW()-1))</f>
        <v/>
      </c>
    </row>
    <row r="93" spans="1:12" customFormat="1" x14ac:dyDescent="0.25">
      <c r="A93" s="94"/>
      <c r="B93" s="95"/>
      <c r="C93" s="95"/>
      <c r="D93" s="95"/>
      <c r="E93" s="95"/>
      <c r="F93" s="96"/>
      <c r="G93" s="96"/>
      <c r="H93" s="96"/>
      <c r="I93" s="45" t="str">
        <f>IF(Datos!$H93&gt;0,Datos!$H93-Datos!$F93+1 &amp; " " &amp; Idiomas!$A$29,"")</f>
        <v/>
      </c>
      <c r="J93" s="45" t="str" cm="1">
        <f t="array" ref="J93">IF(OR(Datos!$H93="",Datos!$A93=""),"",IF(AND(Datos!$H93=0,Datos!$G93&gt;0,Fecha_Hoy&gt;Datos!$G93),Fecha_Hoy-Datos!$G93,IF(Datos!$G93&lt;Datos!$H93,Datos!$H93-Datos!$G93,0))&amp; " " &amp; Idiomas!$A$29)</f>
        <v/>
      </c>
      <c r="K93" s="95"/>
      <c r="L93" s="46" t="str" cm="1">
        <f t="array" aca="1" ref="L93" ca="1">HYPERLINK("["&amp;Archivo_Nombre&amp;"]KANBAN!"&amp;IF(Tareas!$P93="","B2",Tareas!$P93),IF(Datos!$A93="","",Idiomas!$A$12&amp;" "&amp;ROW()-1))</f>
        <v/>
      </c>
    </row>
    <row r="94" spans="1:12" customFormat="1" x14ac:dyDescent="0.25">
      <c r="A94" s="91"/>
      <c r="B94" s="92"/>
      <c r="C94" s="92"/>
      <c r="D94" s="92"/>
      <c r="E94" s="92"/>
      <c r="F94" s="93"/>
      <c r="G94" s="93"/>
      <c r="H94" s="93"/>
      <c r="I94" s="43" t="str">
        <f>IF(Datos!$H94&gt;0,Datos!$H94-Datos!$F94+1 &amp; " " &amp; Idiomas!$A$29,"")</f>
        <v/>
      </c>
      <c r="J94" s="43" t="str" cm="1">
        <f t="array" ref="J94">IF(OR(Datos!$H94="",Datos!$A94=""),"",IF(AND(Datos!$H94=0,Datos!$G94&gt;0,Fecha_Hoy&gt;Datos!$G94),Fecha_Hoy-Datos!$G94,IF(Datos!$G94&lt;Datos!$H94,Datos!$H94-Datos!$G94,0))&amp; " " &amp; Idiomas!$A$29)</f>
        <v/>
      </c>
      <c r="K94" s="92"/>
      <c r="L94" s="44" t="str" cm="1">
        <f t="array" aca="1" ref="L94" ca="1">HYPERLINK("["&amp;Archivo_Nombre&amp;"]KANBAN!"&amp;IF(Tareas!$P94="","B2",Tareas!$P94),IF(Datos!$A94="","",Idiomas!$A$12&amp;" "&amp;ROW()-1))</f>
        <v/>
      </c>
    </row>
    <row r="95" spans="1:12" customFormat="1" x14ac:dyDescent="0.25">
      <c r="A95" s="94"/>
      <c r="B95" s="95"/>
      <c r="C95" s="95"/>
      <c r="D95" s="95"/>
      <c r="E95" s="95"/>
      <c r="F95" s="96"/>
      <c r="G95" s="96"/>
      <c r="H95" s="96"/>
      <c r="I95" s="45" t="str">
        <f>IF(Datos!$H95&gt;0,Datos!$H95-Datos!$F95+1 &amp; " " &amp; Idiomas!$A$29,"")</f>
        <v/>
      </c>
      <c r="J95" s="45" t="str" cm="1">
        <f t="array" ref="J95">IF(OR(Datos!$H95="",Datos!$A95=""),"",IF(AND(Datos!$H95=0,Datos!$G95&gt;0,Fecha_Hoy&gt;Datos!$G95),Fecha_Hoy-Datos!$G95,IF(Datos!$G95&lt;Datos!$H95,Datos!$H95-Datos!$G95,0))&amp; " " &amp; Idiomas!$A$29)</f>
        <v/>
      </c>
      <c r="K95" s="95"/>
      <c r="L95" s="46" t="str" cm="1">
        <f t="array" aca="1" ref="L95" ca="1">HYPERLINK("["&amp;Archivo_Nombre&amp;"]KANBAN!"&amp;IF(Tareas!$P95="","B2",Tareas!$P95),IF(Datos!$A95="","",Idiomas!$A$12&amp;" "&amp;ROW()-1))</f>
        <v/>
      </c>
    </row>
    <row r="96" spans="1:12" customFormat="1" x14ac:dyDescent="0.25">
      <c r="A96" s="91"/>
      <c r="B96" s="92"/>
      <c r="C96" s="92"/>
      <c r="D96" s="92"/>
      <c r="E96" s="92"/>
      <c r="F96" s="93"/>
      <c r="G96" s="93"/>
      <c r="H96" s="93"/>
      <c r="I96" s="43" t="str">
        <f>IF(Datos!$H96&gt;0,Datos!$H96-Datos!$F96+1 &amp; " " &amp; Idiomas!$A$29,"")</f>
        <v/>
      </c>
      <c r="J96" s="43" t="str" cm="1">
        <f t="array" ref="J96">IF(OR(Datos!$H96="",Datos!$A96=""),"",IF(AND(Datos!$H96=0,Datos!$G96&gt;0,Fecha_Hoy&gt;Datos!$G96),Fecha_Hoy-Datos!$G96,IF(Datos!$G96&lt;Datos!$H96,Datos!$H96-Datos!$G96,0))&amp; " " &amp; Idiomas!$A$29)</f>
        <v/>
      </c>
      <c r="K96" s="92"/>
      <c r="L96" s="44" t="str" cm="1">
        <f t="array" aca="1" ref="L96" ca="1">HYPERLINK("["&amp;Archivo_Nombre&amp;"]KANBAN!"&amp;IF(Tareas!$P96="","B2",Tareas!$P96),IF(Datos!$A96="","",Idiomas!$A$12&amp;" "&amp;ROW()-1))</f>
        <v/>
      </c>
    </row>
    <row r="97" spans="1:12" customFormat="1" x14ac:dyDescent="0.25">
      <c r="A97" s="94"/>
      <c r="B97" s="95"/>
      <c r="C97" s="95"/>
      <c r="D97" s="95"/>
      <c r="E97" s="95"/>
      <c r="F97" s="96"/>
      <c r="G97" s="96"/>
      <c r="H97" s="96"/>
      <c r="I97" s="45" t="str">
        <f>IF(Datos!$H97&gt;0,Datos!$H97-Datos!$F97+1 &amp; " " &amp; Idiomas!$A$29,"")</f>
        <v/>
      </c>
      <c r="J97" s="45" t="str" cm="1">
        <f t="array" ref="J97">IF(OR(Datos!$H97="",Datos!$A97=""),"",IF(AND(Datos!$H97=0,Datos!$G97&gt;0,Fecha_Hoy&gt;Datos!$G97),Fecha_Hoy-Datos!$G97,IF(Datos!$G97&lt;Datos!$H97,Datos!$H97-Datos!$G97,0))&amp; " " &amp; Idiomas!$A$29)</f>
        <v/>
      </c>
      <c r="K97" s="95"/>
      <c r="L97" s="46" t="str" cm="1">
        <f t="array" aca="1" ref="L97" ca="1">HYPERLINK("["&amp;Archivo_Nombre&amp;"]KANBAN!"&amp;IF(Tareas!$P97="","B2",Tareas!$P97),IF(Datos!$A97="","",Idiomas!$A$12&amp;" "&amp;ROW()-1))</f>
        <v/>
      </c>
    </row>
    <row r="98" spans="1:12" customFormat="1" x14ac:dyDescent="0.25">
      <c r="A98" s="91"/>
      <c r="B98" s="92"/>
      <c r="C98" s="92"/>
      <c r="D98" s="92"/>
      <c r="E98" s="92"/>
      <c r="F98" s="93"/>
      <c r="G98" s="93"/>
      <c r="H98" s="93"/>
      <c r="I98" s="43" t="str">
        <f>IF(Datos!$H98&gt;0,Datos!$H98-Datos!$F98+1 &amp; " " &amp; Idiomas!$A$29,"")</f>
        <v/>
      </c>
      <c r="J98" s="43" t="str" cm="1">
        <f t="array" ref="J98">IF(OR(Datos!$H98="",Datos!$A98=""),"",IF(AND(Datos!$H98=0,Datos!$G98&gt;0,Fecha_Hoy&gt;Datos!$G98),Fecha_Hoy-Datos!$G98,IF(Datos!$G98&lt;Datos!$H98,Datos!$H98-Datos!$G98,0))&amp; " " &amp; Idiomas!$A$29)</f>
        <v/>
      </c>
      <c r="K98" s="92"/>
      <c r="L98" s="44" t="str" cm="1">
        <f t="array" aca="1" ref="L98" ca="1">HYPERLINK("["&amp;Archivo_Nombre&amp;"]KANBAN!"&amp;IF(Tareas!$P98="","B2",Tareas!$P98),IF(Datos!$A98="","",Idiomas!$A$12&amp;" "&amp;ROW()-1))</f>
        <v/>
      </c>
    </row>
    <row r="99" spans="1:12" customFormat="1" x14ac:dyDescent="0.25">
      <c r="A99" s="94"/>
      <c r="B99" s="95"/>
      <c r="C99" s="95"/>
      <c r="D99" s="95"/>
      <c r="E99" s="95"/>
      <c r="F99" s="96"/>
      <c r="G99" s="96"/>
      <c r="H99" s="96"/>
      <c r="I99" s="45" t="str">
        <f>IF(Datos!$H99&gt;0,Datos!$H99-Datos!$F99+1 &amp; " " &amp; Idiomas!$A$29,"")</f>
        <v/>
      </c>
      <c r="J99" s="45" t="str" cm="1">
        <f t="array" ref="J99">IF(OR(Datos!$H99="",Datos!$A99=""),"",IF(AND(Datos!$H99=0,Datos!$G99&gt;0,Fecha_Hoy&gt;Datos!$G99),Fecha_Hoy-Datos!$G99,IF(Datos!$G99&lt;Datos!$H99,Datos!$H99-Datos!$G99,0))&amp; " " &amp; Idiomas!$A$29)</f>
        <v/>
      </c>
      <c r="K99" s="95"/>
      <c r="L99" s="46" t="str" cm="1">
        <f t="array" aca="1" ref="L99" ca="1">HYPERLINK("["&amp;Archivo_Nombre&amp;"]KANBAN!"&amp;IF(Tareas!$P99="","B2",Tareas!$P99),IF(Datos!$A99="","",Idiomas!$A$12&amp;" "&amp;ROW()-1))</f>
        <v/>
      </c>
    </row>
    <row r="100" spans="1:12" customFormat="1" x14ac:dyDescent="0.25">
      <c r="A100" s="91"/>
      <c r="B100" s="92"/>
      <c r="C100" s="92"/>
      <c r="D100" s="92"/>
      <c r="E100" s="92"/>
      <c r="F100" s="93"/>
      <c r="G100" s="93"/>
      <c r="H100" s="93"/>
      <c r="I100" s="43" t="str">
        <f>IF(Datos!$H100&gt;0,Datos!$H100-Datos!$F100+1 &amp; " " &amp; Idiomas!$A$29,"")</f>
        <v/>
      </c>
      <c r="J100" s="43" t="str" cm="1">
        <f t="array" ref="J100">IF(OR(Datos!$H100="",Datos!$A100=""),"",IF(AND(Datos!$H100=0,Datos!$G100&gt;0,Fecha_Hoy&gt;Datos!$G100),Fecha_Hoy-Datos!$G100,IF(Datos!$G100&lt;Datos!$H100,Datos!$H100-Datos!$G100,0))&amp; " " &amp; Idiomas!$A$29)</f>
        <v/>
      </c>
      <c r="K100" s="92"/>
      <c r="L100" s="44" t="str" cm="1">
        <f t="array" aca="1" ref="L100" ca="1">HYPERLINK("["&amp;Archivo_Nombre&amp;"]KANBAN!"&amp;IF(Tareas!$P100="","B2",Tareas!$P100),IF(Datos!$A100="","",Idiomas!$A$12&amp;" "&amp;ROW()-1))</f>
        <v/>
      </c>
    </row>
    <row r="101" spans="1:12" customFormat="1" x14ac:dyDescent="0.25">
      <c r="A101" s="99"/>
      <c r="B101" s="100"/>
      <c r="C101" s="100"/>
      <c r="D101" s="100"/>
      <c r="E101" s="100"/>
      <c r="F101" s="101"/>
      <c r="G101" s="101"/>
      <c r="H101" s="101"/>
      <c r="I101" s="47" t="str">
        <f>IF(Datos!$H101&gt;0,Datos!$H101-Datos!$F101+1 &amp; " " &amp; Idiomas!$A$29,"")</f>
        <v/>
      </c>
      <c r="J101" s="47" t="str" cm="1">
        <f t="array" ref="J101">IF(OR(Datos!$H101="",Datos!$A101=""),"",IF(AND(Datos!$H101=0,Datos!$G101&gt;0,Fecha_Hoy&gt;Datos!$G101),Fecha_Hoy-Datos!$G101,IF(Datos!$G101&lt;Datos!$H101,Datos!$H101-Datos!$G101,0))&amp; " " &amp; Idiomas!$A$29)</f>
        <v/>
      </c>
      <c r="K101" s="100"/>
      <c r="L101" s="48" t="str" cm="1">
        <f t="array" aca="1" ref="L101" ca="1">HYPERLINK("["&amp;Archivo_Nombre&amp;"]KANBAN!"&amp;IF(Tareas!$P101="","B2",Tareas!$P101),IF(Datos!$A101="","",Idiomas!$A$12&amp;" "&amp;ROW()-1))</f>
        <v/>
      </c>
    </row>
  </sheetData>
  <sheetProtection autoFilter="0"/>
  <autoFilter ref="A1:L101" xr:uid="{00000000-0001-0000-0100-000000000000}">
    <sortState xmlns:xlrd2="http://schemas.microsoft.com/office/spreadsheetml/2017/richdata2" ref="A2:L101">
      <sortCondition ref="C2:C101"/>
    </sortState>
  </autoFilter>
  <phoneticPr fontId="2" type="noConversion"/>
  <conditionalFormatting sqref="F5:F101">
    <cfRule type="expression" dxfId="3" priority="82" stopIfTrue="1">
      <formula>AND($A5&lt;&gt;"",$F5="")</formula>
    </cfRule>
  </conditionalFormatting>
  <conditionalFormatting sqref="J2:J101">
    <cfRule type="expression" dxfId="2" priority="1" stopIfTrue="1">
      <formula>IFERROR(--LEFT(J2,FIND(" ",J2)-1),0)&gt;0</formula>
    </cfRule>
  </conditionalFormatting>
  <dataValidations count="1">
    <dataValidation type="date" operator="greaterThanOrEqual" allowBlank="1" showInputMessage="1" showErrorMessage="1" errorTitle="Tablero Kanban" error="Fechas desde el 01/01/2000." sqref="F2:H101" xr:uid="{4F549A5C-1450-4871-8B93-77F640A814D2}">
      <formula1>36526</formula1>
    </dataValidation>
  </dataValidations>
  <pageMargins left="0.70866141732283472" right="0.70866141732283472" top="0.74803149606299213" bottom="0.74803149606299213" header="0.31496062992125984" footer="0.31496062992125984"/>
  <pageSetup paperSize="9" scale="64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3" stopIfTrue="1" id="{00000000-000E-0000-0100-000002000000}">
            <xm:f>Tareas!$C2=3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4" stopIfTrue="1" id="{00000000-000E-0000-0100-000003000000}">
            <xm:f>Tareas!$C2=2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5" stopIfTrue="1" id="{00000000-000E-0000-0100-000004000000}">
            <xm:f>Tareas!$C2=1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B2:B31 C32:C33 B34:C101</xm:sqref>
        </x14:conditionalFormatting>
        <x14:conditionalFormatting xmlns:xm="http://schemas.microsoft.com/office/excel/2006/main">
          <x14:cfRule type="expression" priority="95" stopIfTrue="1" id="{00000000-000E-0000-0100-000002000000}">
            <xm:f>Tareas!$C33=3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96" stopIfTrue="1" id="{00000000-000E-0000-0100-000003000000}">
            <xm:f>Tareas!$C33=2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97" stopIfTrue="1" id="{00000000-000E-0000-0100-000004000000}">
            <xm:f>Tareas!$C33=1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B32:B33</xm:sqref>
        </x14:conditionalFormatting>
        <x14:conditionalFormatting xmlns:xm="http://schemas.microsoft.com/office/excel/2006/main">
          <x14:cfRule type="expression" priority="66" stopIfTrue="1" id="{00000000-000E-0000-0100-000005000000}">
            <xm:f>Tareas!$D2=0</xm:f>
            <x14:dxf>
              <font>
                <b val="0"/>
                <i val="0"/>
                <color rgb="FFFF0000"/>
              </font>
            </x14:dxf>
          </x14:cfRule>
          <xm:sqref>L2:L101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Configura!$B$9:$B$18</xm:f>
          </x14:formula1>
          <xm:sqref>A2:A101</xm:sqref>
        </x14:dataValidation>
        <x14:dataValidation type="list" allowBlank="1" showInputMessage="1" showErrorMessage="1" xr:uid="{00000000-0002-0000-0100-000001000000}">
          <x14:formula1>
            <xm:f>Configura!$D$9:$D$11</xm:f>
          </x14:formula1>
          <xm:sqref>C32:C101 B2:B101</xm:sqref>
        </x14:dataValidation>
        <x14:dataValidation type="list" allowBlank="1" showInputMessage="1" showErrorMessage="1" xr:uid="{00000000-0002-0000-0100-000002000000}">
          <x14:formula1>
            <xm:f>Configura!$F$9:H$23</xm:f>
          </x14:formula1>
          <xm:sqref>K2:K101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92D050"/>
  </sheetPr>
  <dimension ref="A1:J24"/>
  <sheetViews>
    <sheetView showGridLines="0" workbookViewId="0">
      <selection activeCell="B24" sqref="B24"/>
    </sheetView>
  </sheetViews>
  <sheetFormatPr baseColWidth="10" defaultColWidth="0" defaultRowHeight="15" zeroHeight="1" x14ac:dyDescent="0.25"/>
  <cols>
    <col min="1" max="1" width="4.42578125" style="2" customWidth="1"/>
    <col min="2" max="2" width="16.42578125" style="2" customWidth="1"/>
    <col min="3" max="3" width="4.42578125" style="2" customWidth="1"/>
    <col min="4" max="4" width="16.42578125" style="2" customWidth="1"/>
    <col min="5" max="5" width="4.42578125" style="2" customWidth="1"/>
    <col min="6" max="6" width="32.42578125" style="2" customWidth="1"/>
    <col min="7" max="7" width="4.42578125" style="2" customWidth="1"/>
    <col min="8" max="8" width="16.42578125" style="2" customWidth="1"/>
    <col min="9" max="9" width="4.42578125" customWidth="1"/>
    <col min="10" max="10" width="4.42578125" style="2" customWidth="1"/>
    <col min="11" max="16384" width="10.85546875" style="2" hidden="1"/>
  </cols>
  <sheetData>
    <row r="1" spans="2:9" ht="15" customHeight="1" x14ac:dyDescent="0.25"/>
    <row r="2" spans="2:9" ht="15" customHeight="1" x14ac:dyDescent="0.25">
      <c r="B2" s="106" t="str">
        <f>"                " &amp; Idiomas!$A$2 &amp; " v3 ©️            "</f>
        <v xml:space="preserve">                Tablero KANBAN v3 ©️            </v>
      </c>
      <c r="C2" s="106"/>
      <c r="E2" s="7" t="s">
        <v>11</v>
      </c>
      <c r="F2" s="113" t="str">
        <f>Idiomas!$A$2 &amp; " | #ExcelPedroWave"</f>
        <v>Tablero KANBAN | #ExcelPedroWave</v>
      </c>
      <c r="G2" s="113"/>
      <c r="H2" s="113"/>
    </row>
    <row r="3" spans="2:9" ht="15" customHeight="1" x14ac:dyDescent="0.25">
      <c r="E3" s="8" t="s">
        <v>12</v>
      </c>
      <c r="F3" s="113" t="s">
        <v>13</v>
      </c>
      <c r="G3" s="113"/>
      <c r="H3" s="113"/>
    </row>
    <row r="4" spans="2:9" x14ac:dyDescent="0.25">
      <c r="B4" s="89" t="str">
        <f>Idiomas!$A$3</f>
        <v>Idioma</v>
      </c>
      <c r="E4" s="8" t="s">
        <v>14</v>
      </c>
      <c r="F4" s="114" t="s">
        <v>15</v>
      </c>
      <c r="G4" s="114"/>
      <c r="H4" s="114"/>
    </row>
    <row r="5" spans="2:9" ht="15" customHeight="1" x14ac:dyDescent="0.25">
      <c r="B5" s="90" t="s">
        <v>16</v>
      </c>
      <c r="C5" s="37"/>
      <c r="D5" s="39"/>
      <c r="E5" s="39"/>
      <c r="F5" s="39"/>
    </row>
    <row r="6" spans="2:9" ht="15" customHeight="1" x14ac:dyDescent="0.25">
      <c r="B6" s="82" t="str">
        <f>Idiomas!$A$4 &amp; " " &amp; Idiomas!$A$5 &amp; " " &amp; Idiomas!A$6</f>
        <v>AVISO: Es preciso traducir Estados y Criticidad</v>
      </c>
      <c r="D6" s="39"/>
      <c r="E6" s="39"/>
      <c r="F6" s="39"/>
    </row>
    <row r="7" spans="2:9" ht="15" customHeight="1" thickBot="1" x14ac:dyDescent="0.3">
      <c r="C7" s="38"/>
      <c r="D7" s="39"/>
      <c r="E7" s="39"/>
      <c r="F7" s="39"/>
    </row>
    <row r="8" spans="2:9" ht="15.75" thickBot="1" x14ac:dyDescent="0.3">
      <c r="B8" s="35" t="str">
        <f>Idiomas!$A$7</f>
        <v>Estados</v>
      </c>
      <c r="D8" s="34" t="str">
        <f>Idiomas!$A$8</f>
        <v>Criticidad</v>
      </c>
      <c r="F8" s="33" t="str">
        <f>Idiomas!$A$9</f>
        <v>Miembros del equipo</v>
      </c>
      <c r="H8" s="65" t="str">
        <f>Idiomas!$A$30</f>
        <v>Orden en tarjetas</v>
      </c>
      <c r="I8" s="81" t="s">
        <v>17</v>
      </c>
    </row>
    <row r="9" spans="2:9" x14ac:dyDescent="0.25">
      <c r="B9" s="75" t="s">
        <v>9</v>
      </c>
      <c r="D9" s="72" t="s">
        <v>6</v>
      </c>
      <c r="F9" s="68" t="s">
        <v>216</v>
      </c>
      <c r="H9" s="66" t="str">
        <f>Idiomas!$A$12</f>
        <v>Tarea</v>
      </c>
      <c r="I9" s="85">
        <v>1</v>
      </c>
    </row>
    <row r="10" spans="2:9" x14ac:dyDescent="0.25">
      <c r="B10" s="76" t="s">
        <v>7</v>
      </c>
      <c r="D10" s="73" t="s">
        <v>3</v>
      </c>
      <c r="F10" s="69" t="s">
        <v>217</v>
      </c>
      <c r="H10" s="67" t="str">
        <f>Idiomas!$A$13</f>
        <v>Descripción</v>
      </c>
      <c r="I10" s="87">
        <v>2</v>
      </c>
    </row>
    <row r="11" spans="2:9" ht="15.75" thickBot="1" x14ac:dyDescent="0.3">
      <c r="B11" s="77" t="s">
        <v>2</v>
      </c>
      <c r="D11" s="74" t="s">
        <v>8</v>
      </c>
      <c r="F11" s="70" t="s">
        <v>218</v>
      </c>
      <c r="H11" s="79" t="str">
        <f>Idiomas!$A$14</f>
        <v>Inicio</v>
      </c>
      <c r="I11" s="86">
        <v>3</v>
      </c>
    </row>
    <row r="12" spans="2:9" x14ac:dyDescent="0.25">
      <c r="B12" s="76" t="s">
        <v>5</v>
      </c>
      <c r="F12" s="69" t="s">
        <v>228</v>
      </c>
      <c r="H12" s="67" t="str">
        <f>Idiomas!$A$15</f>
        <v>Previsto</v>
      </c>
      <c r="I12" s="87">
        <v>4</v>
      </c>
    </row>
    <row r="13" spans="2:9" ht="15.75" thickBot="1" x14ac:dyDescent="0.3">
      <c r="B13" s="77" t="s">
        <v>18</v>
      </c>
      <c r="F13" s="70"/>
      <c r="H13" s="79" t="str">
        <f>Idiomas!$A$16</f>
        <v>Final</v>
      </c>
      <c r="I13" s="86">
        <v>5</v>
      </c>
    </row>
    <row r="14" spans="2:9" x14ac:dyDescent="0.25">
      <c r="B14" s="76" t="s">
        <v>9</v>
      </c>
      <c r="F14" s="68"/>
      <c r="H14" s="67" t="str">
        <f>Idiomas!$A$17</f>
        <v>Duración</v>
      </c>
      <c r="I14" s="87">
        <v>6</v>
      </c>
    </row>
    <row r="15" spans="2:9" x14ac:dyDescent="0.25">
      <c r="B15" s="77" t="s">
        <v>7</v>
      </c>
      <c r="F15" s="69"/>
      <c r="H15" s="79" t="str">
        <f>Idiomas!$A$18</f>
        <v>Retraso</v>
      </c>
      <c r="I15" s="86">
        <v>7</v>
      </c>
    </row>
    <row r="16" spans="2:9" ht="15.75" thickBot="1" x14ac:dyDescent="0.3">
      <c r="B16" s="76"/>
      <c r="F16" s="70"/>
      <c r="H16" s="80" t="str">
        <f>Idiomas!$A$19</f>
        <v>Asignado</v>
      </c>
      <c r="I16" s="88">
        <v>8</v>
      </c>
    </row>
    <row r="17" spans="2:9" x14ac:dyDescent="0.25">
      <c r="B17" s="77"/>
      <c r="F17" s="70"/>
      <c r="H17" s="82" t="str">
        <f>Idiomas!$A$4</f>
        <v>AVISO:</v>
      </c>
      <c r="I17" s="84" t="s">
        <v>19</v>
      </c>
    </row>
    <row r="18" spans="2:9" ht="15.75" thickBot="1" x14ac:dyDescent="0.3">
      <c r="B18" s="78"/>
      <c r="F18" s="69"/>
      <c r="H18" s="83" t="str">
        <f>Idiomas!$A$31</f>
        <v>Cambiar números del 2 al 8</v>
      </c>
    </row>
    <row r="19" spans="2:9" ht="15.75" thickBot="1" x14ac:dyDescent="0.3">
      <c r="B19" s="2" t="str">
        <f>Idiomas!$A$10</f>
        <v>Estado final</v>
      </c>
      <c r="F19" s="70"/>
      <c r="H19" s="83" t="str">
        <f>Idiomas!$A$32</f>
        <v>No duplicar los números</v>
      </c>
    </row>
    <row r="20" spans="2:9" ht="15.75" thickBot="1" x14ac:dyDescent="0.3">
      <c r="B20" s="64" t="s">
        <v>2</v>
      </c>
      <c r="F20" s="69"/>
    </row>
    <row r="21" spans="2:9" x14ac:dyDescent="0.25">
      <c r="F21" s="70"/>
    </row>
    <row r="22" spans="2:9" ht="15.75" thickBot="1" x14ac:dyDescent="0.3">
      <c r="B22" s="2" t="str">
        <f>Idiomas!$A$11</f>
        <v>Nombre archivo en Excel para la Web</v>
      </c>
      <c r="F22" s="69"/>
    </row>
    <row r="23" spans="2:9" ht="15.75" thickBot="1" x14ac:dyDescent="0.3">
      <c r="B23" s="110" t="s">
        <v>246</v>
      </c>
      <c r="C23" s="111"/>
      <c r="D23" s="112"/>
      <c r="F23" s="71"/>
    </row>
    <row r="24" spans="2:9" x14ac:dyDescent="0.25"/>
  </sheetData>
  <sheetProtection sheet="1" objects="1" scenarios="1"/>
  <mergeCells count="5">
    <mergeCell ref="B23:D23"/>
    <mergeCell ref="B2:C2"/>
    <mergeCell ref="F2:H2"/>
    <mergeCell ref="F3:H3"/>
    <mergeCell ref="F4:H4"/>
  </mergeCells>
  <phoneticPr fontId="2" type="noConversion"/>
  <conditionalFormatting sqref="I9:I16">
    <cfRule type="duplicateValues" dxfId="0" priority="1" stopIfTrue="1"/>
  </conditionalFormatting>
  <dataValidations count="3">
    <dataValidation type="list" allowBlank="1" showInputMessage="1" showErrorMessage="1" errorTitle="Tablero Kanban" error="Elegir el estado final en la lista desplegable." sqref="B20" xr:uid="{BD071215-2213-449F-B1EB-DC29676E095F}">
      <formula1>$B$9:$B$18</formula1>
    </dataValidation>
    <dataValidation type="list" allowBlank="1" showInputMessage="1" showErrorMessage="1" sqref="B5" xr:uid="{97530344-6ECC-4588-8594-2926C403A3D7}">
      <formula1>misIdiomas</formula1>
    </dataValidation>
    <dataValidation type="list" allowBlank="1" showInputMessage="1" showErrorMessage="1" sqref="I10:I16" xr:uid="{76D58E42-E10C-45B3-A6CA-39BB19E85FD7}">
      <formula1>"2,3,4,5,6,7,8"</formula1>
    </dataValidation>
  </dataValidations>
  <hyperlinks>
    <hyperlink ref="F4" r:id="rId1" display="https://creativecommons.org/licenses/by-nc-sa/4.0/deed.es" xr:uid="{75CDA5C3-EC65-443C-9A2E-154A051C95DA}"/>
    <hyperlink ref="F3" r:id="rId2" display="https://www.youtube.com/@PedroWave/search?query=kanban" xr:uid="{12720265-8747-4C45-A8A0-BFD66B732F69}"/>
    <hyperlink ref="F2" r:id="rId3" display="https://pedrowave.blogspot.com/search?q=kanban" xr:uid="{55F6E5E5-4995-4329-B932-3999B62AE7CE}"/>
    <hyperlink ref="B2:C2" location="KANBAN!B2" display="KANBAN!B2" xr:uid="{1BFB73B9-55C8-4888-AD03-1876D0CF738E}"/>
  </hyperlinks>
  <pageMargins left="0.70866141732283472" right="0.70866141732283472" top="0.74803149606299213" bottom="0.74803149606299213" header="0.31496062992125984" footer="0.31496062992125984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8DE7-2839-4156-B391-80A544496EE0}">
  <sheetPr codeName="Hoja4">
    <tabColor theme="7" tint="0.39997558519241921"/>
    <pageSetUpPr fitToPage="1"/>
  </sheetPr>
  <dimension ref="A1:P101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5" zeroHeight="1" x14ac:dyDescent="0.25"/>
  <cols>
    <col min="1" max="1" width="10.85546875" style="2" customWidth="1"/>
    <col min="2" max="2" width="9.85546875" style="2" bestFit="1" customWidth="1"/>
    <col min="3" max="3" width="10.42578125" style="2" customWidth="1"/>
    <col min="4" max="15" width="8.42578125" style="2" customWidth="1"/>
    <col min="16" max="16" width="16.42578125" style="2" customWidth="1"/>
    <col min="17" max="16384" width="10.85546875" hidden="1"/>
  </cols>
  <sheetData>
    <row r="1" spans="1:16" ht="16.5" thickTop="1" thickBot="1" x14ac:dyDescent="0.3">
      <c r="A1" s="49" t="str">
        <f>Idiomas!$A$12</f>
        <v>Tarea</v>
      </c>
      <c r="B1" s="50" t="str">
        <f>"#"&amp;Idiomas!$A$7</f>
        <v>#Estados</v>
      </c>
      <c r="C1" s="50" t="str">
        <f>"#"&amp;Idiomas!$A$8</f>
        <v>#Criticidad</v>
      </c>
      <c r="D1" s="50" t="str">
        <f>Idiomas!$A$20</f>
        <v>Filtro</v>
      </c>
      <c r="E1" s="50" t="s">
        <v>20</v>
      </c>
      <c r="F1" s="50" t="s">
        <v>21</v>
      </c>
      <c r="G1" s="50" t="s">
        <v>22</v>
      </c>
      <c r="H1" s="50" t="s">
        <v>23</v>
      </c>
      <c r="I1" s="50" t="s">
        <v>24</v>
      </c>
      <c r="J1" s="50" t="s">
        <v>25</v>
      </c>
      <c r="K1" s="50" t="s">
        <v>26</v>
      </c>
      <c r="L1" s="50" t="s">
        <v>27</v>
      </c>
      <c r="M1" s="50" t="s">
        <v>28</v>
      </c>
      <c r="N1" s="50" t="s">
        <v>29</v>
      </c>
      <c r="O1" s="50" t="str">
        <f>Idiomas!$A$21</f>
        <v>Celda</v>
      </c>
      <c r="P1" s="51" t="s">
        <v>30</v>
      </c>
    </row>
    <row r="2" spans="1:16" ht="16.5" thickTop="1" thickBot="1" x14ac:dyDescent="0.3">
      <c r="A2" s="52" t="str">
        <f>IFERROR(IF(Datos!$A2="","",Idiomas!$A$12&amp;" "&amp;ROW()-1),"")</f>
        <v>Tarea 1</v>
      </c>
      <c r="B2" s="53">
        <f>IFERROR(MATCH(Datos!$A2,Configura!$B$9:$B$18,0),0)</f>
        <v>2</v>
      </c>
      <c r="C2" s="53">
        <f>IFERROR(MATCH(Datos!$B2,Configura!$D$9:$D$11,0),0)</f>
        <v>2</v>
      </c>
      <c r="D2" s="53" cm="1">
        <f t="array" aca="1" ref="D2" ca="1">IF(AND(Datos!$A2&lt;&gt;"",
OR(miCriticidad="",miCriticidad=$C2),
OR(miAsignado="",miAsignado=Datos!$K2),
OR(miFechaInicio="",Datos!$F2="",Datos!$F2&gt;=miFechaInicio),
OR(miTexto="",IFERROR(SEARCH(miTexto,Datos!$D2),0)&gt;0,IFERROR(SEARCH(miTexto,Datos!$E2),0)&gt;0),
OR(miRetraso="",IFERROR(--LEFT(Datos!$J2,FIND(" ",Datos!$J2)-1),0)&gt;miRetraso),
OR(miDuración="",IFERROR(--LEFT(Datos!$I2,FIND(" ",Datos!$I2)-1),0)&gt;miDuración)),
1,0)</f>
        <v>1</v>
      </c>
      <c r="E2" s="54" t="str">
        <f t="shared" ref="E2:N11" ca="1" si="0">IFERROR(E$1&amp;"-"&amp;MATCH($A2&amp;":",INDIRECT("KANBAN!"&amp;E$1&amp;":"&amp;E$1),0),"")</f>
        <v/>
      </c>
      <c r="F2" s="54" t="str">
        <f t="shared" ca="1" si="0"/>
        <v/>
      </c>
      <c r="G2" s="54" t="str">
        <f t="shared" ca="1" si="0"/>
        <v/>
      </c>
      <c r="H2" s="54" t="str">
        <f t="shared" ca="1" si="0"/>
        <v/>
      </c>
      <c r="I2" s="54" t="str">
        <f t="shared" ca="1" si="0"/>
        <v/>
      </c>
      <c r="J2" s="54" t="str">
        <f t="shared" ca="1" si="0"/>
        <v/>
      </c>
      <c r="K2" s="54" t="str">
        <f t="shared" ca="1" si="0"/>
        <v/>
      </c>
      <c r="L2" s="54" t="str">
        <f t="shared" ca="1" si="0"/>
        <v/>
      </c>
      <c r="M2" s="54" t="str">
        <f t="shared" ca="1" si="0"/>
        <v/>
      </c>
      <c r="N2" s="54" t="str">
        <f t="shared" ca="1" si="0"/>
        <v/>
      </c>
      <c r="O2" s="54" t="str">
        <f t="shared" ref="O2:O33" ca="1" si="1">E2&amp;F2&amp;G2&amp;H2&amp;I2&amp;J2&amp;K2&amp;L2&amp;M2&amp;N2</f>
        <v/>
      </c>
      <c r="P2" s="55" t="str" cm="1">
        <f t="array" aca="1" ref="P2" ca="1">IFERROR(LEFT($O2,FIND("-",$O2)-1) &amp; SUBSTITUTE($O2,LEFT($O2,FIND("-",$O2)-1) &amp;"-","") &amp; ":" &amp;
LEFT($O2,FIND("-",$O2)-1) &amp; SUBSTITUTE($O2,LEFT($O2,FIND("-",$O2)-1) &amp;"-","")+misLíneas-3,"")</f>
        <v/>
      </c>
    </row>
    <row r="3" spans="1:16" ht="16.5" thickTop="1" thickBot="1" x14ac:dyDescent="0.3">
      <c r="A3" s="56" t="str">
        <f>IFERROR(IF(Datos!$A3="","",Idiomas!$A$12&amp;" "&amp;ROW()-1),"")</f>
        <v>Tarea 2</v>
      </c>
      <c r="B3" s="57">
        <f>IFERROR(MATCH(Datos!$A3,Configura!$B$9:$B$18,0),0)</f>
        <v>4</v>
      </c>
      <c r="C3" s="57">
        <f>IFERROR(MATCH(Datos!$B3,Configura!$D$9:$D$11,0),0)</f>
        <v>2</v>
      </c>
      <c r="D3" s="57" cm="1">
        <f t="array" aca="1" ref="D3" ca="1">IF(AND(Datos!$A3&lt;&gt;"",
OR(miCriticidad="",miCriticidad=$C3),
OR(miAsignado="",miAsignado=Datos!$K3),
OR(miFechaInicio="",Datos!$F3="",Datos!$F3&gt;=miFechaInicio),
OR(miTexto="",IFERROR(SEARCH(miTexto,Datos!$D3),0)&gt;0,IFERROR(SEARCH(miTexto,Datos!$E3),0)&gt;0),
OR(miRetraso="",IFERROR(--LEFT(Datos!$J3,FIND(" ",Datos!$J3)-1),0)&gt;miRetraso),
OR(miDuración="",IFERROR(--LEFT(Datos!$I3,FIND(" ",Datos!$I3)-1),0)&gt;miDuración)),
1,0)</f>
        <v>1</v>
      </c>
      <c r="E3" s="58" t="str">
        <f t="shared" ca="1" si="0"/>
        <v/>
      </c>
      <c r="F3" s="58" t="str">
        <f t="shared" ca="1" si="0"/>
        <v/>
      </c>
      <c r="G3" s="58" t="str">
        <f t="shared" ca="1" si="0"/>
        <v/>
      </c>
      <c r="H3" s="58" t="str">
        <f t="shared" ca="1" si="0"/>
        <v/>
      </c>
      <c r="I3" s="58" t="str">
        <f t="shared" ca="1" si="0"/>
        <v/>
      </c>
      <c r="J3" s="58" t="str">
        <f t="shared" ca="1" si="0"/>
        <v/>
      </c>
      <c r="K3" s="58" t="str">
        <f t="shared" ca="1" si="0"/>
        <v/>
      </c>
      <c r="L3" s="58" t="str">
        <f t="shared" ca="1" si="0"/>
        <v/>
      </c>
      <c r="M3" s="58" t="str">
        <f t="shared" ca="1" si="0"/>
        <v/>
      </c>
      <c r="N3" s="58" t="str">
        <f t="shared" ca="1" si="0"/>
        <v/>
      </c>
      <c r="O3" s="58" t="str">
        <f t="shared" ca="1" si="1"/>
        <v/>
      </c>
      <c r="P3" s="59" t="str" cm="1">
        <f t="array" aca="1" ref="P3" ca="1">IFERROR(LEFT($O3,FIND("-",$O3)-1) &amp; SUBSTITUTE($O3,LEFT($O3,FIND("-",$O3)-1) &amp;"-","") &amp; ":" &amp;
LEFT($O3,FIND("-",$O3)-1) &amp; SUBSTITUTE($O3,LEFT($O3,FIND("-",$O3)-1) &amp;"-","")+misLíneas-3,"")</f>
        <v/>
      </c>
    </row>
    <row r="4" spans="1:16" ht="16.5" thickTop="1" thickBot="1" x14ac:dyDescent="0.3">
      <c r="A4" s="52" t="str">
        <f>IFERROR(IF(Datos!$A4="","",Idiomas!$A$12&amp;" "&amp;ROW()-1),"")</f>
        <v>Tarea 3</v>
      </c>
      <c r="B4" s="53">
        <f>IFERROR(MATCH(Datos!$A4,Configura!$B$9:$B$18,0),0)</f>
        <v>4</v>
      </c>
      <c r="C4" s="53">
        <f>IFERROR(MATCH(Datos!$B4,Configura!$D$9:$D$11,0),0)</f>
        <v>3</v>
      </c>
      <c r="D4" s="53" cm="1">
        <f t="array" aca="1" ref="D4" ca="1">IF(AND(Datos!$A4&lt;&gt;"",
OR(miCriticidad="",miCriticidad=$C4),
OR(miAsignado="",miAsignado=Datos!$K4),
OR(miFechaInicio="",Datos!$F4="",Datos!$F4&gt;=miFechaInicio),
OR(miTexto="",IFERROR(SEARCH(miTexto,Datos!$D4),0)&gt;0,IFERROR(SEARCH(miTexto,Datos!$E4),0)&gt;0),
OR(miRetraso="",IFERROR(--LEFT(Datos!$J4,FIND(" ",Datos!$J4)-1),0)&gt;miRetraso),
OR(miDuración="",IFERROR(--LEFT(Datos!$I4,FIND(" ",Datos!$I4)-1),0)&gt;miDuración)),
1,0)</f>
        <v>1</v>
      </c>
      <c r="E4" s="54" t="str">
        <f t="shared" ca="1" si="0"/>
        <v/>
      </c>
      <c r="F4" s="54" t="str">
        <f t="shared" ca="1" si="0"/>
        <v/>
      </c>
      <c r="G4" s="54" t="str">
        <f t="shared" ca="1" si="0"/>
        <v/>
      </c>
      <c r="H4" s="54" t="str">
        <f t="shared" ca="1" si="0"/>
        <v/>
      </c>
      <c r="I4" s="54" t="str">
        <f t="shared" ca="1" si="0"/>
        <v/>
      </c>
      <c r="J4" s="54" t="str">
        <f t="shared" ca="1" si="0"/>
        <v/>
      </c>
      <c r="K4" s="54" t="str">
        <f t="shared" ca="1" si="0"/>
        <v/>
      </c>
      <c r="L4" s="54" t="str">
        <f t="shared" ca="1" si="0"/>
        <v/>
      </c>
      <c r="M4" s="54" t="str">
        <f t="shared" ca="1" si="0"/>
        <v/>
      </c>
      <c r="N4" s="54" t="str">
        <f t="shared" ca="1" si="0"/>
        <v/>
      </c>
      <c r="O4" s="54" t="str">
        <f t="shared" ca="1" si="1"/>
        <v/>
      </c>
      <c r="P4" s="55" t="str" cm="1">
        <f t="array" aca="1" ref="P4" ca="1">IFERROR(LEFT($O4,FIND("-",$O4)-1) &amp; SUBSTITUTE($O4,LEFT($O4,FIND("-",$O4)-1) &amp;"-","") &amp; ":" &amp;
LEFT($O4,FIND("-",$O4)-1) &amp; SUBSTITUTE($O4,LEFT($O4,FIND("-",$O4)-1) &amp;"-","")+misLíneas-3,"")</f>
        <v/>
      </c>
    </row>
    <row r="5" spans="1:16" ht="16.5" thickTop="1" thickBot="1" x14ac:dyDescent="0.3">
      <c r="A5" s="56" t="str">
        <f>IFERROR(IF(Datos!$A5="","",Idiomas!$A$12&amp;" "&amp;ROW()-1),"")</f>
        <v>Tarea 4</v>
      </c>
      <c r="B5" s="57">
        <f>IFERROR(MATCH(Datos!$A5,Configura!$B$9:$B$18,0),0)</f>
        <v>4</v>
      </c>
      <c r="C5" s="57">
        <f>IFERROR(MATCH(Datos!$B5,Configura!$D$9:$D$11,0),0)</f>
        <v>2</v>
      </c>
      <c r="D5" s="57" cm="1">
        <f t="array" aca="1" ref="D5" ca="1">IF(AND(Datos!$A5&lt;&gt;"",
OR(miCriticidad="",miCriticidad=$C5),
OR(miAsignado="",miAsignado=Datos!$K5),
OR(miFechaInicio="",Datos!$F5="",Datos!$F5&gt;=miFechaInicio),
OR(miTexto="",IFERROR(SEARCH(miTexto,Datos!$D5),0)&gt;0,IFERROR(SEARCH(miTexto,Datos!$E5),0)&gt;0),
OR(miRetraso="",IFERROR(--LEFT(Datos!$J5,FIND(" ",Datos!$J5)-1),0)&gt;miRetraso),
OR(miDuración="",IFERROR(--LEFT(Datos!$I5,FIND(" ",Datos!$I5)-1),0)&gt;miDuración)),
1,0)</f>
        <v>1</v>
      </c>
      <c r="E5" s="58" t="str">
        <f t="shared" ca="1" si="0"/>
        <v/>
      </c>
      <c r="F5" s="58" t="str">
        <f t="shared" ca="1" si="0"/>
        <v/>
      </c>
      <c r="G5" s="58" t="str">
        <f t="shared" ca="1" si="0"/>
        <v/>
      </c>
      <c r="H5" s="58" t="str">
        <f t="shared" ca="1" si="0"/>
        <v/>
      </c>
      <c r="I5" s="58" t="str">
        <f t="shared" ca="1" si="0"/>
        <v/>
      </c>
      <c r="J5" s="58" t="str">
        <f t="shared" ca="1" si="0"/>
        <v/>
      </c>
      <c r="K5" s="58" t="str">
        <f t="shared" ca="1" si="0"/>
        <v/>
      </c>
      <c r="L5" s="58" t="str">
        <f t="shared" ca="1" si="0"/>
        <v/>
      </c>
      <c r="M5" s="58" t="str">
        <f t="shared" ca="1" si="0"/>
        <v/>
      </c>
      <c r="N5" s="58" t="str">
        <f t="shared" ca="1" si="0"/>
        <v/>
      </c>
      <c r="O5" s="58" t="str">
        <f t="shared" ca="1" si="1"/>
        <v/>
      </c>
      <c r="P5" s="59" t="str" cm="1">
        <f t="array" aca="1" ref="P5" ca="1">IFERROR(LEFT($O5,FIND("-",$O5)-1) &amp; SUBSTITUTE($O5,LEFT($O5,FIND("-",$O5)-1) &amp;"-","") &amp; ":" &amp;
LEFT($O5,FIND("-",$O5)-1) &amp; SUBSTITUTE($O5,LEFT($O5,FIND("-",$O5)-1) &amp;"-","")+misLíneas-3,"")</f>
        <v/>
      </c>
    </row>
    <row r="6" spans="1:16" ht="16.5" thickTop="1" thickBot="1" x14ac:dyDescent="0.3">
      <c r="A6" s="52" t="str">
        <f>IFERROR(IF(Datos!$A6="","",Idiomas!$A$12&amp;" "&amp;ROW()-1),"")</f>
        <v>Tarea 5</v>
      </c>
      <c r="B6" s="53">
        <f>IFERROR(MATCH(Datos!$A6,Configura!$B$9:$B$18,0),0)</f>
        <v>4</v>
      </c>
      <c r="C6" s="53">
        <f>IFERROR(MATCH(Datos!$B6,Configura!$D$9:$D$11,0),0)</f>
        <v>3</v>
      </c>
      <c r="D6" s="53" cm="1">
        <f t="array" aca="1" ref="D6" ca="1">IF(AND(Datos!$A6&lt;&gt;"",
OR(miCriticidad="",miCriticidad=$C6),
OR(miAsignado="",miAsignado=Datos!$K6),
OR(miFechaInicio="",Datos!$F6="",Datos!$F6&gt;=miFechaInicio),
OR(miTexto="",IFERROR(SEARCH(miTexto,Datos!$D6),0)&gt;0,IFERROR(SEARCH(miTexto,Datos!$E6),0)&gt;0),
OR(miRetraso="",IFERROR(--LEFT(Datos!$J6,FIND(" ",Datos!$J6)-1),0)&gt;miRetraso),
OR(miDuración="",IFERROR(--LEFT(Datos!$I6,FIND(" ",Datos!$I6)-1),0)&gt;miDuración)),
1,0)</f>
        <v>1</v>
      </c>
      <c r="E6" s="54" t="str">
        <f t="shared" ca="1" si="0"/>
        <v/>
      </c>
      <c r="F6" s="54" t="str">
        <f t="shared" ca="1" si="0"/>
        <v/>
      </c>
      <c r="G6" s="54" t="str">
        <f t="shared" ca="1" si="0"/>
        <v/>
      </c>
      <c r="H6" s="54" t="str">
        <f t="shared" ca="1" si="0"/>
        <v/>
      </c>
      <c r="I6" s="54" t="str">
        <f t="shared" ca="1" si="0"/>
        <v/>
      </c>
      <c r="J6" s="54" t="str">
        <f t="shared" ca="1" si="0"/>
        <v/>
      </c>
      <c r="K6" s="54" t="str">
        <f t="shared" ca="1" si="0"/>
        <v/>
      </c>
      <c r="L6" s="54" t="str">
        <f t="shared" ca="1" si="0"/>
        <v/>
      </c>
      <c r="M6" s="54" t="str">
        <f t="shared" ca="1" si="0"/>
        <v/>
      </c>
      <c r="N6" s="54" t="str">
        <f t="shared" ca="1" si="0"/>
        <v/>
      </c>
      <c r="O6" s="54" t="str">
        <f t="shared" ca="1" si="1"/>
        <v/>
      </c>
      <c r="P6" s="55" t="str" cm="1">
        <f t="array" aca="1" ref="P6" ca="1">IFERROR(LEFT($O6,FIND("-",$O6)-1) &amp; SUBSTITUTE($O6,LEFT($O6,FIND("-",$O6)-1) &amp;"-","") &amp; ":" &amp;
LEFT($O6,FIND("-",$O6)-1) &amp; SUBSTITUTE($O6,LEFT($O6,FIND("-",$O6)-1) &amp;"-","")+misLíneas-3,"")</f>
        <v/>
      </c>
    </row>
    <row r="7" spans="1:16" ht="16.5" thickTop="1" thickBot="1" x14ac:dyDescent="0.3">
      <c r="A7" s="56" t="str">
        <f>IFERROR(IF(Datos!$A7="","",Idiomas!$A$12&amp;" "&amp;ROW()-1),"")</f>
        <v>Tarea 6</v>
      </c>
      <c r="B7" s="57">
        <f>IFERROR(MATCH(Datos!$A7,Configura!$B$9:$B$18,0),0)</f>
        <v>4</v>
      </c>
      <c r="C7" s="57">
        <f>IFERROR(MATCH(Datos!$B7,Configura!$D$9:$D$11,0),0)</f>
        <v>2</v>
      </c>
      <c r="D7" s="57" cm="1">
        <f t="array" aca="1" ref="D7" ca="1">IF(AND(Datos!$A7&lt;&gt;"",
OR(miCriticidad="",miCriticidad=$C7),
OR(miAsignado="",miAsignado=Datos!$K7),
OR(miFechaInicio="",Datos!$F7="",Datos!$F7&gt;=miFechaInicio),
OR(miTexto="",IFERROR(SEARCH(miTexto,Datos!$D7),0)&gt;0,IFERROR(SEARCH(miTexto,Datos!$E7),0)&gt;0),
OR(miRetraso="",IFERROR(--LEFT(Datos!$J7,FIND(" ",Datos!$J7)-1),0)&gt;miRetraso),
OR(miDuración="",IFERROR(--LEFT(Datos!$I7,FIND(" ",Datos!$I7)-1),0)&gt;miDuración)),
1,0)</f>
        <v>1</v>
      </c>
      <c r="E7" s="58" t="str">
        <f t="shared" ca="1" si="0"/>
        <v/>
      </c>
      <c r="F7" s="58" t="str">
        <f t="shared" ca="1" si="0"/>
        <v/>
      </c>
      <c r="G7" s="58" t="str">
        <f t="shared" ca="1" si="0"/>
        <v/>
      </c>
      <c r="H7" s="58" t="str">
        <f t="shared" ca="1" si="0"/>
        <v/>
      </c>
      <c r="I7" s="58" t="str">
        <f t="shared" ca="1" si="0"/>
        <v/>
      </c>
      <c r="J7" s="58" t="str">
        <f t="shared" ca="1" si="0"/>
        <v/>
      </c>
      <c r="K7" s="58" t="str">
        <f t="shared" ca="1" si="0"/>
        <v/>
      </c>
      <c r="L7" s="58" t="str">
        <f t="shared" ca="1" si="0"/>
        <v/>
      </c>
      <c r="M7" s="58" t="str">
        <f t="shared" ca="1" si="0"/>
        <v/>
      </c>
      <c r="N7" s="58" t="str">
        <f t="shared" ca="1" si="0"/>
        <v/>
      </c>
      <c r="O7" s="58" t="str">
        <f t="shared" ca="1" si="1"/>
        <v/>
      </c>
      <c r="P7" s="59" t="str" cm="1">
        <f t="array" aca="1" ref="P7" ca="1">IFERROR(LEFT($O7,FIND("-",$O7)-1) &amp; SUBSTITUTE($O7,LEFT($O7,FIND("-",$O7)-1) &amp;"-","") &amp; ":" &amp;
LEFT($O7,FIND("-",$O7)-1) &amp; SUBSTITUTE($O7,LEFT($O7,FIND("-",$O7)-1) &amp;"-","")+misLíneas-3,"")</f>
        <v/>
      </c>
    </row>
    <row r="8" spans="1:16" ht="16.5" thickTop="1" thickBot="1" x14ac:dyDescent="0.3">
      <c r="A8" s="52" t="str">
        <f>IFERROR(IF(Datos!$A8="","",Idiomas!$A$12&amp;" "&amp;ROW()-1),"")</f>
        <v>Tarea 7</v>
      </c>
      <c r="B8" s="53">
        <f>IFERROR(MATCH(Datos!$A8,Configura!$B$9:$B$18,0),0)</f>
        <v>4</v>
      </c>
      <c r="C8" s="53">
        <f>IFERROR(MATCH(Datos!$B8,Configura!$D$9:$D$11,0),0)</f>
        <v>3</v>
      </c>
      <c r="D8" s="53" cm="1">
        <f t="array" aca="1" ref="D8" ca="1">IF(AND(Datos!$A8&lt;&gt;"",
OR(miCriticidad="",miCriticidad=$C8),
OR(miAsignado="",miAsignado=Datos!$K8),
OR(miFechaInicio="",Datos!$F8="",Datos!$F8&gt;=miFechaInicio),
OR(miTexto="",IFERROR(SEARCH(miTexto,Datos!$D8),0)&gt;0,IFERROR(SEARCH(miTexto,Datos!$E8),0)&gt;0),
OR(miRetraso="",IFERROR(--LEFT(Datos!$J8,FIND(" ",Datos!$J8)-1),0)&gt;miRetraso),
OR(miDuración="",IFERROR(--LEFT(Datos!$I8,FIND(" ",Datos!$I8)-1),0)&gt;miDuración)),
1,0)</f>
        <v>1</v>
      </c>
      <c r="E8" s="54" t="str">
        <f t="shared" ca="1" si="0"/>
        <v/>
      </c>
      <c r="F8" s="54" t="str">
        <f t="shared" ca="1" si="0"/>
        <v/>
      </c>
      <c r="G8" s="54" t="str">
        <f t="shared" ca="1" si="0"/>
        <v/>
      </c>
      <c r="H8" s="54" t="str">
        <f t="shared" ca="1" si="0"/>
        <v/>
      </c>
      <c r="I8" s="54" t="str">
        <f t="shared" ca="1" si="0"/>
        <v/>
      </c>
      <c r="J8" s="54" t="str">
        <f t="shared" ca="1" si="0"/>
        <v/>
      </c>
      <c r="K8" s="54" t="str">
        <f t="shared" ca="1" si="0"/>
        <v/>
      </c>
      <c r="L8" s="54" t="str">
        <f t="shared" ca="1" si="0"/>
        <v/>
      </c>
      <c r="M8" s="54" t="str">
        <f t="shared" ca="1" si="0"/>
        <v/>
      </c>
      <c r="N8" s="54" t="str">
        <f t="shared" ca="1" si="0"/>
        <v/>
      </c>
      <c r="O8" s="54" t="str">
        <f t="shared" ca="1" si="1"/>
        <v/>
      </c>
      <c r="P8" s="55" t="str" cm="1">
        <f t="array" aca="1" ref="P8" ca="1">IFERROR(LEFT($O8,FIND("-",$O8)-1) &amp; SUBSTITUTE($O8,LEFT($O8,FIND("-",$O8)-1) &amp;"-","") &amp; ":" &amp;
LEFT($O8,FIND("-",$O8)-1) &amp; SUBSTITUTE($O8,LEFT($O8,FIND("-",$O8)-1) &amp;"-","")+misLíneas-3,"")</f>
        <v/>
      </c>
    </row>
    <row r="9" spans="1:16" ht="16.5" thickTop="1" thickBot="1" x14ac:dyDescent="0.3">
      <c r="A9" s="56" t="str">
        <f>IFERROR(IF(Datos!$A9="","",Idiomas!$A$12&amp;" "&amp;ROW()-1),"")</f>
        <v>Tarea 8</v>
      </c>
      <c r="B9" s="57">
        <f>IFERROR(MATCH(Datos!$A9,Configura!$B$9:$B$18,0),0)</f>
        <v>4</v>
      </c>
      <c r="C9" s="57">
        <f>IFERROR(MATCH(Datos!$B9,Configura!$D$9:$D$11,0),0)</f>
        <v>3</v>
      </c>
      <c r="D9" s="57" cm="1">
        <f t="array" aca="1" ref="D9" ca="1">IF(AND(Datos!$A9&lt;&gt;"",
OR(miCriticidad="",miCriticidad=$C9),
OR(miAsignado="",miAsignado=Datos!$K9),
OR(miFechaInicio="",Datos!$F9="",Datos!$F9&gt;=miFechaInicio),
OR(miTexto="",IFERROR(SEARCH(miTexto,Datos!$D9),0)&gt;0,IFERROR(SEARCH(miTexto,Datos!$E9),0)&gt;0),
OR(miRetraso="",IFERROR(--LEFT(Datos!$J9,FIND(" ",Datos!$J9)-1),0)&gt;miRetraso),
OR(miDuración="",IFERROR(--LEFT(Datos!$I9,FIND(" ",Datos!$I9)-1),0)&gt;miDuración)),
1,0)</f>
        <v>1</v>
      </c>
      <c r="E9" s="58" t="str">
        <f t="shared" ca="1" si="0"/>
        <v/>
      </c>
      <c r="F9" s="58" t="str">
        <f t="shared" ca="1" si="0"/>
        <v/>
      </c>
      <c r="G9" s="58" t="str">
        <f t="shared" ca="1" si="0"/>
        <v/>
      </c>
      <c r="H9" s="58" t="str">
        <f t="shared" ca="1" si="0"/>
        <v/>
      </c>
      <c r="I9" s="58" t="str">
        <f t="shared" ca="1" si="0"/>
        <v/>
      </c>
      <c r="J9" s="58" t="str">
        <f t="shared" ca="1" si="0"/>
        <v/>
      </c>
      <c r="K9" s="58" t="str">
        <f t="shared" ca="1" si="0"/>
        <v/>
      </c>
      <c r="L9" s="58" t="str">
        <f t="shared" ca="1" si="0"/>
        <v/>
      </c>
      <c r="M9" s="58" t="str">
        <f t="shared" ca="1" si="0"/>
        <v/>
      </c>
      <c r="N9" s="58" t="str">
        <f t="shared" ca="1" si="0"/>
        <v/>
      </c>
      <c r="O9" s="58" t="str">
        <f t="shared" ca="1" si="1"/>
        <v/>
      </c>
      <c r="P9" s="59" t="str" cm="1">
        <f t="array" aca="1" ref="P9" ca="1">IFERROR(LEFT($O9,FIND("-",$O9)-1) &amp; SUBSTITUTE($O9,LEFT($O9,FIND("-",$O9)-1) &amp;"-","") &amp; ":" &amp;
LEFT($O9,FIND("-",$O9)-1) &amp; SUBSTITUTE($O9,LEFT($O9,FIND("-",$O9)-1) &amp;"-","")+misLíneas-3,"")</f>
        <v/>
      </c>
    </row>
    <row r="10" spans="1:16" ht="16.5" thickTop="1" thickBot="1" x14ac:dyDescent="0.3">
      <c r="A10" s="52" t="str">
        <f>IFERROR(IF(Datos!$A10="","",Idiomas!$A$12&amp;" "&amp;ROW()-1),"")</f>
        <v>Tarea 9</v>
      </c>
      <c r="B10" s="53">
        <f>IFERROR(MATCH(Datos!$A10,Configura!$B$9:$B$18,0),0)</f>
        <v>4</v>
      </c>
      <c r="C10" s="53">
        <f>IFERROR(MATCH(Datos!$B10,Configura!$D$9:$D$11,0),0)</f>
        <v>2</v>
      </c>
      <c r="D10" s="53" cm="1">
        <f t="array" aca="1" ref="D10" ca="1">IF(AND(Datos!$A10&lt;&gt;"",
OR(miCriticidad="",miCriticidad=$C10),
OR(miAsignado="",miAsignado=Datos!$K10),
OR(miFechaInicio="",Datos!$F10="",Datos!$F10&gt;=miFechaInicio),
OR(miTexto="",IFERROR(SEARCH(miTexto,Datos!$D10),0)&gt;0,IFERROR(SEARCH(miTexto,Datos!$E10),0)&gt;0),
OR(miRetraso="",IFERROR(--LEFT(Datos!$J10,FIND(" ",Datos!$J10)-1),0)&gt;miRetraso),
OR(miDuración="",IFERROR(--LEFT(Datos!$I10,FIND(" ",Datos!$I10)-1),0)&gt;miDuración)),
1,0)</f>
        <v>1</v>
      </c>
      <c r="E10" s="54" t="str">
        <f t="shared" ca="1" si="0"/>
        <v/>
      </c>
      <c r="F10" s="54" t="str">
        <f t="shared" ca="1" si="0"/>
        <v/>
      </c>
      <c r="G10" s="54" t="str">
        <f t="shared" ca="1" si="0"/>
        <v/>
      </c>
      <c r="H10" s="54" t="str">
        <f t="shared" ca="1" si="0"/>
        <v/>
      </c>
      <c r="I10" s="54" t="str">
        <f t="shared" ca="1" si="0"/>
        <v/>
      </c>
      <c r="J10" s="54" t="str">
        <f t="shared" ca="1" si="0"/>
        <v/>
      </c>
      <c r="K10" s="54" t="str">
        <f t="shared" ca="1" si="0"/>
        <v/>
      </c>
      <c r="L10" s="54" t="str">
        <f t="shared" ca="1" si="0"/>
        <v/>
      </c>
      <c r="M10" s="54" t="str">
        <f t="shared" ca="1" si="0"/>
        <v/>
      </c>
      <c r="N10" s="54" t="str">
        <f t="shared" ca="1" si="0"/>
        <v/>
      </c>
      <c r="O10" s="54" t="str">
        <f t="shared" ca="1" si="1"/>
        <v/>
      </c>
      <c r="P10" s="55" t="str" cm="1">
        <f t="array" aca="1" ref="P10" ca="1">IFERROR(LEFT($O10,FIND("-",$O10)-1) &amp; SUBSTITUTE($O10,LEFT($O10,FIND("-",$O10)-1) &amp;"-","") &amp; ":" &amp;
LEFT($O10,FIND("-",$O10)-1) &amp; SUBSTITUTE($O10,LEFT($O10,FIND("-",$O10)-1) &amp;"-","")+misLíneas-3,"")</f>
        <v/>
      </c>
    </row>
    <row r="11" spans="1:16" ht="16.5" thickTop="1" thickBot="1" x14ac:dyDescent="0.3">
      <c r="A11" s="56" t="str">
        <f>IFERROR(IF(Datos!$A11="","",Idiomas!$A$12&amp;" "&amp;ROW()-1),"")</f>
        <v>Tarea 10</v>
      </c>
      <c r="B11" s="57">
        <f>IFERROR(MATCH(Datos!$A11,Configura!$B$9:$B$18,0),0)</f>
        <v>2</v>
      </c>
      <c r="C11" s="57">
        <f>IFERROR(MATCH(Datos!$B11,Configura!$D$9:$D$11,0),0)</f>
        <v>2</v>
      </c>
      <c r="D11" s="57" cm="1">
        <f t="array" aca="1" ref="D11" ca="1">IF(AND(Datos!$A11&lt;&gt;"",
OR(miCriticidad="",miCriticidad=$C11),
OR(miAsignado="",miAsignado=Datos!$K11),
OR(miFechaInicio="",Datos!$F11="",Datos!$F11&gt;=miFechaInicio),
OR(miTexto="",IFERROR(SEARCH(miTexto,Datos!$D11),0)&gt;0,IFERROR(SEARCH(miTexto,Datos!$E11),0)&gt;0),
OR(miRetraso="",IFERROR(--LEFT(Datos!$J11,FIND(" ",Datos!$J11)-1),0)&gt;miRetraso),
OR(miDuración="",IFERROR(--LEFT(Datos!$I11,FIND(" ",Datos!$I11)-1),0)&gt;miDuración)),
1,0)</f>
        <v>1</v>
      </c>
      <c r="E11" s="58" t="str">
        <f t="shared" ca="1" si="0"/>
        <v/>
      </c>
      <c r="F11" s="58" t="str">
        <f t="shared" ca="1" si="0"/>
        <v/>
      </c>
      <c r="G11" s="58" t="str">
        <f t="shared" ca="1" si="0"/>
        <v/>
      </c>
      <c r="H11" s="58" t="str">
        <f t="shared" ca="1" si="0"/>
        <v/>
      </c>
      <c r="I11" s="58" t="str">
        <f t="shared" ca="1" si="0"/>
        <v/>
      </c>
      <c r="J11" s="58" t="str">
        <f t="shared" ca="1" si="0"/>
        <v/>
      </c>
      <c r="K11" s="58" t="str">
        <f t="shared" ca="1" si="0"/>
        <v/>
      </c>
      <c r="L11" s="58" t="str">
        <f t="shared" ca="1" si="0"/>
        <v/>
      </c>
      <c r="M11" s="58" t="str">
        <f t="shared" ca="1" si="0"/>
        <v/>
      </c>
      <c r="N11" s="58" t="str">
        <f t="shared" ca="1" si="0"/>
        <v/>
      </c>
      <c r="O11" s="58" t="str">
        <f t="shared" ca="1" si="1"/>
        <v/>
      </c>
      <c r="P11" s="59" t="str" cm="1">
        <f t="array" aca="1" ref="P11" ca="1">IFERROR(LEFT($O11,FIND("-",$O11)-1) &amp; SUBSTITUTE($O11,LEFT($O11,FIND("-",$O11)-1) &amp;"-","") &amp; ":" &amp;
LEFT($O11,FIND("-",$O11)-1) &amp; SUBSTITUTE($O11,LEFT($O11,FIND("-",$O11)-1) &amp;"-","")+misLíneas-3,"")</f>
        <v/>
      </c>
    </row>
    <row r="12" spans="1:16" ht="16.5" thickTop="1" thickBot="1" x14ac:dyDescent="0.3">
      <c r="A12" s="52" t="str">
        <f>IFERROR(IF(Datos!$A12="","",Idiomas!$A$12&amp;" "&amp;ROW()-1),"")</f>
        <v>Tarea 11</v>
      </c>
      <c r="B12" s="53">
        <f>IFERROR(MATCH(Datos!$A12,Configura!$B$9:$B$18,0),0)</f>
        <v>4</v>
      </c>
      <c r="C12" s="53">
        <f>IFERROR(MATCH(Datos!$B12,Configura!$D$9:$D$11,0),0)</f>
        <v>2</v>
      </c>
      <c r="D12" s="53" cm="1">
        <f t="array" aca="1" ref="D12" ca="1">IF(AND(Datos!$A12&lt;&gt;"",
OR(miCriticidad="",miCriticidad=$C12),
OR(miAsignado="",miAsignado=Datos!$K12),
OR(miFechaInicio="",Datos!$F12="",Datos!$F12&gt;=miFechaInicio),
OR(miTexto="",IFERROR(SEARCH(miTexto,Datos!$D12),0)&gt;0,IFERROR(SEARCH(miTexto,Datos!$E12),0)&gt;0),
OR(miRetraso="",IFERROR(--LEFT(Datos!$J12,FIND(" ",Datos!$J12)-1),0)&gt;miRetraso),
OR(miDuración="",IFERROR(--LEFT(Datos!$I12,FIND(" ",Datos!$I12)-1),0)&gt;miDuración)),
1,0)</f>
        <v>1</v>
      </c>
      <c r="E12" s="54" t="str">
        <f t="shared" ref="E12:N21" ca="1" si="2">IFERROR(E$1&amp;"-"&amp;MATCH($A12&amp;":",INDIRECT("KANBAN!"&amp;E$1&amp;":"&amp;E$1),0),"")</f>
        <v/>
      </c>
      <c r="F12" s="54" t="str">
        <f t="shared" ca="1" si="2"/>
        <v/>
      </c>
      <c r="G12" s="54" t="str">
        <f t="shared" ca="1" si="2"/>
        <v/>
      </c>
      <c r="H12" s="54" t="str">
        <f t="shared" ca="1" si="2"/>
        <v/>
      </c>
      <c r="I12" s="54" t="str">
        <f t="shared" ca="1" si="2"/>
        <v/>
      </c>
      <c r="J12" s="54" t="str">
        <f t="shared" ca="1" si="2"/>
        <v/>
      </c>
      <c r="K12" s="54" t="str">
        <f t="shared" ca="1" si="2"/>
        <v/>
      </c>
      <c r="L12" s="54" t="str">
        <f t="shared" ca="1" si="2"/>
        <v/>
      </c>
      <c r="M12" s="54" t="str">
        <f t="shared" ca="1" si="2"/>
        <v/>
      </c>
      <c r="N12" s="54" t="str">
        <f t="shared" ca="1" si="2"/>
        <v/>
      </c>
      <c r="O12" s="54" t="str">
        <f t="shared" ca="1" si="1"/>
        <v/>
      </c>
      <c r="P12" s="55" t="str" cm="1">
        <f t="array" aca="1" ref="P12" ca="1">IFERROR(LEFT($O12,FIND("-",$O12)-1) &amp; SUBSTITUTE($O12,LEFT($O12,FIND("-",$O12)-1) &amp;"-","") &amp; ":" &amp;
LEFT($O12,FIND("-",$O12)-1) &amp; SUBSTITUTE($O12,LEFT($O12,FIND("-",$O12)-1) &amp;"-","")+misLíneas-3,"")</f>
        <v/>
      </c>
    </row>
    <row r="13" spans="1:16" ht="16.5" thickTop="1" thickBot="1" x14ac:dyDescent="0.3">
      <c r="A13" s="56" t="str">
        <f>IFERROR(IF(Datos!$A13="","",Idiomas!$A$12&amp;" "&amp;ROW()-1),"")</f>
        <v>Tarea 12</v>
      </c>
      <c r="B13" s="57">
        <f>IFERROR(MATCH(Datos!$A13,Configura!$B$9:$B$18,0),0)</f>
        <v>4</v>
      </c>
      <c r="C13" s="57">
        <f>IFERROR(MATCH(Datos!$B13,Configura!$D$9:$D$11,0),0)</f>
        <v>1</v>
      </c>
      <c r="D13" s="57" cm="1">
        <f t="array" aca="1" ref="D13" ca="1">IF(AND(Datos!$A13&lt;&gt;"",
OR(miCriticidad="",miCriticidad=$C13),
OR(miAsignado="",miAsignado=Datos!$K13),
OR(miFechaInicio="",Datos!$F13="",Datos!$F13&gt;=miFechaInicio),
OR(miTexto="",IFERROR(SEARCH(miTexto,Datos!$D13),0)&gt;0,IFERROR(SEARCH(miTexto,Datos!$E13),0)&gt;0),
OR(miRetraso="",IFERROR(--LEFT(Datos!$J13,FIND(" ",Datos!$J13)-1),0)&gt;miRetraso),
OR(miDuración="",IFERROR(--LEFT(Datos!$I13,FIND(" ",Datos!$I13)-1),0)&gt;miDuración)),
1,0)</f>
        <v>1</v>
      </c>
      <c r="E13" s="58" t="str">
        <f t="shared" ca="1" si="2"/>
        <v/>
      </c>
      <c r="F13" s="58" t="str">
        <f t="shared" ca="1" si="2"/>
        <v/>
      </c>
      <c r="G13" s="58" t="str">
        <f t="shared" ca="1" si="2"/>
        <v/>
      </c>
      <c r="H13" s="58" t="str">
        <f t="shared" ca="1" si="2"/>
        <v/>
      </c>
      <c r="I13" s="58" t="str">
        <f t="shared" ca="1" si="2"/>
        <v/>
      </c>
      <c r="J13" s="58" t="str">
        <f t="shared" ca="1" si="2"/>
        <v/>
      </c>
      <c r="K13" s="58" t="str">
        <f t="shared" ca="1" si="2"/>
        <v/>
      </c>
      <c r="L13" s="58" t="str">
        <f t="shared" ca="1" si="2"/>
        <v/>
      </c>
      <c r="M13" s="58" t="str">
        <f t="shared" ca="1" si="2"/>
        <v/>
      </c>
      <c r="N13" s="58" t="str">
        <f t="shared" ca="1" si="2"/>
        <v/>
      </c>
      <c r="O13" s="58" t="str">
        <f t="shared" ca="1" si="1"/>
        <v/>
      </c>
      <c r="P13" s="59" t="str" cm="1">
        <f t="array" aca="1" ref="P13" ca="1">IFERROR(LEFT($O13,FIND("-",$O13)-1) &amp; SUBSTITUTE($O13,LEFT($O13,FIND("-",$O13)-1) &amp;"-","") &amp; ":" &amp;
LEFT($O13,FIND("-",$O13)-1) &amp; SUBSTITUTE($O13,LEFT($O13,FIND("-",$O13)-1) &amp;"-","")+misLíneas-3,"")</f>
        <v/>
      </c>
    </row>
    <row r="14" spans="1:16" ht="16.5" thickTop="1" thickBot="1" x14ac:dyDescent="0.3">
      <c r="A14" s="52" t="str">
        <f>IFERROR(IF(Datos!$A14="","",Idiomas!$A$12&amp;" "&amp;ROW()-1),"")</f>
        <v>Tarea 13</v>
      </c>
      <c r="B14" s="53">
        <f>IFERROR(MATCH(Datos!$A14,Configura!$B$9:$B$18,0),0)</f>
        <v>4</v>
      </c>
      <c r="C14" s="53">
        <f>IFERROR(MATCH(Datos!$B14,Configura!$D$9:$D$11,0),0)</f>
        <v>2</v>
      </c>
      <c r="D14" s="53" cm="1">
        <f t="array" aca="1" ref="D14" ca="1">IF(AND(Datos!$A14&lt;&gt;"",
OR(miCriticidad="",miCriticidad=$C14),
OR(miAsignado="",miAsignado=Datos!$K14),
OR(miFechaInicio="",Datos!$F14="",Datos!$F14&gt;=miFechaInicio),
OR(miTexto="",IFERROR(SEARCH(miTexto,Datos!$D14),0)&gt;0,IFERROR(SEARCH(miTexto,Datos!$E14),0)&gt;0),
OR(miRetraso="",IFERROR(--LEFT(Datos!$J14,FIND(" ",Datos!$J14)-1),0)&gt;miRetraso),
OR(miDuración="",IFERROR(--LEFT(Datos!$I14,FIND(" ",Datos!$I14)-1),0)&gt;miDuración)),
1,0)</f>
        <v>1</v>
      </c>
      <c r="E14" s="54" t="str">
        <f t="shared" ca="1" si="2"/>
        <v/>
      </c>
      <c r="F14" s="54" t="str">
        <f t="shared" ca="1" si="2"/>
        <v/>
      </c>
      <c r="G14" s="54" t="str">
        <f t="shared" ca="1" si="2"/>
        <v/>
      </c>
      <c r="H14" s="54" t="str">
        <f t="shared" ca="1" si="2"/>
        <v/>
      </c>
      <c r="I14" s="54" t="str">
        <f t="shared" ca="1" si="2"/>
        <v/>
      </c>
      <c r="J14" s="54" t="str">
        <f t="shared" ca="1" si="2"/>
        <v/>
      </c>
      <c r="K14" s="54" t="str">
        <f t="shared" ca="1" si="2"/>
        <v/>
      </c>
      <c r="L14" s="54" t="str">
        <f t="shared" ca="1" si="2"/>
        <v/>
      </c>
      <c r="M14" s="54" t="str">
        <f t="shared" ca="1" si="2"/>
        <v/>
      </c>
      <c r="N14" s="54" t="str">
        <f t="shared" ca="1" si="2"/>
        <v/>
      </c>
      <c r="O14" s="54" t="str">
        <f t="shared" ca="1" si="1"/>
        <v/>
      </c>
      <c r="P14" s="55" t="str" cm="1">
        <f t="array" aca="1" ref="P14" ca="1">IFERROR(LEFT($O14,FIND("-",$O14)-1) &amp; SUBSTITUTE($O14,LEFT($O14,FIND("-",$O14)-1) &amp;"-","") &amp; ":" &amp;
LEFT($O14,FIND("-",$O14)-1) &amp; SUBSTITUTE($O14,LEFT($O14,FIND("-",$O14)-1) &amp;"-","")+misLíneas-3,"")</f>
        <v/>
      </c>
    </row>
    <row r="15" spans="1:16" ht="16.5" thickTop="1" thickBot="1" x14ac:dyDescent="0.3">
      <c r="A15" s="56" t="str">
        <f>IFERROR(IF(Datos!$A15="","",Idiomas!$A$12&amp;" "&amp;ROW()-1),"")</f>
        <v>Tarea 14</v>
      </c>
      <c r="B15" s="57">
        <f>IFERROR(MATCH(Datos!$A15,Configura!$B$9:$B$18,0),0)</f>
        <v>4</v>
      </c>
      <c r="C15" s="57">
        <f>IFERROR(MATCH(Datos!$B15,Configura!$D$9:$D$11,0),0)</f>
        <v>3</v>
      </c>
      <c r="D15" s="57" cm="1">
        <f t="array" aca="1" ref="D15" ca="1">IF(AND(Datos!$A15&lt;&gt;"",
OR(miCriticidad="",miCriticidad=$C15),
OR(miAsignado="",miAsignado=Datos!$K15),
OR(miFechaInicio="",Datos!$F15="",Datos!$F15&gt;=miFechaInicio),
OR(miTexto="",IFERROR(SEARCH(miTexto,Datos!$D15),0)&gt;0,IFERROR(SEARCH(miTexto,Datos!$E15),0)&gt;0),
OR(miRetraso="",IFERROR(--LEFT(Datos!$J15,FIND(" ",Datos!$J15)-1),0)&gt;miRetraso),
OR(miDuración="",IFERROR(--LEFT(Datos!$I15,FIND(" ",Datos!$I15)-1),0)&gt;miDuración)),
1,0)</f>
        <v>1</v>
      </c>
      <c r="E15" s="58" t="str">
        <f t="shared" ca="1" si="2"/>
        <v/>
      </c>
      <c r="F15" s="58" t="str">
        <f t="shared" ca="1" si="2"/>
        <v/>
      </c>
      <c r="G15" s="58" t="str">
        <f t="shared" ca="1" si="2"/>
        <v/>
      </c>
      <c r="H15" s="58" t="str">
        <f t="shared" ca="1" si="2"/>
        <v/>
      </c>
      <c r="I15" s="58" t="str">
        <f t="shared" ca="1" si="2"/>
        <v/>
      </c>
      <c r="J15" s="58" t="str">
        <f t="shared" ca="1" si="2"/>
        <v/>
      </c>
      <c r="K15" s="58" t="str">
        <f t="shared" ca="1" si="2"/>
        <v/>
      </c>
      <c r="L15" s="58" t="str">
        <f t="shared" ca="1" si="2"/>
        <v/>
      </c>
      <c r="M15" s="58" t="str">
        <f t="shared" ca="1" si="2"/>
        <v/>
      </c>
      <c r="N15" s="58" t="str">
        <f t="shared" ca="1" si="2"/>
        <v/>
      </c>
      <c r="O15" s="58" t="str">
        <f t="shared" ca="1" si="1"/>
        <v/>
      </c>
      <c r="P15" s="59" t="str" cm="1">
        <f t="array" aca="1" ref="P15" ca="1">IFERROR(LEFT($O15,FIND("-",$O15)-1) &amp; SUBSTITUTE($O15,LEFT($O15,FIND("-",$O15)-1) &amp;"-","") &amp; ":" &amp;
LEFT($O15,FIND("-",$O15)-1) &amp; SUBSTITUTE($O15,LEFT($O15,FIND("-",$O15)-1) &amp;"-","")+misLíneas-3,"")</f>
        <v/>
      </c>
    </row>
    <row r="16" spans="1:16" ht="16.5" thickTop="1" thickBot="1" x14ac:dyDescent="0.3">
      <c r="A16" s="52" t="str">
        <f>IFERROR(IF(Datos!$A16="","",Idiomas!$A$12&amp;" "&amp;ROW()-1),"")</f>
        <v>Tarea 15</v>
      </c>
      <c r="B16" s="53">
        <f>IFERROR(MATCH(Datos!$A16,Configura!$B$9:$B$18,0),0)</f>
        <v>4</v>
      </c>
      <c r="C16" s="53">
        <f>IFERROR(MATCH(Datos!$B16,Configura!$D$9:$D$11,0),0)</f>
        <v>2</v>
      </c>
      <c r="D16" s="53" cm="1">
        <f t="array" aca="1" ref="D16" ca="1">IF(AND(Datos!$A16&lt;&gt;"",
OR(miCriticidad="",miCriticidad=$C16),
OR(miAsignado="",miAsignado=Datos!$K16),
OR(miFechaInicio="",Datos!$F16="",Datos!$F16&gt;=miFechaInicio),
OR(miTexto="",IFERROR(SEARCH(miTexto,Datos!$D16),0)&gt;0,IFERROR(SEARCH(miTexto,Datos!$E16),0)&gt;0),
OR(miRetraso="",IFERROR(--LEFT(Datos!$J16,FIND(" ",Datos!$J16)-1),0)&gt;miRetraso),
OR(miDuración="",IFERROR(--LEFT(Datos!$I16,FIND(" ",Datos!$I16)-1),0)&gt;miDuración)),
1,0)</f>
        <v>1</v>
      </c>
      <c r="E16" s="54" t="str">
        <f t="shared" ca="1" si="2"/>
        <v/>
      </c>
      <c r="F16" s="54" t="str">
        <f t="shared" ca="1" si="2"/>
        <v/>
      </c>
      <c r="G16" s="54" t="str">
        <f t="shared" ca="1" si="2"/>
        <v/>
      </c>
      <c r="H16" s="54" t="str">
        <f t="shared" ca="1" si="2"/>
        <v/>
      </c>
      <c r="I16" s="54" t="str">
        <f t="shared" ca="1" si="2"/>
        <v/>
      </c>
      <c r="J16" s="54" t="str">
        <f t="shared" ca="1" si="2"/>
        <v/>
      </c>
      <c r="K16" s="54" t="str">
        <f t="shared" ca="1" si="2"/>
        <v/>
      </c>
      <c r="L16" s="54" t="str">
        <f t="shared" ca="1" si="2"/>
        <v/>
      </c>
      <c r="M16" s="54" t="str">
        <f t="shared" ca="1" si="2"/>
        <v/>
      </c>
      <c r="N16" s="54" t="str">
        <f t="shared" ca="1" si="2"/>
        <v/>
      </c>
      <c r="O16" s="54" t="str">
        <f t="shared" ca="1" si="1"/>
        <v/>
      </c>
      <c r="P16" s="55" t="str" cm="1">
        <f t="array" aca="1" ref="P16" ca="1">IFERROR(LEFT($O16,FIND("-",$O16)-1) &amp; SUBSTITUTE($O16,LEFT($O16,FIND("-",$O16)-1) &amp;"-","") &amp; ":" &amp;
LEFT($O16,FIND("-",$O16)-1) &amp; SUBSTITUTE($O16,LEFT($O16,FIND("-",$O16)-1) &amp;"-","")+misLíneas-3,"")</f>
        <v/>
      </c>
    </row>
    <row r="17" spans="1:16" ht="16.5" thickTop="1" thickBot="1" x14ac:dyDescent="0.3">
      <c r="A17" s="56" t="str">
        <f>IFERROR(IF(Datos!$A17="","",Idiomas!$A$12&amp;" "&amp;ROW()-1),"")</f>
        <v>Tarea 16</v>
      </c>
      <c r="B17" s="57">
        <f>IFERROR(MATCH(Datos!$A17,Configura!$B$9:$B$18,0),0)</f>
        <v>4</v>
      </c>
      <c r="C17" s="57">
        <f>IFERROR(MATCH(Datos!$B17,Configura!$D$9:$D$11,0),0)</f>
        <v>1</v>
      </c>
      <c r="D17" s="57" cm="1">
        <f t="array" aca="1" ref="D17" ca="1">IF(AND(Datos!$A17&lt;&gt;"",
OR(miCriticidad="",miCriticidad=$C17),
OR(miAsignado="",miAsignado=Datos!$K17),
OR(miFechaInicio="",Datos!$F17="",Datos!$F17&gt;=miFechaInicio),
OR(miTexto="",IFERROR(SEARCH(miTexto,Datos!$D17),0)&gt;0,IFERROR(SEARCH(miTexto,Datos!$E17),0)&gt;0),
OR(miRetraso="",IFERROR(--LEFT(Datos!$J17,FIND(" ",Datos!$J17)-1),0)&gt;miRetraso),
OR(miDuración="",IFERROR(--LEFT(Datos!$I17,FIND(" ",Datos!$I17)-1),0)&gt;miDuración)),
1,0)</f>
        <v>1</v>
      </c>
      <c r="E17" s="58" t="str">
        <f t="shared" ca="1" si="2"/>
        <v/>
      </c>
      <c r="F17" s="58" t="str">
        <f t="shared" ca="1" si="2"/>
        <v/>
      </c>
      <c r="G17" s="58" t="str">
        <f t="shared" ca="1" si="2"/>
        <v/>
      </c>
      <c r="H17" s="58" t="str">
        <f t="shared" ca="1" si="2"/>
        <v/>
      </c>
      <c r="I17" s="58" t="str">
        <f t="shared" ca="1" si="2"/>
        <v/>
      </c>
      <c r="J17" s="58" t="str">
        <f t="shared" ca="1" si="2"/>
        <v/>
      </c>
      <c r="K17" s="58" t="str">
        <f t="shared" ca="1" si="2"/>
        <v/>
      </c>
      <c r="L17" s="58" t="str">
        <f t="shared" ca="1" si="2"/>
        <v/>
      </c>
      <c r="M17" s="58" t="str">
        <f t="shared" ca="1" si="2"/>
        <v/>
      </c>
      <c r="N17" s="58" t="str">
        <f t="shared" ca="1" si="2"/>
        <v/>
      </c>
      <c r="O17" s="58" t="str">
        <f t="shared" ca="1" si="1"/>
        <v/>
      </c>
      <c r="P17" s="59" t="str" cm="1">
        <f t="array" aca="1" ref="P17" ca="1">IFERROR(LEFT($O17,FIND("-",$O17)-1) &amp; SUBSTITUTE($O17,LEFT($O17,FIND("-",$O17)-1) &amp;"-","") &amp; ":" &amp;
LEFT($O17,FIND("-",$O17)-1) &amp; SUBSTITUTE($O17,LEFT($O17,FIND("-",$O17)-1) &amp;"-","")+misLíneas-3,"")</f>
        <v/>
      </c>
    </row>
    <row r="18" spans="1:16" ht="16.5" thickTop="1" thickBot="1" x14ac:dyDescent="0.3">
      <c r="A18" s="52" t="str">
        <f>IFERROR(IF(Datos!$A18="","",Idiomas!$A$12&amp;" "&amp;ROW()-1),"")</f>
        <v>Tarea 17</v>
      </c>
      <c r="B18" s="53">
        <f>IFERROR(MATCH(Datos!$A18,Configura!$B$9:$B$18,0),0)</f>
        <v>4</v>
      </c>
      <c r="C18" s="53">
        <f>IFERROR(MATCH(Datos!$B18,Configura!$D$9:$D$11,0),0)</f>
        <v>1</v>
      </c>
      <c r="D18" s="53" cm="1">
        <f t="array" aca="1" ref="D18" ca="1">IF(AND(Datos!$A18&lt;&gt;"",
OR(miCriticidad="",miCriticidad=$C18),
OR(miAsignado="",miAsignado=Datos!$K18),
OR(miFechaInicio="",Datos!$F18="",Datos!$F18&gt;=miFechaInicio),
OR(miTexto="",IFERROR(SEARCH(miTexto,Datos!$D18),0)&gt;0,IFERROR(SEARCH(miTexto,Datos!$E18),0)&gt;0),
OR(miRetraso="",IFERROR(--LEFT(Datos!$J18,FIND(" ",Datos!$J18)-1),0)&gt;miRetraso),
OR(miDuración="",IFERROR(--LEFT(Datos!$I18,FIND(" ",Datos!$I18)-1),0)&gt;miDuración)),
1,0)</f>
        <v>1</v>
      </c>
      <c r="E18" s="54" t="str">
        <f t="shared" ca="1" si="2"/>
        <v/>
      </c>
      <c r="F18" s="54" t="str">
        <f t="shared" ca="1" si="2"/>
        <v/>
      </c>
      <c r="G18" s="54" t="str">
        <f t="shared" ca="1" si="2"/>
        <v/>
      </c>
      <c r="H18" s="54" t="str">
        <f t="shared" ca="1" si="2"/>
        <v/>
      </c>
      <c r="I18" s="54" t="str">
        <f t="shared" ca="1" si="2"/>
        <v/>
      </c>
      <c r="J18" s="54" t="str">
        <f t="shared" ca="1" si="2"/>
        <v/>
      </c>
      <c r="K18" s="54" t="str">
        <f t="shared" ca="1" si="2"/>
        <v/>
      </c>
      <c r="L18" s="54" t="str">
        <f t="shared" ca="1" si="2"/>
        <v/>
      </c>
      <c r="M18" s="54" t="str">
        <f t="shared" ca="1" si="2"/>
        <v/>
      </c>
      <c r="N18" s="54" t="str">
        <f t="shared" ca="1" si="2"/>
        <v/>
      </c>
      <c r="O18" s="54" t="str">
        <f t="shared" ca="1" si="1"/>
        <v/>
      </c>
      <c r="P18" s="55" t="str" cm="1">
        <f t="array" aca="1" ref="P18" ca="1">IFERROR(LEFT($O18,FIND("-",$O18)-1) &amp; SUBSTITUTE($O18,LEFT($O18,FIND("-",$O18)-1) &amp;"-","") &amp; ":" &amp;
LEFT($O18,FIND("-",$O18)-1) &amp; SUBSTITUTE($O18,LEFT($O18,FIND("-",$O18)-1) &amp;"-","")+misLíneas-3,"")</f>
        <v/>
      </c>
    </row>
    <row r="19" spans="1:16" ht="16.5" thickTop="1" thickBot="1" x14ac:dyDescent="0.3">
      <c r="A19" s="56" t="str">
        <f>IFERROR(IF(Datos!$A19="","",Idiomas!$A$12&amp;" "&amp;ROW()-1),"")</f>
        <v>Tarea 18</v>
      </c>
      <c r="B19" s="57">
        <f>IFERROR(MATCH(Datos!$A19,Configura!$B$9:$B$18,0),0)</f>
        <v>4</v>
      </c>
      <c r="C19" s="57">
        <f>IFERROR(MATCH(Datos!$B19,Configura!$D$9:$D$11,0),0)</f>
        <v>2</v>
      </c>
      <c r="D19" s="57" cm="1">
        <f t="array" aca="1" ref="D19" ca="1">IF(AND(Datos!$A19&lt;&gt;"",
OR(miCriticidad="",miCriticidad=$C19),
OR(miAsignado="",miAsignado=Datos!$K19),
OR(miFechaInicio="",Datos!$F19="",Datos!$F19&gt;=miFechaInicio),
OR(miTexto="",IFERROR(SEARCH(miTexto,Datos!$D19),0)&gt;0,IFERROR(SEARCH(miTexto,Datos!$E19),0)&gt;0),
OR(miRetraso="",IFERROR(--LEFT(Datos!$J19,FIND(" ",Datos!$J19)-1),0)&gt;miRetraso),
OR(miDuración="",IFERROR(--LEFT(Datos!$I19,FIND(" ",Datos!$I19)-1),0)&gt;miDuración)),
1,0)</f>
        <v>1</v>
      </c>
      <c r="E19" s="58" t="str">
        <f t="shared" ca="1" si="2"/>
        <v/>
      </c>
      <c r="F19" s="58" t="str">
        <f t="shared" ca="1" si="2"/>
        <v/>
      </c>
      <c r="G19" s="58" t="str">
        <f t="shared" ca="1" si="2"/>
        <v/>
      </c>
      <c r="H19" s="58" t="str">
        <f t="shared" ca="1" si="2"/>
        <v/>
      </c>
      <c r="I19" s="58" t="str">
        <f t="shared" ca="1" si="2"/>
        <v/>
      </c>
      <c r="J19" s="58" t="str">
        <f t="shared" ca="1" si="2"/>
        <v/>
      </c>
      <c r="K19" s="58" t="str">
        <f t="shared" ca="1" si="2"/>
        <v/>
      </c>
      <c r="L19" s="58" t="str">
        <f t="shared" ca="1" si="2"/>
        <v/>
      </c>
      <c r="M19" s="58" t="str">
        <f t="shared" ca="1" si="2"/>
        <v/>
      </c>
      <c r="N19" s="58" t="str">
        <f t="shared" ca="1" si="2"/>
        <v/>
      </c>
      <c r="O19" s="58" t="str">
        <f t="shared" ca="1" si="1"/>
        <v/>
      </c>
      <c r="P19" s="59" t="str" cm="1">
        <f t="array" aca="1" ref="P19" ca="1">IFERROR(LEFT($O19,FIND("-",$O19)-1) &amp; SUBSTITUTE($O19,LEFT($O19,FIND("-",$O19)-1) &amp;"-","") &amp; ":" &amp;
LEFT($O19,FIND("-",$O19)-1) &amp; SUBSTITUTE($O19,LEFT($O19,FIND("-",$O19)-1) &amp;"-","")+misLíneas-3,"")</f>
        <v/>
      </c>
    </row>
    <row r="20" spans="1:16" ht="16.5" thickTop="1" thickBot="1" x14ac:dyDescent="0.3">
      <c r="A20" s="52" t="str">
        <f>IFERROR(IF(Datos!$A20="","",Idiomas!$A$12&amp;" "&amp;ROW()-1),"")</f>
        <v>Tarea 19</v>
      </c>
      <c r="B20" s="53">
        <f>IFERROR(MATCH(Datos!$A20,Configura!$B$9:$B$18,0),0)</f>
        <v>4</v>
      </c>
      <c r="C20" s="53">
        <f>IFERROR(MATCH(Datos!$B20,Configura!$D$9:$D$11,0),0)</f>
        <v>2</v>
      </c>
      <c r="D20" s="53" cm="1">
        <f t="array" aca="1" ref="D20" ca="1">IF(AND(Datos!$A20&lt;&gt;"",
OR(miCriticidad="",miCriticidad=$C20),
OR(miAsignado="",miAsignado=Datos!$K20),
OR(miFechaInicio="",Datos!$F20="",Datos!$F20&gt;=miFechaInicio),
OR(miTexto="",IFERROR(SEARCH(miTexto,Datos!$D20),0)&gt;0,IFERROR(SEARCH(miTexto,Datos!$E20),0)&gt;0),
OR(miRetraso="",IFERROR(--LEFT(Datos!$J20,FIND(" ",Datos!$J20)-1),0)&gt;miRetraso),
OR(miDuración="",IFERROR(--LEFT(Datos!$I20,FIND(" ",Datos!$I20)-1),0)&gt;miDuración)),
1,0)</f>
        <v>1</v>
      </c>
      <c r="E20" s="54" t="str">
        <f t="shared" ca="1" si="2"/>
        <v/>
      </c>
      <c r="F20" s="54" t="str">
        <f t="shared" ca="1" si="2"/>
        <v/>
      </c>
      <c r="G20" s="54" t="str">
        <f t="shared" ca="1" si="2"/>
        <v/>
      </c>
      <c r="H20" s="54" t="str">
        <f t="shared" ca="1" si="2"/>
        <v/>
      </c>
      <c r="I20" s="54" t="str">
        <f t="shared" ca="1" si="2"/>
        <v/>
      </c>
      <c r="J20" s="54" t="str">
        <f t="shared" ca="1" si="2"/>
        <v/>
      </c>
      <c r="K20" s="54" t="str">
        <f t="shared" ca="1" si="2"/>
        <v/>
      </c>
      <c r="L20" s="54" t="str">
        <f t="shared" ca="1" si="2"/>
        <v/>
      </c>
      <c r="M20" s="54" t="str">
        <f t="shared" ca="1" si="2"/>
        <v/>
      </c>
      <c r="N20" s="54" t="str">
        <f t="shared" ca="1" si="2"/>
        <v/>
      </c>
      <c r="O20" s="54" t="str">
        <f t="shared" ca="1" si="1"/>
        <v/>
      </c>
      <c r="P20" s="55" t="str" cm="1">
        <f t="array" aca="1" ref="P20" ca="1">IFERROR(LEFT($O20,FIND("-",$O20)-1) &amp; SUBSTITUTE($O20,LEFT($O20,FIND("-",$O20)-1) &amp;"-","") &amp; ":" &amp;
LEFT($O20,FIND("-",$O20)-1) &amp; SUBSTITUTE($O20,LEFT($O20,FIND("-",$O20)-1) &amp;"-","")+misLíneas-3,"")</f>
        <v/>
      </c>
    </row>
    <row r="21" spans="1:16" ht="16.5" thickTop="1" thickBot="1" x14ac:dyDescent="0.3">
      <c r="A21" s="56" t="str">
        <f>IFERROR(IF(Datos!$A21="","",Idiomas!$A$12&amp;" "&amp;ROW()-1),"")</f>
        <v>Tarea 20</v>
      </c>
      <c r="B21" s="57">
        <f>IFERROR(MATCH(Datos!$A21,Configura!$B$9:$B$18,0),0)</f>
        <v>4</v>
      </c>
      <c r="C21" s="57">
        <f>IFERROR(MATCH(Datos!$B21,Configura!$D$9:$D$11,0),0)</f>
        <v>2</v>
      </c>
      <c r="D21" s="57" cm="1">
        <f t="array" aca="1" ref="D21" ca="1">IF(AND(Datos!$A21&lt;&gt;"",
OR(miCriticidad="",miCriticidad=$C21),
OR(miAsignado="",miAsignado=Datos!$K21),
OR(miFechaInicio="",Datos!$F21="",Datos!$F21&gt;=miFechaInicio),
OR(miTexto="",IFERROR(SEARCH(miTexto,Datos!$D21),0)&gt;0,IFERROR(SEARCH(miTexto,Datos!$E21),0)&gt;0),
OR(miRetraso="",IFERROR(--LEFT(Datos!$J21,FIND(" ",Datos!$J21)-1),0)&gt;miRetraso),
OR(miDuración="",IFERROR(--LEFT(Datos!$I21,FIND(" ",Datos!$I21)-1),0)&gt;miDuración)),
1,0)</f>
        <v>1</v>
      </c>
      <c r="E21" s="58" t="str">
        <f t="shared" ca="1" si="2"/>
        <v/>
      </c>
      <c r="F21" s="58" t="str">
        <f t="shared" ca="1" si="2"/>
        <v/>
      </c>
      <c r="G21" s="58" t="str">
        <f t="shared" ca="1" si="2"/>
        <v/>
      </c>
      <c r="H21" s="58" t="str">
        <f t="shared" ca="1" si="2"/>
        <v/>
      </c>
      <c r="I21" s="58" t="str">
        <f t="shared" ca="1" si="2"/>
        <v/>
      </c>
      <c r="J21" s="58" t="str">
        <f t="shared" ca="1" si="2"/>
        <v/>
      </c>
      <c r="K21" s="58" t="str">
        <f t="shared" ca="1" si="2"/>
        <v/>
      </c>
      <c r="L21" s="58" t="str">
        <f t="shared" ca="1" si="2"/>
        <v/>
      </c>
      <c r="M21" s="58" t="str">
        <f t="shared" ca="1" si="2"/>
        <v/>
      </c>
      <c r="N21" s="58" t="str">
        <f t="shared" ca="1" si="2"/>
        <v/>
      </c>
      <c r="O21" s="58" t="str">
        <f t="shared" ca="1" si="1"/>
        <v/>
      </c>
      <c r="P21" s="59" t="str" cm="1">
        <f t="array" aca="1" ref="P21" ca="1">IFERROR(LEFT($O21,FIND("-",$O21)-1) &amp; SUBSTITUTE($O21,LEFT($O21,FIND("-",$O21)-1) &amp;"-","") &amp; ":" &amp;
LEFT($O21,FIND("-",$O21)-1) &amp; SUBSTITUTE($O21,LEFT($O21,FIND("-",$O21)-1) &amp;"-","")+misLíneas-3,"")</f>
        <v/>
      </c>
    </row>
    <row r="22" spans="1:16" ht="16.5" thickTop="1" thickBot="1" x14ac:dyDescent="0.3">
      <c r="A22" s="52" t="str">
        <f>IFERROR(IF(Datos!$A22="","",Idiomas!$A$12&amp;" "&amp;ROW()-1),"")</f>
        <v>Tarea 21</v>
      </c>
      <c r="B22" s="53">
        <f>IFERROR(MATCH(Datos!$A22,Configura!$B$9:$B$18,0),0)</f>
        <v>4</v>
      </c>
      <c r="C22" s="53">
        <f>IFERROR(MATCH(Datos!$B22,Configura!$D$9:$D$11,0),0)</f>
        <v>2</v>
      </c>
      <c r="D22" s="53" cm="1">
        <f t="array" aca="1" ref="D22" ca="1">IF(AND(Datos!$A22&lt;&gt;"",
OR(miCriticidad="",miCriticidad=$C22),
OR(miAsignado="",miAsignado=Datos!$K22),
OR(miFechaInicio="",Datos!$F22="",Datos!$F22&gt;=miFechaInicio),
OR(miTexto="",IFERROR(SEARCH(miTexto,Datos!$D22),0)&gt;0,IFERROR(SEARCH(miTexto,Datos!$E22),0)&gt;0),
OR(miRetraso="",IFERROR(--LEFT(Datos!$J22,FIND(" ",Datos!$J22)-1),0)&gt;miRetraso),
OR(miDuración="",IFERROR(--LEFT(Datos!$I22,FIND(" ",Datos!$I22)-1),0)&gt;miDuración)),
1,0)</f>
        <v>1</v>
      </c>
      <c r="E22" s="54" t="str">
        <f t="shared" ref="E22:N31" ca="1" si="3">IFERROR(E$1&amp;"-"&amp;MATCH($A22&amp;":",INDIRECT("KANBAN!"&amp;E$1&amp;":"&amp;E$1),0),"")</f>
        <v/>
      </c>
      <c r="F22" s="54" t="str">
        <f t="shared" ca="1" si="3"/>
        <v/>
      </c>
      <c r="G22" s="54" t="str">
        <f t="shared" ca="1" si="3"/>
        <v/>
      </c>
      <c r="H22" s="54" t="str">
        <f t="shared" ca="1" si="3"/>
        <v/>
      </c>
      <c r="I22" s="54" t="str">
        <f t="shared" ca="1" si="3"/>
        <v/>
      </c>
      <c r="J22" s="54" t="str">
        <f t="shared" ca="1" si="3"/>
        <v/>
      </c>
      <c r="K22" s="54" t="str">
        <f t="shared" ca="1" si="3"/>
        <v/>
      </c>
      <c r="L22" s="54" t="str">
        <f t="shared" ca="1" si="3"/>
        <v/>
      </c>
      <c r="M22" s="54" t="str">
        <f t="shared" ca="1" si="3"/>
        <v/>
      </c>
      <c r="N22" s="54" t="str">
        <f t="shared" ca="1" si="3"/>
        <v/>
      </c>
      <c r="O22" s="54" t="str">
        <f t="shared" ca="1" si="1"/>
        <v/>
      </c>
      <c r="P22" s="55" t="str" cm="1">
        <f t="array" aca="1" ref="P22" ca="1">IFERROR(LEFT($O22,FIND("-",$O22)-1) &amp; SUBSTITUTE($O22,LEFT($O22,FIND("-",$O22)-1) &amp;"-","") &amp; ":" &amp;
LEFT($O22,FIND("-",$O22)-1) &amp; SUBSTITUTE($O22,LEFT($O22,FIND("-",$O22)-1) &amp;"-","")+misLíneas-3,"")</f>
        <v/>
      </c>
    </row>
    <row r="23" spans="1:16" ht="16.5" thickTop="1" thickBot="1" x14ac:dyDescent="0.3">
      <c r="A23" s="56" t="str">
        <f>IFERROR(IF(Datos!$A23="","",Idiomas!$A$12&amp;" "&amp;ROW()-1),"")</f>
        <v>Tarea 22</v>
      </c>
      <c r="B23" s="57">
        <f>IFERROR(MATCH(Datos!$A23,Configura!$B$9:$B$18,0),0)</f>
        <v>4</v>
      </c>
      <c r="C23" s="57">
        <f>IFERROR(MATCH(Datos!$B23,Configura!$D$9:$D$11,0),0)</f>
        <v>2</v>
      </c>
      <c r="D23" s="57" cm="1">
        <f t="array" aca="1" ref="D23" ca="1">IF(AND(Datos!$A23&lt;&gt;"",
OR(miCriticidad="",miCriticidad=$C23),
OR(miAsignado="",miAsignado=Datos!$K23),
OR(miFechaInicio="",Datos!$F23="",Datos!$F23&gt;=miFechaInicio),
OR(miTexto="",IFERROR(SEARCH(miTexto,Datos!$D23),0)&gt;0,IFERROR(SEARCH(miTexto,Datos!$E23),0)&gt;0),
OR(miRetraso="",IFERROR(--LEFT(Datos!$J23,FIND(" ",Datos!$J23)-1),0)&gt;miRetraso),
OR(miDuración="",IFERROR(--LEFT(Datos!$I23,FIND(" ",Datos!$I23)-1),0)&gt;miDuración)),
1,0)</f>
        <v>1</v>
      </c>
      <c r="E23" s="58" t="str">
        <f t="shared" ca="1" si="3"/>
        <v/>
      </c>
      <c r="F23" s="58" t="str">
        <f t="shared" ca="1" si="3"/>
        <v/>
      </c>
      <c r="G23" s="58" t="str">
        <f t="shared" ca="1" si="3"/>
        <v/>
      </c>
      <c r="H23" s="58" t="str">
        <f t="shared" ca="1" si="3"/>
        <v/>
      </c>
      <c r="I23" s="58" t="str">
        <f t="shared" ca="1" si="3"/>
        <v/>
      </c>
      <c r="J23" s="58" t="str">
        <f t="shared" ca="1" si="3"/>
        <v/>
      </c>
      <c r="K23" s="58" t="str">
        <f t="shared" ca="1" si="3"/>
        <v/>
      </c>
      <c r="L23" s="58" t="str">
        <f t="shared" ca="1" si="3"/>
        <v/>
      </c>
      <c r="M23" s="58" t="str">
        <f t="shared" ca="1" si="3"/>
        <v/>
      </c>
      <c r="N23" s="58" t="str">
        <f t="shared" ca="1" si="3"/>
        <v/>
      </c>
      <c r="O23" s="58" t="str">
        <f t="shared" ca="1" si="1"/>
        <v/>
      </c>
      <c r="P23" s="59" t="str" cm="1">
        <f t="array" aca="1" ref="P23" ca="1">IFERROR(LEFT($O23,FIND("-",$O23)-1) &amp; SUBSTITUTE($O23,LEFT($O23,FIND("-",$O23)-1) &amp;"-","") &amp; ":" &amp;
LEFT($O23,FIND("-",$O23)-1) &amp; SUBSTITUTE($O23,LEFT($O23,FIND("-",$O23)-1) &amp;"-","")+misLíneas-3,"")</f>
        <v/>
      </c>
    </row>
    <row r="24" spans="1:16" ht="16.5" thickTop="1" thickBot="1" x14ac:dyDescent="0.3">
      <c r="A24" s="52" t="str">
        <f>IFERROR(IF(Datos!$A24="","",Idiomas!$A$12&amp;" "&amp;ROW()-1),"")</f>
        <v>Tarea 23</v>
      </c>
      <c r="B24" s="53">
        <f>IFERROR(MATCH(Datos!$A24,Configura!$B$9:$B$18,0),0)</f>
        <v>4</v>
      </c>
      <c r="C24" s="53">
        <f>IFERROR(MATCH(Datos!$B24,Configura!$D$9:$D$11,0),0)</f>
        <v>3</v>
      </c>
      <c r="D24" s="53" cm="1">
        <f t="array" aca="1" ref="D24" ca="1">IF(AND(Datos!$A24&lt;&gt;"",
OR(miCriticidad="",miCriticidad=$C24),
OR(miAsignado="",miAsignado=Datos!$K24),
OR(miFechaInicio="",Datos!$F24="",Datos!$F24&gt;=miFechaInicio),
OR(miTexto="",IFERROR(SEARCH(miTexto,Datos!$D24),0)&gt;0,IFERROR(SEARCH(miTexto,Datos!$E24),0)&gt;0),
OR(miRetraso="",IFERROR(--LEFT(Datos!$J24,FIND(" ",Datos!$J24)-1),0)&gt;miRetraso),
OR(miDuración="",IFERROR(--LEFT(Datos!$I24,FIND(" ",Datos!$I24)-1),0)&gt;miDuración)),
1,0)</f>
        <v>1</v>
      </c>
      <c r="E24" s="54" t="str">
        <f t="shared" ca="1" si="3"/>
        <v/>
      </c>
      <c r="F24" s="54" t="str">
        <f t="shared" ca="1" si="3"/>
        <v/>
      </c>
      <c r="G24" s="54" t="str">
        <f t="shared" ca="1" si="3"/>
        <v/>
      </c>
      <c r="H24" s="54" t="str">
        <f t="shared" ca="1" si="3"/>
        <v/>
      </c>
      <c r="I24" s="54" t="str">
        <f t="shared" ca="1" si="3"/>
        <v/>
      </c>
      <c r="J24" s="54" t="str">
        <f t="shared" ca="1" si="3"/>
        <v/>
      </c>
      <c r="K24" s="54" t="str">
        <f t="shared" ca="1" si="3"/>
        <v/>
      </c>
      <c r="L24" s="54" t="str">
        <f t="shared" ca="1" si="3"/>
        <v/>
      </c>
      <c r="M24" s="54" t="str">
        <f t="shared" ca="1" si="3"/>
        <v/>
      </c>
      <c r="N24" s="54" t="str">
        <f t="shared" ca="1" si="3"/>
        <v/>
      </c>
      <c r="O24" s="54" t="str">
        <f t="shared" ca="1" si="1"/>
        <v/>
      </c>
      <c r="P24" s="55" t="str" cm="1">
        <f t="array" aca="1" ref="P24" ca="1">IFERROR(LEFT($O24,FIND("-",$O24)-1) &amp; SUBSTITUTE($O24,LEFT($O24,FIND("-",$O24)-1) &amp;"-","") &amp; ":" &amp;
LEFT($O24,FIND("-",$O24)-1) &amp; SUBSTITUTE($O24,LEFT($O24,FIND("-",$O24)-1) &amp;"-","")+misLíneas-3,"")</f>
        <v/>
      </c>
    </row>
    <row r="25" spans="1:16" ht="16.5" thickTop="1" thickBot="1" x14ac:dyDescent="0.3">
      <c r="A25" s="56" t="str">
        <f>IFERROR(IF(Datos!$A25="","",Idiomas!$A$12&amp;" "&amp;ROW()-1),"")</f>
        <v>Tarea 24</v>
      </c>
      <c r="B25" s="57">
        <f>IFERROR(MATCH(Datos!$A25,Configura!$B$9:$B$18,0),0)</f>
        <v>4</v>
      </c>
      <c r="C25" s="57">
        <f>IFERROR(MATCH(Datos!$B25,Configura!$D$9:$D$11,0),0)</f>
        <v>2</v>
      </c>
      <c r="D25" s="57" cm="1">
        <f t="array" aca="1" ref="D25" ca="1">IF(AND(Datos!$A25&lt;&gt;"",
OR(miCriticidad="",miCriticidad=$C25),
OR(miAsignado="",miAsignado=Datos!$K25),
OR(miFechaInicio="",Datos!$F25="",Datos!$F25&gt;=miFechaInicio),
OR(miTexto="",IFERROR(SEARCH(miTexto,Datos!$D25),0)&gt;0,IFERROR(SEARCH(miTexto,Datos!$E25),0)&gt;0),
OR(miRetraso="",IFERROR(--LEFT(Datos!$J25,FIND(" ",Datos!$J25)-1),0)&gt;miRetraso),
OR(miDuración="",IFERROR(--LEFT(Datos!$I25,FIND(" ",Datos!$I25)-1),0)&gt;miDuración)),
1,0)</f>
        <v>1</v>
      </c>
      <c r="E25" s="58" t="str">
        <f t="shared" ca="1" si="3"/>
        <v/>
      </c>
      <c r="F25" s="58" t="str">
        <f t="shared" ca="1" si="3"/>
        <v/>
      </c>
      <c r="G25" s="58" t="str">
        <f t="shared" ca="1" si="3"/>
        <v/>
      </c>
      <c r="H25" s="58" t="str">
        <f t="shared" ca="1" si="3"/>
        <v/>
      </c>
      <c r="I25" s="58" t="str">
        <f t="shared" ca="1" si="3"/>
        <v/>
      </c>
      <c r="J25" s="58" t="str">
        <f t="shared" ca="1" si="3"/>
        <v/>
      </c>
      <c r="K25" s="58" t="str">
        <f t="shared" ca="1" si="3"/>
        <v/>
      </c>
      <c r="L25" s="58" t="str">
        <f t="shared" ca="1" si="3"/>
        <v/>
      </c>
      <c r="M25" s="58" t="str">
        <f t="shared" ca="1" si="3"/>
        <v/>
      </c>
      <c r="N25" s="58" t="str">
        <f t="shared" ca="1" si="3"/>
        <v/>
      </c>
      <c r="O25" s="58" t="str">
        <f t="shared" ca="1" si="1"/>
        <v/>
      </c>
      <c r="P25" s="59" t="str" cm="1">
        <f t="array" aca="1" ref="P25" ca="1">IFERROR(LEFT($O25,FIND("-",$O25)-1) &amp; SUBSTITUTE($O25,LEFT($O25,FIND("-",$O25)-1) &amp;"-","") &amp; ":" &amp;
LEFT($O25,FIND("-",$O25)-1) &amp; SUBSTITUTE($O25,LEFT($O25,FIND("-",$O25)-1) &amp;"-","")+misLíneas-3,"")</f>
        <v/>
      </c>
    </row>
    <row r="26" spans="1:16" ht="16.5" thickTop="1" thickBot="1" x14ac:dyDescent="0.3">
      <c r="A26" s="52" t="str">
        <f>IFERROR(IF(Datos!$A26="","",Idiomas!$A$12&amp;" "&amp;ROW()-1),"")</f>
        <v>Tarea 25</v>
      </c>
      <c r="B26" s="53">
        <f>IFERROR(MATCH(Datos!$A26,Configura!$B$9:$B$18,0),0)</f>
        <v>4</v>
      </c>
      <c r="C26" s="53">
        <f>IFERROR(MATCH(Datos!$B26,Configura!$D$9:$D$11,0),0)</f>
        <v>2</v>
      </c>
      <c r="D26" s="53" cm="1">
        <f t="array" aca="1" ref="D26" ca="1">IF(AND(Datos!$A26&lt;&gt;"",
OR(miCriticidad="",miCriticidad=$C26),
OR(miAsignado="",miAsignado=Datos!$K26),
OR(miFechaInicio="",Datos!$F26="",Datos!$F26&gt;=miFechaInicio),
OR(miTexto="",IFERROR(SEARCH(miTexto,Datos!$D26),0)&gt;0,IFERROR(SEARCH(miTexto,Datos!$E26),0)&gt;0),
OR(miRetraso="",IFERROR(--LEFT(Datos!$J26,FIND(" ",Datos!$J26)-1),0)&gt;miRetraso),
OR(miDuración="",IFERROR(--LEFT(Datos!$I26,FIND(" ",Datos!$I26)-1),0)&gt;miDuración)),
1,0)</f>
        <v>1</v>
      </c>
      <c r="E26" s="54" t="str">
        <f t="shared" ca="1" si="3"/>
        <v/>
      </c>
      <c r="F26" s="54" t="str">
        <f t="shared" ca="1" si="3"/>
        <v/>
      </c>
      <c r="G26" s="54" t="str">
        <f t="shared" ca="1" si="3"/>
        <v/>
      </c>
      <c r="H26" s="54" t="str">
        <f t="shared" ca="1" si="3"/>
        <v/>
      </c>
      <c r="I26" s="54" t="str">
        <f t="shared" ca="1" si="3"/>
        <v/>
      </c>
      <c r="J26" s="54" t="str">
        <f t="shared" ca="1" si="3"/>
        <v/>
      </c>
      <c r="K26" s="54" t="str">
        <f t="shared" ca="1" si="3"/>
        <v/>
      </c>
      <c r="L26" s="54" t="str">
        <f t="shared" ca="1" si="3"/>
        <v/>
      </c>
      <c r="M26" s="54" t="str">
        <f t="shared" ca="1" si="3"/>
        <v/>
      </c>
      <c r="N26" s="54" t="str">
        <f t="shared" ca="1" si="3"/>
        <v/>
      </c>
      <c r="O26" s="54" t="str">
        <f t="shared" ca="1" si="1"/>
        <v/>
      </c>
      <c r="P26" s="55" t="str" cm="1">
        <f t="array" aca="1" ref="P26" ca="1">IFERROR(LEFT($O26,FIND("-",$O26)-1) &amp; SUBSTITUTE($O26,LEFT($O26,FIND("-",$O26)-1) &amp;"-","") &amp; ":" &amp;
LEFT($O26,FIND("-",$O26)-1) &amp; SUBSTITUTE($O26,LEFT($O26,FIND("-",$O26)-1) &amp;"-","")+misLíneas-3,"")</f>
        <v/>
      </c>
    </row>
    <row r="27" spans="1:16" ht="16.5" thickTop="1" thickBot="1" x14ac:dyDescent="0.3">
      <c r="A27" s="56" t="str">
        <f>IFERROR(IF(Datos!$A27="","",Idiomas!$A$12&amp;" "&amp;ROW()-1),"")</f>
        <v>Tarea 26</v>
      </c>
      <c r="B27" s="57">
        <f>IFERROR(MATCH(Datos!$A27,Configura!$B$9:$B$18,0),0)</f>
        <v>4</v>
      </c>
      <c r="C27" s="57">
        <f>IFERROR(MATCH(Datos!$B27,Configura!$D$9:$D$11,0),0)</f>
        <v>2</v>
      </c>
      <c r="D27" s="57" cm="1">
        <f t="array" aca="1" ref="D27" ca="1">IF(AND(Datos!$A27&lt;&gt;"",
OR(miCriticidad="",miCriticidad=$C27),
OR(miAsignado="",miAsignado=Datos!$K27),
OR(miFechaInicio="",Datos!$F27="",Datos!$F27&gt;=miFechaInicio),
OR(miTexto="",IFERROR(SEARCH(miTexto,Datos!$D27),0)&gt;0,IFERROR(SEARCH(miTexto,Datos!$E27),0)&gt;0),
OR(miRetraso="",IFERROR(--LEFT(Datos!$J27,FIND(" ",Datos!$J27)-1),0)&gt;miRetraso),
OR(miDuración="",IFERROR(--LEFT(Datos!$I27,FIND(" ",Datos!$I27)-1),0)&gt;miDuración)),
1,0)</f>
        <v>1</v>
      </c>
      <c r="E27" s="58" t="str">
        <f t="shared" ca="1" si="3"/>
        <v/>
      </c>
      <c r="F27" s="58" t="str">
        <f t="shared" ca="1" si="3"/>
        <v/>
      </c>
      <c r="G27" s="58" t="str">
        <f t="shared" ca="1" si="3"/>
        <v/>
      </c>
      <c r="H27" s="58" t="str">
        <f t="shared" ca="1" si="3"/>
        <v/>
      </c>
      <c r="I27" s="58" t="str">
        <f t="shared" ca="1" si="3"/>
        <v/>
      </c>
      <c r="J27" s="58" t="str">
        <f t="shared" ca="1" si="3"/>
        <v/>
      </c>
      <c r="K27" s="58" t="str">
        <f t="shared" ca="1" si="3"/>
        <v/>
      </c>
      <c r="L27" s="58" t="str">
        <f t="shared" ca="1" si="3"/>
        <v/>
      </c>
      <c r="M27" s="58" t="str">
        <f t="shared" ca="1" si="3"/>
        <v/>
      </c>
      <c r="N27" s="58" t="str">
        <f t="shared" ca="1" si="3"/>
        <v/>
      </c>
      <c r="O27" s="58" t="str">
        <f t="shared" ca="1" si="1"/>
        <v/>
      </c>
      <c r="P27" s="59" t="str" cm="1">
        <f t="array" aca="1" ref="P27" ca="1">IFERROR(LEFT($O27,FIND("-",$O27)-1) &amp; SUBSTITUTE($O27,LEFT($O27,FIND("-",$O27)-1) &amp;"-","") &amp; ":" &amp;
LEFT($O27,FIND("-",$O27)-1) &amp; SUBSTITUTE($O27,LEFT($O27,FIND("-",$O27)-1) &amp;"-","")+misLíneas-3,"")</f>
        <v/>
      </c>
    </row>
    <row r="28" spans="1:16" ht="16.5" thickTop="1" thickBot="1" x14ac:dyDescent="0.3">
      <c r="A28" s="52" t="str">
        <f>IFERROR(IF(Datos!$A28="","",Idiomas!$A$12&amp;" "&amp;ROW()-1),"")</f>
        <v>Tarea 27</v>
      </c>
      <c r="B28" s="53">
        <f>IFERROR(MATCH(Datos!$A28,Configura!$B$9:$B$18,0),0)</f>
        <v>4</v>
      </c>
      <c r="C28" s="53">
        <f>IFERROR(MATCH(Datos!$B28,Configura!$D$9:$D$11,0),0)</f>
        <v>2</v>
      </c>
      <c r="D28" s="53" cm="1">
        <f t="array" aca="1" ref="D28" ca="1">IF(AND(Datos!$A28&lt;&gt;"",
OR(miCriticidad="",miCriticidad=$C28),
OR(miAsignado="",miAsignado=Datos!$K28),
OR(miFechaInicio="",Datos!$F28="",Datos!$F28&gt;=miFechaInicio),
OR(miTexto="",IFERROR(SEARCH(miTexto,Datos!$D28),0)&gt;0,IFERROR(SEARCH(miTexto,Datos!$E28),0)&gt;0),
OR(miRetraso="",IFERROR(--LEFT(Datos!$J28,FIND(" ",Datos!$J28)-1),0)&gt;miRetraso),
OR(miDuración="",IFERROR(--LEFT(Datos!$I28,FIND(" ",Datos!$I28)-1),0)&gt;miDuración)),
1,0)</f>
        <v>1</v>
      </c>
      <c r="E28" s="54" t="str">
        <f t="shared" ca="1" si="3"/>
        <v/>
      </c>
      <c r="F28" s="54" t="str">
        <f t="shared" ca="1" si="3"/>
        <v/>
      </c>
      <c r="G28" s="54" t="str">
        <f t="shared" ca="1" si="3"/>
        <v/>
      </c>
      <c r="H28" s="54" t="str">
        <f t="shared" ca="1" si="3"/>
        <v/>
      </c>
      <c r="I28" s="54" t="str">
        <f t="shared" ca="1" si="3"/>
        <v/>
      </c>
      <c r="J28" s="54" t="str">
        <f t="shared" ca="1" si="3"/>
        <v/>
      </c>
      <c r="K28" s="54" t="str">
        <f t="shared" ca="1" si="3"/>
        <v/>
      </c>
      <c r="L28" s="54" t="str">
        <f t="shared" ca="1" si="3"/>
        <v/>
      </c>
      <c r="M28" s="54" t="str">
        <f t="shared" ca="1" si="3"/>
        <v/>
      </c>
      <c r="N28" s="54" t="str">
        <f t="shared" ca="1" si="3"/>
        <v/>
      </c>
      <c r="O28" s="54" t="str">
        <f t="shared" ca="1" si="1"/>
        <v/>
      </c>
      <c r="P28" s="55" t="str" cm="1">
        <f t="array" aca="1" ref="P28" ca="1">IFERROR(LEFT($O28,FIND("-",$O28)-1) &amp; SUBSTITUTE($O28,LEFT($O28,FIND("-",$O28)-1) &amp;"-","") &amp; ":" &amp;
LEFT($O28,FIND("-",$O28)-1) &amp; SUBSTITUTE($O28,LEFT($O28,FIND("-",$O28)-1) &amp;"-","")+misLíneas-3,"")</f>
        <v/>
      </c>
    </row>
    <row r="29" spans="1:16" ht="16.5" thickTop="1" thickBot="1" x14ac:dyDescent="0.3">
      <c r="A29" s="56" t="str">
        <f>IFERROR(IF(Datos!$A29="","",Idiomas!$A$12&amp;" "&amp;ROW()-1),"")</f>
        <v>Tarea 28</v>
      </c>
      <c r="B29" s="57">
        <f>IFERROR(MATCH(Datos!$A29,Configura!$B$9:$B$18,0),0)</f>
        <v>4</v>
      </c>
      <c r="C29" s="57">
        <f>IFERROR(MATCH(Datos!$B29,Configura!$D$9:$D$11,0),0)</f>
        <v>2</v>
      </c>
      <c r="D29" s="57" cm="1">
        <f t="array" aca="1" ref="D29" ca="1">IF(AND(Datos!$A29&lt;&gt;"",
OR(miCriticidad="",miCriticidad=$C29),
OR(miAsignado="",miAsignado=Datos!$K29),
OR(miFechaInicio="",Datos!$F29="",Datos!$F29&gt;=miFechaInicio),
OR(miTexto="",IFERROR(SEARCH(miTexto,Datos!$D29),0)&gt;0,IFERROR(SEARCH(miTexto,Datos!$E29),0)&gt;0),
OR(miRetraso="",IFERROR(--LEFT(Datos!$J29,FIND(" ",Datos!$J29)-1),0)&gt;miRetraso),
OR(miDuración="",IFERROR(--LEFT(Datos!$I29,FIND(" ",Datos!$I29)-1),0)&gt;miDuración)),
1,0)</f>
        <v>1</v>
      </c>
      <c r="E29" s="58" t="str">
        <f t="shared" ca="1" si="3"/>
        <v/>
      </c>
      <c r="F29" s="58" t="str">
        <f t="shared" ca="1" si="3"/>
        <v/>
      </c>
      <c r="G29" s="58" t="str">
        <f t="shared" ca="1" si="3"/>
        <v/>
      </c>
      <c r="H29" s="58" t="str">
        <f t="shared" ca="1" si="3"/>
        <v/>
      </c>
      <c r="I29" s="58" t="str">
        <f t="shared" ca="1" si="3"/>
        <v/>
      </c>
      <c r="J29" s="58" t="str">
        <f t="shared" ca="1" si="3"/>
        <v/>
      </c>
      <c r="K29" s="58" t="str">
        <f t="shared" ca="1" si="3"/>
        <v/>
      </c>
      <c r="L29" s="58" t="str">
        <f t="shared" ca="1" si="3"/>
        <v/>
      </c>
      <c r="M29" s="58" t="str">
        <f t="shared" ca="1" si="3"/>
        <v/>
      </c>
      <c r="N29" s="58" t="str">
        <f t="shared" ca="1" si="3"/>
        <v/>
      </c>
      <c r="O29" s="58" t="str">
        <f t="shared" ca="1" si="1"/>
        <v/>
      </c>
      <c r="P29" s="59" t="str" cm="1">
        <f t="array" aca="1" ref="P29" ca="1">IFERROR(LEFT($O29,FIND("-",$O29)-1) &amp; SUBSTITUTE($O29,LEFT($O29,FIND("-",$O29)-1) &amp;"-","") &amp; ":" &amp;
LEFT($O29,FIND("-",$O29)-1) &amp; SUBSTITUTE($O29,LEFT($O29,FIND("-",$O29)-1) &amp;"-","")+misLíneas-3,"")</f>
        <v/>
      </c>
    </row>
    <row r="30" spans="1:16" ht="16.5" thickTop="1" thickBot="1" x14ac:dyDescent="0.3">
      <c r="A30" s="52" t="str">
        <f>IFERROR(IF(Datos!$A30="","",Idiomas!$A$12&amp;" "&amp;ROW()-1),"")</f>
        <v>Tarea 29</v>
      </c>
      <c r="B30" s="53">
        <f>IFERROR(MATCH(Datos!$A30,Configura!$B$9:$B$18,0),0)</f>
        <v>4</v>
      </c>
      <c r="C30" s="53">
        <f>IFERROR(MATCH(Datos!$B30,Configura!$D$9:$D$11,0),0)</f>
        <v>3</v>
      </c>
      <c r="D30" s="53" cm="1">
        <f t="array" ref="D30">IF(AND(Datos!$A30&lt;&gt;"",
OR(miCriticidad="",miCriticidad=$C30),
OR(miAsignado="",miAsignado=Datos!$K30),
OR(miFechaInicio="",Datos!$F30="",Datos!$F30&gt;=miFechaInicio),
OR(miTexto="",IFERROR(SEARCH(miTexto,Datos!$D30),0)&gt;0,IFERROR(SEARCH(miTexto,Datos!$E30),0)&gt;0),
OR(miRetraso="",IFERROR(--LEFT(Datos!$J30,FIND(" ",Datos!$J30)-1),0)&gt;miRetraso),
OR(miDuración="",IFERROR(--LEFT(Datos!$I30,FIND(" ",Datos!$I30)-1),0)&gt;miDuración)),
1,0)</f>
        <v>1</v>
      </c>
      <c r="E30" s="54" t="str">
        <f t="shared" ca="1" si="3"/>
        <v/>
      </c>
      <c r="F30" s="54" t="str">
        <f t="shared" ca="1" si="3"/>
        <v/>
      </c>
      <c r="G30" s="54" t="str">
        <f t="shared" ca="1" si="3"/>
        <v/>
      </c>
      <c r="H30" s="54" t="str">
        <f t="shared" ca="1" si="3"/>
        <v/>
      </c>
      <c r="I30" s="54" t="str">
        <f t="shared" ca="1" si="3"/>
        <v/>
      </c>
      <c r="J30" s="54" t="str">
        <f t="shared" ca="1" si="3"/>
        <v/>
      </c>
      <c r="K30" s="54" t="str">
        <f t="shared" ca="1" si="3"/>
        <v/>
      </c>
      <c r="L30" s="54" t="str">
        <f t="shared" ca="1" si="3"/>
        <v/>
      </c>
      <c r="M30" s="54" t="str">
        <f t="shared" ca="1" si="3"/>
        <v/>
      </c>
      <c r="N30" s="54" t="str">
        <f t="shared" ca="1" si="3"/>
        <v/>
      </c>
      <c r="O30" s="54" t="str">
        <f t="shared" ca="1" si="1"/>
        <v/>
      </c>
      <c r="P30" s="55" t="str" cm="1">
        <f t="array" aca="1" ref="P30" ca="1">IFERROR(LEFT($O30,FIND("-",$O30)-1) &amp; SUBSTITUTE($O30,LEFT($O30,FIND("-",$O30)-1) &amp;"-","") &amp; ":" &amp;
LEFT($O30,FIND("-",$O30)-1) &amp; SUBSTITUTE($O30,LEFT($O30,FIND("-",$O30)-1) &amp;"-","")+misLíneas-3,"")</f>
        <v/>
      </c>
    </row>
    <row r="31" spans="1:16" ht="16.5" thickTop="1" thickBot="1" x14ac:dyDescent="0.3">
      <c r="A31" s="56" t="str">
        <f>IFERROR(IF(Datos!$A31="","",Idiomas!$A$12&amp;" "&amp;ROW()-1),"")</f>
        <v>Tarea 30</v>
      </c>
      <c r="B31" s="57">
        <f>IFERROR(MATCH(Datos!$A31,Configura!$B$9:$B$18,0),0)</f>
        <v>2</v>
      </c>
      <c r="C31" s="57">
        <f>IFERROR(MATCH(Datos!$B31,Configura!$D$9:$D$11,0),0)</f>
        <v>2</v>
      </c>
      <c r="D31" s="57" cm="1">
        <f t="array" aca="1" ref="D31" ca="1">IF(AND(Datos!$A31&lt;&gt;"",
OR(miCriticidad="",miCriticidad=$C31),
OR(miAsignado="",miAsignado=Datos!$K31),
OR(miFechaInicio="",Datos!$F31="",Datos!$F31&gt;=miFechaInicio),
OR(miTexto="",IFERROR(SEARCH(miTexto,Datos!$D31),0)&gt;0,IFERROR(SEARCH(miTexto,Datos!$E31),0)&gt;0),
OR(miRetraso="",IFERROR(--LEFT(Datos!$J31,FIND(" ",Datos!$J31)-1),0)&gt;miRetraso),
OR(miDuración="",IFERROR(--LEFT(Datos!$I31,FIND(" ",Datos!$I31)-1),0)&gt;miDuración)),
1,0)</f>
        <v>1</v>
      </c>
      <c r="E31" s="58" t="str">
        <f t="shared" ca="1" si="3"/>
        <v/>
      </c>
      <c r="F31" s="58" t="str">
        <f t="shared" ca="1" si="3"/>
        <v/>
      </c>
      <c r="G31" s="58" t="str">
        <f t="shared" ca="1" si="3"/>
        <v/>
      </c>
      <c r="H31" s="58" t="str">
        <f t="shared" ca="1" si="3"/>
        <v/>
      </c>
      <c r="I31" s="58" t="str">
        <f t="shared" ca="1" si="3"/>
        <v/>
      </c>
      <c r="J31" s="58" t="str">
        <f t="shared" ca="1" si="3"/>
        <v/>
      </c>
      <c r="K31" s="58" t="str">
        <f t="shared" ca="1" si="3"/>
        <v/>
      </c>
      <c r="L31" s="58" t="str">
        <f t="shared" ca="1" si="3"/>
        <v/>
      </c>
      <c r="M31" s="58" t="str">
        <f t="shared" ca="1" si="3"/>
        <v/>
      </c>
      <c r="N31" s="58" t="str">
        <f t="shared" ca="1" si="3"/>
        <v/>
      </c>
      <c r="O31" s="58" t="str">
        <f t="shared" ca="1" si="1"/>
        <v/>
      </c>
      <c r="P31" s="59" t="str" cm="1">
        <f t="array" aca="1" ref="P31" ca="1">IFERROR(LEFT($O31,FIND("-",$O31)-1) &amp; SUBSTITUTE($O31,LEFT($O31,FIND("-",$O31)-1) &amp;"-","") &amp; ":" &amp;
LEFT($O31,FIND("-",$O31)-1) &amp; SUBSTITUTE($O31,LEFT($O31,FIND("-",$O31)-1) &amp;"-","")+misLíneas-3,"")</f>
        <v/>
      </c>
    </row>
    <row r="32" spans="1:16" ht="16.5" thickTop="1" thickBot="1" x14ac:dyDescent="0.3">
      <c r="A32" s="52" t="str">
        <f>IFERROR(IF(Datos!$A32="","",Idiomas!$A$12&amp;" "&amp;ROW()-1),"")</f>
        <v>Tarea 31</v>
      </c>
      <c r="B32" s="53">
        <f>IFERROR(MATCH(Datos!$A32,Configura!$B$9:$B$18,0),0)</f>
        <v>2</v>
      </c>
      <c r="C32" s="53">
        <f>IFERROR(MATCH(Datos!#REF!,Configura!$D$9:$D$11,0),0)</f>
        <v>0</v>
      </c>
      <c r="D32" s="53" cm="1">
        <f t="array" aca="1" ref="D32" ca="1">IF(AND(Datos!$A32&lt;&gt;"",
OR(miCriticidad="",miCriticidad=$C32),
OR(miAsignado="",miAsignado=Datos!$K32),
OR(miFechaInicio="",Datos!$F32="",Datos!$F32&gt;=miFechaInicio),
OR(miTexto="",IFERROR(SEARCH(miTexto,Datos!$D32),0)&gt;0,IFERROR(SEARCH(miTexto,Datos!$E32),0)&gt;0),
OR(miRetraso="",IFERROR(--LEFT(Datos!$J32,FIND(" ",Datos!$J32)-1),0)&gt;miRetraso),
OR(miDuración="",IFERROR(--LEFT(Datos!$I32,FIND(" ",Datos!$I32)-1),0)&gt;miDuración)),
1,0)</f>
        <v>1</v>
      </c>
      <c r="E32" s="54" t="str">
        <f t="shared" ref="E32:N41" ca="1" si="4">IFERROR(E$1&amp;"-"&amp;MATCH($A32&amp;":",INDIRECT("KANBAN!"&amp;E$1&amp;":"&amp;E$1),0),"")</f>
        <v/>
      </c>
      <c r="F32" s="54" t="str">
        <f t="shared" ca="1" si="4"/>
        <v/>
      </c>
      <c r="G32" s="54" t="str">
        <f t="shared" ca="1" si="4"/>
        <v/>
      </c>
      <c r="H32" s="54" t="str">
        <f t="shared" ca="1" si="4"/>
        <v/>
      </c>
      <c r="I32" s="54" t="str">
        <f t="shared" ca="1" si="4"/>
        <v/>
      </c>
      <c r="J32" s="54" t="str">
        <f t="shared" ca="1" si="4"/>
        <v/>
      </c>
      <c r="K32" s="54" t="str">
        <f t="shared" ca="1" si="4"/>
        <v/>
      </c>
      <c r="L32" s="54" t="str">
        <f t="shared" ca="1" si="4"/>
        <v/>
      </c>
      <c r="M32" s="54" t="str">
        <f t="shared" ca="1" si="4"/>
        <v/>
      </c>
      <c r="N32" s="54" t="str">
        <f t="shared" ca="1" si="4"/>
        <v/>
      </c>
      <c r="O32" s="54" t="str">
        <f t="shared" ca="1" si="1"/>
        <v/>
      </c>
      <c r="P32" s="55" t="str" cm="1">
        <f t="array" aca="1" ref="P32" ca="1">IFERROR(LEFT($O32,FIND("-",$O32)-1) &amp; SUBSTITUTE($O32,LEFT($O32,FIND("-",$O32)-1) &amp;"-","") &amp; ":" &amp;
LEFT($O32,FIND("-",$O32)-1) &amp; SUBSTITUTE($O32,LEFT($O32,FIND("-",$O32)-1) &amp;"-","")+misLíneas-3,"")</f>
        <v/>
      </c>
    </row>
    <row r="33" spans="1:16" ht="16.5" thickTop="1" thickBot="1" x14ac:dyDescent="0.3">
      <c r="A33" s="56" t="str">
        <f>IFERROR(IF(Datos!$A33="","",Idiomas!$A$12&amp;" "&amp;ROW()-1),"")</f>
        <v>Tarea 32</v>
      </c>
      <c r="B33" s="57">
        <f>IFERROR(MATCH(Datos!$A33,Configura!$B$9:$B$18,0),0)</f>
        <v>2</v>
      </c>
      <c r="C33" s="57">
        <f>IFERROR(MATCH(Datos!$B32,Configura!$D$9:$D$11,0),0)</f>
        <v>2</v>
      </c>
      <c r="D33" s="57" cm="1">
        <f t="array" ref="D33">IF(AND(Datos!$A33&lt;&gt;"",
OR(miCriticidad="",miCriticidad=$C33),
OR(miAsignado="",miAsignado=Datos!$K33),
OR(miFechaInicio="",Datos!$F33="",Datos!$F33&gt;=miFechaInicio),
OR(miTexto="",IFERROR(SEARCH(miTexto,Datos!$D33),0)&gt;0,IFERROR(SEARCH(miTexto,Datos!$E33),0)&gt;0),
OR(miRetraso="",IFERROR(--LEFT(Datos!$J33,FIND(" ",Datos!$J33)-1),0)&gt;miRetraso),
OR(miDuración="",IFERROR(--LEFT(Datos!$I33,FIND(" ",Datos!$I33)-1),0)&gt;miDuración)),
1,0)</f>
        <v>1</v>
      </c>
      <c r="E33" s="58" t="str">
        <f t="shared" ca="1" si="4"/>
        <v/>
      </c>
      <c r="F33" s="58" t="str">
        <f t="shared" ca="1" si="4"/>
        <v/>
      </c>
      <c r="G33" s="58" t="str">
        <f t="shared" ca="1" si="4"/>
        <v/>
      </c>
      <c r="H33" s="58" t="str">
        <f t="shared" ca="1" si="4"/>
        <v/>
      </c>
      <c r="I33" s="58" t="str">
        <f t="shared" ca="1" si="4"/>
        <v/>
      </c>
      <c r="J33" s="58" t="str">
        <f t="shared" ca="1" si="4"/>
        <v/>
      </c>
      <c r="K33" s="58" t="str">
        <f t="shared" ca="1" si="4"/>
        <v/>
      </c>
      <c r="L33" s="58" t="str">
        <f t="shared" ca="1" si="4"/>
        <v/>
      </c>
      <c r="M33" s="58" t="str">
        <f t="shared" ca="1" si="4"/>
        <v/>
      </c>
      <c r="N33" s="58" t="str">
        <f t="shared" ca="1" si="4"/>
        <v/>
      </c>
      <c r="O33" s="58" t="str">
        <f t="shared" ca="1" si="1"/>
        <v/>
      </c>
      <c r="P33" s="59" t="str" cm="1">
        <f t="array" aca="1" ref="P33" ca="1">IFERROR(LEFT($O33,FIND("-",$O33)-1) &amp; SUBSTITUTE($O33,LEFT($O33,FIND("-",$O33)-1) &amp;"-","") &amp; ":" &amp;
LEFT($O33,FIND("-",$O33)-1) &amp; SUBSTITUTE($O33,LEFT($O33,FIND("-",$O33)-1) &amp;"-","")+misLíneas-3,"")</f>
        <v/>
      </c>
    </row>
    <row r="34" spans="1:16" ht="16.5" thickTop="1" thickBot="1" x14ac:dyDescent="0.3">
      <c r="A34" s="52" t="str">
        <f>IFERROR(IF(Datos!$A34="","",Idiomas!$A$12&amp;" "&amp;ROW()-1),"")</f>
        <v>Tarea 33</v>
      </c>
      <c r="B34" s="53">
        <f>IFERROR(MATCH(Datos!$A34,Configura!$B$9:$B$18,0),0)</f>
        <v>2</v>
      </c>
      <c r="C34" s="53">
        <f>IFERROR(MATCH(Datos!$B34,Configura!$D$9:$D$11,0),0)</f>
        <v>2</v>
      </c>
      <c r="D34" s="53" cm="1">
        <f t="array" ref="D34">IF(AND(Datos!$A34&lt;&gt;"",
OR(miCriticidad="",miCriticidad=$C34),
OR(miAsignado="",miAsignado=Datos!$K34),
OR(miFechaInicio="",Datos!$F34="",Datos!$F34&gt;=miFechaInicio),
OR(miTexto="",IFERROR(SEARCH(miTexto,Datos!$D34),0)&gt;0,IFERROR(SEARCH(miTexto,Datos!$E34),0)&gt;0),
OR(miRetraso="",IFERROR(--LEFT(Datos!$J34,FIND(" ",Datos!$J34)-1),0)&gt;miRetraso),
OR(miDuración="",IFERROR(--LEFT(Datos!$I34,FIND(" ",Datos!$I34)-1),0)&gt;miDuración)),
1,0)</f>
        <v>1</v>
      </c>
      <c r="E34" s="54" t="str">
        <f t="shared" ca="1" si="4"/>
        <v/>
      </c>
      <c r="F34" s="54" t="str">
        <f t="shared" ca="1" si="4"/>
        <v/>
      </c>
      <c r="G34" s="54" t="str">
        <f t="shared" ca="1" si="4"/>
        <v/>
      </c>
      <c r="H34" s="54" t="str">
        <f t="shared" ca="1" si="4"/>
        <v/>
      </c>
      <c r="I34" s="54" t="str">
        <f t="shared" ca="1" si="4"/>
        <v/>
      </c>
      <c r="J34" s="54" t="str">
        <f t="shared" ca="1" si="4"/>
        <v/>
      </c>
      <c r="K34" s="54" t="str">
        <f t="shared" ca="1" si="4"/>
        <v/>
      </c>
      <c r="L34" s="54" t="str">
        <f t="shared" ca="1" si="4"/>
        <v/>
      </c>
      <c r="M34" s="54" t="str">
        <f t="shared" ca="1" si="4"/>
        <v/>
      </c>
      <c r="N34" s="54" t="str">
        <f t="shared" ca="1" si="4"/>
        <v/>
      </c>
      <c r="O34" s="54" t="str">
        <f t="shared" ref="O34:O65" ca="1" si="5">E34&amp;F34&amp;G34&amp;H34&amp;I34&amp;J34&amp;K34&amp;L34&amp;M34&amp;N34</f>
        <v/>
      </c>
      <c r="P34" s="55" t="str" cm="1">
        <f t="array" aca="1" ref="P34" ca="1">IFERROR(LEFT($O34,FIND("-",$O34)-1) &amp; SUBSTITUTE($O34,LEFT($O34,FIND("-",$O34)-1) &amp;"-","") &amp; ":" &amp;
LEFT($O34,FIND("-",$O34)-1) &amp; SUBSTITUTE($O34,LEFT($O34,FIND("-",$O34)-1) &amp;"-","")+misLíneas-3,"")</f>
        <v/>
      </c>
    </row>
    <row r="35" spans="1:16" ht="16.5" thickTop="1" thickBot="1" x14ac:dyDescent="0.3">
      <c r="A35" s="56" t="str">
        <f>IFERROR(IF(Datos!$A35="","",Idiomas!$A$12&amp;" "&amp;ROW()-1),"")</f>
        <v/>
      </c>
      <c r="B35" s="57">
        <f>IFERROR(MATCH(Datos!$A35,Configura!$B$9:$B$18,0),0)</f>
        <v>0</v>
      </c>
      <c r="C35" s="57">
        <f>IFERROR(MATCH(Datos!$B35,Configura!$D$9:$D$11,0),0)</f>
        <v>0</v>
      </c>
      <c r="D35" s="57" cm="1">
        <f t="array" ref="D35">IF(AND(Datos!$A35&lt;&gt;"",
OR(miCriticidad="",miCriticidad=$C35),
OR(miAsignado="",miAsignado=Datos!$K35),
OR(miFechaInicio="",Datos!$F35="",Datos!$F35&gt;=miFechaInicio),
OR(miTexto="",IFERROR(SEARCH(miTexto,Datos!$D35),0)&gt;0,IFERROR(SEARCH(miTexto,Datos!$E35),0)&gt;0),
OR(miRetraso="",IFERROR(--LEFT(Datos!$J35,FIND(" ",Datos!$J35)-1),0)&gt;miRetraso),
OR(miDuración="",IFERROR(--LEFT(Datos!$I35,FIND(" ",Datos!$I35)-1),0)&gt;miDuración)),
1,0)</f>
        <v>0</v>
      </c>
      <c r="E35" s="58" t="str">
        <f t="shared" ca="1" si="4"/>
        <v/>
      </c>
      <c r="F35" s="58" t="str">
        <f t="shared" ca="1" si="4"/>
        <v/>
      </c>
      <c r="G35" s="58" t="str">
        <f t="shared" ca="1" si="4"/>
        <v/>
      </c>
      <c r="H35" s="58" t="str">
        <f t="shared" ca="1" si="4"/>
        <v/>
      </c>
      <c r="I35" s="58" t="str">
        <f t="shared" ca="1" si="4"/>
        <v/>
      </c>
      <c r="J35" s="58" t="str">
        <f t="shared" ca="1" si="4"/>
        <v/>
      </c>
      <c r="K35" s="58" t="str">
        <f t="shared" ca="1" si="4"/>
        <v/>
      </c>
      <c r="L35" s="58" t="str">
        <f t="shared" ca="1" si="4"/>
        <v/>
      </c>
      <c r="M35" s="58" t="str">
        <f t="shared" ca="1" si="4"/>
        <v/>
      </c>
      <c r="N35" s="58" t="str">
        <f t="shared" ca="1" si="4"/>
        <v/>
      </c>
      <c r="O35" s="58" t="str">
        <f t="shared" ca="1" si="5"/>
        <v/>
      </c>
      <c r="P35" s="59" t="str" cm="1">
        <f t="array" aca="1" ref="P35" ca="1">IFERROR(LEFT($O35,FIND("-",$O35)-1) &amp; SUBSTITUTE($O35,LEFT($O35,FIND("-",$O35)-1) &amp;"-","") &amp; ":" &amp;
LEFT($O35,FIND("-",$O35)-1) &amp; SUBSTITUTE($O35,LEFT($O35,FIND("-",$O35)-1) &amp;"-","")+misLíneas-3,"")</f>
        <v/>
      </c>
    </row>
    <row r="36" spans="1:16" ht="16.5" thickTop="1" thickBot="1" x14ac:dyDescent="0.3">
      <c r="A36" s="52" t="str">
        <f>IFERROR(IF(Datos!$A36="","",Idiomas!$A$12&amp;" "&amp;ROW()-1),"")</f>
        <v/>
      </c>
      <c r="B36" s="53">
        <f>IFERROR(MATCH(Datos!$A36,Configura!$B$9:$B$18,0),0)</f>
        <v>0</v>
      </c>
      <c r="C36" s="53">
        <f>IFERROR(MATCH(Datos!$B36,Configura!$D$9:$D$11,0),0)</f>
        <v>0</v>
      </c>
      <c r="D36" s="53" cm="1">
        <f t="array" ref="D36">IF(AND(Datos!$A36&lt;&gt;"",
OR(miCriticidad="",miCriticidad=$C36),
OR(miAsignado="",miAsignado=Datos!$K36),
OR(miFechaInicio="",Datos!$F36="",Datos!$F36&gt;=miFechaInicio),
OR(miTexto="",IFERROR(SEARCH(miTexto,Datos!$D36),0)&gt;0,IFERROR(SEARCH(miTexto,Datos!$E36),0)&gt;0),
OR(miRetraso="",IFERROR(--LEFT(Datos!$J36,FIND(" ",Datos!$J36)-1),0)&gt;miRetraso),
OR(miDuración="",IFERROR(--LEFT(Datos!$I36,FIND(" ",Datos!$I36)-1),0)&gt;miDuración)),
1,0)</f>
        <v>0</v>
      </c>
      <c r="E36" s="54" t="str">
        <f t="shared" ca="1" si="4"/>
        <v/>
      </c>
      <c r="F36" s="54" t="str">
        <f t="shared" ca="1" si="4"/>
        <v/>
      </c>
      <c r="G36" s="54" t="str">
        <f t="shared" ca="1" si="4"/>
        <v/>
      </c>
      <c r="H36" s="54" t="str">
        <f t="shared" ca="1" si="4"/>
        <v/>
      </c>
      <c r="I36" s="54" t="str">
        <f t="shared" ca="1" si="4"/>
        <v/>
      </c>
      <c r="J36" s="54" t="str">
        <f t="shared" ca="1" si="4"/>
        <v/>
      </c>
      <c r="K36" s="54" t="str">
        <f t="shared" ca="1" si="4"/>
        <v/>
      </c>
      <c r="L36" s="54" t="str">
        <f t="shared" ca="1" si="4"/>
        <v/>
      </c>
      <c r="M36" s="54" t="str">
        <f t="shared" ca="1" si="4"/>
        <v/>
      </c>
      <c r="N36" s="54" t="str">
        <f t="shared" ca="1" si="4"/>
        <v/>
      </c>
      <c r="O36" s="54" t="str">
        <f t="shared" ca="1" si="5"/>
        <v/>
      </c>
      <c r="P36" s="55" t="str" cm="1">
        <f t="array" aca="1" ref="P36" ca="1">IFERROR(LEFT($O36,FIND("-",$O36)-1) &amp; SUBSTITUTE($O36,LEFT($O36,FIND("-",$O36)-1) &amp;"-","") &amp; ":" &amp;
LEFT($O36,FIND("-",$O36)-1) &amp; SUBSTITUTE($O36,LEFT($O36,FIND("-",$O36)-1) &amp;"-","")+misLíneas-3,"")</f>
        <v/>
      </c>
    </row>
    <row r="37" spans="1:16" ht="16.5" thickTop="1" thickBot="1" x14ac:dyDescent="0.3">
      <c r="A37" s="56" t="str">
        <f>IFERROR(IF(Datos!$A37="","",Idiomas!$A$12&amp;" "&amp;ROW()-1),"")</f>
        <v/>
      </c>
      <c r="B37" s="57">
        <f>IFERROR(MATCH(Datos!$A37,Configura!$B$9:$B$18,0),0)</f>
        <v>0</v>
      </c>
      <c r="C37" s="57">
        <f>IFERROR(MATCH(Datos!$B37,Configura!$D$9:$D$11,0),0)</f>
        <v>0</v>
      </c>
      <c r="D37" s="57" cm="1">
        <f t="array" ref="D37">IF(AND(Datos!$A37&lt;&gt;"",
OR(miCriticidad="",miCriticidad=$C37),
OR(miAsignado="",miAsignado=Datos!$K37),
OR(miFechaInicio="",Datos!$F37="",Datos!$F37&gt;=miFechaInicio),
OR(miTexto="",IFERROR(SEARCH(miTexto,Datos!$D37),0)&gt;0,IFERROR(SEARCH(miTexto,Datos!$E37),0)&gt;0),
OR(miRetraso="",IFERROR(--LEFT(Datos!$J37,FIND(" ",Datos!$J37)-1),0)&gt;miRetraso),
OR(miDuración="",IFERROR(--LEFT(Datos!$I37,FIND(" ",Datos!$I37)-1),0)&gt;miDuración)),
1,0)</f>
        <v>0</v>
      </c>
      <c r="E37" s="58" t="str">
        <f t="shared" ca="1" si="4"/>
        <v/>
      </c>
      <c r="F37" s="58" t="str">
        <f t="shared" ca="1" si="4"/>
        <v/>
      </c>
      <c r="G37" s="58" t="str">
        <f t="shared" ca="1" si="4"/>
        <v/>
      </c>
      <c r="H37" s="58" t="str">
        <f t="shared" ca="1" si="4"/>
        <v/>
      </c>
      <c r="I37" s="58" t="str">
        <f t="shared" ca="1" si="4"/>
        <v/>
      </c>
      <c r="J37" s="58" t="str">
        <f t="shared" ca="1" si="4"/>
        <v/>
      </c>
      <c r="K37" s="58" t="str">
        <f t="shared" ca="1" si="4"/>
        <v/>
      </c>
      <c r="L37" s="58" t="str">
        <f t="shared" ca="1" si="4"/>
        <v/>
      </c>
      <c r="M37" s="58" t="str">
        <f t="shared" ca="1" si="4"/>
        <v/>
      </c>
      <c r="N37" s="58" t="str">
        <f t="shared" ca="1" si="4"/>
        <v/>
      </c>
      <c r="O37" s="58" t="str">
        <f t="shared" ca="1" si="5"/>
        <v/>
      </c>
      <c r="P37" s="59" t="str" cm="1">
        <f t="array" aca="1" ref="P37" ca="1">IFERROR(LEFT($O37,FIND("-",$O37)-1) &amp; SUBSTITUTE($O37,LEFT($O37,FIND("-",$O37)-1) &amp;"-","") &amp; ":" &amp;
LEFT($O37,FIND("-",$O37)-1) &amp; SUBSTITUTE($O37,LEFT($O37,FIND("-",$O37)-1) &amp;"-","")+misLíneas-3,"")</f>
        <v/>
      </c>
    </row>
    <row r="38" spans="1:16" ht="16.5" thickTop="1" thickBot="1" x14ac:dyDescent="0.3">
      <c r="A38" s="52" t="str">
        <f>IFERROR(IF(Datos!$A38="","",Idiomas!$A$12&amp;" "&amp;ROW()-1),"")</f>
        <v/>
      </c>
      <c r="B38" s="53">
        <f>IFERROR(MATCH(Datos!$A38,Configura!$B$9:$B$18,0),0)</f>
        <v>0</v>
      </c>
      <c r="C38" s="53">
        <f>IFERROR(MATCH(Datos!$B38,Configura!$D$9:$D$11,0),0)</f>
        <v>0</v>
      </c>
      <c r="D38" s="53" cm="1">
        <f t="array" ref="D38">IF(AND(Datos!$A38&lt;&gt;"",
OR(miCriticidad="",miCriticidad=$C38),
OR(miAsignado="",miAsignado=Datos!$K38),
OR(miFechaInicio="",Datos!$F38="",Datos!$F38&gt;=miFechaInicio),
OR(miTexto="",IFERROR(SEARCH(miTexto,Datos!$D38),0)&gt;0,IFERROR(SEARCH(miTexto,Datos!$E38),0)&gt;0),
OR(miRetraso="",IFERROR(--LEFT(Datos!$J38,FIND(" ",Datos!$J38)-1),0)&gt;miRetraso),
OR(miDuración="",IFERROR(--LEFT(Datos!$I38,FIND(" ",Datos!$I38)-1),0)&gt;miDuración)),
1,0)</f>
        <v>0</v>
      </c>
      <c r="E38" s="54" t="str">
        <f t="shared" ca="1" si="4"/>
        <v/>
      </c>
      <c r="F38" s="54" t="str">
        <f t="shared" ca="1" si="4"/>
        <v/>
      </c>
      <c r="G38" s="54" t="str">
        <f t="shared" ca="1" si="4"/>
        <v/>
      </c>
      <c r="H38" s="54" t="str">
        <f t="shared" ca="1" si="4"/>
        <v/>
      </c>
      <c r="I38" s="54" t="str">
        <f t="shared" ca="1" si="4"/>
        <v/>
      </c>
      <c r="J38" s="54" t="str">
        <f t="shared" ca="1" si="4"/>
        <v/>
      </c>
      <c r="K38" s="54" t="str">
        <f t="shared" ca="1" si="4"/>
        <v/>
      </c>
      <c r="L38" s="54" t="str">
        <f t="shared" ca="1" si="4"/>
        <v/>
      </c>
      <c r="M38" s="54" t="str">
        <f t="shared" ca="1" si="4"/>
        <v/>
      </c>
      <c r="N38" s="54" t="str">
        <f t="shared" ca="1" si="4"/>
        <v/>
      </c>
      <c r="O38" s="54" t="str">
        <f t="shared" ca="1" si="5"/>
        <v/>
      </c>
      <c r="P38" s="55" t="str" cm="1">
        <f t="array" aca="1" ref="P38" ca="1">IFERROR(LEFT($O38,FIND("-",$O38)-1) &amp; SUBSTITUTE($O38,LEFT($O38,FIND("-",$O38)-1) &amp;"-","") &amp; ":" &amp;
LEFT($O38,FIND("-",$O38)-1) &amp; SUBSTITUTE($O38,LEFT($O38,FIND("-",$O38)-1) &amp;"-","")+misLíneas-3,"")</f>
        <v/>
      </c>
    </row>
    <row r="39" spans="1:16" ht="16.5" thickTop="1" thickBot="1" x14ac:dyDescent="0.3">
      <c r="A39" s="56" t="str">
        <f>IFERROR(IF(Datos!$A39="","",Idiomas!$A$12&amp;" "&amp;ROW()-1),"")</f>
        <v/>
      </c>
      <c r="B39" s="57">
        <f>IFERROR(MATCH(Datos!$A39,Configura!$B$9:$B$18,0),0)</f>
        <v>0</v>
      </c>
      <c r="C39" s="57">
        <f>IFERROR(MATCH(Datos!$B39,Configura!$D$9:$D$11,0),0)</f>
        <v>0</v>
      </c>
      <c r="D39" s="57" cm="1">
        <f t="array" ref="D39">IF(AND(Datos!$A39&lt;&gt;"",
OR(miCriticidad="",miCriticidad=$C39),
OR(miAsignado="",miAsignado=Datos!$K39),
OR(miFechaInicio="",Datos!$F39="",Datos!$F39&gt;=miFechaInicio),
OR(miTexto="",IFERROR(SEARCH(miTexto,Datos!$D39),0)&gt;0,IFERROR(SEARCH(miTexto,Datos!$E39),0)&gt;0),
OR(miRetraso="",IFERROR(--LEFT(Datos!$J39,FIND(" ",Datos!$J39)-1),0)&gt;miRetraso),
OR(miDuración="",IFERROR(--LEFT(Datos!$I39,FIND(" ",Datos!$I39)-1),0)&gt;miDuración)),
1,0)</f>
        <v>0</v>
      </c>
      <c r="E39" s="58" t="str">
        <f t="shared" ca="1" si="4"/>
        <v/>
      </c>
      <c r="F39" s="58" t="str">
        <f t="shared" ca="1" si="4"/>
        <v/>
      </c>
      <c r="G39" s="58" t="str">
        <f t="shared" ca="1" si="4"/>
        <v/>
      </c>
      <c r="H39" s="58" t="str">
        <f t="shared" ca="1" si="4"/>
        <v/>
      </c>
      <c r="I39" s="58" t="str">
        <f t="shared" ca="1" si="4"/>
        <v/>
      </c>
      <c r="J39" s="58" t="str">
        <f t="shared" ca="1" si="4"/>
        <v/>
      </c>
      <c r="K39" s="58" t="str">
        <f t="shared" ca="1" si="4"/>
        <v/>
      </c>
      <c r="L39" s="58" t="str">
        <f t="shared" ca="1" si="4"/>
        <v/>
      </c>
      <c r="M39" s="58" t="str">
        <f t="shared" ca="1" si="4"/>
        <v/>
      </c>
      <c r="N39" s="58" t="str">
        <f t="shared" ca="1" si="4"/>
        <v/>
      </c>
      <c r="O39" s="58" t="str">
        <f t="shared" ca="1" si="5"/>
        <v/>
      </c>
      <c r="P39" s="59" t="str" cm="1">
        <f t="array" aca="1" ref="P39" ca="1">IFERROR(LEFT($O39,FIND("-",$O39)-1) &amp; SUBSTITUTE($O39,LEFT($O39,FIND("-",$O39)-1) &amp;"-","") &amp; ":" &amp;
LEFT($O39,FIND("-",$O39)-1) &amp; SUBSTITUTE($O39,LEFT($O39,FIND("-",$O39)-1) &amp;"-","")+misLíneas-3,"")</f>
        <v/>
      </c>
    </row>
    <row r="40" spans="1:16" ht="16.5" thickTop="1" thickBot="1" x14ac:dyDescent="0.3">
      <c r="A40" s="52" t="str">
        <f>IFERROR(IF(Datos!$A40="","",Idiomas!$A$12&amp;" "&amp;ROW()-1),"")</f>
        <v/>
      </c>
      <c r="B40" s="53">
        <f>IFERROR(MATCH(Datos!$A40,Configura!$B$9:$B$18,0),0)</f>
        <v>0</v>
      </c>
      <c r="C40" s="53">
        <f>IFERROR(MATCH(Datos!$B40,Configura!$D$9:$D$11,0),0)</f>
        <v>0</v>
      </c>
      <c r="D40" s="53" cm="1">
        <f t="array" ref="D40">IF(AND(Datos!$A40&lt;&gt;"",
OR(miCriticidad="",miCriticidad=$C40),
OR(miAsignado="",miAsignado=Datos!$K40),
OR(miFechaInicio="",Datos!$F40="",Datos!$F40&gt;=miFechaInicio),
OR(miTexto="",IFERROR(SEARCH(miTexto,Datos!$D40),0)&gt;0,IFERROR(SEARCH(miTexto,Datos!$E40),0)&gt;0),
OR(miRetraso="",IFERROR(--LEFT(Datos!$J40,FIND(" ",Datos!$J40)-1),0)&gt;miRetraso),
OR(miDuración="",IFERROR(--LEFT(Datos!$I40,FIND(" ",Datos!$I40)-1),0)&gt;miDuración)),
1,0)</f>
        <v>0</v>
      </c>
      <c r="E40" s="54" t="str">
        <f t="shared" ca="1" si="4"/>
        <v/>
      </c>
      <c r="F40" s="54" t="str">
        <f t="shared" ca="1" si="4"/>
        <v/>
      </c>
      <c r="G40" s="54" t="str">
        <f t="shared" ca="1" si="4"/>
        <v/>
      </c>
      <c r="H40" s="54" t="str">
        <f t="shared" ca="1" si="4"/>
        <v/>
      </c>
      <c r="I40" s="54" t="str">
        <f t="shared" ca="1" si="4"/>
        <v/>
      </c>
      <c r="J40" s="54" t="str">
        <f t="shared" ca="1" si="4"/>
        <v/>
      </c>
      <c r="K40" s="54" t="str">
        <f t="shared" ca="1" si="4"/>
        <v/>
      </c>
      <c r="L40" s="54" t="str">
        <f t="shared" ca="1" si="4"/>
        <v/>
      </c>
      <c r="M40" s="54" t="str">
        <f t="shared" ca="1" si="4"/>
        <v/>
      </c>
      <c r="N40" s="54" t="str">
        <f t="shared" ca="1" si="4"/>
        <v/>
      </c>
      <c r="O40" s="54" t="str">
        <f t="shared" ca="1" si="5"/>
        <v/>
      </c>
      <c r="P40" s="55" t="str" cm="1">
        <f t="array" aca="1" ref="P40" ca="1">IFERROR(LEFT($O40,FIND("-",$O40)-1) &amp; SUBSTITUTE($O40,LEFT($O40,FIND("-",$O40)-1) &amp;"-","") &amp; ":" &amp;
LEFT($O40,FIND("-",$O40)-1) &amp; SUBSTITUTE($O40,LEFT($O40,FIND("-",$O40)-1) &amp;"-","")+misLíneas-3,"")</f>
        <v/>
      </c>
    </row>
    <row r="41" spans="1:16" ht="16.5" thickTop="1" thickBot="1" x14ac:dyDescent="0.3">
      <c r="A41" s="56" t="str">
        <f>IFERROR(IF(Datos!$A41="","",Idiomas!$A$12&amp;" "&amp;ROW()-1),"")</f>
        <v/>
      </c>
      <c r="B41" s="57">
        <f>IFERROR(MATCH(Datos!$A41,Configura!$B$9:$B$18,0),0)</f>
        <v>0</v>
      </c>
      <c r="C41" s="57">
        <f>IFERROR(MATCH(Datos!$B41,Configura!$D$9:$D$11,0),0)</f>
        <v>0</v>
      </c>
      <c r="D41" s="57" cm="1">
        <f t="array" ref="D41">IF(AND(Datos!$A41&lt;&gt;"",
OR(miCriticidad="",miCriticidad=$C41),
OR(miAsignado="",miAsignado=Datos!$K41),
OR(miFechaInicio="",Datos!$F41="",Datos!$F41&gt;=miFechaInicio),
OR(miTexto="",IFERROR(SEARCH(miTexto,Datos!$D41),0)&gt;0,IFERROR(SEARCH(miTexto,Datos!$E41),0)&gt;0),
OR(miRetraso="",IFERROR(--LEFT(Datos!$J41,FIND(" ",Datos!$J41)-1),0)&gt;miRetraso),
OR(miDuración="",IFERROR(--LEFT(Datos!$I41,FIND(" ",Datos!$I41)-1),0)&gt;miDuración)),
1,0)</f>
        <v>0</v>
      </c>
      <c r="E41" s="58" t="str">
        <f t="shared" ca="1" si="4"/>
        <v/>
      </c>
      <c r="F41" s="58" t="str">
        <f t="shared" ca="1" si="4"/>
        <v/>
      </c>
      <c r="G41" s="58" t="str">
        <f t="shared" ca="1" si="4"/>
        <v/>
      </c>
      <c r="H41" s="58" t="str">
        <f t="shared" ca="1" si="4"/>
        <v/>
      </c>
      <c r="I41" s="58" t="str">
        <f t="shared" ca="1" si="4"/>
        <v/>
      </c>
      <c r="J41" s="58" t="str">
        <f t="shared" ca="1" si="4"/>
        <v/>
      </c>
      <c r="K41" s="58" t="str">
        <f t="shared" ca="1" si="4"/>
        <v/>
      </c>
      <c r="L41" s="58" t="str">
        <f t="shared" ca="1" si="4"/>
        <v/>
      </c>
      <c r="M41" s="58" t="str">
        <f t="shared" ca="1" si="4"/>
        <v/>
      </c>
      <c r="N41" s="58" t="str">
        <f t="shared" ca="1" si="4"/>
        <v/>
      </c>
      <c r="O41" s="58" t="str">
        <f t="shared" ca="1" si="5"/>
        <v/>
      </c>
      <c r="P41" s="59" t="str" cm="1">
        <f t="array" aca="1" ref="P41" ca="1">IFERROR(LEFT($O41,FIND("-",$O41)-1) &amp; SUBSTITUTE($O41,LEFT($O41,FIND("-",$O41)-1) &amp;"-","") &amp; ":" &amp;
LEFT($O41,FIND("-",$O41)-1) &amp; SUBSTITUTE($O41,LEFT($O41,FIND("-",$O41)-1) &amp;"-","")+misLíneas-3,"")</f>
        <v/>
      </c>
    </row>
    <row r="42" spans="1:16" ht="16.5" thickTop="1" thickBot="1" x14ac:dyDescent="0.3">
      <c r="A42" s="52" t="str">
        <f>IFERROR(IF(Datos!$A42="","",Idiomas!$A$12&amp;" "&amp;ROW()-1),"")</f>
        <v/>
      </c>
      <c r="B42" s="53">
        <f>IFERROR(MATCH(Datos!$A42,Configura!$B$9:$B$18,0),0)</f>
        <v>0</v>
      </c>
      <c r="C42" s="53">
        <f>IFERROR(MATCH(Datos!$B42,Configura!$D$9:$D$11,0),0)</f>
        <v>0</v>
      </c>
      <c r="D42" s="53" cm="1">
        <f t="array" ref="D42">IF(AND(Datos!$A42&lt;&gt;"",
OR(miCriticidad="",miCriticidad=$C42),
OR(miAsignado="",miAsignado=Datos!$K42),
OR(miFechaInicio="",Datos!$F42="",Datos!$F42&gt;=miFechaInicio),
OR(miTexto="",IFERROR(SEARCH(miTexto,Datos!$D42),0)&gt;0,IFERROR(SEARCH(miTexto,Datos!$E42),0)&gt;0),
OR(miRetraso="",IFERROR(--LEFT(Datos!$J42,FIND(" ",Datos!$J42)-1),0)&gt;miRetraso),
OR(miDuración="",IFERROR(--LEFT(Datos!$I42,FIND(" ",Datos!$I42)-1),0)&gt;miDuración)),
1,0)</f>
        <v>0</v>
      </c>
      <c r="E42" s="54" t="str">
        <f t="shared" ref="E42:N51" ca="1" si="6">IFERROR(E$1&amp;"-"&amp;MATCH($A42&amp;":",INDIRECT("KANBAN!"&amp;E$1&amp;":"&amp;E$1),0),"")</f>
        <v/>
      </c>
      <c r="F42" s="54" t="str">
        <f t="shared" ca="1" si="6"/>
        <v/>
      </c>
      <c r="G42" s="54" t="str">
        <f t="shared" ca="1" si="6"/>
        <v/>
      </c>
      <c r="H42" s="54" t="str">
        <f t="shared" ca="1" si="6"/>
        <v/>
      </c>
      <c r="I42" s="54" t="str">
        <f t="shared" ca="1" si="6"/>
        <v/>
      </c>
      <c r="J42" s="54" t="str">
        <f t="shared" ca="1" si="6"/>
        <v/>
      </c>
      <c r="K42" s="54" t="str">
        <f t="shared" ca="1" si="6"/>
        <v/>
      </c>
      <c r="L42" s="54" t="str">
        <f t="shared" ca="1" si="6"/>
        <v/>
      </c>
      <c r="M42" s="54" t="str">
        <f t="shared" ca="1" si="6"/>
        <v/>
      </c>
      <c r="N42" s="54" t="str">
        <f t="shared" ca="1" si="6"/>
        <v/>
      </c>
      <c r="O42" s="54" t="str">
        <f t="shared" ca="1" si="5"/>
        <v/>
      </c>
      <c r="P42" s="55" t="str" cm="1">
        <f t="array" aca="1" ref="P42" ca="1">IFERROR(LEFT($O42,FIND("-",$O42)-1) &amp; SUBSTITUTE($O42,LEFT($O42,FIND("-",$O42)-1) &amp;"-","") &amp; ":" &amp;
LEFT($O42,FIND("-",$O42)-1) &amp; SUBSTITUTE($O42,LEFT($O42,FIND("-",$O42)-1) &amp;"-","")+misLíneas-3,"")</f>
        <v/>
      </c>
    </row>
    <row r="43" spans="1:16" ht="16.5" thickTop="1" thickBot="1" x14ac:dyDescent="0.3">
      <c r="A43" s="56" t="str">
        <f>IFERROR(IF(Datos!$A43="","",Idiomas!$A$12&amp;" "&amp;ROW()-1),"")</f>
        <v/>
      </c>
      <c r="B43" s="57">
        <f>IFERROR(MATCH(Datos!$A43,Configura!$B$9:$B$18,0),0)</f>
        <v>0</v>
      </c>
      <c r="C43" s="57">
        <f>IFERROR(MATCH(Datos!$B43,Configura!$D$9:$D$11,0),0)</f>
        <v>0</v>
      </c>
      <c r="D43" s="57" cm="1">
        <f t="array" ref="D43">IF(AND(Datos!$A43&lt;&gt;"",
OR(miCriticidad="",miCriticidad=$C43),
OR(miAsignado="",miAsignado=Datos!$K43),
OR(miFechaInicio="",Datos!$F43="",Datos!$F43&gt;=miFechaInicio),
OR(miTexto="",IFERROR(SEARCH(miTexto,Datos!$D43),0)&gt;0,IFERROR(SEARCH(miTexto,Datos!$E43),0)&gt;0),
OR(miRetraso="",IFERROR(--LEFT(Datos!$J43,FIND(" ",Datos!$J43)-1),0)&gt;miRetraso),
OR(miDuración="",IFERROR(--LEFT(Datos!$I43,FIND(" ",Datos!$I43)-1),0)&gt;miDuración)),
1,0)</f>
        <v>0</v>
      </c>
      <c r="E43" s="58" t="str">
        <f t="shared" ca="1" si="6"/>
        <v/>
      </c>
      <c r="F43" s="58" t="str">
        <f t="shared" ca="1" si="6"/>
        <v/>
      </c>
      <c r="G43" s="58" t="str">
        <f t="shared" ca="1" si="6"/>
        <v/>
      </c>
      <c r="H43" s="58" t="str">
        <f t="shared" ca="1" si="6"/>
        <v/>
      </c>
      <c r="I43" s="58" t="str">
        <f t="shared" ca="1" si="6"/>
        <v/>
      </c>
      <c r="J43" s="58" t="str">
        <f t="shared" ca="1" si="6"/>
        <v/>
      </c>
      <c r="K43" s="58" t="str">
        <f t="shared" ca="1" si="6"/>
        <v/>
      </c>
      <c r="L43" s="58" t="str">
        <f t="shared" ca="1" si="6"/>
        <v/>
      </c>
      <c r="M43" s="58" t="str">
        <f t="shared" ca="1" si="6"/>
        <v/>
      </c>
      <c r="N43" s="58" t="str">
        <f t="shared" ca="1" si="6"/>
        <v/>
      </c>
      <c r="O43" s="58" t="str">
        <f t="shared" ca="1" si="5"/>
        <v/>
      </c>
      <c r="P43" s="59" t="str" cm="1">
        <f t="array" aca="1" ref="P43" ca="1">IFERROR(LEFT($O43,FIND("-",$O43)-1) &amp; SUBSTITUTE($O43,LEFT($O43,FIND("-",$O43)-1) &amp;"-","") &amp; ":" &amp;
LEFT($O43,FIND("-",$O43)-1) &amp; SUBSTITUTE($O43,LEFT($O43,FIND("-",$O43)-1) &amp;"-","")+misLíneas-3,"")</f>
        <v/>
      </c>
    </row>
    <row r="44" spans="1:16" ht="16.5" thickTop="1" thickBot="1" x14ac:dyDescent="0.3">
      <c r="A44" s="52" t="str">
        <f>IFERROR(IF(Datos!$A44="","",Idiomas!$A$12&amp;" "&amp;ROW()-1),"")</f>
        <v/>
      </c>
      <c r="B44" s="53">
        <f>IFERROR(MATCH(Datos!$A44,Configura!$B$9:$B$18,0),0)</f>
        <v>0</v>
      </c>
      <c r="C44" s="53">
        <f>IFERROR(MATCH(Datos!$B44,Configura!$D$9:$D$11,0),0)</f>
        <v>0</v>
      </c>
      <c r="D44" s="53" cm="1">
        <f t="array" ref="D44">IF(AND(Datos!$A44&lt;&gt;"",
OR(miCriticidad="",miCriticidad=$C44),
OR(miAsignado="",miAsignado=Datos!$K44),
OR(miFechaInicio="",Datos!$F44="",Datos!$F44&gt;=miFechaInicio),
OR(miTexto="",IFERROR(SEARCH(miTexto,Datos!$D44),0)&gt;0,IFERROR(SEARCH(miTexto,Datos!$E44),0)&gt;0),
OR(miRetraso="",IFERROR(--LEFT(Datos!$J44,FIND(" ",Datos!$J44)-1),0)&gt;miRetraso),
OR(miDuración="",IFERROR(--LEFT(Datos!$I44,FIND(" ",Datos!$I44)-1),0)&gt;miDuración)),
1,0)</f>
        <v>0</v>
      </c>
      <c r="E44" s="54" t="str">
        <f t="shared" ca="1" si="6"/>
        <v/>
      </c>
      <c r="F44" s="54" t="str">
        <f t="shared" ca="1" si="6"/>
        <v/>
      </c>
      <c r="G44" s="54" t="str">
        <f t="shared" ca="1" si="6"/>
        <v/>
      </c>
      <c r="H44" s="54" t="str">
        <f t="shared" ca="1" si="6"/>
        <v/>
      </c>
      <c r="I44" s="54" t="str">
        <f t="shared" ca="1" si="6"/>
        <v/>
      </c>
      <c r="J44" s="54" t="str">
        <f t="shared" ca="1" si="6"/>
        <v/>
      </c>
      <c r="K44" s="54" t="str">
        <f t="shared" ca="1" si="6"/>
        <v/>
      </c>
      <c r="L44" s="54" t="str">
        <f t="shared" ca="1" si="6"/>
        <v/>
      </c>
      <c r="M44" s="54" t="str">
        <f t="shared" ca="1" si="6"/>
        <v/>
      </c>
      <c r="N44" s="54" t="str">
        <f t="shared" ca="1" si="6"/>
        <v/>
      </c>
      <c r="O44" s="54" t="str">
        <f t="shared" ca="1" si="5"/>
        <v/>
      </c>
      <c r="P44" s="55" t="str" cm="1">
        <f t="array" aca="1" ref="P44" ca="1">IFERROR(LEFT($O44,FIND("-",$O44)-1) &amp; SUBSTITUTE($O44,LEFT($O44,FIND("-",$O44)-1) &amp;"-","") &amp; ":" &amp;
LEFT($O44,FIND("-",$O44)-1) &amp; SUBSTITUTE($O44,LEFT($O44,FIND("-",$O44)-1) &amp;"-","")+misLíneas-3,"")</f>
        <v/>
      </c>
    </row>
    <row r="45" spans="1:16" ht="16.5" thickTop="1" thickBot="1" x14ac:dyDescent="0.3">
      <c r="A45" s="56" t="str">
        <f>IFERROR(IF(Datos!$A45="","",Idiomas!$A$12&amp;" "&amp;ROW()-1),"")</f>
        <v/>
      </c>
      <c r="B45" s="57">
        <f>IFERROR(MATCH(Datos!$A45,Configura!$B$9:$B$18,0),0)</f>
        <v>0</v>
      </c>
      <c r="C45" s="57">
        <f>IFERROR(MATCH(Datos!$B45,Configura!$D$9:$D$11,0),0)</f>
        <v>0</v>
      </c>
      <c r="D45" s="57" cm="1">
        <f t="array" ref="D45">IF(AND(Datos!$A45&lt;&gt;"",
OR(miCriticidad="",miCriticidad=$C45),
OR(miAsignado="",miAsignado=Datos!$K45),
OR(miFechaInicio="",Datos!$F45="",Datos!$F45&gt;=miFechaInicio),
OR(miTexto="",IFERROR(SEARCH(miTexto,Datos!$D45),0)&gt;0,IFERROR(SEARCH(miTexto,Datos!$E45),0)&gt;0),
OR(miRetraso="",IFERROR(--LEFT(Datos!$J45,FIND(" ",Datos!$J45)-1),0)&gt;miRetraso),
OR(miDuración="",IFERROR(--LEFT(Datos!$I45,FIND(" ",Datos!$I45)-1),0)&gt;miDuración)),
1,0)</f>
        <v>0</v>
      </c>
      <c r="E45" s="58" t="str">
        <f t="shared" ca="1" si="6"/>
        <v/>
      </c>
      <c r="F45" s="58" t="str">
        <f t="shared" ca="1" si="6"/>
        <v/>
      </c>
      <c r="G45" s="58" t="str">
        <f t="shared" ca="1" si="6"/>
        <v/>
      </c>
      <c r="H45" s="58" t="str">
        <f t="shared" ca="1" si="6"/>
        <v/>
      </c>
      <c r="I45" s="58" t="str">
        <f t="shared" ca="1" si="6"/>
        <v/>
      </c>
      <c r="J45" s="58" t="str">
        <f t="shared" ca="1" si="6"/>
        <v/>
      </c>
      <c r="K45" s="58" t="str">
        <f t="shared" ca="1" si="6"/>
        <v/>
      </c>
      <c r="L45" s="58" t="str">
        <f t="shared" ca="1" si="6"/>
        <v/>
      </c>
      <c r="M45" s="58" t="str">
        <f t="shared" ca="1" si="6"/>
        <v/>
      </c>
      <c r="N45" s="58" t="str">
        <f t="shared" ca="1" si="6"/>
        <v/>
      </c>
      <c r="O45" s="58" t="str">
        <f t="shared" ca="1" si="5"/>
        <v/>
      </c>
      <c r="P45" s="59" t="str" cm="1">
        <f t="array" aca="1" ref="P45" ca="1">IFERROR(LEFT($O45,FIND("-",$O45)-1) &amp; SUBSTITUTE($O45,LEFT($O45,FIND("-",$O45)-1) &amp;"-","") &amp; ":" &amp;
LEFT($O45,FIND("-",$O45)-1) &amp; SUBSTITUTE($O45,LEFT($O45,FIND("-",$O45)-1) &amp;"-","")+misLíneas-3,"")</f>
        <v/>
      </c>
    </row>
    <row r="46" spans="1:16" ht="16.5" thickTop="1" thickBot="1" x14ac:dyDescent="0.3">
      <c r="A46" s="52" t="str">
        <f>IFERROR(IF(Datos!$A46="","",Idiomas!$A$12&amp;" "&amp;ROW()-1),"")</f>
        <v/>
      </c>
      <c r="B46" s="53">
        <f>IFERROR(MATCH(Datos!$A46,Configura!$B$9:$B$18,0),0)</f>
        <v>0</v>
      </c>
      <c r="C46" s="53">
        <f>IFERROR(MATCH(Datos!$B46,Configura!$D$9:$D$11,0),0)</f>
        <v>0</v>
      </c>
      <c r="D46" s="53" cm="1">
        <f t="array" ref="D46">IF(AND(Datos!$A46&lt;&gt;"",
OR(miCriticidad="",miCriticidad=$C46),
OR(miAsignado="",miAsignado=Datos!$K46),
OR(miFechaInicio="",Datos!$F46="",Datos!$F46&gt;=miFechaInicio),
OR(miTexto="",IFERROR(SEARCH(miTexto,Datos!$D46),0)&gt;0,IFERROR(SEARCH(miTexto,Datos!$E46),0)&gt;0),
OR(miRetraso="",IFERROR(--LEFT(Datos!$J46,FIND(" ",Datos!$J46)-1),0)&gt;miRetraso),
OR(miDuración="",IFERROR(--LEFT(Datos!$I46,FIND(" ",Datos!$I46)-1),0)&gt;miDuración)),
1,0)</f>
        <v>0</v>
      </c>
      <c r="E46" s="54" t="str">
        <f t="shared" ca="1" si="6"/>
        <v/>
      </c>
      <c r="F46" s="54" t="str">
        <f t="shared" ca="1" si="6"/>
        <v/>
      </c>
      <c r="G46" s="54" t="str">
        <f t="shared" ca="1" si="6"/>
        <v/>
      </c>
      <c r="H46" s="54" t="str">
        <f t="shared" ca="1" si="6"/>
        <v/>
      </c>
      <c r="I46" s="54" t="str">
        <f t="shared" ca="1" si="6"/>
        <v/>
      </c>
      <c r="J46" s="54" t="str">
        <f t="shared" ca="1" si="6"/>
        <v/>
      </c>
      <c r="K46" s="54" t="str">
        <f t="shared" ca="1" si="6"/>
        <v/>
      </c>
      <c r="L46" s="54" t="str">
        <f t="shared" ca="1" si="6"/>
        <v/>
      </c>
      <c r="M46" s="54" t="str">
        <f t="shared" ca="1" si="6"/>
        <v/>
      </c>
      <c r="N46" s="54" t="str">
        <f t="shared" ca="1" si="6"/>
        <v/>
      </c>
      <c r="O46" s="54" t="str">
        <f t="shared" ca="1" si="5"/>
        <v/>
      </c>
      <c r="P46" s="55" t="str" cm="1">
        <f t="array" aca="1" ref="P46" ca="1">IFERROR(LEFT($O46,FIND("-",$O46)-1) &amp; SUBSTITUTE($O46,LEFT($O46,FIND("-",$O46)-1) &amp;"-","") &amp; ":" &amp;
LEFT($O46,FIND("-",$O46)-1) &amp; SUBSTITUTE($O46,LEFT($O46,FIND("-",$O46)-1) &amp;"-","")+misLíneas-3,"")</f>
        <v/>
      </c>
    </row>
    <row r="47" spans="1:16" ht="16.5" thickTop="1" thickBot="1" x14ac:dyDescent="0.3">
      <c r="A47" s="56" t="str">
        <f>IFERROR(IF(Datos!$A47="","",Idiomas!$A$12&amp;" "&amp;ROW()-1),"")</f>
        <v/>
      </c>
      <c r="B47" s="57">
        <f>IFERROR(MATCH(Datos!$A47,Configura!$B$9:$B$18,0),0)</f>
        <v>0</v>
      </c>
      <c r="C47" s="57">
        <f>IFERROR(MATCH(Datos!$B47,Configura!$D$9:$D$11,0),0)</f>
        <v>0</v>
      </c>
      <c r="D47" s="57" cm="1">
        <f t="array" ref="D47">IF(AND(Datos!$A47&lt;&gt;"",
OR(miCriticidad="",miCriticidad=$C47),
OR(miAsignado="",miAsignado=Datos!$K47),
OR(miFechaInicio="",Datos!$F47="",Datos!$F47&gt;=miFechaInicio),
OR(miTexto="",IFERROR(SEARCH(miTexto,Datos!$D47),0)&gt;0,IFERROR(SEARCH(miTexto,Datos!$E47),0)&gt;0),
OR(miRetraso="",IFERROR(--LEFT(Datos!$J47,FIND(" ",Datos!$J47)-1),0)&gt;miRetraso),
OR(miDuración="",IFERROR(--LEFT(Datos!$I47,FIND(" ",Datos!$I47)-1),0)&gt;miDuración)),
1,0)</f>
        <v>0</v>
      </c>
      <c r="E47" s="58" t="str">
        <f t="shared" ca="1" si="6"/>
        <v/>
      </c>
      <c r="F47" s="58" t="str">
        <f t="shared" ca="1" si="6"/>
        <v/>
      </c>
      <c r="G47" s="58" t="str">
        <f t="shared" ca="1" si="6"/>
        <v/>
      </c>
      <c r="H47" s="58" t="str">
        <f t="shared" ca="1" si="6"/>
        <v/>
      </c>
      <c r="I47" s="58" t="str">
        <f t="shared" ca="1" si="6"/>
        <v/>
      </c>
      <c r="J47" s="58" t="str">
        <f t="shared" ca="1" si="6"/>
        <v/>
      </c>
      <c r="K47" s="58" t="str">
        <f t="shared" ca="1" si="6"/>
        <v/>
      </c>
      <c r="L47" s="58" t="str">
        <f t="shared" ca="1" si="6"/>
        <v/>
      </c>
      <c r="M47" s="58" t="str">
        <f t="shared" ca="1" si="6"/>
        <v/>
      </c>
      <c r="N47" s="58" t="str">
        <f t="shared" ca="1" si="6"/>
        <v/>
      </c>
      <c r="O47" s="58" t="str">
        <f t="shared" ca="1" si="5"/>
        <v/>
      </c>
      <c r="P47" s="59" t="str" cm="1">
        <f t="array" aca="1" ref="P47" ca="1">IFERROR(LEFT($O47,FIND("-",$O47)-1) &amp; SUBSTITUTE($O47,LEFT($O47,FIND("-",$O47)-1) &amp;"-","") &amp; ":" &amp;
LEFT($O47,FIND("-",$O47)-1) &amp; SUBSTITUTE($O47,LEFT($O47,FIND("-",$O47)-1) &amp;"-","")+misLíneas-3,"")</f>
        <v/>
      </c>
    </row>
    <row r="48" spans="1:16" ht="16.5" thickTop="1" thickBot="1" x14ac:dyDescent="0.3">
      <c r="A48" s="52" t="str">
        <f>IFERROR(IF(Datos!$A48="","",Idiomas!$A$12&amp;" "&amp;ROW()-1),"")</f>
        <v/>
      </c>
      <c r="B48" s="53">
        <f>IFERROR(MATCH(Datos!$A48,Configura!$B$9:$B$18,0),0)</f>
        <v>0</v>
      </c>
      <c r="C48" s="53">
        <f>IFERROR(MATCH(Datos!$B48,Configura!$D$9:$D$11,0),0)</f>
        <v>0</v>
      </c>
      <c r="D48" s="53" cm="1">
        <f t="array" ref="D48">IF(AND(Datos!$A48&lt;&gt;"",
OR(miCriticidad="",miCriticidad=$C48),
OR(miAsignado="",miAsignado=Datos!$K48),
OR(miFechaInicio="",Datos!$F48="",Datos!$F48&gt;=miFechaInicio),
OR(miTexto="",IFERROR(SEARCH(miTexto,Datos!$D48),0)&gt;0,IFERROR(SEARCH(miTexto,Datos!$E48),0)&gt;0),
OR(miRetraso="",IFERROR(--LEFT(Datos!$J48,FIND(" ",Datos!$J48)-1),0)&gt;miRetraso),
OR(miDuración="",IFERROR(--LEFT(Datos!$I48,FIND(" ",Datos!$I48)-1),0)&gt;miDuración)),
1,0)</f>
        <v>0</v>
      </c>
      <c r="E48" s="54" t="str">
        <f t="shared" ca="1" si="6"/>
        <v/>
      </c>
      <c r="F48" s="54" t="str">
        <f t="shared" ca="1" si="6"/>
        <v/>
      </c>
      <c r="G48" s="54" t="str">
        <f t="shared" ca="1" si="6"/>
        <v/>
      </c>
      <c r="H48" s="54" t="str">
        <f t="shared" ca="1" si="6"/>
        <v/>
      </c>
      <c r="I48" s="54" t="str">
        <f t="shared" ca="1" si="6"/>
        <v/>
      </c>
      <c r="J48" s="54" t="str">
        <f t="shared" ca="1" si="6"/>
        <v/>
      </c>
      <c r="K48" s="54" t="str">
        <f t="shared" ca="1" si="6"/>
        <v/>
      </c>
      <c r="L48" s="54" t="str">
        <f t="shared" ca="1" si="6"/>
        <v/>
      </c>
      <c r="M48" s="54" t="str">
        <f t="shared" ca="1" si="6"/>
        <v/>
      </c>
      <c r="N48" s="54" t="str">
        <f t="shared" ca="1" si="6"/>
        <v/>
      </c>
      <c r="O48" s="54" t="str">
        <f t="shared" ca="1" si="5"/>
        <v/>
      </c>
      <c r="P48" s="55" t="str" cm="1">
        <f t="array" aca="1" ref="P48" ca="1">IFERROR(LEFT($O48,FIND("-",$O48)-1) &amp; SUBSTITUTE($O48,LEFT($O48,FIND("-",$O48)-1) &amp;"-","") &amp; ":" &amp;
LEFT($O48,FIND("-",$O48)-1) &amp; SUBSTITUTE($O48,LEFT($O48,FIND("-",$O48)-1) &amp;"-","")+misLíneas-3,"")</f>
        <v/>
      </c>
    </row>
    <row r="49" spans="1:16" ht="16.5" thickTop="1" thickBot="1" x14ac:dyDescent="0.3">
      <c r="A49" s="56" t="str">
        <f>IFERROR(IF(Datos!$A49="","",Idiomas!$A$12&amp;" "&amp;ROW()-1),"")</f>
        <v/>
      </c>
      <c r="B49" s="57">
        <f>IFERROR(MATCH(Datos!$A49,Configura!$B$9:$B$18,0),0)</f>
        <v>0</v>
      </c>
      <c r="C49" s="57">
        <f>IFERROR(MATCH(Datos!$B49,Configura!$D$9:$D$11,0),0)</f>
        <v>0</v>
      </c>
      <c r="D49" s="57" cm="1">
        <f t="array" ref="D49">IF(AND(Datos!$A49&lt;&gt;"",
OR(miCriticidad="",miCriticidad=$C49),
OR(miAsignado="",miAsignado=Datos!$K49),
OR(miFechaInicio="",Datos!$F49="",Datos!$F49&gt;=miFechaInicio),
OR(miTexto="",IFERROR(SEARCH(miTexto,Datos!$D49),0)&gt;0,IFERROR(SEARCH(miTexto,Datos!$E49),0)&gt;0),
OR(miRetraso="",IFERROR(--LEFT(Datos!$J49,FIND(" ",Datos!$J49)-1),0)&gt;miRetraso),
OR(miDuración="",IFERROR(--LEFT(Datos!$I49,FIND(" ",Datos!$I49)-1),0)&gt;miDuración)),
1,0)</f>
        <v>0</v>
      </c>
      <c r="E49" s="58" t="str">
        <f t="shared" ca="1" si="6"/>
        <v/>
      </c>
      <c r="F49" s="58" t="str">
        <f t="shared" ca="1" si="6"/>
        <v/>
      </c>
      <c r="G49" s="58" t="str">
        <f t="shared" ca="1" si="6"/>
        <v/>
      </c>
      <c r="H49" s="58" t="str">
        <f t="shared" ca="1" si="6"/>
        <v/>
      </c>
      <c r="I49" s="58" t="str">
        <f t="shared" ca="1" si="6"/>
        <v/>
      </c>
      <c r="J49" s="58" t="str">
        <f t="shared" ca="1" si="6"/>
        <v/>
      </c>
      <c r="K49" s="58" t="str">
        <f t="shared" ca="1" si="6"/>
        <v/>
      </c>
      <c r="L49" s="58" t="str">
        <f t="shared" ca="1" si="6"/>
        <v/>
      </c>
      <c r="M49" s="58" t="str">
        <f t="shared" ca="1" si="6"/>
        <v/>
      </c>
      <c r="N49" s="58" t="str">
        <f t="shared" ca="1" si="6"/>
        <v/>
      </c>
      <c r="O49" s="58" t="str">
        <f t="shared" ca="1" si="5"/>
        <v/>
      </c>
      <c r="P49" s="59" t="str" cm="1">
        <f t="array" aca="1" ref="P49" ca="1">IFERROR(LEFT($O49,FIND("-",$O49)-1) &amp; SUBSTITUTE($O49,LEFT($O49,FIND("-",$O49)-1) &amp;"-","") &amp; ":" &amp;
LEFT($O49,FIND("-",$O49)-1) &amp; SUBSTITUTE($O49,LEFT($O49,FIND("-",$O49)-1) &amp;"-","")+misLíneas-3,"")</f>
        <v/>
      </c>
    </row>
    <row r="50" spans="1:16" ht="16.5" thickTop="1" thickBot="1" x14ac:dyDescent="0.3">
      <c r="A50" s="52" t="str">
        <f>IFERROR(IF(Datos!$A50="","",Idiomas!$A$12&amp;" "&amp;ROW()-1),"")</f>
        <v/>
      </c>
      <c r="B50" s="53">
        <f>IFERROR(MATCH(Datos!$A50,Configura!$B$9:$B$18,0),0)</f>
        <v>0</v>
      </c>
      <c r="C50" s="53">
        <f>IFERROR(MATCH(Datos!$B50,Configura!$D$9:$D$11,0),0)</f>
        <v>0</v>
      </c>
      <c r="D50" s="53" cm="1">
        <f t="array" ref="D50">IF(AND(Datos!$A50&lt;&gt;"",
OR(miCriticidad="",miCriticidad=$C50),
OR(miAsignado="",miAsignado=Datos!$K50),
OR(miFechaInicio="",Datos!$F50="",Datos!$F50&gt;=miFechaInicio),
OR(miTexto="",IFERROR(SEARCH(miTexto,Datos!$D50),0)&gt;0,IFERROR(SEARCH(miTexto,Datos!$E50),0)&gt;0),
OR(miRetraso="",IFERROR(--LEFT(Datos!$J50,FIND(" ",Datos!$J50)-1),0)&gt;miRetraso),
OR(miDuración="",IFERROR(--LEFT(Datos!$I50,FIND(" ",Datos!$I50)-1),0)&gt;miDuración)),
1,0)</f>
        <v>0</v>
      </c>
      <c r="E50" s="54" t="str">
        <f t="shared" ca="1" si="6"/>
        <v/>
      </c>
      <c r="F50" s="54" t="str">
        <f t="shared" ca="1" si="6"/>
        <v/>
      </c>
      <c r="G50" s="54" t="str">
        <f t="shared" ca="1" si="6"/>
        <v/>
      </c>
      <c r="H50" s="54" t="str">
        <f t="shared" ca="1" si="6"/>
        <v/>
      </c>
      <c r="I50" s="54" t="str">
        <f t="shared" ca="1" si="6"/>
        <v/>
      </c>
      <c r="J50" s="54" t="str">
        <f t="shared" ca="1" si="6"/>
        <v/>
      </c>
      <c r="K50" s="54" t="str">
        <f t="shared" ca="1" si="6"/>
        <v/>
      </c>
      <c r="L50" s="54" t="str">
        <f t="shared" ca="1" si="6"/>
        <v/>
      </c>
      <c r="M50" s="54" t="str">
        <f t="shared" ca="1" si="6"/>
        <v/>
      </c>
      <c r="N50" s="54" t="str">
        <f t="shared" ca="1" si="6"/>
        <v/>
      </c>
      <c r="O50" s="54" t="str">
        <f t="shared" ca="1" si="5"/>
        <v/>
      </c>
      <c r="P50" s="55" t="str" cm="1">
        <f t="array" aca="1" ref="P50" ca="1">IFERROR(LEFT($O50,FIND("-",$O50)-1) &amp; SUBSTITUTE($O50,LEFT($O50,FIND("-",$O50)-1) &amp;"-","") &amp; ":" &amp;
LEFT($O50,FIND("-",$O50)-1) &amp; SUBSTITUTE($O50,LEFT($O50,FIND("-",$O50)-1) &amp;"-","")+misLíneas-3,"")</f>
        <v/>
      </c>
    </row>
    <row r="51" spans="1:16" ht="16.5" thickTop="1" thickBot="1" x14ac:dyDescent="0.3">
      <c r="A51" s="56" t="str">
        <f>IFERROR(IF(Datos!$A51="","",Idiomas!$A$12&amp;" "&amp;ROW()-1),"")</f>
        <v/>
      </c>
      <c r="B51" s="57">
        <f>IFERROR(MATCH(Datos!$A51,Configura!$B$9:$B$18,0),0)</f>
        <v>0</v>
      </c>
      <c r="C51" s="57">
        <f>IFERROR(MATCH(Datos!$B51,Configura!$D$9:$D$11,0),0)</f>
        <v>0</v>
      </c>
      <c r="D51" s="57" cm="1">
        <f t="array" ref="D51">IF(AND(Datos!$A51&lt;&gt;"",
OR(miCriticidad="",miCriticidad=$C51),
OR(miAsignado="",miAsignado=Datos!$K51),
OR(miFechaInicio="",Datos!$F51="",Datos!$F51&gt;=miFechaInicio),
OR(miTexto="",IFERROR(SEARCH(miTexto,Datos!$D51),0)&gt;0,IFERROR(SEARCH(miTexto,Datos!$E51),0)&gt;0),
OR(miRetraso="",IFERROR(--LEFT(Datos!$J51,FIND(" ",Datos!$J51)-1),0)&gt;miRetraso),
OR(miDuración="",IFERROR(--LEFT(Datos!$I51,FIND(" ",Datos!$I51)-1),0)&gt;miDuración)),
1,0)</f>
        <v>0</v>
      </c>
      <c r="E51" s="58" t="str">
        <f t="shared" ca="1" si="6"/>
        <v/>
      </c>
      <c r="F51" s="58" t="str">
        <f t="shared" ca="1" si="6"/>
        <v/>
      </c>
      <c r="G51" s="58" t="str">
        <f t="shared" ca="1" si="6"/>
        <v/>
      </c>
      <c r="H51" s="58" t="str">
        <f t="shared" ca="1" si="6"/>
        <v/>
      </c>
      <c r="I51" s="58" t="str">
        <f t="shared" ca="1" si="6"/>
        <v/>
      </c>
      <c r="J51" s="58" t="str">
        <f t="shared" ca="1" si="6"/>
        <v/>
      </c>
      <c r="K51" s="58" t="str">
        <f t="shared" ca="1" si="6"/>
        <v/>
      </c>
      <c r="L51" s="58" t="str">
        <f t="shared" ca="1" si="6"/>
        <v/>
      </c>
      <c r="M51" s="58" t="str">
        <f t="shared" ca="1" si="6"/>
        <v/>
      </c>
      <c r="N51" s="58" t="str">
        <f t="shared" ca="1" si="6"/>
        <v/>
      </c>
      <c r="O51" s="58" t="str">
        <f t="shared" ca="1" si="5"/>
        <v/>
      </c>
      <c r="P51" s="59" t="str" cm="1">
        <f t="array" aca="1" ref="P51" ca="1">IFERROR(LEFT($O51,FIND("-",$O51)-1) &amp; SUBSTITUTE($O51,LEFT($O51,FIND("-",$O51)-1) &amp;"-","") &amp; ":" &amp;
LEFT($O51,FIND("-",$O51)-1) &amp; SUBSTITUTE($O51,LEFT($O51,FIND("-",$O51)-1) &amp;"-","")+misLíneas-3,"")</f>
        <v/>
      </c>
    </row>
    <row r="52" spans="1:16" ht="16.5" thickTop="1" thickBot="1" x14ac:dyDescent="0.3">
      <c r="A52" s="52" t="str">
        <f>IFERROR(IF(Datos!$A52="","",Idiomas!$A$12&amp;" "&amp;ROW()-1),"")</f>
        <v/>
      </c>
      <c r="B52" s="53">
        <f>IFERROR(MATCH(Datos!$A52,Configura!$B$9:$B$18,0),0)</f>
        <v>0</v>
      </c>
      <c r="C52" s="53">
        <f>IFERROR(MATCH(Datos!$B52,Configura!$D$9:$D$11,0),0)</f>
        <v>0</v>
      </c>
      <c r="D52" s="53" cm="1">
        <f t="array" ref="D52">IF(AND(Datos!$A52&lt;&gt;"",
OR(miCriticidad="",miCriticidad=$C52),
OR(miAsignado="",miAsignado=Datos!$K52),
OR(miFechaInicio="",Datos!$F52="",Datos!$F52&gt;=miFechaInicio),
OR(miTexto="",IFERROR(SEARCH(miTexto,Datos!$D52),0)&gt;0,IFERROR(SEARCH(miTexto,Datos!$E52),0)&gt;0),
OR(miRetraso="",IFERROR(--LEFT(Datos!$J52,FIND(" ",Datos!$J52)-1),0)&gt;miRetraso),
OR(miDuración="",IFERROR(--LEFT(Datos!$I52,FIND(" ",Datos!$I52)-1),0)&gt;miDuración)),
1,0)</f>
        <v>0</v>
      </c>
      <c r="E52" s="54" t="str">
        <f t="shared" ref="E52:N61" ca="1" si="7">IFERROR(E$1&amp;"-"&amp;MATCH($A52&amp;":",INDIRECT("KANBAN!"&amp;E$1&amp;":"&amp;E$1),0),"")</f>
        <v/>
      </c>
      <c r="F52" s="54" t="str">
        <f t="shared" ca="1" si="7"/>
        <v/>
      </c>
      <c r="G52" s="54" t="str">
        <f t="shared" ca="1" si="7"/>
        <v/>
      </c>
      <c r="H52" s="54" t="str">
        <f t="shared" ca="1" si="7"/>
        <v/>
      </c>
      <c r="I52" s="54" t="str">
        <f t="shared" ca="1" si="7"/>
        <v/>
      </c>
      <c r="J52" s="54" t="str">
        <f t="shared" ca="1" si="7"/>
        <v/>
      </c>
      <c r="K52" s="54" t="str">
        <f t="shared" ca="1" si="7"/>
        <v/>
      </c>
      <c r="L52" s="54" t="str">
        <f t="shared" ca="1" si="7"/>
        <v/>
      </c>
      <c r="M52" s="54" t="str">
        <f t="shared" ca="1" si="7"/>
        <v/>
      </c>
      <c r="N52" s="54" t="str">
        <f t="shared" ca="1" si="7"/>
        <v/>
      </c>
      <c r="O52" s="54" t="str">
        <f t="shared" ca="1" si="5"/>
        <v/>
      </c>
      <c r="P52" s="55" t="str" cm="1">
        <f t="array" aca="1" ref="P52" ca="1">IFERROR(LEFT($O52,FIND("-",$O52)-1) &amp; SUBSTITUTE($O52,LEFT($O52,FIND("-",$O52)-1) &amp;"-","") &amp; ":" &amp;
LEFT($O52,FIND("-",$O52)-1) &amp; SUBSTITUTE($O52,LEFT($O52,FIND("-",$O52)-1) &amp;"-","")+misLíneas-3,"")</f>
        <v/>
      </c>
    </row>
    <row r="53" spans="1:16" ht="16.5" thickTop="1" thickBot="1" x14ac:dyDescent="0.3">
      <c r="A53" s="56" t="str">
        <f>IFERROR(IF(Datos!$A53="","",Idiomas!$A$12&amp;" "&amp;ROW()-1),"")</f>
        <v/>
      </c>
      <c r="B53" s="57">
        <f>IFERROR(MATCH(Datos!$A53,Configura!$B$9:$B$18,0),0)</f>
        <v>0</v>
      </c>
      <c r="C53" s="57">
        <f>IFERROR(MATCH(Datos!$B53,Configura!$D$9:$D$11,0),0)</f>
        <v>0</v>
      </c>
      <c r="D53" s="57" cm="1">
        <f t="array" ref="D53">IF(AND(Datos!$A53&lt;&gt;"",
OR(miCriticidad="",miCriticidad=$C53),
OR(miAsignado="",miAsignado=Datos!$K53),
OR(miFechaInicio="",Datos!$F53="",Datos!$F53&gt;=miFechaInicio),
OR(miTexto="",IFERROR(SEARCH(miTexto,Datos!$D53),0)&gt;0,IFERROR(SEARCH(miTexto,Datos!$E53),0)&gt;0),
OR(miRetraso="",IFERROR(--LEFT(Datos!$J53,FIND(" ",Datos!$J53)-1),0)&gt;miRetraso),
OR(miDuración="",IFERROR(--LEFT(Datos!$I53,FIND(" ",Datos!$I53)-1),0)&gt;miDuración)),
1,0)</f>
        <v>0</v>
      </c>
      <c r="E53" s="58" t="str">
        <f t="shared" ca="1" si="7"/>
        <v/>
      </c>
      <c r="F53" s="58" t="str">
        <f t="shared" ca="1" si="7"/>
        <v/>
      </c>
      <c r="G53" s="58" t="str">
        <f t="shared" ca="1" si="7"/>
        <v/>
      </c>
      <c r="H53" s="58" t="str">
        <f t="shared" ca="1" si="7"/>
        <v/>
      </c>
      <c r="I53" s="58" t="str">
        <f t="shared" ca="1" si="7"/>
        <v/>
      </c>
      <c r="J53" s="58" t="str">
        <f t="shared" ca="1" si="7"/>
        <v/>
      </c>
      <c r="K53" s="58" t="str">
        <f t="shared" ca="1" si="7"/>
        <v/>
      </c>
      <c r="L53" s="58" t="str">
        <f t="shared" ca="1" si="7"/>
        <v/>
      </c>
      <c r="M53" s="58" t="str">
        <f t="shared" ca="1" si="7"/>
        <v/>
      </c>
      <c r="N53" s="58" t="str">
        <f t="shared" ca="1" si="7"/>
        <v/>
      </c>
      <c r="O53" s="58" t="str">
        <f t="shared" ca="1" si="5"/>
        <v/>
      </c>
      <c r="P53" s="59" t="str" cm="1">
        <f t="array" aca="1" ref="P53" ca="1">IFERROR(LEFT($O53,FIND("-",$O53)-1) &amp; SUBSTITUTE($O53,LEFT($O53,FIND("-",$O53)-1) &amp;"-","") &amp; ":" &amp;
LEFT($O53,FIND("-",$O53)-1) &amp; SUBSTITUTE($O53,LEFT($O53,FIND("-",$O53)-1) &amp;"-","")+misLíneas-3,"")</f>
        <v/>
      </c>
    </row>
    <row r="54" spans="1:16" ht="16.5" thickTop="1" thickBot="1" x14ac:dyDescent="0.3">
      <c r="A54" s="52" t="str">
        <f>IFERROR(IF(Datos!$A54="","",Idiomas!$A$12&amp;" "&amp;ROW()-1),"")</f>
        <v/>
      </c>
      <c r="B54" s="53">
        <f>IFERROR(MATCH(Datos!$A54,Configura!$B$9:$B$18,0),0)</f>
        <v>0</v>
      </c>
      <c r="C54" s="53">
        <f>IFERROR(MATCH(Datos!$B54,Configura!$D$9:$D$11,0),0)</f>
        <v>0</v>
      </c>
      <c r="D54" s="53" cm="1">
        <f t="array" ref="D54">IF(AND(Datos!$A54&lt;&gt;"",
OR(miCriticidad="",miCriticidad=$C54),
OR(miAsignado="",miAsignado=Datos!$K54),
OR(miFechaInicio="",Datos!$F54="",Datos!$F54&gt;=miFechaInicio),
OR(miTexto="",IFERROR(SEARCH(miTexto,Datos!$D54),0)&gt;0,IFERROR(SEARCH(miTexto,Datos!$E54),0)&gt;0),
OR(miRetraso="",IFERROR(--LEFT(Datos!$J54,FIND(" ",Datos!$J54)-1),0)&gt;miRetraso),
OR(miDuración="",IFERROR(--LEFT(Datos!$I54,FIND(" ",Datos!$I54)-1),0)&gt;miDuración)),
1,0)</f>
        <v>0</v>
      </c>
      <c r="E54" s="54" t="str">
        <f t="shared" ca="1" si="7"/>
        <v/>
      </c>
      <c r="F54" s="54" t="str">
        <f t="shared" ca="1" si="7"/>
        <v/>
      </c>
      <c r="G54" s="54" t="str">
        <f t="shared" ca="1" si="7"/>
        <v/>
      </c>
      <c r="H54" s="54" t="str">
        <f t="shared" ca="1" si="7"/>
        <v/>
      </c>
      <c r="I54" s="54" t="str">
        <f t="shared" ca="1" si="7"/>
        <v/>
      </c>
      <c r="J54" s="54" t="str">
        <f t="shared" ca="1" si="7"/>
        <v/>
      </c>
      <c r="K54" s="54" t="str">
        <f t="shared" ca="1" si="7"/>
        <v/>
      </c>
      <c r="L54" s="54" t="str">
        <f t="shared" ca="1" si="7"/>
        <v/>
      </c>
      <c r="M54" s="54" t="str">
        <f t="shared" ca="1" si="7"/>
        <v/>
      </c>
      <c r="N54" s="54" t="str">
        <f t="shared" ca="1" si="7"/>
        <v/>
      </c>
      <c r="O54" s="54" t="str">
        <f t="shared" ca="1" si="5"/>
        <v/>
      </c>
      <c r="P54" s="55" t="str" cm="1">
        <f t="array" aca="1" ref="P54" ca="1">IFERROR(LEFT($O54,FIND("-",$O54)-1) &amp; SUBSTITUTE($O54,LEFT($O54,FIND("-",$O54)-1) &amp;"-","") &amp; ":" &amp;
LEFT($O54,FIND("-",$O54)-1) &amp; SUBSTITUTE($O54,LEFT($O54,FIND("-",$O54)-1) &amp;"-","")+misLíneas-3,"")</f>
        <v/>
      </c>
    </row>
    <row r="55" spans="1:16" ht="16.5" thickTop="1" thickBot="1" x14ac:dyDescent="0.3">
      <c r="A55" s="56" t="str">
        <f>IFERROR(IF(Datos!$A55="","",Idiomas!$A$12&amp;" "&amp;ROW()-1),"")</f>
        <v/>
      </c>
      <c r="B55" s="57">
        <f>IFERROR(MATCH(Datos!$A55,Configura!$B$9:$B$18,0),0)</f>
        <v>0</v>
      </c>
      <c r="C55" s="57">
        <f>IFERROR(MATCH(Datos!$B55,Configura!$D$9:$D$11,0),0)</f>
        <v>0</v>
      </c>
      <c r="D55" s="57" cm="1">
        <f t="array" ref="D55">IF(AND(Datos!$A55&lt;&gt;"",
OR(miCriticidad="",miCriticidad=$C55),
OR(miAsignado="",miAsignado=Datos!$K55),
OR(miFechaInicio="",Datos!$F55="",Datos!$F55&gt;=miFechaInicio),
OR(miTexto="",IFERROR(SEARCH(miTexto,Datos!$D55),0)&gt;0,IFERROR(SEARCH(miTexto,Datos!$E55),0)&gt;0),
OR(miRetraso="",IFERROR(--LEFT(Datos!$J55,FIND(" ",Datos!$J55)-1),0)&gt;miRetraso),
OR(miDuración="",IFERROR(--LEFT(Datos!$I55,FIND(" ",Datos!$I55)-1),0)&gt;miDuración)),
1,0)</f>
        <v>0</v>
      </c>
      <c r="E55" s="58" t="str">
        <f t="shared" ca="1" si="7"/>
        <v/>
      </c>
      <c r="F55" s="58" t="str">
        <f t="shared" ca="1" si="7"/>
        <v/>
      </c>
      <c r="G55" s="58" t="str">
        <f t="shared" ca="1" si="7"/>
        <v/>
      </c>
      <c r="H55" s="58" t="str">
        <f t="shared" ca="1" si="7"/>
        <v/>
      </c>
      <c r="I55" s="58" t="str">
        <f t="shared" ca="1" si="7"/>
        <v/>
      </c>
      <c r="J55" s="58" t="str">
        <f t="shared" ca="1" si="7"/>
        <v/>
      </c>
      <c r="K55" s="58" t="str">
        <f t="shared" ca="1" si="7"/>
        <v/>
      </c>
      <c r="L55" s="58" t="str">
        <f t="shared" ca="1" si="7"/>
        <v/>
      </c>
      <c r="M55" s="58" t="str">
        <f t="shared" ca="1" si="7"/>
        <v/>
      </c>
      <c r="N55" s="58" t="str">
        <f t="shared" ca="1" si="7"/>
        <v/>
      </c>
      <c r="O55" s="58" t="str">
        <f t="shared" ca="1" si="5"/>
        <v/>
      </c>
      <c r="P55" s="59" t="str" cm="1">
        <f t="array" aca="1" ref="P55" ca="1">IFERROR(LEFT($O55,FIND("-",$O55)-1) &amp; SUBSTITUTE($O55,LEFT($O55,FIND("-",$O55)-1) &amp;"-","") &amp; ":" &amp;
LEFT($O55,FIND("-",$O55)-1) &amp; SUBSTITUTE($O55,LEFT($O55,FIND("-",$O55)-1) &amp;"-","")+misLíneas-3,"")</f>
        <v/>
      </c>
    </row>
    <row r="56" spans="1:16" ht="16.5" thickTop="1" thickBot="1" x14ac:dyDescent="0.3">
      <c r="A56" s="52" t="str">
        <f>IFERROR(IF(Datos!$A56="","",Idiomas!$A$12&amp;" "&amp;ROW()-1),"")</f>
        <v/>
      </c>
      <c r="B56" s="53">
        <f>IFERROR(MATCH(Datos!$A56,Configura!$B$9:$B$18,0),0)</f>
        <v>0</v>
      </c>
      <c r="C56" s="53">
        <f>IFERROR(MATCH(Datos!$B56,Configura!$D$9:$D$11,0),0)</f>
        <v>0</v>
      </c>
      <c r="D56" s="53" cm="1">
        <f t="array" ref="D56">IF(AND(Datos!$A56&lt;&gt;"",
OR(miCriticidad="",miCriticidad=$C56),
OR(miAsignado="",miAsignado=Datos!$K56),
OR(miFechaInicio="",Datos!$F56="",Datos!$F56&gt;=miFechaInicio),
OR(miTexto="",IFERROR(SEARCH(miTexto,Datos!$D56),0)&gt;0,IFERROR(SEARCH(miTexto,Datos!$E56),0)&gt;0),
OR(miRetraso="",IFERROR(--LEFT(Datos!$J56,FIND(" ",Datos!$J56)-1),0)&gt;miRetraso),
OR(miDuración="",IFERROR(--LEFT(Datos!$I56,FIND(" ",Datos!$I56)-1),0)&gt;miDuración)),
1,0)</f>
        <v>0</v>
      </c>
      <c r="E56" s="54" t="str">
        <f t="shared" ca="1" si="7"/>
        <v/>
      </c>
      <c r="F56" s="54" t="str">
        <f t="shared" ca="1" si="7"/>
        <v/>
      </c>
      <c r="G56" s="54" t="str">
        <f t="shared" ca="1" si="7"/>
        <v/>
      </c>
      <c r="H56" s="54" t="str">
        <f t="shared" ca="1" si="7"/>
        <v/>
      </c>
      <c r="I56" s="54" t="str">
        <f t="shared" ca="1" si="7"/>
        <v/>
      </c>
      <c r="J56" s="54" t="str">
        <f t="shared" ca="1" si="7"/>
        <v/>
      </c>
      <c r="K56" s="54" t="str">
        <f t="shared" ca="1" si="7"/>
        <v/>
      </c>
      <c r="L56" s="54" t="str">
        <f t="shared" ca="1" si="7"/>
        <v/>
      </c>
      <c r="M56" s="54" t="str">
        <f t="shared" ca="1" si="7"/>
        <v/>
      </c>
      <c r="N56" s="54" t="str">
        <f t="shared" ca="1" si="7"/>
        <v/>
      </c>
      <c r="O56" s="54" t="str">
        <f t="shared" ca="1" si="5"/>
        <v/>
      </c>
      <c r="P56" s="55" t="str" cm="1">
        <f t="array" aca="1" ref="P56" ca="1">IFERROR(LEFT($O56,FIND("-",$O56)-1) &amp; SUBSTITUTE($O56,LEFT($O56,FIND("-",$O56)-1) &amp;"-","") &amp; ":" &amp;
LEFT($O56,FIND("-",$O56)-1) &amp; SUBSTITUTE($O56,LEFT($O56,FIND("-",$O56)-1) &amp;"-","")+misLíneas-3,"")</f>
        <v/>
      </c>
    </row>
    <row r="57" spans="1:16" ht="16.5" thickTop="1" thickBot="1" x14ac:dyDescent="0.3">
      <c r="A57" s="56" t="str">
        <f>IFERROR(IF(Datos!$A57="","",Idiomas!$A$12&amp;" "&amp;ROW()-1),"")</f>
        <v/>
      </c>
      <c r="B57" s="57">
        <f>IFERROR(MATCH(Datos!$A57,Configura!$B$9:$B$18,0),0)</f>
        <v>0</v>
      </c>
      <c r="C57" s="57">
        <f>IFERROR(MATCH(Datos!$B57,Configura!$D$9:$D$11,0),0)</f>
        <v>0</v>
      </c>
      <c r="D57" s="57" cm="1">
        <f t="array" ref="D57">IF(AND(Datos!$A57&lt;&gt;"",
OR(miCriticidad="",miCriticidad=$C57),
OR(miAsignado="",miAsignado=Datos!$K57),
OR(miFechaInicio="",Datos!$F57="",Datos!$F57&gt;=miFechaInicio),
OR(miTexto="",IFERROR(SEARCH(miTexto,Datos!$D57),0)&gt;0,IFERROR(SEARCH(miTexto,Datos!$E57),0)&gt;0),
OR(miRetraso="",IFERROR(--LEFT(Datos!$J57,FIND(" ",Datos!$J57)-1),0)&gt;miRetraso),
OR(miDuración="",IFERROR(--LEFT(Datos!$I57,FIND(" ",Datos!$I57)-1),0)&gt;miDuración)),
1,0)</f>
        <v>0</v>
      </c>
      <c r="E57" s="58" t="str">
        <f t="shared" ca="1" si="7"/>
        <v/>
      </c>
      <c r="F57" s="58" t="str">
        <f t="shared" ca="1" si="7"/>
        <v/>
      </c>
      <c r="G57" s="58" t="str">
        <f t="shared" ca="1" si="7"/>
        <v/>
      </c>
      <c r="H57" s="58" t="str">
        <f t="shared" ca="1" si="7"/>
        <v/>
      </c>
      <c r="I57" s="58" t="str">
        <f t="shared" ca="1" si="7"/>
        <v/>
      </c>
      <c r="J57" s="58" t="str">
        <f t="shared" ca="1" si="7"/>
        <v/>
      </c>
      <c r="K57" s="58" t="str">
        <f t="shared" ca="1" si="7"/>
        <v/>
      </c>
      <c r="L57" s="58" t="str">
        <f t="shared" ca="1" si="7"/>
        <v/>
      </c>
      <c r="M57" s="58" t="str">
        <f t="shared" ca="1" si="7"/>
        <v/>
      </c>
      <c r="N57" s="58" t="str">
        <f t="shared" ca="1" si="7"/>
        <v/>
      </c>
      <c r="O57" s="58" t="str">
        <f t="shared" ca="1" si="5"/>
        <v/>
      </c>
      <c r="P57" s="59" t="str" cm="1">
        <f t="array" aca="1" ref="P57" ca="1">IFERROR(LEFT($O57,FIND("-",$O57)-1) &amp; SUBSTITUTE($O57,LEFT($O57,FIND("-",$O57)-1) &amp;"-","") &amp; ":" &amp;
LEFT($O57,FIND("-",$O57)-1) &amp; SUBSTITUTE($O57,LEFT($O57,FIND("-",$O57)-1) &amp;"-","")+misLíneas-3,"")</f>
        <v/>
      </c>
    </row>
    <row r="58" spans="1:16" ht="16.5" thickTop="1" thickBot="1" x14ac:dyDescent="0.3">
      <c r="A58" s="52" t="str">
        <f>IFERROR(IF(Datos!$A58="","",Idiomas!$A$12&amp;" "&amp;ROW()-1),"")</f>
        <v/>
      </c>
      <c r="B58" s="53">
        <f>IFERROR(MATCH(Datos!$A58,Configura!$B$9:$B$18,0),0)</f>
        <v>0</v>
      </c>
      <c r="C58" s="53">
        <f>IFERROR(MATCH(Datos!$B58,Configura!$D$9:$D$11,0),0)</f>
        <v>0</v>
      </c>
      <c r="D58" s="53" cm="1">
        <f t="array" ref="D58">IF(AND(Datos!$A58&lt;&gt;"",
OR(miCriticidad="",miCriticidad=$C58),
OR(miAsignado="",miAsignado=Datos!$K58),
OR(miFechaInicio="",Datos!$F58="",Datos!$F58&gt;=miFechaInicio),
OR(miTexto="",IFERROR(SEARCH(miTexto,Datos!$D58),0)&gt;0,IFERROR(SEARCH(miTexto,Datos!$E58),0)&gt;0),
OR(miRetraso="",IFERROR(--LEFT(Datos!$J58,FIND(" ",Datos!$J58)-1),0)&gt;miRetraso),
OR(miDuración="",IFERROR(--LEFT(Datos!$I58,FIND(" ",Datos!$I58)-1),0)&gt;miDuración)),
1,0)</f>
        <v>0</v>
      </c>
      <c r="E58" s="54" t="str">
        <f t="shared" ca="1" si="7"/>
        <v/>
      </c>
      <c r="F58" s="54" t="str">
        <f t="shared" ca="1" si="7"/>
        <v/>
      </c>
      <c r="G58" s="54" t="str">
        <f t="shared" ca="1" si="7"/>
        <v/>
      </c>
      <c r="H58" s="54" t="str">
        <f t="shared" ca="1" si="7"/>
        <v/>
      </c>
      <c r="I58" s="54" t="str">
        <f t="shared" ca="1" si="7"/>
        <v/>
      </c>
      <c r="J58" s="54" t="str">
        <f t="shared" ca="1" si="7"/>
        <v/>
      </c>
      <c r="K58" s="54" t="str">
        <f t="shared" ca="1" si="7"/>
        <v/>
      </c>
      <c r="L58" s="54" t="str">
        <f t="shared" ca="1" si="7"/>
        <v/>
      </c>
      <c r="M58" s="54" t="str">
        <f t="shared" ca="1" si="7"/>
        <v/>
      </c>
      <c r="N58" s="54" t="str">
        <f t="shared" ca="1" si="7"/>
        <v/>
      </c>
      <c r="O58" s="54" t="str">
        <f t="shared" ca="1" si="5"/>
        <v/>
      </c>
      <c r="P58" s="55" t="str" cm="1">
        <f t="array" aca="1" ref="P58" ca="1">IFERROR(LEFT($O58,FIND("-",$O58)-1) &amp; SUBSTITUTE($O58,LEFT($O58,FIND("-",$O58)-1) &amp;"-","") &amp; ":" &amp;
LEFT($O58,FIND("-",$O58)-1) &amp; SUBSTITUTE($O58,LEFT($O58,FIND("-",$O58)-1) &amp;"-","")+misLíneas-3,"")</f>
        <v/>
      </c>
    </row>
    <row r="59" spans="1:16" ht="16.5" thickTop="1" thickBot="1" x14ac:dyDescent="0.3">
      <c r="A59" s="56" t="str">
        <f>IFERROR(IF(Datos!$A59="","",Idiomas!$A$12&amp;" "&amp;ROW()-1),"")</f>
        <v/>
      </c>
      <c r="B59" s="57">
        <f>IFERROR(MATCH(Datos!$A59,Configura!$B$9:$B$18,0),0)</f>
        <v>0</v>
      </c>
      <c r="C59" s="57">
        <f>IFERROR(MATCH(Datos!$B59,Configura!$D$9:$D$11,0),0)</f>
        <v>0</v>
      </c>
      <c r="D59" s="57" cm="1">
        <f t="array" ref="D59">IF(AND(Datos!$A59&lt;&gt;"",
OR(miCriticidad="",miCriticidad=$C59),
OR(miAsignado="",miAsignado=Datos!$K59),
OR(miFechaInicio="",Datos!$F59="",Datos!$F59&gt;=miFechaInicio),
OR(miTexto="",IFERROR(SEARCH(miTexto,Datos!$D59),0)&gt;0,IFERROR(SEARCH(miTexto,Datos!$E59),0)&gt;0),
OR(miRetraso="",IFERROR(--LEFT(Datos!$J59,FIND(" ",Datos!$J59)-1),0)&gt;miRetraso),
OR(miDuración="",IFERROR(--LEFT(Datos!$I59,FIND(" ",Datos!$I59)-1),0)&gt;miDuración)),
1,0)</f>
        <v>0</v>
      </c>
      <c r="E59" s="58" t="str">
        <f t="shared" ca="1" si="7"/>
        <v/>
      </c>
      <c r="F59" s="58" t="str">
        <f t="shared" ca="1" si="7"/>
        <v/>
      </c>
      <c r="G59" s="58" t="str">
        <f t="shared" ca="1" si="7"/>
        <v/>
      </c>
      <c r="H59" s="58" t="str">
        <f t="shared" ca="1" si="7"/>
        <v/>
      </c>
      <c r="I59" s="58" t="str">
        <f t="shared" ca="1" si="7"/>
        <v/>
      </c>
      <c r="J59" s="58" t="str">
        <f t="shared" ca="1" si="7"/>
        <v/>
      </c>
      <c r="K59" s="58" t="str">
        <f t="shared" ca="1" si="7"/>
        <v/>
      </c>
      <c r="L59" s="58" t="str">
        <f t="shared" ca="1" si="7"/>
        <v/>
      </c>
      <c r="M59" s="58" t="str">
        <f t="shared" ca="1" si="7"/>
        <v/>
      </c>
      <c r="N59" s="58" t="str">
        <f t="shared" ca="1" si="7"/>
        <v/>
      </c>
      <c r="O59" s="58" t="str">
        <f t="shared" ca="1" si="5"/>
        <v/>
      </c>
      <c r="P59" s="59" t="str" cm="1">
        <f t="array" aca="1" ref="P59" ca="1">IFERROR(LEFT($O59,FIND("-",$O59)-1) &amp; SUBSTITUTE($O59,LEFT($O59,FIND("-",$O59)-1) &amp;"-","") &amp; ":" &amp;
LEFT($O59,FIND("-",$O59)-1) &amp; SUBSTITUTE($O59,LEFT($O59,FIND("-",$O59)-1) &amp;"-","")+misLíneas-3,"")</f>
        <v/>
      </c>
    </row>
    <row r="60" spans="1:16" ht="16.5" thickTop="1" thickBot="1" x14ac:dyDescent="0.3">
      <c r="A60" s="52" t="str">
        <f>IFERROR(IF(Datos!$A60="","",Idiomas!$A$12&amp;" "&amp;ROW()-1),"")</f>
        <v/>
      </c>
      <c r="B60" s="53">
        <f>IFERROR(MATCH(Datos!$A60,Configura!$B$9:$B$18,0),0)</f>
        <v>0</v>
      </c>
      <c r="C60" s="53">
        <f>IFERROR(MATCH(Datos!$B60,Configura!$D$9:$D$11,0),0)</f>
        <v>0</v>
      </c>
      <c r="D60" s="53" cm="1">
        <f t="array" ref="D60">IF(AND(Datos!$A60&lt;&gt;"",
OR(miCriticidad="",miCriticidad=$C60),
OR(miAsignado="",miAsignado=Datos!$K60),
OR(miFechaInicio="",Datos!$F60="",Datos!$F60&gt;=miFechaInicio),
OR(miTexto="",IFERROR(SEARCH(miTexto,Datos!$D60),0)&gt;0,IFERROR(SEARCH(miTexto,Datos!$E60),0)&gt;0),
OR(miRetraso="",IFERROR(--LEFT(Datos!$J60,FIND(" ",Datos!$J60)-1),0)&gt;miRetraso),
OR(miDuración="",IFERROR(--LEFT(Datos!$I60,FIND(" ",Datos!$I60)-1),0)&gt;miDuración)),
1,0)</f>
        <v>0</v>
      </c>
      <c r="E60" s="54" t="str">
        <f t="shared" ca="1" si="7"/>
        <v/>
      </c>
      <c r="F60" s="54" t="str">
        <f t="shared" ca="1" si="7"/>
        <v/>
      </c>
      <c r="G60" s="54" t="str">
        <f t="shared" ca="1" si="7"/>
        <v/>
      </c>
      <c r="H60" s="54" t="str">
        <f t="shared" ca="1" si="7"/>
        <v/>
      </c>
      <c r="I60" s="54" t="str">
        <f t="shared" ca="1" si="7"/>
        <v/>
      </c>
      <c r="J60" s="54" t="str">
        <f t="shared" ca="1" si="7"/>
        <v/>
      </c>
      <c r="K60" s="54" t="str">
        <f t="shared" ca="1" si="7"/>
        <v/>
      </c>
      <c r="L60" s="54" t="str">
        <f t="shared" ca="1" si="7"/>
        <v/>
      </c>
      <c r="M60" s="54" t="str">
        <f t="shared" ca="1" si="7"/>
        <v/>
      </c>
      <c r="N60" s="54" t="str">
        <f t="shared" ca="1" si="7"/>
        <v/>
      </c>
      <c r="O60" s="54" t="str">
        <f t="shared" ca="1" si="5"/>
        <v/>
      </c>
      <c r="P60" s="55" t="str" cm="1">
        <f t="array" aca="1" ref="P60" ca="1">IFERROR(LEFT($O60,FIND("-",$O60)-1) &amp; SUBSTITUTE($O60,LEFT($O60,FIND("-",$O60)-1) &amp;"-","") &amp; ":" &amp;
LEFT($O60,FIND("-",$O60)-1) &amp; SUBSTITUTE($O60,LEFT($O60,FIND("-",$O60)-1) &amp;"-","")+misLíneas-3,"")</f>
        <v/>
      </c>
    </row>
    <row r="61" spans="1:16" ht="16.5" thickTop="1" thickBot="1" x14ac:dyDescent="0.3">
      <c r="A61" s="56" t="str">
        <f>IFERROR(IF(Datos!$A61="","",Idiomas!$A$12&amp;" "&amp;ROW()-1),"")</f>
        <v/>
      </c>
      <c r="B61" s="57">
        <f>IFERROR(MATCH(Datos!$A61,Configura!$B$9:$B$18,0),0)</f>
        <v>0</v>
      </c>
      <c r="C61" s="57">
        <f>IFERROR(MATCH(Datos!$B61,Configura!$D$9:$D$11,0),0)</f>
        <v>0</v>
      </c>
      <c r="D61" s="57" cm="1">
        <f t="array" ref="D61">IF(AND(Datos!$A61&lt;&gt;"",
OR(miCriticidad="",miCriticidad=$C61),
OR(miAsignado="",miAsignado=Datos!$K61),
OR(miFechaInicio="",Datos!$F61="",Datos!$F61&gt;=miFechaInicio),
OR(miTexto="",IFERROR(SEARCH(miTexto,Datos!$D61),0)&gt;0,IFERROR(SEARCH(miTexto,Datos!$E61),0)&gt;0),
OR(miRetraso="",IFERROR(--LEFT(Datos!$J61,FIND(" ",Datos!$J61)-1),0)&gt;miRetraso),
OR(miDuración="",IFERROR(--LEFT(Datos!$I61,FIND(" ",Datos!$I61)-1),0)&gt;miDuración)),
1,0)</f>
        <v>0</v>
      </c>
      <c r="E61" s="58" t="str">
        <f t="shared" ca="1" si="7"/>
        <v/>
      </c>
      <c r="F61" s="58" t="str">
        <f t="shared" ca="1" si="7"/>
        <v/>
      </c>
      <c r="G61" s="58" t="str">
        <f t="shared" ca="1" si="7"/>
        <v/>
      </c>
      <c r="H61" s="58" t="str">
        <f t="shared" ca="1" si="7"/>
        <v/>
      </c>
      <c r="I61" s="58" t="str">
        <f t="shared" ca="1" si="7"/>
        <v/>
      </c>
      <c r="J61" s="58" t="str">
        <f t="shared" ca="1" si="7"/>
        <v/>
      </c>
      <c r="K61" s="58" t="str">
        <f t="shared" ca="1" si="7"/>
        <v/>
      </c>
      <c r="L61" s="58" t="str">
        <f t="shared" ca="1" si="7"/>
        <v/>
      </c>
      <c r="M61" s="58" t="str">
        <f t="shared" ca="1" si="7"/>
        <v/>
      </c>
      <c r="N61" s="58" t="str">
        <f t="shared" ca="1" si="7"/>
        <v/>
      </c>
      <c r="O61" s="58" t="str">
        <f t="shared" ca="1" si="5"/>
        <v/>
      </c>
      <c r="P61" s="59" t="str" cm="1">
        <f t="array" aca="1" ref="P61" ca="1">IFERROR(LEFT($O61,FIND("-",$O61)-1) &amp; SUBSTITUTE($O61,LEFT($O61,FIND("-",$O61)-1) &amp;"-","") &amp; ":" &amp;
LEFT($O61,FIND("-",$O61)-1) &amp; SUBSTITUTE($O61,LEFT($O61,FIND("-",$O61)-1) &amp;"-","")+misLíneas-3,"")</f>
        <v/>
      </c>
    </row>
    <row r="62" spans="1:16" ht="16.5" thickTop="1" thickBot="1" x14ac:dyDescent="0.3">
      <c r="A62" s="52" t="str">
        <f>IFERROR(IF(Datos!$A62="","",Idiomas!$A$12&amp;" "&amp;ROW()-1),"")</f>
        <v/>
      </c>
      <c r="B62" s="53">
        <f>IFERROR(MATCH(Datos!$A62,Configura!$B$9:$B$18,0),0)</f>
        <v>0</v>
      </c>
      <c r="C62" s="53">
        <f>IFERROR(MATCH(Datos!$B62,Configura!$D$9:$D$11,0),0)</f>
        <v>0</v>
      </c>
      <c r="D62" s="53" cm="1">
        <f t="array" ref="D62">IF(AND(Datos!$A62&lt;&gt;"",
OR(miCriticidad="",miCriticidad=$C62),
OR(miAsignado="",miAsignado=Datos!$K62),
OR(miFechaInicio="",Datos!$F62="",Datos!$F62&gt;=miFechaInicio),
OR(miTexto="",IFERROR(SEARCH(miTexto,Datos!$D62),0)&gt;0,IFERROR(SEARCH(miTexto,Datos!$E62),0)&gt;0),
OR(miRetraso="",IFERROR(--LEFT(Datos!$J62,FIND(" ",Datos!$J62)-1),0)&gt;miRetraso),
OR(miDuración="",IFERROR(--LEFT(Datos!$I62,FIND(" ",Datos!$I62)-1),0)&gt;miDuración)),
1,0)</f>
        <v>0</v>
      </c>
      <c r="E62" s="54" t="str">
        <f t="shared" ref="E62:N71" ca="1" si="8">IFERROR(E$1&amp;"-"&amp;MATCH($A62&amp;":",INDIRECT("KANBAN!"&amp;E$1&amp;":"&amp;E$1),0),"")</f>
        <v/>
      </c>
      <c r="F62" s="54" t="str">
        <f t="shared" ca="1" si="8"/>
        <v/>
      </c>
      <c r="G62" s="54" t="str">
        <f t="shared" ca="1" si="8"/>
        <v/>
      </c>
      <c r="H62" s="54" t="str">
        <f t="shared" ca="1" si="8"/>
        <v/>
      </c>
      <c r="I62" s="54" t="str">
        <f t="shared" ca="1" si="8"/>
        <v/>
      </c>
      <c r="J62" s="54" t="str">
        <f t="shared" ca="1" si="8"/>
        <v/>
      </c>
      <c r="K62" s="54" t="str">
        <f t="shared" ca="1" si="8"/>
        <v/>
      </c>
      <c r="L62" s="54" t="str">
        <f t="shared" ca="1" si="8"/>
        <v/>
      </c>
      <c r="M62" s="54" t="str">
        <f t="shared" ca="1" si="8"/>
        <v/>
      </c>
      <c r="N62" s="54" t="str">
        <f t="shared" ca="1" si="8"/>
        <v/>
      </c>
      <c r="O62" s="54" t="str">
        <f t="shared" ca="1" si="5"/>
        <v/>
      </c>
      <c r="P62" s="55" t="str" cm="1">
        <f t="array" aca="1" ref="P62" ca="1">IFERROR(LEFT($O62,FIND("-",$O62)-1) &amp; SUBSTITUTE($O62,LEFT($O62,FIND("-",$O62)-1) &amp;"-","") &amp; ":" &amp;
LEFT($O62,FIND("-",$O62)-1) &amp; SUBSTITUTE($O62,LEFT($O62,FIND("-",$O62)-1) &amp;"-","")+misLíneas-3,"")</f>
        <v/>
      </c>
    </row>
    <row r="63" spans="1:16" ht="16.5" thickTop="1" thickBot="1" x14ac:dyDescent="0.3">
      <c r="A63" s="56" t="str">
        <f>IFERROR(IF(Datos!$A63="","",Idiomas!$A$12&amp;" "&amp;ROW()-1),"")</f>
        <v/>
      </c>
      <c r="B63" s="57">
        <f>IFERROR(MATCH(Datos!$A63,Configura!$B$9:$B$18,0),0)</f>
        <v>0</v>
      </c>
      <c r="C63" s="57">
        <f>IFERROR(MATCH(Datos!$B63,Configura!$D$9:$D$11,0),0)</f>
        <v>0</v>
      </c>
      <c r="D63" s="57" cm="1">
        <f t="array" ref="D63">IF(AND(Datos!$A63&lt;&gt;"",
OR(miCriticidad="",miCriticidad=$C63),
OR(miAsignado="",miAsignado=Datos!$K63),
OR(miFechaInicio="",Datos!$F63="",Datos!$F63&gt;=miFechaInicio),
OR(miTexto="",IFERROR(SEARCH(miTexto,Datos!$D63),0)&gt;0,IFERROR(SEARCH(miTexto,Datos!$E63),0)&gt;0),
OR(miRetraso="",IFERROR(--LEFT(Datos!$J63,FIND(" ",Datos!$J63)-1),0)&gt;miRetraso),
OR(miDuración="",IFERROR(--LEFT(Datos!$I63,FIND(" ",Datos!$I63)-1),0)&gt;miDuración)),
1,0)</f>
        <v>0</v>
      </c>
      <c r="E63" s="58" t="str">
        <f t="shared" ca="1" si="8"/>
        <v/>
      </c>
      <c r="F63" s="58" t="str">
        <f t="shared" ca="1" si="8"/>
        <v/>
      </c>
      <c r="G63" s="58" t="str">
        <f t="shared" ca="1" si="8"/>
        <v/>
      </c>
      <c r="H63" s="58" t="str">
        <f t="shared" ca="1" si="8"/>
        <v/>
      </c>
      <c r="I63" s="58" t="str">
        <f t="shared" ca="1" si="8"/>
        <v/>
      </c>
      <c r="J63" s="58" t="str">
        <f t="shared" ca="1" si="8"/>
        <v/>
      </c>
      <c r="K63" s="58" t="str">
        <f t="shared" ca="1" si="8"/>
        <v/>
      </c>
      <c r="L63" s="58" t="str">
        <f t="shared" ca="1" si="8"/>
        <v/>
      </c>
      <c r="M63" s="58" t="str">
        <f t="shared" ca="1" si="8"/>
        <v/>
      </c>
      <c r="N63" s="58" t="str">
        <f t="shared" ca="1" si="8"/>
        <v/>
      </c>
      <c r="O63" s="58" t="str">
        <f t="shared" ca="1" si="5"/>
        <v/>
      </c>
      <c r="P63" s="59" t="str" cm="1">
        <f t="array" aca="1" ref="P63" ca="1">IFERROR(LEFT($O63,FIND("-",$O63)-1) &amp; SUBSTITUTE($O63,LEFT($O63,FIND("-",$O63)-1) &amp;"-","") &amp; ":" &amp;
LEFT($O63,FIND("-",$O63)-1) &amp; SUBSTITUTE($O63,LEFT($O63,FIND("-",$O63)-1) &amp;"-","")+misLíneas-3,"")</f>
        <v/>
      </c>
    </row>
    <row r="64" spans="1:16" ht="16.5" thickTop="1" thickBot="1" x14ac:dyDescent="0.3">
      <c r="A64" s="52" t="str">
        <f>IFERROR(IF(Datos!$A64="","",Idiomas!$A$12&amp;" "&amp;ROW()-1),"")</f>
        <v/>
      </c>
      <c r="B64" s="53">
        <f>IFERROR(MATCH(Datos!$A64,Configura!$B$9:$B$18,0),0)</f>
        <v>0</v>
      </c>
      <c r="C64" s="53">
        <f>IFERROR(MATCH(Datos!$B64,Configura!$D$9:$D$11,0),0)</f>
        <v>0</v>
      </c>
      <c r="D64" s="53" cm="1">
        <f t="array" ref="D64">IF(AND(Datos!$A64&lt;&gt;"",
OR(miCriticidad="",miCriticidad=$C64),
OR(miAsignado="",miAsignado=Datos!$K64),
OR(miFechaInicio="",Datos!$F64="",Datos!$F64&gt;=miFechaInicio),
OR(miTexto="",IFERROR(SEARCH(miTexto,Datos!$D64),0)&gt;0,IFERROR(SEARCH(miTexto,Datos!$E64),0)&gt;0),
OR(miRetraso="",IFERROR(--LEFT(Datos!$J64,FIND(" ",Datos!$J64)-1),0)&gt;miRetraso),
OR(miDuración="",IFERROR(--LEFT(Datos!$I64,FIND(" ",Datos!$I64)-1),0)&gt;miDuración)),
1,0)</f>
        <v>0</v>
      </c>
      <c r="E64" s="54" t="str">
        <f t="shared" ca="1" si="8"/>
        <v/>
      </c>
      <c r="F64" s="54" t="str">
        <f t="shared" ca="1" si="8"/>
        <v/>
      </c>
      <c r="G64" s="54" t="str">
        <f t="shared" ca="1" si="8"/>
        <v/>
      </c>
      <c r="H64" s="54" t="str">
        <f t="shared" ca="1" si="8"/>
        <v/>
      </c>
      <c r="I64" s="54" t="str">
        <f t="shared" ca="1" si="8"/>
        <v/>
      </c>
      <c r="J64" s="54" t="str">
        <f t="shared" ca="1" si="8"/>
        <v/>
      </c>
      <c r="K64" s="54" t="str">
        <f t="shared" ca="1" si="8"/>
        <v/>
      </c>
      <c r="L64" s="54" t="str">
        <f t="shared" ca="1" si="8"/>
        <v/>
      </c>
      <c r="M64" s="54" t="str">
        <f t="shared" ca="1" si="8"/>
        <v/>
      </c>
      <c r="N64" s="54" t="str">
        <f t="shared" ca="1" si="8"/>
        <v/>
      </c>
      <c r="O64" s="54" t="str">
        <f t="shared" ca="1" si="5"/>
        <v/>
      </c>
      <c r="P64" s="55" t="str" cm="1">
        <f t="array" aca="1" ref="P64" ca="1">IFERROR(LEFT($O64,FIND("-",$O64)-1) &amp; SUBSTITUTE($O64,LEFT($O64,FIND("-",$O64)-1) &amp;"-","") &amp; ":" &amp;
LEFT($O64,FIND("-",$O64)-1) &amp; SUBSTITUTE($O64,LEFT($O64,FIND("-",$O64)-1) &amp;"-","")+misLíneas-3,"")</f>
        <v/>
      </c>
    </row>
    <row r="65" spans="1:16" ht="16.5" thickTop="1" thickBot="1" x14ac:dyDescent="0.3">
      <c r="A65" s="56" t="str">
        <f>IFERROR(IF(Datos!$A65="","",Idiomas!$A$12&amp;" "&amp;ROW()-1),"")</f>
        <v/>
      </c>
      <c r="B65" s="57">
        <f>IFERROR(MATCH(Datos!$A65,Configura!$B$9:$B$18,0),0)</f>
        <v>0</v>
      </c>
      <c r="C65" s="57">
        <f>IFERROR(MATCH(Datos!$B65,Configura!$D$9:$D$11,0),0)</f>
        <v>0</v>
      </c>
      <c r="D65" s="57" cm="1">
        <f t="array" ref="D65">IF(AND(Datos!$A65&lt;&gt;"",
OR(miCriticidad="",miCriticidad=$C65),
OR(miAsignado="",miAsignado=Datos!$K65),
OR(miFechaInicio="",Datos!$F65="",Datos!$F65&gt;=miFechaInicio),
OR(miTexto="",IFERROR(SEARCH(miTexto,Datos!$D65),0)&gt;0,IFERROR(SEARCH(miTexto,Datos!$E65),0)&gt;0),
OR(miRetraso="",IFERROR(--LEFT(Datos!$J65,FIND(" ",Datos!$J65)-1),0)&gt;miRetraso),
OR(miDuración="",IFERROR(--LEFT(Datos!$I65,FIND(" ",Datos!$I65)-1),0)&gt;miDuración)),
1,0)</f>
        <v>0</v>
      </c>
      <c r="E65" s="58" t="str">
        <f t="shared" ca="1" si="8"/>
        <v/>
      </c>
      <c r="F65" s="58" t="str">
        <f t="shared" ca="1" si="8"/>
        <v/>
      </c>
      <c r="G65" s="58" t="str">
        <f t="shared" ca="1" si="8"/>
        <v/>
      </c>
      <c r="H65" s="58" t="str">
        <f t="shared" ca="1" si="8"/>
        <v/>
      </c>
      <c r="I65" s="58" t="str">
        <f t="shared" ca="1" si="8"/>
        <v/>
      </c>
      <c r="J65" s="58" t="str">
        <f t="shared" ca="1" si="8"/>
        <v/>
      </c>
      <c r="K65" s="58" t="str">
        <f t="shared" ca="1" si="8"/>
        <v/>
      </c>
      <c r="L65" s="58" t="str">
        <f t="shared" ca="1" si="8"/>
        <v/>
      </c>
      <c r="M65" s="58" t="str">
        <f t="shared" ca="1" si="8"/>
        <v/>
      </c>
      <c r="N65" s="58" t="str">
        <f t="shared" ca="1" si="8"/>
        <v/>
      </c>
      <c r="O65" s="58" t="str">
        <f t="shared" ca="1" si="5"/>
        <v/>
      </c>
      <c r="P65" s="59" t="str" cm="1">
        <f t="array" aca="1" ref="P65" ca="1">IFERROR(LEFT($O65,FIND("-",$O65)-1) &amp; SUBSTITUTE($O65,LEFT($O65,FIND("-",$O65)-1) &amp;"-","") &amp; ":" &amp;
LEFT($O65,FIND("-",$O65)-1) &amp; SUBSTITUTE($O65,LEFT($O65,FIND("-",$O65)-1) &amp;"-","")+misLíneas-3,"")</f>
        <v/>
      </c>
    </row>
    <row r="66" spans="1:16" ht="16.5" thickTop="1" thickBot="1" x14ac:dyDescent="0.3">
      <c r="A66" s="52" t="str">
        <f>IFERROR(IF(Datos!$A66="","",Idiomas!$A$12&amp;" "&amp;ROW()-1),"")</f>
        <v/>
      </c>
      <c r="B66" s="53">
        <f>IFERROR(MATCH(Datos!$A66,Configura!$B$9:$B$18,0),0)</f>
        <v>0</v>
      </c>
      <c r="C66" s="53">
        <f>IFERROR(MATCH(Datos!$B66,Configura!$D$9:$D$11,0),0)</f>
        <v>0</v>
      </c>
      <c r="D66" s="53" cm="1">
        <f t="array" ref="D66">IF(AND(Datos!$A66&lt;&gt;"",
OR(miCriticidad="",miCriticidad=$C66),
OR(miAsignado="",miAsignado=Datos!$K66),
OR(miFechaInicio="",Datos!$F66="",Datos!$F66&gt;=miFechaInicio),
OR(miTexto="",IFERROR(SEARCH(miTexto,Datos!$D66),0)&gt;0,IFERROR(SEARCH(miTexto,Datos!$E66),0)&gt;0),
OR(miRetraso="",IFERROR(--LEFT(Datos!$J66,FIND(" ",Datos!$J66)-1),0)&gt;miRetraso),
OR(miDuración="",IFERROR(--LEFT(Datos!$I66,FIND(" ",Datos!$I66)-1),0)&gt;miDuración)),
1,0)</f>
        <v>0</v>
      </c>
      <c r="E66" s="54" t="str">
        <f t="shared" ca="1" si="8"/>
        <v/>
      </c>
      <c r="F66" s="54" t="str">
        <f t="shared" ca="1" si="8"/>
        <v/>
      </c>
      <c r="G66" s="54" t="str">
        <f t="shared" ca="1" si="8"/>
        <v/>
      </c>
      <c r="H66" s="54" t="str">
        <f t="shared" ca="1" si="8"/>
        <v/>
      </c>
      <c r="I66" s="54" t="str">
        <f t="shared" ca="1" si="8"/>
        <v/>
      </c>
      <c r="J66" s="54" t="str">
        <f t="shared" ca="1" si="8"/>
        <v/>
      </c>
      <c r="K66" s="54" t="str">
        <f t="shared" ca="1" si="8"/>
        <v/>
      </c>
      <c r="L66" s="54" t="str">
        <f t="shared" ca="1" si="8"/>
        <v/>
      </c>
      <c r="M66" s="54" t="str">
        <f t="shared" ca="1" si="8"/>
        <v/>
      </c>
      <c r="N66" s="54" t="str">
        <f t="shared" ca="1" si="8"/>
        <v/>
      </c>
      <c r="O66" s="54" t="str">
        <f t="shared" ref="O66:O97" ca="1" si="9">E66&amp;F66&amp;G66&amp;H66&amp;I66&amp;J66&amp;K66&amp;L66&amp;M66&amp;N66</f>
        <v/>
      </c>
      <c r="P66" s="55" t="str" cm="1">
        <f t="array" aca="1" ref="P66" ca="1">IFERROR(LEFT($O66,FIND("-",$O66)-1) &amp; SUBSTITUTE($O66,LEFT($O66,FIND("-",$O66)-1) &amp;"-","") &amp; ":" &amp;
LEFT($O66,FIND("-",$O66)-1) &amp; SUBSTITUTE($O66,LEFT($O66,FIND("-",$O66)-1) &amp;"-","")+misLíneas-3,"")</f>
        <v/>
      </c>
    </row>
    <row r="67" spans="1:16" ht="16.5" thickTop="1" thickBot="1" x14ac:dyDescent="0.3">
      <c r="A67" s="56" t="str">
        <f>IFERROR(IF(Datos!$A67="","",Idiomas!$A$12&amp;" "&amp;ROW()-1),"")</f>
        <v/>
      </c>
      <c r="B67" s="57">
        <f>IFERROR(MATCH(Datos!$A67,Configura!$B$9:$B$18,0),0)</f>
        <v>0</v>
      </c>
      <c r="C67" s="57">
        <f>IFERROR(MATCH(Datos!$B67,Configura!$D$9:$D$11,0),0)</f>
        <v>0</v>
      </c>
      <c r="D67" s="57" cm="1">
        <f t="array" ref="D67">IF(AND(Datos!$A67&lt;&gt;"",
OR(miCriticidad="",miCriticidad=$C67),
OR(miAsignado="",miAsignado=Datos!$K67),
OR(miFechaInicio="",Datos!$F67="",Datos!$F67&gt;=miFechaInicio),
OR(miTexto="",IFERROR(SEARCH(miTexto,Datos!$D67),0)&gt;0,IFERROR(SEARCH(miTexto,Datos!$E67),0)&gt;0),
OR(miRetraso="",IFERROR(--LEFT(Datos!$J67,FIND(" ",Datos!$J67)-1),0)&gt;miRetraso),
OR(miDuración="",IFERROR(--LEFT(Datos!$I67,FIND(" ",Datos!$I67)-1),0)&gt;miDuración)),
1,0)</f>
        <v>0</v>
      </c>
      <c r="E67" s="58" t="str">
        <f t="shared" ca="1" si="8"/>
        <v/>
      </c>
      <c r="F67" s="58" t="str">
        <f t="shared" ca="1" si="8"/>
        <v/>
      </c>
      <c r="G67" s="58" t="str">
        <f t="shared" ca="1" si="8"/>
        <v/>
      </c>
      <c r="H67" s="58" t="str">
        <f t="shared" ca="1" si="8"/>
        <v/>
      </c>
      <c r="I67" s="58" t="str">
        <f t="shared" ca="1" si="8"/>
        <v/>
      </c>
      <c r="J67" s="58" t="str">
        <f t="shared" ca="1" si="8"/>
        <v/>
      </c>
      <c r="K67" s="58" t="str">
        <f t="shared" ca="1" si="8"/>
        <v/>
      </c>
      <c r="L67" s="58" t="str">
        <f t="shared" ca="1" si="8"/>
        <v/>
      </c>
      <c r="M67" s="58" t="str">
        <f t="shared" ca="1" si="8"/>
        <v/>
      </c>
      <c r="N67" s="58" t="str">
        <f t="shared" ca="1" si="8"/>
        <v/>
      </c>
      <c r="O67" s="58" t="str">
        <f t="shared" ca="1" si="9"/>
        <v/>
      </c>
      <c r="P67" s="59" t="str" cm="1">
        <f t="array" aca="1" ref="P67" ca="1">IFERROR(LEFT($O67,FIND("-",$O67)-1) &amp; SUBSTITUTE($O67,LEFT($O67,FIND("-",$O67)-1) &amp;"-","") &amp; ":" &amp;
LEFT($O67,FIND("-",$O67)-1) &amp; SUBSTITUTE($O67,LEFT($O67,FIND("-",$O67)-1) &amp;"-","")+misLíneas-3,"")</f>
        <v/>
      </c>
    </row>
    <row r="68" spans="1:16" ht="16.5" thickTop="1" thickBot="1" x14ac:dyDescent="0.3">
      <c r="A68" s="52" t="str">
        <f>IFERROR(IF(Datos!$A68="","",Idiomas!$A$12&amp;" "&amp;ROW()-1),"")</f>
        <v/>
      </c>
      <c r="B68" s="53">
        <f>IFERROR(MATCH(Datos!$A68,Configura!$B$9:$B$18,0),0)</f>
        <v>0</v>
      </c>
      <c r="C68" s="53">
        <f>IFERROR(MATCH(Datos!$B68,Configura!$D$9:$D$11,0),0)</f>
        <v>0</v>
      </c>
      <c r="D68" s="53" cm="1">
        <f t="array" ref="D68">IF(AND(Datos!$A68&lt;&gt;"",
OR(miCriticidad="",miCriticidad=$C68),
OR(miAsignado="",miAsignado=Datos!$K68),
OR(miFechaInicio="",Datos!$F68="",Datos!$F68&gt;=miFechaInicio),
OR(miTexto="",IFERROR(SEARCH(miTexto,Datos!$D68),0)&gt;0,IFERROR(SEARCH(miTexto,Datos!$E68),0)&gt;0),
OR(miRetraso="",IFERROR(--LEFT(Datos!$J68,FIND(" ",Datos!$J68)-1),0)&gt;miRetraso),
OR(miDuración="",IFERROR(--LEFT(Datos!$I68,FIND(" ",Datos!$I68)-1),0)&gt;miDuración)),
1,0)</f>
        <v>0</v>
      </c>
      <c r="E68" s="54" t="str">
        <f t="shared" ca="1" si="8"/>
        <v/>
      </c>
      <c r="F68" s="54" t="str">
        <f t="shared" ca="1" si="8"/>
        <v/>
      </c>
      <c r="G68" s="54" t="str">
        <f t="shared" ca="1" si="8"/>
        <v/>
      </c>
      <c r="H68" s="54" t="str">
        <f t="shared" ca="1" si="8"/>
        <v/>
      </c>
      <c r="I68" s="54" t="str">
        <f t="shared" ca="1" si="8"/>
        <v/>
      </c>
      <c r="J68" s="54" t="str">
        <f t="shared" ca="1" si="8"/>
        <v/>
      </c>
      <c r="K68" s="54" t="str">
        <f t="shared" ca="1" si="8"/>
        <v/>
      </c>
      <c r="L68" s="54" t="str">
        <f t="shared" ca="1" si="8"/>
        <v/>
      </c>
      <c r="M68" s="54" t="str">
        <f t="shared" ca="1" si="8"/>
        <v/>
      </c>
      <c r="N68" s="54" t="str">
        <f t="shared" ca="1" si="8"/>
        <v/>
      </c>
      <c r="O68" s="54" t="str">
        <f t="shared" ca="1" si="9"/>
        <v/>
      </c>
      <c r="P68" s="55" t="str" cm="1">
        <f t="array" aca="1" ref="P68" ca="1">IFERROR(LEFT($O68,FIND("-",$O68)-1) &amp; SUBSTITUTE($O68,LEFT($O68,FIND("-",$O68)-1) &amp;"-","") &amp; ":" &amp;
LEFT($O68,FIND("-",$O68)-1) &amp; SUBSTITUTE($O68,LEFT($O68,FIND("-",$O68)-1) &amp;"-","")+misLíneas-3,"")</f>
        <v/>
      </c>
    </row>
    <row r="69" spans="1:16" ht="16.5" thickTop="1" thickBot="1" x14ac:dyDescent="0.3">
      <c r="A69" s="56" t="str">
        <f>IFERROR(IF(Datos!$A69="","",Idiomas!$A$12&amp;" "&amp;ROW()-1),"")</f>
        <v/>
      </c>
      <c r="B69" s="57">
        <f>IFERROR(MATCH(Datos!$A69,Configura!$B$9:$B$18,0),0)</f>
        <v>0</v>
      </c>
      <c r="C69" s="57">
        <f>IFERROR(MATCH(Datos!$B69,Configura!$D$9:$D$11,0),0)</f>
        <v>0</v>
      </c>
      <c r="D69" s="57" cm="1">
        <f t="array" ref="D69">IF(AND(Datos!$A69&lt;&gt;"",
OR(miCriticidad="",miCriticidad=$C69),
OR(miAsignado="",miAsignado=Datos!$K69),
OR(miFechaInicio="",Datos!$F69="",Datos!$F69&gt;=miFechaInicio),
OR(miTexto="",IFERROR(SEARCH(miTexto,Datos!$D69),0)&gt;0,IFERROR(SEARCH(miTexto,Datos!$E69),0)&gt;0),
OR(miRetraso="",IFERROR(--LEFT(Datos!$J69,FIND(" ",Datos!$J69)-1),0)&gt;miRetraso),
OR(miDuración="",IFERROR(--LEFT(Datos!$I69,FIND(" ",Datos!$I69)-1),0)&gt;miDuración)),
1,0)</f>
        <v>0</v>
      </c>
      <c r="E69" s="58" t="str">
        <f t="shared" ca="1" si="8"/>
        <v/>
      </c>
      <c r="F69" s="58" t="str">
        <f t="shared" ca="1" si="8"/>
        <v/>
      </c>
      <c r="G69" s="58" t="str">
        <f t="shared" ca="1" si="8"/>
        <v/>
      </c>
      <c r="H69" s="58" t="str">
        <f t="shared" ca="1" si="8"/>
        <v/>
      </c>
      <c r="I69" s="58" t="str">
        <f t="shared" ca="1" si="8"/>
        <v/>
      </c>
      <c r="J69" s="58" t="str">
        <f t="shared" ca="1" si="8"/>
        <v/>
      </c>
      <c r="K69" s="58" t="str">
        <f t="shared" ca="1" si="8"/>
        <v/>
      </c>
      <c r="L69" s="58" t="str">
        <f t="shared" ca="1" si="8"/>
        <v/>
      </c>
      <c r="M69" s="58" t="str">
        <f t="shared" ca="1" si="8"/>
        <v/>
      </c>
      <c r="N69" s="58" t="str">
        <f t="shared" ca="1" si="8"/>
        <v/>
      </c>
      <c r="O69" s="58" t="str">
        <f t="shared" ca="1" si="9"/>
        <v/>
      </c>
      <c r="P69" s="59" t="str" cm="1">
        <f t="array" aca="1" ref="P69" ca="1">IFERROR(LEFT($O69,FIND("-",$O69)-1) &amp; SUBSTITUTE($O69,LEFT($O69,FIND("-",$O69)-1) &amp;"-","") &amp; ":" &amp;
LEFT($O69,FIND("-",$O69)-1) &amp; SUBSTITUTE($O69,LEFT($O69,FIND("-",$O69)-1) &amp;"-","")+misLíneas-3,"")</f>
        <v/>
      </c>
    </row>
    <row r="70" spans="1:16" ht="16.5" thickTop="1" thickBot="1" x14ac:dyDescent="0.3">
      <c r="A70" s="52" t="str">
        <f>IFERROR(IF(Datos!$A70="","",Idiomas!$A$12&amp;" "&amp;ROW()-1),"")</f>
        <v/>
      </c>
      <c r="B70" s="53">
        <f>IFERROR(MATCH(Datos!$A70,Configura!$B$9:$B$18,0),0)</f>
        <v>0</v>
      </c>
      <c r="C70" s="53">
        <f>IFERROR(MATCH(Datos!$B70,Configura!$D$9:$D$11,0),0)</f>
        <v>0</v>
      </c>
      <c r="D70" s="53" cm="1">
        <f t="array" ref="D70">IF(AND(Datos!$A70&lt;&gt;"",
OR(miCriticidad="",miCriticidad=$C70),
OR(miAsignado="",miAsignado=Datos!$K70),
OR(miFechaInicio="",Datos!$F70="",Datos!$F70&gt;=miFechaInicio),
OR(miTexto="",IFERROR(SEARCH(miTexto,Datos!$D70),0)&gt;0,IFERROR(SEARCH(miTexto,Datos!$E70),0)&gt;0),
OR(miRetraso="",IFERROR(--LEFT(Datos!$J70,FIND(" ",Datos!$J70)-1),0)&gt;miRetraso),
OR(miDuración="",IFERROR(--LEFT(Datos!$I70,FIND(" ",Datos!$I70)-1),0)&gt;miDuración)),
1,0)</f>
        <v>0</v>
      </c>
      <c r="E70" s="54" t="str">
        <f t="shared" ca="1" si="8"/>
        <v/>
      </c>
      <c r="F70" s="54" t="str">
        <f t="shared" ca="1" si="8"/>
        <v/>
      </c>
      <c r="G70" s="54" t="str">
        <f t="shared" ca="1" si="8"/>
        <v/>
      </c>
      <c r="H70" s="54" t="str">
        <f t="shared" ca="1" si="8"/>
        <v/>
      </c>
      <c r="I70" s="54" t="str">
        <f t="shared" ca="1" si="8"/>
        <v/>
      </c>
      <c r="J70" s="54" t="str">
        <f t="shared" ca="1" si="8"/>
        <v/>
      </c>
      <c r="K70" s="54" t="str">
        <f t="shared" ca="1" si="8"/>
        <v/>
      </c>
      <c r="L70" s="54" t="str">
        <f t="shared" ca="1" si="8"/>
        <v/>
      </c>
      <c r="M70" s="54" t="str">
        <f t="shared" ca="1" si="8"/>
        <v/>
      </c>
      <c r="N70" s="54" t="str">
        <f t="shared" ca="1" si="8"/>
        <v/>
      </c>
      <c r="O70" s="54" t="str">
        <f t="shared" ca="1" si="9"/>
        <v/>
      </c>
      <c r="P70" s="55" t="str" cm="1">
        <f t="array" aca="1" ref="P70" ca="1">IFERROR(LEFT($O70,FIND("-",$O70)-1) &amp; SUBSTITUTE($O70,LEFT($O70,FIND("-",$O70)-1) &amp;"-","") &amp; ":" &amp;
LEFT($O70,FIND("-",$O70)-1) &amp; SUBSTITUTE($O70,LEFT($O70,FIND("-",$O70)-1) &amp;"-","")+misLíneas-3,"")</f>
        <v/>
      </c>
    </row>
    <row r="71" spans="1:16" ht="16.5" thickTop="1" thickBot="1" x14ac:dyDescent="0.3">
      <c r="A71" s="56" t="str">
        <f>IFERROR(IF(Datos!$A71="","",Idiomas!$A$12&amp;" "&amp;ROW()-1),"")</f>
        <v/>
      </c>
      <c r="B71" s="57">
        <f>IFERROR(MATCH(Datos!$A71,Configura!$B$9:$B$18,0),0)</f>
        <v>0</v>
      </c>
      <c r="C71" s="57">
        <f>IFERROR(MATCH(Datos!$B71,Configura!$D$9:$D$11,0),0)</f>
        <v>0</v>
      </c>
      <c r="D71" s="57" cm="1">
        <f t="array" ref="D71">IF(AND(Datos!$A71&lt;&gt;"",
OR(miCriticidad="",miCriticidad=$C71),
OR(miAsignado="",miAsignado=Datos!$K71),
OR(miFechaInicio="",Datos!$F71="",Datos!$F71&gt;=miFechaInicio),
OR(miTexto="",IFERROR(SEARCH(miTexto,Datos!$D71),0)&gt;0,IFERROR(SEARCH(miTexto,Datos!$E71),0)&gt;0),
OR(miRetraso="",IFERROR(--LEFT(Datos!$J71,FIND(" ",Datos!$J71)-1),0)&gt;miRetraso),
OR(miDuración="",IFERROR(--LEFT(Datos!$I71,FIND(" ",Datos!$I71)-1),0)&gt;miDuración)),
1,0)</f>
        <v>0</v>
      </c>
      <c r="E71" s="58" t="str">
        <f t="shared" ca="1" si="8"/>
        <v/>
      </c>
      <c r="F71" s="58" t="str">
        <f t="shared" ca="1" si="8"/>
        <v/>
      </c>
      <c r="G71" s="58" t="str">
        <f t="shared" ca="1" si="8"/>
        <v/>
      </c>
      <c r="H71" s="58" t="str">
        <f t="shared" ca="1" si="8"/>
        <v/>
      </c>
      <c r="I71" s="58" t="str">
        <f t="shared" ca="1" si="8"/>
        <v/>
      </c>
      <c r="J71" s="58" t="str">
        <f t="shared" ca="1" si="8"/>
        <v/>
      </c>
      <c r="K71" s="58" t="str">
        <f t="shared" ca="1" si="8"/>
        <v/>
      </c>
      <c r="L71" s="58" t="str">
        <f t="shared" ca="1" si="8"/>
        <v/>
      </c>
      <c r="M71" s="58" t="str">
        <f t="shared" ca="1" si="8"/>
        <v/>
      </c>
      <c r="N71" s="58" t="str">
        <f t="shared" ca="1" si="8"/>
        <v/>
      </c>
      <c r="O71" s="58" t="str">
        <f t="shared" ca="1" si="9"/>
        <v/>
      </c>
      <c r="P71" s="59" t="str" cm="1">
        <f t="array" aca="1" ref="P71" ca="1">IFERROR(LEFT($O71,FIND("-",$O71)-1) &amp; SUBSTITUTE($O71,LEFT($O71,FIND("-",$O71)-1) &amp;"-","") &amp; ":" &amp;
LEFT($O71,FIND("-",$O71)-1) &amp; SUBSTITUTE($O71,LEFT($O71,FIND("-",$O71)-1) &amp;"-","")+misLíneas-3,"")</f>
        <v/>
      </c>
    </row>
    <row r="72" spans="1:16" ht="16.5" thickTop="1" thickBot="1" x14ac:dyDescent="0.3">
      <c r="A72" s="52" t="str">
        <f>IFERROR(IF(Datos!$A72="","",Idiomas!$A$12&amp;" "&amp;ROW()-1),"")</f>
        <v/>
      </c>
      <c r="B72" s="53">
        <f>IFERROR(MATCH(Datos!$A72,Configura!$B$9:$B$18,0),0)</f>
        <v>0</v>
      </c>
      <c r="C72" s="53">
        <f>IFERROR(MATCH(Datos!$B72,Configura!$D$9:$D$11,0),0)</f>
        <v>0</v>
      </c>
      <c r="D72" s="53" cm="1">
        <f t="array" ref="D72">IF(AND(Datos!$A72&lt;&gt;"",
OR(miCriticidad="",miCriticidad=$C72),
OR(miAsignado="",miAsignado=Datos!$K72),
OR(miFechaInicio="",Datos!$F72="",Datos!$F72&gt;=miFechaInicio),
OR(miTexto="",IFERROR(SEARCH(miTexto,Datos!$D72),0)&gt;0,IFERROR(SEARCH(miTexto,Datos!$E72),0)&gt;0),
OR(miRetraso="",IFERROR(--LEFT(Datos!$J72,FIND(" ",Datos!$J72)-1),0)&gt;miRetraso),
OR(miDuración="",IFERROR(--LEFT(Datos!$I72,FIND(" ",Datos!$I72)-1),0)&gt;miDuración)),
1,0)</f>
        <v>0</v>
      </c>
      <c r="E72" s="54" t="str">
        <f t="shared" ref="E72:N81" ca="1" si="10">IFERROR(E$1&amp;"-"&amp;MATCH($A72&amp;":",INDIRECT("KANBAN!"&amp;E$1&amp;":"&amp;E$1),0),"")</f>
        <v/>
      </c>
      <c r="F72" s="54" t="str">
        <f t="shared" ca="1" si="10"/>
        <v/>
      </c>
      <c r="G72" s="54" t="str">
        <f t="shared" ca="1" si="10"/>
        <v/>
      </c>
      <c r="H72" s="54" t="str">
        <f t="shared" ca="1" si="10"/>
        <v/>
      </c>
      <c r="I72" s="54" t="str">
        <f t="shared" ca="1" si="10"/>
        <v/>
      </c>
      <c r="J72" s="54" t="str">
        <f t="shared" ca="1" si="10"/>
        <v/>
      </c>
      <c r="K72" s="54" t="str">
        <f t="shared" ca="1" si="10"/>
        <v/>
      </c>
      <c r="L72" s="54" t="str">
        <f t="shared" ca="1" si="10"/>
        <v/>
      </c>
      <c r="M72" s="54" t="str">
        <f t="shared" ca="1" si="10"/>
        <v/>
      </c>
      <c r="N72" s="54" t="str">
        <f t="shared" ca="1" si="10"/>
        <v/>
      </c>
      <c r="O72" s="54" t="str">
        <f t="shared" ca="1" si="9"/>
        <v/>
      </c>
      <c r="P72" s="55" t="str" cm="1">
        <f t="array" aca="1" ref="P72" ca="1">IFERROR(LEFT($O72,FIND("-",$O72)-1) &amp; SUBSTITUTE($O72,LEFT($O72,FIND("-",$O72)-1) &amp;"-","") &amp; ":" &amp;
LEFT($O72,FIND("-",$O72)-1) &amp; SUBSTITUTE($O72,LEFT($O72,FIND("-",$O72)-1) &amp;"-","")+misLíneas-3,"")</f>
        <v/>
      </c>
    </row>
    <row r="73" spans="1:16" ht="16.5" thickTop="1" thickBot="1" x14ac:dyDescent="0.3">
      <c r="A73" s="56" t="str">
        <f>IFERROR(IF(Datos!$A73="","",Idiomas!$A$12&amp;" "&amp;ROW()-1),"")</f>
        <v/>
      </c>
      <c r="B73" s="57">
        <f>IFERROR(MATCH(Datos!$A73,Configura!$B$9:$B$18,0),0)</f>
        <v>0</v>
      </c>
      <c r="C73" s="57">
        <f>IFERROR(MATCH(Datos!$B73,Configura!$D$9:$D$11,0),0)</f>
        <v>0</v>
      </c>
      <c r="D73" s="57" cm="1">
        <f t="array" ref="D73">IF(AND(Datos!$A73&lt;&gt;"",
OR(miCriticidad="",miCriticidad=$C73),
OR(miAsignado="",miAsignado=Datos!$K73),
OR(miFechaInicio="",Datos!$F73="",Datos!$F73&gt;=miFechaInicio),
OR(miTexto="",IFERROR(SEARCH(miTexto,Datos!$D73),0)&gt;0,IFERROR(SEARCH(miTexto,Datos!$E73),0)&gt;0),
OR(miRetraso="",IFERROR(--LEFT(Datos!$J73,FIND(" ",Datos!$J73)-1),0)&gt;miRetraso),
OR(miDuración="",IFERROR(--LEFT(Datos!$I73,FIND(" ",Datos!$I73)-1),0)&gt;miDuración)),
1,0)</f>
        <v>0</v>
      </c>
      <c r="E73" s="58" t="str">
        <f t="shared" ca="1" si="10"/>
        <v/>
      </c>
      <c r="F73" s="58" t="str">
        <f t="shared" ca="1" si="10"/>
        <v/>
      </c>
      <c r="G73" s="58" t="str">
        <f t="shared" ca="1" si="10"/>
        <v/>
      </c>
      <c r="H73" s="58" t="str">
        <f t="shared" ca="1" si="10"/>
        <v/>
      </c>
      <c r="I73" s="58" t="str">
        <f t="shared" ca="1" si="10"/>
        <v/>
      </c>
      <c r="J73" s="58" t="str">
        <f t="shared" ca="1" si="10"/>
        <v/>
      </c>
      <c r="K73" s="58" t="str">
        <f t="shared" ca="1" si="10"/>
        <v/>
      </c>
      <c r="L73" s="58" t="str">
        <f t="shared" ca="1" si="10"/>
        <v/>
      </c>
      <c r="M73" s="58" t="str">
        <f t="shared" ca="1" si="10"/>
        <v/>
      </c>
      <c r="N73" s="58" t="str">
        <f t="shared" ca="1" si="10"/>
        <v/>
      </c>
      <c r="O73" s="58" t="str">
        <f t="shared" ca="1" si="9"/>
        <v/>
      </c>
      <c r="P73" s="59" t="str" cm="1">
        <f t="array" aca="1" ref="P73" ca="1">IFERROR(LEFT($O73,FIND("-",$O73)-1) &amp; SUBSTITUTE($O73,LEFT($O73,FIND("-",$O73)-1) &amp;"-","") &amp; ":" &amp;
LEFT($O73,FIND("-",$O73)-1) &amp; SUBSTITUTE($O73,LEFT($O73,FIND("-",$O73)-1) &amp;"-","")+misLíneas-3,"")</f>
        <v/>
      </c>
    </row>
    <row r="74" spans="1:16" ht="16.5" thickTop="1" thickBot="1" x14ac:dyDescent="0.3">
      <c r="A74" s="52" t="str">
        <f>IFERROR(IF(Datos!$A74="","",Idiomas!$A$12&amp;" "&amp;ROW()-1),"")</f>
        <v/>
      </c>
      <c r="B74" s="53">
        <f>IFERROR(MATCH(Datos!$A74,Configura!$B$9:$B$18,0),0)</f>
        <v>0</v>
      </c>
      <c r="C74" s="53">
        <f>IFERROR(MATCH(Datos!$B74,Configura!$D$9:$D$11,0),0)</f>
        <v>0</v>
      </c>
      <c r="D74" s="53" cm="1">
        <f t="array" ref="D74">IF(AND(Datos!$A74&lt;&gt;"",
OR(miCriticidad="",miCriticidad=$C74),
OR(miAsignado="",miAsignado=Datos!$K74),
OR(miFechaInicio="",Datos!$F74="",Datos!$F74&gt;=miFechaInicio),
OR(miTexto="",IFERROR(SEARCH(miTexto,Datos!$D74),0)&gt;0,IFERROR(SEARCH(miTexto,Datos!$E74),0)&gt;0),
OR(miRetraso="",IFERROR(--LEFT(Datos!$J74,FIND(" ",Datos!$J74)-1),0)&gt;miRetraso),
OR(miDuración="",IFERROR(--LEFT(Datos!$I74,FIND(" ",Datos!$I74)-1),0)&gt;miDuración)),
1,0)</f>
        <v>0</v>
      </c>
      <c r="E74" s="54" t="str">
        <f t="shared" ca="1" si="10"/>
        <v/>
      </c>
      <c r="F74" s="54" t="str">
        <f t="shared" ca="1" si="10"/>
        <v/>
      </c>
      <c r="G74" s="54" t="str">
        <f t="shared" ca="1" si="10"/>
        <v/>
      </c>
      <c r="H74" s="54" t="str">
        <f t="shared" ca="1" si="10"/>
        <v/>
      </c>
      <c r="I74" s="54" t="str">
        <f t="shared" ca="1" si="10"/>
        <v/>
      </c>
      <c r="J74" s="54" t="str">
        <f t="shared" ca="1" si="10"/>
        <v/>
      </c>
      <c r="K74" s="54" t="str">
        <f t="shared" ca="1" si="10"/>
        <v/>
      </c>
      <c r="L74" s="54" t="str">
        <f t="shared" ca="1" si="10"/>
        <v/>
      </c>
      <c r="M74" s="54" t="str">
        <f t="shared" ca="1" si="10"/>
        <v/>
      </c>
      <c r="N74" s="54" t="str">
        <f t="shared" ca="1" si="10"/>
        <v/>
      </c>
      <c r="O74" s="54" t="str">
        <f t="shared" ca="1" si="9"/>
        <v/>
      </c>
      <c r="P74" s="55" t="str" cm="1">
        <f t="array" aca="1" ref="P74" ca="1">IFERROR(LEFT($O74,FIND("-",$O74)-1) &amp; SUBSTITUTE($O74,LEFT($O74,FIND("-",$O74)-1) &amp;"-","") &amp; ":" &amp;
LEFT($O74,FIND("-",$O74)-1) &amp; SUBSTITUTE($O74,LEFT($O74,FIND("-",$O74)-1) &amp;"-","")+misLíneas-3,"")</f>
        <v/>
      </c>
    </row>
    <row r="75" spans="1:16" ht="16.5" thickTop="1" thickBot="1" x14ac:dyDescent="0.3">
      <c r="A75" s="56" t="str">
        <f>IFERROR(IF(Datos!$A75="","",Idiomas!$A$12&amp;" "&amp;ROW()-1),"")</f>
        <v/>
      </c>
      <c r="B75" s="57">
        <f>IFERROR(MATCH(Datos!$A75,Configura!$B$9:$B$18,0),0)</f>
        <v>0</v>
      </c>
      <c r="C75" s="57">
        <f>IFERROR(MATCH(Datos!$B75,Configura!$D$9:$D$11,0),0)</f>
        <v>0</v>
      </c>
      <c r="D75" s="57" cm="1">
        <f t="array" ref="D75">IF(AND(Datos!$A75&lt;&gt;"",
OR(miCriticidad="",miCriticidad=$C75),
OR(miAsignado="",miAsignado=Datos!$K75),
OR(miFechaInicio="",Datos!$F75="",Datos!$F75&gt;=miFechaInicio),
OR(miTexto="",IFERROR(SEARCH(miTexto,Datos!$D75),0)&gt;0,IFERROR(SEARCH(miTexto,Datos!$E75),0)&gt;0),
OR(miRetraso="",IFERROR(--LEFT(Datos!$J75,FIND(" ",Datos!$J75)-1),0)&gt;miRetraso),
OR(miDuración="",IFERROR(--LEFT(Datos!$I75,FIND(" ",Datos!$I75)-1),0)&gt;miDuración)),
1,0)</f>
        <v>0</v>
      </c>
      <c r="E75" s="58" t="str">
        <f t="shared" ca="1" si="10"/>
        <v/>
      </c>
      <c r="F75" s="58" t="str">
        <f t="shared" ca="1" si="10"/>
        <v/>
      </c>
      <c r="G75" s="58" t="str">
        <f t="shared" ca="1" si="10"/>
        <v/>
      </c>
      <c r="H75" s="58" t="str">
        <f t="shared" ca="1" si="10"/>
        <v/>
      </c>
      <c r="I75" s="58" t="str">
        <f t="shared" ca="1" si="10"/>
        <v/>
      </c>
      <c r="J75" s="58" t="str">
        <f t="shared" ca="1" si="10"/>
        <v/>
      </c>
      <c r="K75" s="58" t="str">
        <f t="shared" ca="1" si="10"/>
        <v/>
      </c>
      <c r="L75" s="58" t="str">
        <f t="shared" ca="1" si="10"/>
        <v/>
      </c>
      <c r="M75" s="58" t="str">
        <f t="shared" ca="1" si="10"/>
        <v/>
      </c>
      <c r="N75" s="58" t="str">
        <f t="shared" ca="1" si="10"/>
        <v/>
      </c>
      <c r="O75" s="58" t="str">
        <f t="shared" ca="1" si="9"/>
        <v/>
      </c>
      <c r="P75" s="59" t="str" cm="1">
        <f t="array" aca="1" ref="P75" ca="1">IFERROR(LEFT($O75,FIND("-",$O75)-1) &amp; SUBSTITUTE($O75,LEFT($O75,FIND("-",$O75)-1) &amp;"-","") &amp; ":" &amp;
LEFT($O75,FIND("-",$O75)-1) &amp; SUBSTITUTE($O75,LEFT($O75,FIND("-",$O75)-1) &amp;"-","")+misLíneas-3,"")</f>
        <v/>
      </c>
    </row>
    <row r="76" spans="1:16" ht="16.5" thickTop="1" thickBot="1" x14ac:dyDescent="0.3">
      <c r="A76" s="52" t="str">
        <f>IFERROR(IF(Datos!$A76="","",Idiomas!$A$12&amp;" "&amp;ROW()-1),"")</f>
        <v/>
      </c>
      <c r="B76" s="53">
        <f>IFERROR(MATCH(Datos!$A76,Configura!$B$9:$B$18,0),0)</f>
        <v>0</v>
      </c>
      <c r="C76" s="53">
        <f>IFERROR(MATCH(Datos!$B76,Configura!$D$9:$D$11,0),0)</f>
        <v>0</v>
      </c>
      <c r="D76" s="53" cm="1">
        <f t="array" ref="D76">IF(AND(Datos!$A76&lt;&gt;"",
OR(miCriticidad="",miCriticidad=$C76),
OR(miAsignado="",miAsignado=Datos!$K76),
OR(miFechaInicio="",Datos!$F76="",Datos!$F76&gt;=miFechaInicio),
OR(miTexto="",IFERROR(SEARCH(miTexto,Datos!$D76),0)&gt;0,IFERROR(SEARCH(miTexto,Datos!$E76),0)&gt;0),
OR(miRetraso="",IFERROR(--LEFT(Datos!$J76,FIND(" ",Datos!$J76)-1),0)&gt;miRetraso),
OR(miDuración="",IFERROR(--LEFT(Datos!$I76,FIND(" ",Datos!$I76)-1),0)&gt;miDuración)),
1,0)</f>
        <v>0</v>
      </c>
      <c r="E76" s="54" t="str">
        <f t="shared" ca="1" si="10"/>
        <v/>
      </c>
      <c r="F76" s="54" t="str">
        <f t="shared" ca="1" si="10"/>
        <v/>
      </c>
      <c r="G76" s="54" t="str">
        <f t="shared" ca="1" si="10"/>
        <v/>
      </c>
      <c r="H76" s="54" t="str">
        <f t="shared" ca="1" si="10"/>
        <v/>
      </c>
      <c r="I76" s="54" t="str">
        <f t="shared" ca="1" si="10"/>
        <v/>
      </c>
      <c r="J76" s="54" t="str">
        <f t="shared" ca="1" si="10"/>
        <v/>
      </c>
      <c r="K76" s="54" t="str">
        <f t="shared" ca="1" si="10"/>
        <v/>
      </c>
      <c r="L76" s="54" t="str">
        <f t="shared" ca="1" si="10"/>
        <v/>
      </c>
      <c r="M76" s="54" t="str">
        <f t="shared" ca="1" si="10"/>
        <v/>
      </c>
      <c r="N76" s="54" t="str">
        <f t="shared" ca="1" si="10"/>
        <v/>
      </c>
      <c r="O76" s="54" t="str">
        <f t="shared" ca="1" si="9"/>
        <v/>
      </c>
      <c r="P76" s="55" t="str" cm="1">
        <f t="array" aca="1" ref="P76" ca="1">IFERROR(LEFT($O76,FIND("-",$O76)-1) &amp; SUBSTITUTE($O76,LEFT($O76,FIND("-",$O76)-1) &amp;"-","") &amp; ":" &amp;
LEFT($O76,FIND("-",$O76)-1) &amp; SUBSTITUTE($O76,LEFT($O76,FIND("-",$O76)-1) &amp;"-","")+misLíneas-3,"")</f>
        <v/>
      </c>
    </row>
    <row r="77" spans="1:16" ht="16.5" thickTop="1" thickBot="1" x14ac:dyDescent="0.3">
      <c r="A77" s="56" t="str">
        <f>IFERROR(IF(Datos!$A77="","",Idiomas!$A$12&amp;" "&amp;ROW()-1),"")</f>
        <v/>
      </c>
      <c r="B77" s="57">
        <f>IFERROR(MATCH(Datos!$A77,Configura!$B$9:$B$18,0),0)</f>
        <v>0</v>
      </c>
      <c r="C77" s="57">
        <f>IFERROR(MATCH(Datos!$B77,Configura!$D$9:$D$11,0),0)</f>
        <v>0</v>
      </c>
      <c r="D77" s="57" cm="1">
        <f t="array" ref="D77">IF(AND(Datos!$A77&lt;&gt;"",
OR(miCriticidad="",miCriticidad=$C77),
OR(miAsignado="",miAsignado=Datos!$K77),
OR(miFechaInicio="",Datos!$F77="",Datos!$F77&gt;=miFechaInicio),
OR(miTexto="",IFERROR(SEARCH(miTexto,Datos!$D77),0)&gt;0,IFERROR(SEARCH(miTexto,Datos!$E77),0)&gt;0),
OR(miRetraso="",IFERROR(--LEFT(Datos!$J77,FIND(" ",Datos!$J77)-1),0)&gt;miRetraso),
OR(miDuración="",IFERROR(--LEFT(Datos!$I77,FIND(" ",Datos!$I77)-1),0)&gt;miDuración)),
1,0)</f>
        <v>0</v>
      </c>
      <c r="E77" s="58" t="str">
        <f t="shared" ca="1" si="10"/>
        <v/>
      </c>
      <c r="F77" s="58" t="str">
        <f t="shared" ca="1" si="10"/>
        <v/>
      </c>
      <c r="G77" s="58" t="str">
        <f t="shared" ca="1" si="10"/>
        <v/>
      </c>
      <c r="H77" s="58" t="str">
        <f t="shared" ca="1" si="10"/>
        <v/>
      </c>
      <c r="I77" s="58" t="str">
        <f t="shared" ca="1" si="10"/>
        <v/>
      </c>
      <c r="J77" s="58" t="str">
        <f t="shared" ca="1" si="10"/>
        <v/>
      </c>
      <c r="K77" s="58" t="str">
        <f t="shared" ca="1" si="10"/>
        <v/>
      </c>
      <c r="L77" s="58" t="str">
        <f t="shared" ca="1" si="10"/>
        <v/>
      </c>
      <c r="M77" s="58" t="str">
        <f t="shared" ca="1" si="10"/>
        <v/>
      </c>
      <c r="N77" s="58" t="str">
        <f t="shared" ca="1" si="10"/>
        <v/>
      </c>
      <c r="O77" s="58" t="str">
        <f t="shared" ca="1" si="9"/>
        <v/>
      </c>
      <c r="P77" s="59" t="str" cm="1">
        <f t="array" aca="1" ref="P77" ca="1">IFERROR(LEFT($O77,FIND("-",$O77)-1) &amp; SUBSTITUTE($O77,LEFT($O77,FIND("-",$O77)-1) &amp;"-","") &amp; ":" &amp;
LEFT($O77,FIND("-",$O77)-1) &amp; SUBSTITUTE($O77,LEFT($O77,FIND("-",$O77)-1) &amp;"-","")+misLíneas-3,"")</f>
        <v/>
      </c>
    </row>
    <row r="78" spans="1:16" ht="16.5" thickTop="1" thickBot="1" x14ac:dyDescent="0.3">
      <c r="A78" s="52" t="str">
        <f>IFERROR(IF(Datos!$A78="","",Idiomas!$A$12&amp;" "&amp;ROW()-1),"")</f>
        <v/>
      </c>
      <c r="B78" s="53">
        <f>IFERROR(MATCH(Datos!$A78,Configura!$B$9:$B$18,0),0)</f>
        <v>0</v>
      </c>
      <c r="C78" s="53">
        <f>IFERROR(MATCH(Datos!$B78,Configura!$D$9:$D$11,0),0)</f>
        <v>0</v>
      </c>
      <c r="D78" s="53" cm="1">
        <f t="array" ref="D78">IF(AND(Datos!$A78&lt;&gt;"",
OR(miCriticidad="",miCriticidad=$C78),
OR(miAsignado="",miAsignado=Datos!$K78),
OR(miFechaInicio="",Datos!$F78="",Datos!$F78&gt;=miFechaInicio),
OR(miTexto="",IFERROR(SEARCH(miTexto,Datos!$D78),0)&gt;0,IFERROR(SEARCH(miTexto,Datos!$E78),0)&gt;0),
OR(miRetraso="",IFERROR(--LEFT(Datos!$J78,FIND(" ",Datos!$J78)-1),0)&gt;miRetraso),
OR(miDuración="",IFERROR(--LEFT(Datos!$I78,FIND(" ",Datos!$I78)-1),0)&gt;miDuración)),
1,0)</f>
        <v>0</v>
      </c>
      <c r="E78" s="54" t="str">
        <f t="shared" ca="1" si="10"/>
        <v/>
      </c>
      <c r="F78" s="54" t="str">
        <f t="shared" ca="1" si="10"/>
        <v/>
      </c>
      <c r="G78" s="54" t="str">
        <f t="shared" ca="1" si="10"/>
        <v/>
      </c>
      <c r="H78" s="54" t="str">
        <f t="shared" ca="1" si="10"/>
        <v/>
      </c>
      <c r="I78" s="54" t="str">
        <f t="shared" ca="1" si="10"/>
        <v/>
      </c>
      <c r="J78" s="54" t="str">
        <f t="shared" ca="1" si="10"/>
        <v/>
      </c>
      <c r="K78" s="54" t="str">
        <f t="shared" ca="1" si="10"/>
        <v/>
      </c>
      <c r="L78" s="54" t="str">
        <f t="shared" ca="1" si="10"/>
        <v/>
      </c>
      <c r="M78" s="54" t="str">
        <f t="shared" ca="1" si="10"/>
        <v/>
      </c>
      <c r="N78" s="54" t="str">
        <f t="shared" ca="1" si="10"/>
        <v/>
      </c>
      <c r="O78" s="54" t="str">
        <f t="shared" ca="1" si="9"/>
        <v/>
      </c>
      <c r="P78" s="55" t="str" cm="1">
        <f t="array" aca="1" ref="P78" ca="1">IFERROR(LEFT($O78,FIND("-",$O78)-1) &amp; SUBSTITUTE($O78,LEFT($O78,FIND("-",$O78)-1) &amp;"-","") &amp; ":" &amp;
LEFT($O78,FIND("-",$O78)-1) &amp; SUBSTITUTE($O78,LEFT($O78,FIND("-",$O78)-1) &amp;"-","")+misLíneas-3,"")</f>
        <v/>
      </c>
    </row>
    <row r="79" spans="1:16" ht="16.5" thickTop="1" thickBot="1" x14ac:dyDescent="0.3">
      <c r="A79" s="56" t="str">
        <f>IFERROR(IF(Datos!$A79="","",Idiomas!$A$12&amp;" "&amp;ROW()-1),"")</f>
        <v/>
      </c>
      <c r="B79" s="57">
        <f>IFERROR(MATCH(Datos!$A79,Configura!$B$9:$B$18,0),0)</f>
        <v>0</v>
      </c>
      <c r="C79" s="57">
        <f>IFERROR(MATCH(Datos!$B79,Configura!$D$9:$D$11,0),0)</f>
        <v>0</v>
      </c>
      <c r="D79" s="57" cm="1">
        <f t="array" ref="D79">IF(AND(Datos!$A79&lt;&gt;"",
OR(miCriticidad="",miCriticidad=$C79),
OR(miAsignado="",miAsignado=Datos!$K79),
OR(miFechaInicio="",Datos!$F79="",Datos!$F79&gt;=miFechaInicio),
OR(miTexto="",IFERROR(SEARCH(miTexto,Datos!$D79),0)&gt;0,IFERROR(SEARCH(miTexto,Datos!$E79),0)&gt;0),
OR(miRetraso="",IFERROR(--LEFT(Datos!$J79,FIND(" ",Datos!$J79)-1),0)&gt;miRetraso),
OR(miDuración="",IFERROR(--LEFT(Datos!$I79,FIND(" ",Datos!$I79)-1),0)&gt;miDuración)),
1,0)</f>
        <v>0</v>
      </c>
      <c r="E79" s="58" t="str">
        <f t="shared" ca="1" si="10"/>
        <v/>
      </c>
      <c r="F79" s="58" t="str">
        <f t="shared" ca="1" si="10"/>
        <v/>
      </c>
      <c r="G79" s="58" t="str">
        <f t="shared" ca="1" si="10"/>
        <v/>
      </c>
      <c r="H79" s="58" t="str">
        <f t="shared" ca="1" si="10"/>
        <v/>
      </c>
      <c r="I79" s="58" t="str">
        <f t="shared" ca="1" si="10"/>
        <v/>
      </c>
      <c r="J79" s="58" t="str">
        <f t="shared" ca="1" si="10"/>
        <v/>
      </c>
      <c r="K79" s="58" t="str">
        <f t="shared" ca="1" si="10"/>
        <v/>
      </c>
      <c r="L79" s="58" t="str">
        <f t="shared" ca="1" si="10"/>
        <v/>
      </c>
      <c r="M79" s="58" t="str">
        <f t="shared" ca="1" si="10"/>
        <v/>
      </c>
      <c r="N79" s="58" t="str">
        <f t="shared" ca="1" si="10"/>
        <v/>
      </c>
      <c r="O79" s="58" t="str">
        <f t="shared" ca="1" si="9"/>
        <v/>
      </c>
      <c r="P79" s="59" t="str" cm="1">
        <f t="array" aca="1" ref="P79" ca="1">IFERROR(LEFT($O79,FIND("-",$O79)-1) &amp; SUBSTITUTE($O79,LEFT($O79,FIND("-",$O79)-1) &amp;"-","") &amp; ":" &amp;
LEFT($O79,FIND("-",$O79)-1) &amp; SUBSTITUTE($O79,LEFT($O79,FIND("-",$O79)-1) &amp;"-","")+misLíneas-3,"")</f>
        <v/>
      </c>
    </row>
    <row r="80" spans="1:16" ht="16.5" thickTop="1" thickBot="1" x14ac:dyDescent="0.3">
      <c r="A80" s="52" t="str">
        <f>IFERROR(IF(Datos!$A80="","",Idiomas!$A$12&amp;" "&amp;ROW()-1),"")</f>
        <v/>
      </c>
      <c r="B80" s="53">
        <f>IFERROR(MATCH(Datos!$A80,Configura!$B$9:$B$18,0),0)</f>
        <v>0</v>
      </c>
      <c r="C80" s="53">
        <f>IFERROR(MATCH(Datos!$B80,Configura!$D$9:$D$11,0),0)</f>
        <v>0</v>
      </c>
      <c r="D80" s="53" cm="1">
        <f t="array" ref="D80">IF(AND(Datos!$A80&lt;&gt;"",
OR(miCriticidad="",miCriticidad=$C80),
OR(miAsignado="",miAsignado=Datos!$K80),
OR(miFechaInicio="",Datos!$F80="",Datos!$F80&gt;=miFechaInicio),
OR(miTexto="",IFERROR(SEARCH(miTexto,Datos!$D80),0)&gt;0,IFERROR(SEARCH(miTexto,Datos!$E80),0)&gt;0),
OR(miRetraso="",IFERROR(--LEFT(Datos!$J80,FIND(" ",Datos!$J80)-1),0)&gt;miRetraso),
OR(miDuración="",IFERROR(--LEFT(Datos!$I80,FIND(" ",Datos!$I80)-1),0)&gt;miDuración)),
1,0)</f>
        <v>0</v>
      </c>
      <c r="E80" s="54" t="str">
        <f t="shared" ca="1" si="10"/>
        <v/>
      </c>
      <c r="F80" s="54" t="str">
        <f t="shared" ca="1" si="10"/>
        <v/>
      </c>
      <c r="G80" s="54" t="str">
        <f t="shared" ca="1" si="10"/>
        <v/>
      </c>
      <c r="H80" s="54" t="str">
        <f t="shared" ca="1" si="10"/>
        <v/>
      </c>
      <c r="I80" s="54" t="str">
        <f t="shared" ca="1" si="10"/>
        <v/>
      </c>
      <c r="J80" s="54" t="str">
        <f t="shared" ca="1" si="10"/>
        <v/>
      </c>
      <c r="K80" s="54" t="str">
        <f t="shared" ca="1" si="10"/>
        <v/>
      </c>
      <c r="L80" s="54" t="str">
        <f t="shared" ca="1" si="10"/>
        <v/>
      </c>
      <c r="M80" s="54" t="str">
        <f t="shared" ca="1" si="10"/>
        <v/>
      </c>
      <c r="N80" s="54" t="str">
        <f t="shared" ca="1" si="10"/>
        <v/>
      </c>
      <c r="O80" s="54" t="str">
        <f t="shared" ca="1" si="9"/>
        <v/>
      </c>
      <c r="P80" s="55" t="str" cm="1">
        <f t="array" aca="1" ref="P80" ca="1">IFERROR(LEFT($O80,FIND("-",$O80)-1) &amp; SUBSTITUTE($O80,LEFT($O80,FIND("-",$O80)-1) &amp;"-","") &amp; ":" &amp;
LEFT($O80,FIND("-",$O80)-1) &amp; SUBSTITUTE($O80,LEFT($O80,FIND("-",$O80)-1) &amp;"-","")+misLíneas-3,"")</f>
        <v/>
      </c>
    </row>
    <row r="81" spans="1:16" ht="16.5" thickTop="1" thickBot="1" x14ac:dyDescent="0.3">
      <c r="A81" s="56" t="str">
        <f>IFERROR(IF(Datos!$A81="","",Idiomas!$A$12&amp;" "&amp;ROW()-1),"")</f>
        <v/>
      </c>
      <c r="B81" s="57">
        <f>IFERROR(MATCH(Datos!$A81,Configura!$B$9:$B$18,0),0)</f>
        <v>0</v>
      </c>
      <c r="C81" s="57">
        <f>IFERROR(MATCH(Datos!$B81,Configura!$D$9:$D$11,0),0)</f>
        <v>0</v>
      </c>
      <c r="D81" s="57" cm="1">
        <f t="array" ref="D81">IF(AND(Datos!$A81&lt;&gt;"",
OR(miCriticidad="",miCriticidad=$C81),
OR(miAsignado="",miAsignado=Datos!$K81),
OR(miFechaInicio="",Datos!$F81="",Datos!$F81&gt;=miFechaInicio),
OR(miTexto="",IFERROR(SEARCH(miTexto,Datos!$D81),0)&gt;0,IFERROR(SEARCH(miTexto,Datos!$E81),0)&gt;0),
OR(miRetraso="",IFERROR(--LEFT(Datos!$J81,FIND(" ",Datos!$J81)-1),0)&gt;miRetraso),
OR(miDuración="",IFERROR(--LEFT(Datos!$I81,FIND(" ",Datos!$I81)-1),0)&gt;miDuración)),
1,0)</f>
        <v>0</v>
      </c>
      <c r="E81" s="58" t="str">
        <f t="shared" ca="1" si="10"/>
        <v/>
      </c>
      <c r="F81" s="58" t="str">
        <f t="shared" ca="1" si="10"/>
        <v/>
      </c>
      <c r="G81" s="58" t="str">
        <f t="shared" ca="1" si="10"/>
        <v/>
      </c>
      <c r="H81" s="58" t="str">
        <f t="shared" ca="1" si="10"/>
        <v/>
      </c>
      <c r="I81" s="58" t="str">
        <f t="shared" ca="1" si="10"/>
        <v/>
      </c>
      <c r="J81" s="58" t="str">
        <f t="shared" ca="1" si="10"/>
        <v/>
      </c>
      <c r="K81" s="58" t="str">
        <f t="shared" ca="1" si="10"/>
        <v/>
      </c>
      <c r="L81" s="58" t="str">
        <f t="shared" ca="1" si="10"/>
        <v/>
      </c>
      <c r="M81" s="58" t="str">
        <f t="shared" ca="1" si="10"/>
        <v/>
      </c>
      <c r="N81" s="58" t="str">
        <f t="shared" ca="1" si="10"/>
        <v/>
      </c>
      <c r="O81" s="58" t="str">
        <f t="shared" ca="1" si="9"/>
        <v/>
      </c>
      <c r="P81" s="59" t="str" cm="1">
        <f t="array" aca="1" ref="P81" ca="1">IFERROR(LEFT($O81,FIND("-",$O81)-1) &amp; SUBSTITUTE($O81,LEFT($O81,FIND("-",$O81)-1) &amp;"-","") &amp; ":" &amp;
LEFT($O81,FIND("-",$O81)-1) &amp; SUBSTITUTE($O81,LEFT($O81,FIND("-",$O81)-1) &amp;"-","")+misLíneas-3,"")</f>
        <v/>
      </c>
    </row>
    <row r="82" spans="1:16" ht="16.5" thickTop="1" thickBot="1" x14ac:dyDescent="0.3">
      <c r="A82" s="52" t="str">
        <f>IFERROR(IF(Datos!$A82="","",Idiomas!$A$12&amp;" "&amp;ROW()-1),"")</f>
        <v/>
      </c>
      <c r="B82" s="53">
        <f>IFERROR(MATCH(Datos!$A82,Configura!$B$9:$B$18,0),0)</f>
        <v>0</v>
      </c>
      <c r="C82" s="53">
        <f>IFERROR(MATCH(Datos!$B82,Configura!$D$9:$D$11,0),0)</f>
        <v>0</v>
      </c>
      <c r="D82" s="53" cm="1">
        <f t="array" ref="D82">IF(AND(Datos!$A82&lt;&gt;"",
OR(miCriticidad="",miCriticidad=$C82),
OR(miAsignado="",miAsignado=Datos!$K82),
OR(miFechaInicio="",Datos!$F82="",Datos!$F82&gt;=miFechaInicio),
OR(miTexto="",IFERROR(SEARCH(miTexto,Datos!$D82),0)&gt;0,IFERROR(SEARCH(miTexto,Datos!$E82),0)&gt;0),
OR(miRetraso="",IFERROR(--LEFT(Datos!$J82,FIND(" ",Datos!$J82)-1),0)&gt;miRetraso),
OR(miDuración="",IFERROR(--LEFT(Datos!$I82,FIND(" ",Datos!$I82)-1),0)&gt;miDuración)),
1,0)</f>
        <v>0</v>
      </c>
      <c r="E82" s="54" t="str">
        <f t="shared" ref="E82:N91" ca="1" si="11">IFERROR(E$1&amp;"-"&amp;MATCH($A82&amp;":",INDIRECT("KANBAN!"&amp;E$1&amp;":"&amp;E$1),0),"")</f>
        <v/>
      </c>
      <c r="F82" s="54" t="str">
        <f t="shared" ca="1" si="11"/>
        <v/>
      </c>
      <c r="G82" s="54" t="str">
        <f t="shared" ca="1" si="11"/>
        <v/>
      </c>
      <c r="H82" s="54" t="str">
        <f t="shared" ca="1" si="11"/>
        <v/>
      </c>
      <c r="I82" s="54" t="str">
        <f t="shared" ca="1" si="11"/>
        <v/>
      </c>
      <c r="J82" s="54" t="str">
        <f t="shared" ca="1" si="11"/>
        <v/>
      </c>
      <c r="K82" s="54" t="str">
        <f t="shared" ca="1" si="11"/>
        <v/>
      </c>
      <c r="L82" s="54" t="str">
        <f t="shared" ca="1" si="11"/>
        <v/>
      </c>
      <c r="M82" s="54" t="str">
        <f t="shared" ca="1" si="11"/>
        <v/>
      </c>
      <c r="N82" s="54" t="str">
        <f t="shared" ca="1" si="11"/>
        <v/>
      </c>
      <c r="O82" s="54" t="str">
        <f t="shared" ca="1" si="9"/>
        <v/>
      </c>
      <c r="P82" s="55" t="str" cm="1">
        <f t="array" aca="1" ref="P82" ca="1">IFERROR(LEFT($O82,FIND("-",$O82)-1) &amp; SUBSTITUTE($O82,LEFT($O82,FIND("-",$O82)-1) &amp;"-","") &amp; ":" &amp;
LEFT($O82,FIND("-",$O82)-1) &amp; SUBSTITUTE($O82,LEFT($O82,FIND("-",$O82)-1) &amp;"-","")+misLíneas-3,"")</f>
        <v/>
      </c>
    </row>
    <row r="83" spans="1:16" ht="16.5" thickTop="1" thickBot="1" x14ac:dyDescent="0.3">
      <c r="A83" s="56" t="str">
        <f>IFERROR(IF(Datos!$A83="","",Idiomas!$A$12&amp;" "&amp;ROW()-1),"")</f>
        <v/>
      </c>
      <c r="B83" s="57">
        <f>IFERROR(MATCH(Datos!$A83,Configura!$B$9:$B$18,0),0)</f>
        <v>0</v>
      </c>
      <c r="C83" s="57">
        <f>IFERROR(MATCH(Datos!$B83,Configura!$D$9:$D$11,0),0)</f>
        <v>0</v>
      </c>
      <c r="D83" s="57" cm="1">
        <f t="array" ref="D83">IF(AND(Datos!$A83&lt;&gt;"",
OR(miCriticidad="",miCriticidad=$C83),
OR(miAsignado="",miAsignado=Datos!$K83),
OR(miFechaInicio="",Datos!$F83="",Datos!$F83&gt;=miFechaInicio),
OR(miTexto="",IFERROR(SEARCH(miTexto,Datos!$D83),0)&gt;0,IFERROR(SEARCH(miTexto,Datos!$E83),0)&gt;0),
OR(miRetraso="",IFERROR(--LEFT(Datos!$J83,FIND(" ",Datos!$J83)-1),0)&gt;miRetraso),
OR(miDuración="",IFERROR(--LEFT(Datos!$I83,FIND(" ",Datos!$I83)-1),0)&gt;miDuración)),
1,0)</f>
        <v>0</v>
      </c>
      <c r="E83" s="58" t="str">
        <f t="shared" ca="1" si="11"/>
        <v/>
      </c>
      <c r="F83" s="58" t="str">
        <f t="shared" ca="1" si="11"/>
        <v/>
      </c>
      <c r="G83" s="58" t="str">
        <f t="shared" ca="1" si="11"/>
        <v/>
      </c>
      <c r="H83" s="58" t="str">
        <f t="shared" ca="1" si="11"/>
        <v/>
      </c>
      <c r="I83" s="58" t="str">
        <f t="shared" ca="1" si="11"/>
        <v/>
      </c>
      <c r="J83" s="58" t="str">
        <f t="shared" ca="1" si="11"/>
        <v/>
      </c>
      <c r="K83" s="58" t="str">
        <f t="shared" ca="1" si="11"/>
        <v/>
      </c>
      <c r="L83" s="58" t="str">
        <f t="shared" ca="1" si="11"/>
        <v/>
      </c>
      <c r="M83" s="58" t="str">
        <f t="shared" ca="1" si="11"/>
        <v/>
      </c>
      <c r="N83" s="58" t="str">
        <f t="shared" ca="1" si="11"/>
        <v/>
      </c>
      <c r="O83" s="58" t="str">
        <f t="shared" ca="1" si="9"/>
        <v/>
      </c>
      <c r="P83" s="59" t="str" cm="1">
        <f t="array" aca="1" ref="P83" ca="1">IFERROR(LEFT($O83,FIND("-",$O83)-1) &amp; SUBSTITUTE($O83,LEFT($O83,FIND("-",$O83)-1) &amp;"-","") &amp; ":" &amp;
LEFT($O83,FIND("-",$O83)-1) &amp; SUBSTITUTE($O83,LEFT($O83,FIND("-",$O83)-1) &amp;"-","")+misLíneas-3,"")</f>
        <v/>
      </c>
    </row>
    <row r="84" spans="1:16" ht="16.5" thickTop="1" thickBot="1" x14ac:dyDescent="0.3">
      <c r="A84" s="52" t="str">
        <f>IFERROR(IF(Datos!$A84="","",Idiomas!$A$12&amp;" "&amp;ROW()-1),"")</f>
        <v/>
      </c>
      <c r="B84" s="53">
        <f>IFERROR(MATCH(Datos!$A84,Configura!$B$9:$B$18,0),0)</f>
        <v>0</v>
      </c>
      <c r="C84" s="53">
        <f>IFERROR(MATCH(Datos!$B84,Configura!$D$9:$D$11,0),0)</f>
        <v>0</v>
      </c>
      <c r="D84" s="53" cm="1">
        <f t="array" ref="D84">IF(AND(Datos!$A84&lt;&gt;"",
OR(miCriticidad="",miCriticidad=$C84),
OR(miAsignado="",miAsignado=Datos!$K84),
OR(miFechaInicio="",Datos!$F84="",Datos!$F84&gt;=miFechaInicio),
OR(miTexto="",IFERROR(SEARCH(miTexto,Datos!$D84),0)&gt;0,IFERROR(SEARCH(miTexto,Datos!$E84),0)&gt;0),
OR(miRetraso="",IFERROR(--LEFT(Datos!$J84,FIND(" ",Datos!$J84)-1),0)&gt;miRetraso),
OR(miDuración="",IFERROR(--LEFT(Datos!$I84,FIND(" ",Datos!$I84)-1),0)&gt;miDuración)),
1,0)</f>
        <v>0</v>
      </c>
      <c r="E84" s="54" t="str">
        <f t="shared" ca="1" si="11"/>
        <v/>
      </c>
      <c r="F84" s="54" t="str">
        <f t="shared" ca="1" si="11"/>
        <v/>
      </c>
      <c r="G84" s="54" t="str">
        <f t="shared" ca="1" si="11"/>
        <v/>
      </c>
      <c r="H84" s="54" t="str">
        <f t="shared" ca="1" si="11"/>
        <v/>
      </c>
      <c r="I84" s="54" t="str">
        <f t="shared" ca="1" si="11"/>
        <v/>
      </c>
      <c r="J84" s="54" t="str">
        <f t="shared" ca="1" si="11"/>
        <v/>
      </c>
      <c r="K84" s="54" t="str">
        <f t="shared" ca="1" si="11"/>
        <v/>
      </c>
      <c r="L84" s="54" t="str">
        <f t="shared" ca="1" si="11"/>
        <v/>
      </c>
      <c r="M84" s="54" t="str">
        <f t="shared" ca="1" si="11"/>
        <v/>
      </c>
      <c r="N84" s="54" t="str">
        <f t="shared" ca="1" si="11"/>
        <v/>
      </c>
      <c r="O84" s="54" t="str">
        <f t="shared" ca="1" si="9"/>
        <v/>
      </c>
      <c r="P84" s="55" t="str" cm="1">
        <f t="array" aca="1" ref="P84" ca="1">IFERROR(LEFT($O84,FIND("-",$O84)-1) &amp; SUBSTITUTE($O84,LEFT($O84,FIND("-",$O84)-1) &amp;"-","") &amp; ":" &amp;
LEFT($O84,FIND("-",$O84)-1) &amp; SUBSTITUTE($O84,LEFT($O84,FIND("-",$O84)-1) &amp;"-","")+misLíneas-3,"")</f>
        <v/>
      </c>
    </row>
    <row r="85" spans="1:16" ht="16.5" thickTop="1" thickBot="1" x14ac:dyDescent="0.3">
      <c r="A85" s="56" t="str">
        <f>IFERROR(IF(Datos!$A85="","",Idiomas!$A$12&amp;" "&amp;ROW()-1),"")</f>
        <v/>
      </c>
      <c r="B85" s="57">
        <f>IFERROR(MATCH(Datos!$A85,Configura!$B$9:$B$18,0),0)</f>
        <v>0</v>
      </c>
      <c r="C85" s="57">
        <f>IFERROR(MATCH(Datos!$B85,Configura!$D$9:$D$11,0),0)</f>
        <v>0</v>
      </c>
      <c r="D85" s="57" cm="1">
        <f t="array" ref="D85">IF(AND(Datos!$A85&lt;&gt;"",
OR(miCriticidad="",miCriticidad=$C85),
OR(miAsignado="",miAsignado=Datos!$K85),
OR(miFechaInicio="",Datos!$F85="",Datos!$F85&gt;=miFechaInicio),
OR(miTexto="",IFERROR(SEARCH(miTexto,Datos!$D85),0)&gt;0,IFERROR(SEARCH(miTexto,Datos!$E85),0)&gt;0),
OR(miRetraso="",IFERROR(--LEFT(Datos!$J85,FIND(" ",Datos!$J85)-1),0)&gt;miRetraso),
OR(miDuración="",IFERROR(--LEFT(Datos!$I85,FIND(" ",Datos!$I85)-1),0)&gt;miDuración)),
1,0)</f>
        <v>0</v>
      </c>
      <c r="E85" s="58" t="str">
        <f t="shared" ca="1" si="11"/>
        <v/>
      </c>
      <c r="F85" s="58" t="str">
        <f t="shared" ca="1" si="11"/>
        <v/>
      </c>
      <c r="G85" s="58" t="str">
        <f t="shared" ca="1" si="11"/>
        <v/>
      </c>
      <c r="H85" s="58" t="str">
        <f t="shared" ca="1" si="11"/>
        <v/>
      </c>
      <c r="I85" s="58" t="str">
        <f t="shared" ca="1" si="11"/>
        <v/>
      </c>
      <c r="J85" s="58" t="str">
        <f t="shared" ca="1" si="11"/>
        <v/>
      </c>
      <c r="K85" s="58" t="str">
        <f t="shared" ca="1" si="11"/>
        <v/>
      </c>
      <c r="L85" s="58" t="str">
        <f t="shared" ca="1" si="11"/>
        <v/>
      </c>
      <c r="M85" s="58" t="str">
        <f t="shared" ca="1" si="11"/>
        <v/>
      </c>
      <c r="N85" s="58" t="str">
        <f t="shared" ca="1" si="11"/>
        <v/>
      </c>
      <c r="O85" s="58" t="str">
        <f t="shared" ca="1" si="9"/>
        <v/>
      </c>
      <c r="P85" s="59" t="str" cm="1">
        <f t="array" aca="1" ref="P85" ca="1">IFERROR(LEFT($O85,FIND("-",$O85)-1) &amp; SUBSTITUTE($O85,LEFT($O85,FIND("-",$O85)-1) &amp;"-","") &amp; ":" &amp;
LEFT($O85,FIND("-",$O85)-1) &amp; SUBSTITUTE($O85,LEFT($O85,FIND("-",$O85)-1) &amp;"-","")+misLíneas-3,"")</f>
        <v/>
      </c>
    </row>
    <row r="86" spans="1:16" ht="16.5" thickTop="1" thickBot="1" x14ac:dyDescent="0.3">
      <c r="A86" s="52" t="str">
        <f>IFERROR(IF(Datos!$A86="","",Idiomas!$A$12&amp;" "&amp;ROW()-1),"")</f>
        <v/>
      </c>
      <c r="B86" s="53">
        <f>IFERROR(MATCH(Datos!$A86,Configura!$B$9:$B$18,0),0)</f>
        <v>0</v>
      </c>
      <c r="C86" s="53">
        <f>IFERROR(MATCH(Datos!$B86,Configura!$D$9:$D$11,0),0)</f>
        <v>0</v>
      </c>
      <c r="D86" s="53" cm="1">
        <f t="array" ref="D86">IF(AND(Datos!$A86&lt;&gt;"",
OR(miCriticidad="",miCriticidad=$C86),
OR(miAsignado="",miAsignado=Datos!$K86),
OR(miFechaInicio="",Datos!$F86="",Datos!$F86&gt;=miFechaInicio),
OR(miTexto="",IFERROR(SEARCH(miTexto,Datos!$D86),0)&gt;0,IFERROR(SEARCH(miTexto,Datos!$E86),0)&gt;0),
OR(miRetraso="",IFERROR(--LEFT(Datos!$J86,FIND(" ",Datos!$J86)-1),0)&gt;miRetraso),
OR(miDuración="",IFERROR(--LEFT(Datos!$I86,FIND(" ",Datos!$I86)-1),0)&gt;miDuración)),
1,0)</f>
        <v>0</v>
      </c>
      <c r="E86" s="54" t="str">
        <f t="shared" ca="1" si="11"/>
        <v/>
      </c>
      <c r="F86" s="54" t="str">
        <f t="shared" ca="1" si="11"/>
        <v/>
      </c>
      <c r="G86" s="54" t="str">
        <f t="shared" ca="1" si="11"/>
        <v/>
      </c>
      <c r="H86" s="54" t="str">
        <f t="shared" ca="1" si="11"/>
        <v/>
      </c>
      <c r="I86" s="54" t="str">
        <f t="shared" ca="1" si="11"/>
        <v/>
      </c>
      <c r="J86" s="54" t="str">
        <f t="shared" ca="1" si="11"/>
        <v/>
      </c>
      <c r="K86" s="54" t="str">
        <f t="shared" ca="1" si="11"/>
        <v/>
      </c>
      <c r="L86" s="54" t="str">
        <f t="shared" ca="1" si="11"/>
        <v/>
      </c>
      <c r="M86" s="54" t="str">
        <f t="shared" ca="1" si="11"/>
        <v/>
      </c>
      <c r="N86" s="54" t="str">
        <f t="shared" ca="1" si="11"/>
        <v/>
      </c>
      <c r="O86" s="54" t="str">
        <f t="shared" ca="1" si="9"/>
        <v/>
      </c>
      <c r="P86" s="55" t="str" cm="1">
        <f t="array" aca="1" ref="P86" ca="1">IFERROR(LEFT($O86,FIND("-",$O86)-1) &amp; SUBSTITUTE($O86,LEFT($O86,FIND("-",$O86)-1) &amp;"-","") &amp; ":" &amp;
LEFT($O86,FIND("-",$O86)-1) &amp; SUBSTITUTE($O86,LEFT($O86,FIND("-",$O86)-1) &amp;"-","")+misLíneas-3,"")</f>
        <v/>
      </c>
    </row>
    <row r="87" spans="1:16" ht="16.5" thickTop="1" thickBot="1" x14ac:dyDescent="0.3">
      <c r="A87" s="56" t="str">
        <f>IFERROR(IF(Datos!$A87="","",Idiomas!$A$12&amp;" "&amp;ROW()-1),"")</f>
        <v/>
      </c>
      <c r="B87" s="57">
        <f>IFERROR(MATCH(Datos!$A87,Configura!$B$9:$B$18,0),0)</f>
        <v>0</v>
      </c>
      <c r="C87" s="57">
        <f>IFERROR(MATCH(Datos!$B87,Configura!$D$9:$D$11,0),0)</f>
        <v>0</v>
      </c>
      <c r="D87" s="57" cm="1">
        <f t="array" ref="D87">IF(AND(Datos!$A87&lt;&gt;"",
OR(miCriticidad="",miCriticidad=$C87),
OR(miAsignado="",miAsignado=Datos!$K87),
OR(miFechaInicio="",Datos!$F87="",Datos!$F87&gt;=miFechaInicio),
OR(miTexto="",IFERROR(SEARCH(miTexto,Datos!$D87),0)&gt;0,IFERROR(SEARCH(miTexto,Datos!$E87),0)&gt;0),
OR(miRetraso="",IFERROR(--LEFT(Datos!$J87,FIND(" ",Datos!$J87)-1),0)&gt;miRetraso),
OR(miDuración="",IFERROR(--LEFT(Datos!$I87,FIND(" ",Datos!$I87)-1),0)&gt;miDuración)),
1,0)</f>
        <v>0</v>
      </c>
      <c r="E87" s="58" t="str">
        <f t="shared" ca="1" si="11"/>
        <v/>
      </c>
      <c r="F87" s="58" t="str">
        <f t="shared" ca="1" si="11"/>
        <v/>
      </c>
      <c r="G87" s="58" t="str">
        <f t="shared" ca="1" si="11"/>
        <v/>
      </c>
      <c r="H87" s="58" t="str">
        <f t="shared" ca="1" si="11"/>
        <v/>
      </c>
      <c r="I87" s="58" t="str">
        <f t="shared" ca="1" si="11"/>
        <v/>
      </c>
      <c r="J87" s="58" t="str">
        <f t="shared" ca="1" si="11"/>
        <v/>
      </c>
      <c r="K87" s="58" t="str">
        <f t="shared" ca="1" si="11"/>
        <v/>
      </c>
      <c r="L87" s="58" t="str">
        <f t="shared" ca="1" si="11"/>
        <v/>
      </c>
      <c r="M87" s="58" t="str">
        <f t="shared" ca="1" si="11"/>
        <v/>
      </c>
      <c r="N87" s="58" t="str">
        <f t="shared" ca="1" si="11"/>
        <v/>
      </c>
      <c r="O87" s="58" t="str">
        <f t="shared" ca="1" si="9"/>
        <v/>
      </c>
      <c r="P87" s="59" t="str" cm="1">
        <f t="array" aca="1" ref="P87" ca="1">IFERROR(LEFT($O87,FIND("-",$O87)-1) &amp; SUBSTITUTE($O87,LEFT($O87,FIND("-",$O87)-1) &amp;"-","") &amp; ":" &amp;
LEFT($O87,FIND("-",$O87)-1) &amp; SUBSTITUTE($O87,LEFT($O87,FIND("-",$O87)-1) &amp;"-","")+misLíneas-3,"")</f>
        <v/>
      </c>
    </row>
    <row r="88" spans="1:16" ht="16.5" thickTop="1" thickBot="1" x14ac:dyDescent="0.3">
      <c r="A88" s="52" t="str">
        <f>IFERROR(IF(Datos!$A88="","",Idiomas!$A$12&amp;" "&amp;ROW()-1),"")</f>
        <v/>
      </c>
      <c r="B88" s="53">
        <f>IFERROR(MATCH(Datos!$A88,Configura!$B$9:$B$18,0),0)</f>
        <v>0</v>
      </c>
      <c r="C88" s="53">
        <f>IFERROR(MATCH(Datos!$B88,Configura!$D$9:$D$11,0),0)</f>
        <v>0</v>
      </c>
      <c r="D88" s="53" cm="1">
        <f t="array" ref="D88">IF(AND(Datos!$A88&lt;&gt;"",
OR(miCriticidad="",miCriticidad=$C88),
OR(miAsignado="",miAsignado=Datos!$K88),
OR(miFechaInicio="",Datos!$F88="",Datos!$F88&gt;=miFechaInicio),
OR(miTexto="",IFERROR(SEARCH(miTexto,Datos!$D88),0)&gt;0,IFERROR(SEARCH(miTexto,Datos!$E88),0)&gt;0),
OR(miRetraso="",IFERROR(--LEFT(Datos!$J88,FIND(" ",Datos!$J88)-1),0)&gt;miRetraso),
OR(miDuración="",IFERROR(--LEFT(Datos!$I88,FIND(" ",Datos!$I88)-1),0)&gt;miDuración)),
1,0)</f>
        <v>0</v>
      </c>
      <c r="E88" s="54" t="str">
        <f t="shared" ca="1" si="11"/>
        <v/>
      </c>
      <c r="F88" s="54" t="str">
        <f t="shared" ca="1" si="11"/>
        <v/>
      </c>
      <c r="G88" s="54" t="str">
        <f t="shared" ca="1" si="11"/>
        <v/>
      </c>
      <c r="H88" s="54" t="str">
        <f t="shared" ca="1" si="11"/>
        <v/>
      </c>
      <c r="I88" s="54" t="str">
        <f t="shared" ca="1" si="11"/>
        <v/>
      </c>
      <c r="J88" s="54" t="str">
        <f t="shared" ca="1" si="11"/>
        <v/>
      </c>
      <c r="K88" s="54" t="str">
        <f t="shared" ca="1" si="11"/>
        <v/>
      </c>
      <c r="L88" s="54" t="str">
        <f t="shared" ca="1" si="11"/>
        <v/>
      </c>
      <c r="M88" s="54" t="str">
        <f t="shared" ca="1" si="11"/>
        <v/>
      </c>
      <c r="N88" s="54" t="str">
        <f t="shared" ca="1" si="11"/>
        <v/>
      </c>
      <c r="O88" s="54" t="str">
        <f t="shared" ca="1" si="9"/>
        <v/>
      </c>
      <c r="P88" s="55" t="str" cm="1">
        <f t="array" aca="1" ref="P88" ca="1">IFERROR(LEFT($O88,FIND("-",$O88)-1) &amp; SUBSTITUTE($O88,LEFT($O88,FIND("-",$O88)-1) &amp;"-","") &amp; ":" &amp;
LEFT($O88,FIND("-",$O88)-1) &amp; SUBSTITUTE($O88,LEFT($O88,FIND("-",$O88)-1) &amp;"-","")+misLíneas-3,"")</f>
        <v/>
      </c>
    </row>
    <row r="89" spans="1:16" ht="16.5" thickTop="1" thickBot="1" x14ac:dyDescent="0.3">
      <c r="A89" s="56" t="str">
        <f>IFERROR(IF(Datos!$A89="","",Idiomas!$A$12&amp;" "&amp;ROW()-1),"")</f>
        <v/>
      </c>
      <c r="B89" s="57">
        <f>IFERROR(MATCH(Datos!$A89,Configura!$B$9:$B$18,0),0)</f>
        <v>0</v>
      </c>
      <c r="C89" s="57">
        <f>IFERROR(MATCH(Datos!$B89,Configura!$D$9:$D$11,0),0)</f>
        <v>0</v>
      </c>
      <c r="D89" s="57" cm="1">
        <f t="array" ref="D89">IF(AND(Datos!$A89&lt;&gt;"",
OR(miCriticidad="",miCriticidad=$C89),
OR(miAsignado="",miAsignado=Datos!$K89),
OR(miFechaInicio="",Datos!$F89="",Datos!$F89&gt;=miFechaInicio),
OR(miTexto="",IFERROR(SEARCH(miTexto,Datos!$D89),0)&gt;0,IFERROR(SEARCH(miTexto,Datos!$E89),0)&gt;0),
OR(miRetraso="",IFERROR(--LEFT(Datos!$J89,FIND(" ",Datos!$J89)-1),0)&gt;miRetraso),
OR(miDuración="",IFERROR(--LEFT(Datos!$I89,FIND(" ",Datos!$I89)-1),0)&gt;miDuración)),
1,0)</f>
        <v>0</v>
      </c>
      <c r="E89" s="58" t="str">
        <f t="shared" ca="1" si="11"/>
        <v/>
      </c>
      <c r="F89" s="58" t="str">
        <f t="shared" ca="1" si="11"/>
        <v/>
      </c>
      <c r="G89" s="58" t="str">
        <f t="shared" ca="1" si="11"/>
        <v/>
      </c>
      <c r="H89" s="58" t="str">
        <f t="shared" ca="1" si="11"/>
        <v/>
      </c>
      <c r="I89" s="58" t="str">
        <f t="shared" ca="1" si="11"/>
        <v/>
      </c>
      <c r="J89" s="58" t="str">
        <f t="shared" ca="1" si="11"/>
        <v/>
      </c>
      <c r="K89" s="58" t="str">
        <f t="shared" ca="1" si="11"/>
        <v/>
      </c>
      <c r="L89" s="58" t="str">
        <f t="shared" ca="1" si="11"/>
        <v/>
      </c>
      <c r="M89" s="58" t="str">
        <f t="shared" ca="1" si="11"/>
        <v/>
      </c>
      <c r="N89" s="58" t="str">
        <f t="shared" ca="1" si="11"/>
        <v/>
      </c>
      <c r="O89" s="58" t="str">
        <f t="shared" ca="1" si="9"/>
        <v/>
      </c>
      <c r="P89" s="59" t="str" cm="1">
        <f t="array" aca="1" ref="P89" ca="1">IFERROR(LEFT($O89,FIND("-",$O89)-1) &amp; SUBSTITUTE($O89,LEFT($O89,FIND("-",$O89)-1) &amp;"-","") &amp; ":" &amp;
LEFT($O89,FIND("-",$O89)-1) &amp; SUBSTITUTE($O89,LEFT($O89,FIND("-",$O89)-1) &amp;"-","")+misLíneas-3,"")</f>
        <v/>
      </c>
    </row>
    <row r="90" spans="1:16" ht="16.5" thickTop="1" thickBot="1" x14ac:dyDescent="0.3">
      <c r="A90" s="52" t="str">
        <f>IFERROR(IF(Datos!$A90="","",Idiomas!$A$12&amp;" "&amp;ROW()-1),"")</f>
        <v/>
      </c>
      <c r="B90" s="53">
        <f>IFERROR(MATCH(Datos!$A90,Configura!$B$9:$B$18,0),0)</f>
        <v>0</v>
      </c>
      <c r="C90" s="53">
        <f>IFERROR(MATCH(Datos!$B90,Configura!$D$9:$D$11,0),0)</f>
        <v>0</v>
      </c>
      <c r="D90" s="53" cm="1">
        <f t="array" ref="D90">IF(AND(Datos!$A90&lt;&gt;"",
OR(miCriticidad="",miCriticidad=$C90),
OR(miAsignado="",miAsignado=Datos!$K90),
OR(miFechaInicio="",Datos!$F90="",Datos!$F90&gt;=miFechaInicio),
OR(miTexto="",IFERROR(SEARCH(miTexto,Datos!$D90),0)&gt;0,IFERROR(SEARCH(miTexto,Datos!$E90),0)&gt;0),
OR(miRetraso="",IFERROR(--LEFT(Datos!$J90,FIND(" ",Datos!$J90)-1),0)&gt;miRetraso),
OR(miDuración="",IFERROR(--LEFT(Datos!$I90,FIND(" ",Datos!$I90)-1),0)&gt;miDuración)),
1,0)</f>
        <v>0</v>
      </c>
      <c r="E90" s="54" t="str">
        <f t="shared" ca="1" si="11"/>
        <v/>
      </c>
      <c r="F90" s="54" t="str">
        <f t="shared" ca="1" si="11"/>
        <v/>
      </c>
      <c r="G90" s="54" t="str">
        <f t="shared" ca="1" si="11"/>
        <v/>
      </c>
      <c r="H90" s="54" t="str">
        <f t="shared" ca="1" si="11"/>
        <v/>
      </c>
      <c r="I90" s="54" t="str">
        <f t="shared" ca="1" si="11"/>
        <v/>
      </c>
      <c r="J90" s="54" t="str">
        <f t="shared" ca="1" si="11"/>
        <v/>
      </c>
      <c r="K90" s="54" t="str">
        <f t="shared" ca="1" si="11"/>
        <v/>
      </c>
      <c r="L90" s="54" t="str">
        <f t="shared" ca="1" si="11"/>
        <v/>
      </c>
      <c r="M90" s="54" t="str">
        <f t="shared" ca="1" si="11"/>
        <v/>
      </c>
      <c r="N90" s="54" t="str">
        <f t="shared" ca="1" si="11"/>
        <v/>
      </c>
      <c r="O90" s="54" t="str">
        <f t="shared" ca="1" si="9"/>
        <v/>
      </c>
      <c r="P90" s="55" t="str" cm="1">
        <f t="array" aca="1" ref="P90" ca="1">IFERROR(LEFT($O90,FIND("-",$O90)-1) &amp; SUBSTITUTE($O90,LEFT($O90,FIND("-",$O90)-1) &amp;"-","") &amp; ":" &amp;
LEFT($O90,FIND("-",$O90)-1) &amp; SUBSTITUTE($O90,LEFT($O90,FIND("-",$O90)-1) &amp;"-","")+misLíneas-3,"")</f>
        <v/>
      </c>
    </row>
    <row r="91" spans="1:16" ht="16.5" thickTop="1" thickBot="1" x14ac:dyDescent="0.3">
      <c r="A91" s="56" t="str">
        <f>IFERROR(IF(Datos!$A91="","",Idiomas!$A$12&amp;" "&amp;ROW()-1),"")</f>
        <v/>
      </c>
      <c r="B91" s="57">
        <f>IFERROR(MATCH(Datos!$A91,Configura!$B$9:$B$18,0),0)</f>
        <v>0</v>
      </c>
      <c r="C91" s="57">
        <f>IFERROR(MATCH(Datos!$B91,Configura!$D$9:$D$11,0),0)</f>
        <v>0</v>
      </c>
      <c r="D91" s="57" cm="1">
        <f t="array" ref="D91">IF(AND(Datos!$A91&lt;&gt;"",
OR(miCriticidad="",miCriticidad=$C91),
OR(miAsignado="",miAsignado=Datos!$K91),
OR(miFechaInicio="",Datos!$F91="",Datos!$F91&gt;=miFechaInicio),
OR(miTexto="",IFERROR(SEARCH(miTexto,Datos!$D91),0)&gt;0,IFERROR(SEARCH(miTexto,Datos!$E91),0)&gt;0),
OR(miRetraso="",IFERROR(--LEFT(Datos!$J91,FIND(" ",Datos!$J91)-1),0)&gt;miRetraso),
OR(miDuración="",IFERROR(--LEFT(Datos!$I91,FIND(" ",Datos!$I91)-1),0)&gt;miDuración)),
1,0)</f>
        <v>0</v>
      </c>
      <c r="E91" s="58" t="str">
        <f t="shared" ca="1" si="11"/>
        <v/>
      </c>
      <c r="F91" s="58" t="str">
        <f t="shared" ca="1" si="11"/>
        <v/>
      </c>
      <c r="G91" s="58" t="str">
        <f t="shared" ca="1" si="11"/>
        <v/>
      </c>
      <c r="H91" s="58" t="str">
        <f t="shared" ca="1" si="11"/>
        <v/>
      </c>
      <c r="I91" s="58" t="str">
        <f t="shared" ca="1" si="11"/>
        <v/>
      </c>
      <c r="J91" s="58" t="str">
        <f t="shared" ca="1" si="11"/>
        <v/>
      </c>
      <c r="K91" s="58" t="str">
        <f t="shared" ca="1" si="11"/>
        <v/>
      </c>
      <c r="L91" s="58" t="str">
        <f t="shared" ca="1" si="11"/>
        <v/>
      </c>
      <c r="M91" s="58" t="str">
        <f t="shared" ca="1" si="11"/>
        <v/>
      </c>
      <c r="N91" s="58" t="str">
        <f t="shared" ca="1" si="11"/>
        <v/>
      </c>
      <c r="O91" s="58" t="str">
        <f t="shared" ca="1" si="9"/>
        <v/>
      </c>
      <c r="P91" s="59" t="str" cm="1">
        <f t="array" aca="1" ref="P91" ca="1">IFERROR(LEFT($O91,FIND("-",$O91)-1) &amp; SUBSTITUTE($O91,LEFT($O91,FIND("-",$O91)-1) &amp;"-","") &amp; ":" &amp;
LEFT($O91,FIND("-",$O91)-1) &amp; SUBSTITUTE($O91,LEFT($O91,FIND("-",$O91)-1) &amp;"-","")+misLíneas-3,"")</f>
        <v/>
      </c>
    </row>
    <row r="92" spans="1:16" ht="16.5" thickTop="1" thickBot="1" x14ac:dyDescent="0.3">
      <c r="A92" s="52" t="str">
        <f>IFERROR(IF(Datos!$A92="","",Idiomas!$A$12&amp;" "&amp;ROW()-1),"")</f>
        <v/>
      </c>
      <c r="B92" s="53">
        <f>IFERROR(MATCH(Datos!$A92,Configura!$B$9:$B$18,0),0)</f>
        <v>0</v>
      </c>
      <c r="C92" s="53">
        <f>IFERROR(MATCH(Datos!$B92,Configura!$D$9:$D$11,0),0)</f>
        <v>0</v>
      </c>
      <c r="D92" s="53" cm="1">
        <f t="array" ref="D92">IF(AND(Datos!$A92&lt;&gt;"",
OR(miCriticidad="",miCriticidad=$C92),
OR(miAsignado="",miAsignado=Datos!$K92),
OR(miFechaInicio="",Datos!$F92="",Datos!$F92&gt;=miFechaInicio),
OR(miTexto="",IFERROR(SEARCH(miTexto,Datos!$D92),0)&gt;0,IFERROR(SEARCH(miTexto,Datos!$E92),0)&gt;0),
OR(miRetraso="",IFERROR(--LEFT(Datos!$J92,FIND(" ",Datos!$J92)-1),0)&gt;miRetraso),
OR(miDuración="",IFERROR(--LEFT(Datos!$I92,FIND(" ",Datos!$I92)-1),0)&gt;miDuración)),
1,0)</f>
        <v>0</v>
      </c>
      <c r="E92" s="54" t="str">
        <f t="shared" ref="E92:N101" ca="1" si="12">IFERROR(E$1&amp;"-"&amp;MATCH($A92&amp;":",INDIRECT("KANBAN!"&amp;E$1&amp;":"&amp;E$1),0),"")</f>
        <v/>
      </c>
      <c r="F92" s="54" t="str">
        <f t="shared" ca="1" si="12"/>
        <v/>
      </c>
      <c r="G92" s="54" t="str">
        <f t="shared" ca="1" si="12"/>
        <v/>
      </c>
      <c r="H92" s="54" t="str">
        <f t="shared" ca="1" si="12"/>
        <v/>
      </c>
      <c r="I92" s="54" t="str">
        <f t="shared" ca="1" si="12"/>
        <v/>
      </c>
      <c r="J92" s="54" t="str">
        <f t="shared" ca="1" si="12"/>
        <v/>
      </c>
      <c r="K92" s="54" t="str">
        <f t="shared" ca="1" si="12"/>
        <v/>
      </c>
      <c r="L92" s="54" t="str">
        <f t="shared" ca="1" si="12"/>
        <v/>
      </c>
      <c r="M92" s="54" t="str">
        <f t="shared" ca="1" si="12"/>
        <v/>
      </c>
      <c r="N92" s="54" t="str">
        <f t="shared" ca="1" si="12"/>
        <v/>
      </c>
      <c r="O92" s="54" t="str">
        <f t="shared" ca="1" si="9"/>
        <v/>
      </c>
      <c r="P92" s="55" t="str" cm="1">
        <f t="array" aca="1" ref="P92" ca="1">IFERROR(LEFT($O92,FIND("-",$O92)-1) &amp; SUBSTITUTE($O92,LEFT($O92,FIND("-",$O92)-1) &amp;"-","") &amp; ":" &amp;
LEFT($O92,FIND("-",$O92)-1) &amp; SUBSTITUTE($O92,LEFT($O92,FIND("-",$O92)-1) &amp;"-","")+misLíneas-3,"")</f>
        <v/>
      </c>
    </row>
    <row r="93" spans="1:16" ht="16.5" thickTop="1" thickBot="1" x14ac:dyDescent="0.3">
      <c r="A93" s="56" t="str">
        <f>IFERROR(IF(Datos!$A93="","",Idiomas!$A$12&amp;" "&amp;ROW()-1),"")</f>
        <v/>
      </c>
      <c r="B93" s="57">
        <f>IFERROR(MATCH(Datos!$A93,Configura!$B$9:$B$18,0),0)</f>
        <v>0</v>
      </c>
      <c r="C93" s="57">
        <f>IFERROR(MATCH(Datos!$B93,Configura!$D$9:$D$11,0),0)</f>
        <v>0</v>
      </c>
      <c r="D93" s="57" cm="1">
        <f t="array" ref="D93">IF(AND(Datos!$A93&lt;&gt;"",
OR(miCriticidad="",miCriticidad=$C93),
OR(miAsignado="",miAsignado=Datos!$K93),
OR(miFechaInicio="",Datos!$F93="",Datos!$F93&gt;=miFechaInicio),
OR(miTexto="",IFERROR(SEARCH(miTexto,Datos!$D93),0)&gt;0,IFERROR(SEARCH(miTexto,Datos!$E93),0)&gt;0),
OR(miRetraso="",IFERROR(--LEFT(Datos!$J93,FIND(" ",Datos!$J93)-1),0)&gt;miRetraso),
OR(miDuración="",IFERROR(--LEFT(Datos!$I93,FIND(" ",Datos!$I93)-1),0)&gt;miDuración)),
1,0)</f>
        <v>0</v>
      </c>
      <c r="E93" s="58" t="str">
        <f t="shared" ca="1" si="12"/>
        <v/>
      </c>
      <c r="F93" s="58" t="str">
        <f t="shared" ca="1" si="12"/>
        <v/>
      </c>
      <c r="G93" s="58" t="str">
        <f t="shared" ca="1" si="12"/>
        <v/>
      </c>
      <c r="H93" s="58" t="str">
        <f t="shared" ca="1" si="12"/>
        <v/>
      </c>
      <c r="I93" s="58" t="str">
        <f t="shared" ca="1" si="12"/>
        <v/>
      </c>
      <c r="J93" s="58" t="str">
        <f t="shared" ca="1" si="12"/>
        <v/>
      </c>
      <c r="K93" s="58" t="str">
        <f t="shared" ca="1" si="12"/>
        <v/>
      </c>
      <c r="L93" s="58" t="str">
        <f t="shared" ca="1" si="12"/>
        <v/>
      </c>
      <c r="M93" s="58" t="str">
        <f t="shared" ca="1" si="12"/>
        <v/>
      </c>
      <c r="N93" s="58" t="str">
        <f t="shared" ca="1" si="12"/>
        <v/>
      </c>
      <c r="O93" s="58" t="str">
        <f t="shared" ca="1" si="9"/>
        <v/>
      </c>
      <c r="P93" s="59" t="str" cm="1">
        <f t="array" aca="1" ref="P93" ca="1">IFERROR(LEFT($O93,FIND("-",$O93)-1) &amp; SUBSTITUTE($O93,LEFT($O93,FIND("-",$O93)-1) &amp;"-","") &amp; ":" &amp;
LEFT($O93,FIND("-",$O93)-1) &amp; SUBSTITUTE($O93,LEFT($O93,FIND("-",$O93)-1) &amp;"-","")+misLíneas-3,"")</f>
        <v/>
      </c>
    </row>
    <row r="94" spans="1:16" ht="16.5" thickTop="1" thickBot="1" x14ac:dyDescent="0.3">
      <c r="A94" s="52" t="str">
        <f>IFERROR(IF(Datos!$A94="","",Idiomas!$A$12&amp;" "&amp;ROW()-1),"")</f>
        <v/>
      </c>
      <c r="B94" s="53">
        <f>IFERROR(MATCH(Datos!$A94,Configura!$B$9:$B$18,0),0)</f>
        <v>0</v>
      </c>
      <c r="C94" s="53">
        <f>IFERROR(MATCH(Datos!$B94,Configura!$D$9:$D$11,0),0)</f>
        <v>0</v>
      </c>
      <c r="D94" s="53" cm="1">
        <f t="array" ref="D94">IF(AND(Datos!$A94&lt;&gt;"",
OR(miCriticidad="",miCriticidad=$C94),
OR(miAsignado="",miAsignado=Datos!$K94),
OR(miFechaInicio="",Datos!$F94="",Datos!$F94&gt;=miFechaInicio),
OR(miTexto="",IFERROR(SEARCH(miTexto,Datos!$D94),0)&gt;0,IFERROR(SEARCH(miTexto,Datos!$E94),0)&gt;0),
OR(miRetraso="",IFERROR(--LEFT(Datos!$J94,FIND(" ",Datos!$J94)-1),0)&gt;miRetraso),
OR(miDuración="",IFERROR(--LEFT(Datos!$I94,FIND(" ",Datos!$I94)-1),0)&gt;miDuración)),
1,0)</f>
        <v>0</v>
      </c>
      <c r="E94" s="54" t="str">
        <f t="shared" ca="1" si="12"/>
        <v/>
      </c>
      <c r="F94" s="54" t="str">
        <f t="shared" ca="1" si="12"/>
        <v/>
      </c>
      <c r="G94" s="54" t="str">
        <f t="shared" ca="1" si="12"/>
        <v/>
      </c>
      <c r="H94" s="54" t="str">
        <f t="shared" ca="1" si="12"/>
        <v/>
      </c>
      <c r="I94" s="54" t="str">
        <f t="shared" ca="1" si="12"/>
        <v/>
      </c>
      <c r="J94" s="54" t="str">
        <f t="shared" ca="1" si="12"/>
        <v/>
      </c>
      <c r="K94" s="54" t="str">
        <f t="shared" ca="1" si="12"/>
        <v/>
      </c>
      <c r="L94" s="54" t="str">
        <f t="shared" ca="1" si="12"/>
        <v/>
      </c>
      <c r="M94" s="54" t="str">
        <f t="shared" ca="1" si="12"/>
        <v/>
      </c>
      <c r="N94" s="54" t="str">
        <f t="shared" ca="1" si="12"/>
        <v/>
      </c>
      <c r="O94" s="54" t="str">
        <f t="shared" ca="1" si="9"/>
        <v/>
      </c>
      <c r="P94" s="55" t="str" cm="1">
        <f t="array" aca="1" ref="P94" ca="1">IFERROR(LEFT($O94,FIND("-",$O94)-1) &amp; SUBSTITUTE($O94,LEFT($O94,FIND("-",$O94)-1) &amp;"-","") &amp; ":" &amp;
LEFT($O94,FIND("-",$O94)-1) &amp; SUBSTITUTE($O94,LEFT($O94,FIND("-",$O94)-1) &amp;"-","")+misLíneas-3,"")</f>
        <v/>
      </c>
    </row>
    <row r="95" spans="1:16" ht="16.5" thickTop="1" thickBot="1" x14ac:dyDescent="0.3">
      <c r="A95" s="56" t="str">
        <f>IFERROR(IF(Datos!$A95="","",Idiomas!$A$12&amp;" "&amp;ROW()-1),"")</f>
        <v/>
      </c>
      <c r="B95" s="57">
        <f>IFERROR(MATCH(Datos!$A95,Configura!$B$9:$B$18,0),0)</f>
        <v>0</v>
      </c>
      <c r="C95" s="57">
        <f>IFERROR(MATCH(Datos!$B95,Configura!$D$9:$D$11,0),0)</f>
        <v>0</v>
      </c>
      <c r="D95" s="57" cm="1">
        <f t="array" ref="D95">IF(AND(Datos!$A95&lt;&gt;"",
OR(miCriticidad="",miCriticidad=$C95),
OR(miAsignado="",miAsignado=Datos!$K95),
OR(miFechaInicio="",Datos!$F95="",Datos!$F95&gt;=miFechaInicio),
OR(miTexto="",IFERROR(SEARCH(miTexto,Datos!$D95),0)&gt;0,IFERROR(SEARCH(miTexto,Datos!$E95),0)&gt;0),
OR(miRetraso="",IFERROR(--LEFT(Datos!$J95,FIND(" ",Datos!$J95)-1),0)&gt;miRetraso),
OR(miDuración="",IFERROR(--LEFT(Datos!$I95,FIND(" ",Datos!$I95)-1),0)&gt;miDuración)),
1,0)</f>
        <v>0</v>
      </c>
      <c r="E95" s="58" t="str">
        <f t="shared" ca="1" si="12"/>
        <v/>
      </c>
      <c r="F95" s="58" t="str">
        <f t="shared" ca="1" si="12"/>
        <v/>
      </c>
      <c r="G95" s="58" t="str">
        <f t="shared" ca="1" si="12"/>
        <v/>
      </c>
      <c r="H95" s="58" t="str">
        <f t="shared" ca="1" si="12"/>
        <v/>
      </c>
      <c r="I95" s="58" t="str">
        <f t="shared" ca="1" si="12"/>
        <v/>
      </c>
      <c r="J95" s="58" t="str">
        <f t="shared" ca="1" si="12"/>
        <v/>
      </c>
      <c r="K95" s="58" t="str">
        <f t="shared" ca="1" si="12"/>
        <v/>
      </c>
      <c r="L95" s="58" t="str">
        <f t="shared" ca="1" si="12"/>
        <v/>
      </c>
      <c r="M95" s="58" t="str">
        <f t="shared" ca="1" si="12"/>
        <v/>
      </c>
      <c r="N95" s="58" t="str">
        <f t="shared" ca="1" si="12"/>
        <v/>
      </c>
      <c r="O95" s="58" t="str">
        <f t="shared" ca="1" si="9"/>
        <v/>
      </c>
      <c r="P95" s="59" t="str" cm="1">
        <f t="array" aca="1" ref="P95" ca="1">IFERROR(LEFT($O95,FIND("-",$O95)-1) &amp; SUBSTITUTE($O95,LEFT($O95,FIND("-",$O95)-1) &amp;"-","") &amp; ":" &amp;
LEFT($O95,FIND("-",$O95)-1) &amp; SUBSTITUTE($O95,LEFT($O95,FIND("-",$O95)-1) &amp;"-","")+misLíneas-3,"")</f>
        <v/>
      </c>
    </row>
    <row r="96" spans="1:16" ht="16.5" thickTop="1" thickBot="1" x14ac:dyDescent="0.3">
      <c r="A96" s="52" t="str">
        <f>IFERROR(IF(Datos!$A96="","",Idiomas!$A$12&amp;" "&amp;ROW()-1),"")</f>
        <v/>
      </c>
      <c r="B96" s="53">
        <f>IFERROR(MATCH(Datos!$A96,Configura!$B$9:$B$18,0),0)</f>
        <v>0</v>
      </c>
      <c r="C96" s="53">
        <f>IFERROR(MATCH(Datos!$B96,Configura!$D$9:$D$11,0),0)</f>
        <v>0</v>
      </c>
      <c r="D96" s="53" cm="1">
        <f t="array" ref="D96">IF(AND(Datos!$A96&lt;&gt;"",
OR(miCriticidad="",miCriticidad=$C96),
OR(miAsignado="",miAsignado=Datos!$K96),
OR(miFechaInicio="",Datos!$F96="",Datos!$F96&gt;=miFechaInicio),
OR(miTexto="",IFERROR(SEARCH(miTexto,Datos!$D96),0)&gt;0,IFERROR(SEARCH(miTexto,Datos!$E96),0)&gt;0),
OR(miRetraso="",IFERROR(--LEFT(Datos!$J96,FIND(" ",Datos!$J96)-1),0)&gt;miRetraso),
OR(miDuración="",IFERROR(--LEFT(Datos!$I96,FIND(" ",Datos!$I96)-1),0)&gt;miDuración)),
1,0)</f>
        <v>0</v>
      </c>
      <c r="E96" s="54" t="str">
        <f t="shared" ca="1" si="12"/>
        <v/>
      </c>
      <c r="F96" s="54" t="str">
        <f t="shared" ca="1" si="12"/>
        <v/>
      </c>
      <c r="G96" s="54" t="str">
        <f t="shared" ca="1" si="12"/>
        <v/>
      </c>
      <c r="H96" s="54" t="str">
        <f t="shared" ca="1" si="12"/>
        <v/>
      </c>
      <c r="I96" s="54" t="str">
        <f t="shared" ca="1" si="12"/>
        <v/>
      </c>
      <c r="J96" s="54" t="str">
        <f t="shared" ca="1" si="12"/>
        <v/>
      </c>
      <c r="K96" s="54" t="str">
        <f t="shared" ca="1" si="12"/>
        <v/>
      </c>
      <c r="L96" s="54" t="str">
        <f t="shared" ca="1" si="12"/>
        <v/>
      </c>
      <c r="M96" s="54" t="str">
        <f t="shared" ca="1" si="12"/>
        <v/>
      </c>
      <c r="N96" s="54" t="str">
        <f t="shared" ca="1" si="12"/>
        <v/>
      </c>
      <c r="O96" s="54" t="str">
        <f t="shared" ca="1" si="9"/>
        <v/>
      </c>
      <c r="P96" s="55" t="str" cm="1">
        <f t="array" aca="1" ref="P96" ca="1">IFERROR(LEFT($O96,FIND("-",$O96)-1) &amp; SUBSTITUTE($O96,LEFT($O96,FIND("-",$O96)-1) &amp;"-","") &amp; ":" &amp;
LEFT($O96,FIND("-",$O96)-1) &amp; SUBSTITUTE($O96,LEFT($O96,FIND("-",$O96)-1) &amp;"-","")+misLíneas-3,"")</f>
        <v/>
      </c>
    </row>
    <row r="97" spans="1:16" ht="16.5" thickTop="1" thickBot="1" x14ac:dyDescent="0.3">
      <c r="A97" s="56" t="str">
        <f>IFERROR(IF(Datos!$A97="","",Idiomas!$A$12&amp;" "&amp;ROW()-1),"")</f>
        <v/>
      </c>
      <c r="B97" s="57">
        <f>IFERROR(MATCH(Datos!$A97,Configura!$B$9:$B$18,0),0)</f>
        <v>0</v>
      </c>
      <c r="C97" s="57">
        <f>IFERROR(MATCH(Datos!$B97,Configura!$D$9:$D$11,0),0)</f>
        <v>0</v>
      </c>
      <c r="D97" s="57" cm="1">
        <f t="array" ref="D97">IF(AND(Datos!$A97&lt;&gt;"",
OR(miCriticidad="",miCriticidad=$C97),
OR(miAsignado="",miAsignado=Datos!$K97),
OR(miFechaInicio="",Datos!$F97="",Datos!$F97&gt;=miFechaInicio),
OR(miTexto="",IFERROR(SEARCH(miTexto,Datos!$D97),0)&gt;0,IFERROR(SEARCH(miTexto,Datos!$E97),0)&gt;0),
OR(miRetraso="",IFERROR(--LEFT(Datos!$J97,FIND(" ",Datos!$J97)-1),0)&gt;miRetraso),
OR(miDuración="",IFERROR(--LEFT(Datos!$I97,FIND(" ",Datos!$I97)-1),0)&gt;miDuración)),
1,0)</f>
        <v>0</v>
      </c>
      <c r="E97" s="58" t="str">
        <f t="shared" ca="1" si="12"/>
        <v/>
      </c>
      <c r="F97" s="58" t="str">
        <f t="shared" ca="1" si="12"/>
        <v/>
      </c>
      <c r="G97" s="58" t="str">
        <f t="shared" ca="1" si="12"/>
        <v/>
      </c>
      <c r="H97" s="58" t="str">
        <f t="shared" ca="1" si="12"/>
        <v/>
      </c>
      <c r="I97" s="58" t="str">
        <f t="shared" ca="1" si="12"/>
        <v/>
      </c>
      <c r="J97" s="58" t="str">
        <f t="shared" ca="1" si="12"/>
        <v/>
      </c>
      <c r="K97" s="58" t="str">
        <f t="shared" ca="1" si="12"/>
        <v/>
      </c>
      <c r="L97" s="58" t="str">
        <f t="shared" ca="1" si="12"/>
        <v/>
      </c>
      <c r="M97" s="58" t="str">
        <f t="shared" ca="1" si="12"/>
        <v/>
      </c>
      <c r="N97" s="58" t="str">
        <f t="shared" ca="1" si="12"/>
        <v/>
      </c>
      <c r="O97" s="58" t="str">
        <f t="shared" ca="1" si="9"/>
        <v/>
      </c>
      <c r="P97" s="59" t="str" cm="1">
        <f t="array" aca="1" ref="P97" ca="1">IFERROR(LEFT($O97,FIND("-",$O97)-1) &amp; SUBSTITUTE($O97,LEFT($O97,FIND("-",$O97)-1) &amp;"-","") &amp; ":" &amp;
LEFT($O97,FIND("-",$O97)-1) &amp; SUBSTITUTE($O97,LEFT($O97,FIND("-",$O97)-1) &amp;"-","")+misLíneas-3,"")</f>
        <v/>
      </c>
    </row>
    <row r="98" spans="1:16" ht="16.5" thickTop="1" thickBot="1" x14ac:dyDescent="0.3">
      <c r="A98" s="52" t="str">
        <f>IFERROR(IF(Datos!$A98="","",Idiomas!$A$12&amp;" "&amp;ROW()-1),"")</f>
        <v/>
      </c>
      <c r="B98" s="53">
        <f>IFERROR(MATCH(Datos!$A98,Configura!$B$9:$B$18,0),0)</f>
        <v>0</v>
      </c>
      <c r="C98" s="53">
        <f>IFERROR(MATCH(Datos!$B98,Configura!$D$9:$D$11,0),0)</f>
        <v>0</v>
      </c>
      <c r="D98" s="53" cm="1">
        <f t="array" ref="D98">IF(AND(Datos!$A98&lt;&gt;"",
OR(miCriticidad="",miCriticidad=$C98),
OR(miAsignado="",miAsignado=Datos!$K98),
OR(miFechaInicio="",Datos!$F98="",Datos!$F98&gt;=miFechaInicio),
OR(miTexto="",IFERROR(SEARCH(miTexto,Datos!$D98),0)&gt;0,IFERROR(SEARCH(miTexto,Datos!$E98),0)&gt;0),
OR(miRetraso="",IFERROR(--LEFT(Datos!$J98,FIND(" ",Datos!$J98)-1),0)&gt;miRetraso),
OR(miDuración="",IFERROR(--LEFT(Datos!$I98,FIND(" ",Datos!$I98)-1),0)&gt;miDuración)),
1,0)</f>
        <v>0</v>
      </c>
      <c r="E98" s="54" t="str">
        <f t="shared" ca="1" si="12"/>
        <v/>
      </c>
      <c r="F98" s="54" t="str">
        <f t="shared" ca="1" si="12"/>
        <v/>
      </c>
      <c r="G98" s="54" t="str">
        <f t="shared" ca="1" si="12"/>
        <v/>
      </c>
      <c r="H98" s="54" t="str">
        <f t="shared" ca="1" si="12"/>
        <v/>
      </c>
      <c r="I98" s="54" t="str">
        <f t="shared" ca="1" si="12"/>
        <v/>
      </c>
      <c r="J98" s="54" t="str">
        <f t="shared" ca="1" si="12"/>
        <v/>
      </c>
      <c r="K98" s="54" t="str">
        <f t="shared" ca="1" si="12"/>
        <v/>
      </c>
      <c r="L98" s="54" t="str">
        <f t="shared" ca="1" si="12"/>
        <v/>
      </c>
      <c r="M98" s="54" t="str">
        <f t="shared" ca="1" si="12"/>
        <v/>
      </c>
      <c r="N98" s="54" t="str">
        <f t="shared" ca="1" si="12"/>
        <v/>
      </c>
      <c r="O98" s="54" t="str">
        <f ca="1">E98&amp;F98&amp;G98&amp;H98&amp;I98&amp;J98&amp;K98&amp;L98&amp;M98&amp;N98</f>
        <v/>
      </c>
      <c r="P98" s="55" t="str" cm="1">
        <f t="array" aca="1" ref="P98" ca="1">IFERROR(LEFT($O98,FIND("-",$O98)-1) &amp; SUBSTITUTE($O98,LEFT($O98,FIND("-",$O98)-1) &amp;"-","") &amp; ":" &amp;
LEFT($O98,FIND("-",$O98)-1) &amp; SUBSTITUTE($O98,LEFT($O98,FIND("-",$O98)-1) &amp;"-","")+misLíneas-3,"")</f>
        <v/>
      </c>
    </row>
    <row r="99" spans="1:16" ht="16.5" thickTop="1" thickBot="1" x14ac:dyDescent="0.3">
      <c r="A99" s="56" t="str">
        <f>IFERROR(IF(Datos!$A99="","",Idiomas!$A$12&amp;" "&amp;ROW()-1),"")</f>
        <v/>
      </c>
      <c r="B99" s="57">
        <f>IFERROR(MATCH(Datos!$A99,Configura!$B$9:$B$18,0),0)</f>
        <v>0</v>
      </c>
      <c r="C99" s="57">
        <f>IFERROR(MATCH(Datos!$B99,Configura!$D$9:$D$11,0),0)</f>
        <v>0</v>
      </c>
      <c r="D99" s="57" cm="1">
        <f t="array" ref="D99">IF(AND(Datos!$A99&lt;&gt;"",
OR(miCriticidad="",miCriticidad=$C99),
OR(miAsignado="",miAsignado=Datos!$K99),
OR(miFechaInicio="",Datos!$F99="",Datos!$F99&gt;=miFechaInicio),
OR(miTexto="",IFERROR(SEARCH(miTexto,Datos!$D99),0)&gt;0,IFERROR(SEARCH(miTexto,Datos!$E99),0)&gt;0),
OR(miRetraso="",IFERROR(--LEFT(Datos!$J99,FIND(" ",Datos!$J99)-1),0)&gt;miRetraso),
OR(miDuración="",IFERROR(--LEFT(Datos!$I99,FIND(" ",Datos!$I99)-1),0)&gt;miDuración)),
1,0)</f>
        <v>0</v>
      </c>
      <c r="E99" s="58" t="str">
        <f t="shared" ca="1" si="12"/>
        <v/>
      </c>
      <c r="F99" s="58" t="str">
        <f t="shared" ca="1" si="12"/>
        <v/>
      </c>
      <c r="G99" s="58" t="str">
        <f t="shared" ca="1" si="12"/>
        <v/>
      </c>
      <c r="H99" s="58" t="str">
        <f t="shared" ca="1" si="12"/>
        <v/>
      </c>
      <c r="I99" s="58" t="str">
        <f t="shared" ca="1" si="12"/>
        <v/>
      </c>
      <c r="J99" s="58" t="str">
        <f t="shared" ca="1" si="12"/>
        <v/>
      </c>
      <c r="K99" s="58" t="str">
        <f t="shared" ca="1" si="12"/>
        <v/>
      </c>
      <c r="L99" s="58" t="str">
        <f t="shared" ca="1" si="12"/>
        <v/>
      </c>
      <c r="M99" s="58" t="str">
        <f t="shared" ca="1" si="12"/>
        <v/>
      </c>
      <c r="N99" s="58" t="str">
        <f t="shared" ca="1" si="12"/>
        <v/>
      </c>
      <c r="O99" s="58" t="str">
        <f ca="1">E99&amp;F99&amp;G99&amp;H99&amp;I99&amp;J99&amp;K99&amp;L99&amp;M99&amp;N99</f>
        <v/>
      </c>
      <c r="P99" s="59" t="str" cm="1">
        <f t="array" aca="1" ref="P99" ca="1">IFERROR(LEFT($O99,FIND("-",$O99)-1) &amp; SUBSTITUTE($O99,LEFT($O99,FIND("-",$O99)-1) &amp;"-","") &amp; ":" &amp;
LEFT($O99,FIND("-",$O99)-1) &amp; SUBSTITUTE($O99,LEFT($O99,FIND("-",$O99)-1) &amp;"-","")+misLíneas-3,"")</f>
        <v/>
      </c>
    </row>
    <row r="100" spans="1:16" ht="16.5" thickTop="1" thickBot="1" x14ac:dyDescent="0.3">
      <c r="A100" s="52" t="str">
        <f>IFERROR(IF(Datos!$A100="","",Idiomas!$A$12&amp;" "&amp;ROW()-1),"")</f>
        <v/>
      </c>
      <c r="B100" s="53">
        <f>IFERROR(MATCH(Datos!$A100,Configura!$B$9:$B$18,0),0)</f>
        <v>0</v>
      </c>
      <c r="C100" s="53">
        <f>IFERROR(MATCH(Datos!$B100,Configura!$D$9:$D$11,0),0)</f>
        <v>0</v>
      </c>
      <c r="D100" s="53" cm="1">
        <f t="array" ref="D100">IF(AND(Datos!$A100&lt;&gt;"",
OR(miCriticidad="",miCriticidad=$C100),
OR(miAsignado="",miAsignado=Datos!$K100),
OR(miFechaInicio="",Datos!$F100="",Datos!$F100&gt;=miFechaInicio),
OR(miTexto="",IFERROR(SEARCH(miTexto,Datos!$D100),0)&gt;0,IFERROR(SEARCH(miTexto,Datos!$E100),0)&gt;0),
OR(miRetraso="",IFERROR(--LEFT(Datos!$J100,FIND(" ",Datos!$J100)-1),0)&gt;miRetraso),
OR(miDuración="",IFERROR(--LEFT(Datos!$I100,FIND(" ",Datos!$I100)-1),0)&gt;miDuración)),
1,0)</f>
        <v>0</v>
      </c>
      <c r="E100" s="54" t="str">
        <f t="shared" ca="1" si="12"/>
        <v/>
      </c>
      <c r="F100" s="54" t="str">
        <f t="shared" ca="1" si="12"/>
        <v/>
      </c>
      <c r="G100" s="54" t="str">
        <f t="shared" ca="1" si="12"/>
        <v/>
      </c>
      <c r="H100" s="54" t="str">
        <f t="shared" ca="1" si="12"/>
        <v/>
      </c>
      <c r="I100" s="54" t="str">
        <f t="shared" ca="1" si="12"/>
        <v/>
      </c>
      <c r="J100" s="54" t="str">
        <f t="shared" ca="1" si="12"/>
        <v/>
      </c>
      <c r="K100" s="54" t="str">
        <f t="shared" ca="1" si="12"/>
        <v/>
      </c>
      <c r="L100" s="54" t="str">
        <f t="shared" ca="1" si="12"/>
        <v/>
      </c>
      <c r="M100" s="54" t="str">
        <f t="shared" ca="1" si="12"/>
        <v/>
      </c>
      <c r="N100" s="54" t="str">
        <f t="shared" ca="1" si="12"/>
        <v/>
      </c>
      <c r="O100" s="54" t="str">
        <f ca="1">E100&amp;F100&amp;G100&amp;H100&amp;I100&amp;J100&amp;K100&amp;L100&amp;M100&amp;N100</f>
        <v/>
      </c>
      <c r="P100" s="55" t="str" cm="1">
        <f t="array" aca="1" ref="P100" ca="1">IFERROR(LEFT($O100,FIND("-",$O100)-1) &amp; SUBSTITUTE($O100,LEFT($O100,FIND("-",$O100)-1) &amp;"-","") &amp; ":" &amp;
LEFT($O100,FIND("-",$O100)-1) &amp; SUBSTITUTE($O100,LEFT($O100,FIND("-",$O100)-1) &amp;"-","")+misLíneas-3,"")</f>
        <v/>
      </c>
    </row>
    <row r="101" spans="1:16" ht="16.5" thickTop="1" thickBot="1" x14ac:dyDescent="0.3">
      <c r="A101" s="60" t="str">
        <f>IFERROR(IF(Datos!$A101="","",Idiomas!$A$12&amp;" "&amp;ROW()-1),"")</f>
        <v/>
      </c>
      <c r="B101" s="61">
        <f>IFERROR(MATCH(Datos!$A101,Configura!$B$9:$B$18,0),0)</f>
        <v>0</v>
      </c>
      <c r="C101" s="61">
        <f>IFERROR(MATCH(Datos!$B101,Configura!$D$9:$D$11,0),0)</f>
        <v>0</v>
      </c>
      <c r="D101" s="61" cm="1">
        <f t="array" ref="D101">IF(AND(Datos!$A101&lt;&gt;"",
OR(miCriticidad="",miCriticidad=$C101),
OR(miAsignado="",miAsignado=Datos!$K101),
OR(miFechaInicio="",Datos!$F101="",Datos!$F101&gt;=miFechaInicio),
OR(miTexto="",IFERROR(SEARCH(miTexto,Datos!$D101),0)&gt;0,IFERROR(SEARCH(miTexto,Datos!$E101),0)&gt;0),
OR(miRetraso="",IFERROR(--LEFT(Datos!$J101,FIND(" ",Datos!$J101)-1),0)&gt;miRetraso),
OR(miDuración="",IFERROR(--LEFT(Datos!$I101,FIND(" ",Datos!$I101)-1),0)&gt;miDuración)),
1,0)</f>
        <v>0</v>
      </c>
      <c r="E101" s="62" t="str">
        <f t="shared" ca="1" si="12"/>
        <v/>
      </c>
      <c r="F101" s="62" t="str">
        <f t="shared" ca="1" si="12"/>
        <v/>
      </c>
      <c r="G101" s="62" t="str">
        <f t="shared" ca="1" si="12"/>
        <v/>
      </c>
      <c r="H101" s="62" t="str">
        <f t="shared" ca="1" si="12"/>
        <v/>
      </c>
      <c r="I101" s="62" t="str">
        <f t="shared" ca="1" si="12"/>
        <v/>
      </c>
      <c r="J101" s="62" t="str">
        <f t="shared" ca="1" si="12"/>
        <v/>
      </c>
      <c r="K101" s="62" t="str">
        <f t="shared" ca="1" si="12"/>
        <v/>
      </c>
      <c r="L101" s="62" t="str">
        <f t="shared" ca="1" si="12"/>
        <v/>
      </c>
      <c r="M101" s="62" t="str">
        <f t="shared" ca="1" si="12"/>
        <v/>
      </c>
      <c r="N101" s="62" t="str">
        <f t="shared" ca="1" si="12"/>
        <v/>
      </c>
      <c r="O101" s="62" t="str">
        <f ca="1">E101&amp;F101&amp;G101&amp;H101&amp;I101&amp;J101&amp;K101&amp;L101&amp;M101&amp;N101</f>
        <v/>
      </c>
      <c r="P101" s="63" t="str" cm="1">
        <f t="array" aca="1" ref="P101" ca="1">IFERROR(LEFT($O101,FIND("-",$O101)-1) &amp; SUBSTITUTE($O101,LEFT($O101,FIND("-",$O101)-1) &amp;"-","") &amp; ":" &amp;
LEFT($O101,FIND("-",$O101)-1) &amp; SUBSTITUTE($O101,LEFT($O101,FIND("-",$O101)-1) &amp;"-","")+misLíneas-3,"")</f>
        <v/>
      </c>
    </row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8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0D2CE-BFBF-4FAA-9A03-EF095AA2478E}">
  <sheetPr codeName="Hoja5">
    <tabColor rgb="FFFFC000"/>
    <pageSetUpPr fitToPage="1"/>
  </sheetPr>
  <dimension ref="A1:AZ199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5" zeroHeight="1" x14ac:dyDescent="0.25"/>
  <cols>
    <col min="1" max="2" width="4.42578125" style="2" customWidth="1"/>
    <col min="3" max="6" width="4.42578125" style="1" customWidth="1"/>
    <col min="7" max="7" width="4.42578125" style="2" customWidth="1"/>
    <col min="8" max="11" width="4.42578125" style="1" customWidth="1"/>
    <col min="12" max="12" width="4.42578125" style="2" customWidth="1"/>
    <col min="13" max="16" width="4.42578125" style="1" customWidth="1"/>
    <col min="17" max="17" width="4.42578125" style="2" customWidth="1"/>
    <col min="18" max="21" width="4.42578125" style="1" customWidth="1"/>
    <col min="22" max="22" width="4.42578125" style="2" customWidth="1"/>
    <col min="23" max="26" width="4.42578125" style="1" customWidth="1"/>
    <col min="27" max="27" width="4.42578125" style="2" customWidth="1"/>
    <col min="28" max="31" width="4.42578125" style="1" customWidth="1"/>
    <col min="32" max="32" width="4.42578125" style="2" customWidth="1"/>
    <col min="33" max="36" width="4.42578125" style="1" customWidth="1"/>
    <col min="37" max="37" width="4.42578125" style="2" customWidth="1"/>
    <col min="38" max="41" width="4.42578125" style="1" customWidth="1"/>
    <col min="42" max="42" width="4.42578125" style="2" customWidth="1"/>
    <col min="43" max="46" width="4.42578125" style="1" customWidth="1"/>
    <col min="47" max="47" width="4.42578125" style="2" customWidth="1"/>
    <col min="48" max="51" width="4.42578125" style="1" customWidth="1"/>
    <col min="52" max="52" width="4.42578125" style="2" customWidth="1"/>
    <col min="53" max="16384" width="10.85546875" style="2" hidden="1"/>
  </cols>
  <sheetData>
    <row r="1" spans="1:51" s="23" customFormat="1" x14ac:dyDescent="0.25">
      <c r="A1" s="27"/>
      <c r="B1" s="22">
        <v>1</v>
      </c>
      <c r="C1" s="21" t="str" cm="1">
        <f t="array" ref="C1">IFERROR(INDEX(Configura!$B$9:$B$18,B1)&amp;"","")</f>
        <v>POR HACER</v>
      </c>
      <c r="D1" s="21"/>
      <c r="E1" s="21"/>
      <c r="F1" s="22" t="str">
        <f>KANBAN!F4</f>
        <v>^</v>
      </c>
      <c r="G1" s="22">
        <f>B1+1</f>
        <v>2</v>
      </c>
      <c r="H1" s="21" t="str" cm="1">
        <f t="array" ref="H1">IFERROR(INDEX(Configura!$B$9:$B$18,G1)&amp;"","")</f>
        <v>EN PROGRESO</v>
      </c>
      <c r="I1" s="21"/>
      <c r="J1" s="21"/>
      <c r="K1" s="22" t="str">
        <f>KANBAN!K4</f>
        <v>^</v>
      </c>
      <c r="L1" s="22">
        <f>G1+1</f>
        <v>3</v>
      </c>
      <c r="M1" s="21" t="str" cm="1">
        <f t="array" ref="M1">IFERROR(INDEX(Configura!$B$9:$B$18,L1)&amp;"","")</f>
        <v>EN ESPERA</v>
      </c>
      <c r="N1" s="21"/>
      <c r="O1" s="21"/>
      <c r="P1" s="22" t="str">
        <f>KANBAN!P4</f>
        <v>^</v>
      </c>
      <c r="Q1" s="22">
        <f>L1+1</f>
        <v>4</v>
      </c>
      <c r="R1" s="21" t="str" cm="1">
        <f t="array" ref="R1">IFERROR(INDEX(Configura!$B$9:$B$18,Q1)&amp;"","")</f>
        <v>COMPLETADO</v>
      </c>
      <c r="S1" s="21"/>
      <c r="T1" s="21"/>
      <c r="U1" s="22" t="str">
        <f>KANBAN!U4</f>
        <v>^</v>
      </c>
      <c r="V1" s="22">
        <f>Q1+1</f>
        <v>5</v>
      </c>
      <c r="W1" s="21" t="str" cm="1">
        <f t="array" ref="W1">IFERROR(INDEX(Configura!$B$9:$B$18,V1)&amp;"","")</f>
        <v>ARCHIVADO</v>
      </c>
      <c r="X1" s="21"/>
      <c r="Y1" s="21"/>
      <c r="Z1" s="22" t="str">
        <f>KANBAN!Z4</f>
        <v>^</v>
      </c>
      <c r="AA1" s="22">
        <f>V1+1</f>
        <v>6</v>
      </c>
      <c r="AB1" s="21" t="str" cm="1">
        <f t="array" ref="AB1">IFERROR(INDEX(Configura!$B$9:$B$18,AA1)&amp;"","")</f>
        <v>POR HACER</v>
      </c>
      <c r="AC1" s="21"/>
      <c r="AD1" s="21"/>
      <c r="AE1" s="22" t="str">
        <f>KANBAN!AE4</f>
        <v>^</v>
      </c>
      <c r="AF1" s="22">
        <f>AA1+1</f>
        <v>7</v>
      </c>
      <c r="AG1" s="21" t="str" cm="1">
        <f t="array" ref="AG1">IFERROR(INDEX(Configura!$B$9:$B$18,AF1)&amp;"","")</f>
        <v>EN PROGRESO</v>
      </c>
      <c r="AH1" s="21"/>
      <c r="AI1" s="21"/>
      <c r="AJ1" s="22" t="str">
        <f>KANBAN!AJ4</f>
        <v>^</v>
      </c>
      <c r="AK1" s="22">
        <f>AF1+1</f>
        <v>8</v>
      </c>
      <c r="AL1" s="21" t="str" cm="1">
        <f t="array" ref="AL1">IFERROR(INDEX(Configura!$B$9:$B$18,AK1)&amp;"","")</f>
        <v/>
      </c>
      <c r="AM1" s="21"/>
      <c r="AN1" s="21"/>
      <c r="AO1" s="22" t="str">
        <f>KANBAN!AO4</f>
        <v>^</v>
      </c>
      <c r="AP1" s="22">
        <f>AK1+1</f>
        <v>9</v>
      </c>
      <c r="AQ1" s="21" t="str" cm="1">
        <f t="array" ref="AQ1">IFERROR(INDEX(Configura!$B$9:$B$18,AP1)&amp;"","")</f>
        <v/>
      </c>
      <c r="AR1" s="21"/>
      <c r="AS1" s="21"/>
      <c r="AT1" s="22" t="str">
        <f>KANBAN!AT4</f>
        <v>^</v>
      </c>
      <c r="AU1" s="22">
        <f>AP1+1</f>
        <v>10</v>
      </c>
      <c r="AV1" s="21" t="str" cm="1">
        <f t="array" ref="AV1">IFERROR(INDEX(Configura!$B$9:$B$18,AU1)&amp;"","")</f>
        <v/>
      </c>
      <c r="AW1" s="21"/>
      <c r="AX1" s="21"/>
      <c r="AY1" s="22" t="str">
        <f>KANBAN!AY4</f>
        <v>^</v>
      </c>
    </row>
    <row r="2" spans="1:51" x14ac:dyDescent="0.25">
      <c r="B2" s="19" t="str" cm="1">
        <f t="array" aca="1" ref="B2:B101" ca="1">IF((misEstados=B$1)*(misFiltros=1),ROW(misEstados)-1,"")</f>
        <v/>
      </c>
      <c r="C2" s="20">
        <v>0</v>
      </c>
      <c r="D2" s="20"/>
      <c r="E2" s="20"/>
      <c r="F2" s="20"/>
      <c r="G2" s="19" cm="1">
        <f t="array" aca="1" ref="G2:G101" ca="1">IF((misEstados=G$1)*(misFiltros=1),ROW(misEstados)-1,"")</f>
        <v>1</v>
      </c>
      <c r="H2" s="20">
        <v>0</v>
      </c>
      <c r="I2" s="20"/>
      <c r="J2" s="20"/>
      <c r="K2" s="20"/>
      <c r="L2" s="19" t="str" cm="1">
        <f t="array" aca="1" ref="L2:L101" ca="1">IF((misEstados=L$1)*(misFiltros=1),ROW(misEstados)-1,"")</f>
        <v/>
      </c>
      <c r="M2" s="20">
        <v>0</v>
      </c>
      <c r="N2" s="20"/>
      <c r="O2" s="20"/>
      <c r="P2" s="20"/>
      <c r="Q2" s="19" t="str" cm="1">
        <f t="array" aca="1" ref="Q2:Q101" ca="1">IF((misEstados=Q$1)*(misFiltros=1),ROW(misEstados)-1,"")</f>
        <v/>
      </c>
      <c r="R2" s="20">
        <v>0</v>
      </c>
      <c r="S2" s="20"/>
      <c r="T2" s="20"/>
      <c r="U2" s="20"/>
      <c r="V2" s="19" t="str" cm="1">
        <f t="array" aca="1" ref="V2:V101" ca="1">IF((misEstados=V$1)*(misFiltros=1),ROW(misEstados)-1,"")</f>
        <v/>
      </c>
      <c r="W2" s="20">
        <v>0</v>
      </c>
      <c r="X2" s="20"/>
      <c r="Y2" s="20"/>
      <c r="Z2" s="20"/>
      <c r="AA2" s="19" t="str" cm="1">
        <f t="array" aca="1" ref="AA2:AA101" ca="1">IF((misEstados=AA$1)*(misFiltros=1),ROW(misEstados)-1,"")</f>
        <v/>
      </c>
      <c r="AB2" s="20">
        <v>0</v>
      </c>
      <c r="AC2" s="20"/>
      <c r="AD2" s="20"/>
      <c r="AE2" s="20"/>
      <c r="AF2" s="19" t="str" cm="1">
        <f t="array" aca="1" ref="AF2:AF101" ca="1">IF((misEstados=AF$1)*(misFiltros=1),ROW(misEstados)-1,"")</f>
        <v/>
      </c>
      <c r="AG2" s="20">
        <v>0</v>
      </c>
      <c r="AH2" s="20"/>
      <c r="AI2" s="20"/>
      <c r="AJ2" s="20"/>
      <c r="AK2" s="19" t="str" cm="1">
        <f t="array" aca="1" ref="AK2:AK101" ca="1">IF((misEstados=AK$1)*(misFiltros=1),ROW(misEstados)-1,"")</f>
        <v/>
      </c>
      <c r="AL2" s="20">
        <v>0</v>
      </c>
      <c r="AM2" s="20"/>
      <c r="AN2" s="20"/>
      <c r="AO2" s="20"/>
      <c r="AP2" s="19" t="str" cm="1">
        <f t="array" aca="1" ref="AP2:AP101" ca="1">IF((misEstados=AP$1)*(misFiltros=1),ROW(misEstados)-1,"")</f>
        <v/>
      </c>
      <c r="AQ2" s="20">
        <v>0</v>
      </c>
      <c r="AR2" s="20"/>
      <c r="AS2" s="20"/>
      <c r="AT2" s="20"/>
      <c r="AU2" s="19" t="str" cm="1">
        <f t="array" aca="1" ref="AU2:AU101" ca="1">IF((misEstados=AU$1)*(misFiltros=1),ROW(misEstados)-1,"")</f>
        <v/>
      </c>
      <c r="AV2" s="20">
        <v>0</v>
      </c>
      <c r="AW2" s="20"/>
      <c r="AX2" s="20"/>
      <c r="AY2" s="20"/>
    </row>
    <row r="3" spans="1:51" x14ac:dyDescent="0.25">
      <c r="B3" s="19" t="str">
        <f ca="1"/>
        <v/>
      </c>
      <c r="C3" s="20">
        <v>1</v>
      </c>
      <c r="D3" s="20" t="str">
        <f t="shared" ref="D3:D34" ca="1" si="0">IF(C3&gt;C2,IFERROR(IF(F$1="v",SMALL(B$2:B$101,C3),LARGE(B$2:B$101,C3)),""),D2)</f>
        <v/>
      </c>
      <c r="E3" s="20" t="str" cm="1">
        <f t="array" aca="1" ref="E3" ca="1">IF(D3="","",IF(D3&lt;&gt;D2,1,IF(E2=misLíneas-2,0,E2+1)))</f>
        <v/>
      </c>
      <c r="F3" s="20" t="str" cm="1">
        <f t="array" aca="1" ref="F3" ca="1">IF(OR(E3=0,E3=""),"",INDEX(misCriticidades,D3)&amp;"-"&amp;IFERROR(MATCH(E3,miOrdenTarjeta,0),0))</f>
        <v/>
      </c>
      <c r="G3" s="19" t="str">
        <f ca="1"/>
        <v/>
      </c>
      <c r="H3" s="20">
        <v>1</v>
      </c>
      <c r="I3" s="20">
        <f t="shared" ref="I3:I34" ca="1" si="1">IF(H3&gt;H2,IFERROR(IF(K$1="v",SMALL(G$2:G$101,H3),LARGE(G$2:G$101,H3)),""),I2)</f>
        <v>33</v>
      </c>
      <c r="J3" s="20" cm="1">
        <f t="array" aca="1" ref="J3" ca="1">IF(I3="","",IF(I3&lt;&gt;I2,1,IF(J2=misLíneas-2,0,J2+1)))</f>
        <v>1</v>
      </c>
      <c r="K3" s="20" t="str" cm="1">
        <f t="array" aca="1" ref="K3" ca="1">IF(OR(J3=0,J3=""),"",INDEX(misCriticidades,I3)&amp;"-"&amp;IFERROR(MATCH(J3,miOrdenTarjeta,0),0))</f>
        <v>2-1</v>
      </c>
      <c r="L3" s="19" t="str">
        <f ca="1"/>
        <v/>
      </c>
      <c r="M3" s="20">
        <v>1</v>
      </c>
      <c r="N3" s="20" t="str">
        <f t="shared" ref="N3:N34" ca="1" si="2">IF(M3&gt;M2,IFERROR(IF(P$1="v",SMALL(L$2:L$101,M3),LARGE(L$2:L$101,M3)),""),N2)</f>
        <v/>
      </c>
      <c r="O3" s="20" t="str" cm="1">
        <f t="array" aca="1" ref="O3" ca="1">IF(N3="","",IF(N3&lt;&gt;N2,1,IF(O2=misLíneas-2,0,O2+1)))</f>
        <v/>
      </c>
      <c r="P3" s="20" t="str" cm="1">
        <f t="array" aca="1" ref="P3" ca="1">IF(OR(O3=0,O3=""),"",INDEX(misCriticidades,N3)&amp;"-"&amp;IFERROR(MATCH(O3,miOrdenTarjeta,0),0))</f>
        <v/>
      </c>
      <c r="Q3" s="19">
        <f ca="1"/>
        <v>2</v>
      </c>
      <c r="R3" s="20">
        <v>1</v>
      </c>
      <c r="S3" s="20">
        <f t="shared" ref="S3:S34" ca="1" si="3">IF(R3&gt;R2,IFERROR(IF(U$1="v",SMALL(Q$2:Q$101,R3),LARGE(Q$2:Q$101,R3)),""),S2)</f>
        <v>29</v>
      </c>
      <c r="T3" s="20" cm="1">
        <f t="array" aca="1" ref="T3" ca="1">IF(S3="","",IF(S3&lt;&gt;S2,1,IF(T2=misLíneas-2,0,T2+1)))</f>
        <v>1</v>
      </c>
      <c r="U3" s="20" t="str" cm="1">
        <f t="array" aca="1" ref="U3" ca="1">IF(OR(T3=0,T3=""),"",INDEX(misCriticidades,S3)&amp;"-"&amp;IFERROR(MATCH(T3,miOrdenTarjeta,0),0))</f>
        <v>3-1</v>
      </c>
      <c r="V3" s="19" t="str">
        <f ca="1"/>
        <v/>
      </c>
      <c r="W3" s="20">
        <v>1</v>
      </c>
      <c r="X3" s="20" t="str">
        <f t="shared" ref="X3:X34" ca="1" si="4">IF(W3&gt;W2,IFERROR(IF(Z$1="v",SMALL(V$2:V$101,W3),LARGE(V$2:V$101,W3)),""),X2)</f>
        <v/>
      </c>
      <c r="Y3" s="20" t="str" cm="1">
        <f t="array" aca="1" ref="Y3" ca="1">IF(X3="","",IF(X3&lt;&gt;X2,1,IF(Y2=misLíneas-2,0,Y2+1)))</f>
        <v/>
      </c>
      <c r="Z3" s="20" t="str" cm="1">
        <f t="array" aca="1" ref="Z3" ca="1">IF(OR(Y3=0,Y3=""),"",INDEX(misCriticidades,X3)&amp;"-"&amp;IFERROR(MATCH(Y3,miOrdenTarjeta,0),0))</f>
        <v/>
      </c>
      <c r="AA3" s="19" t="str">
        <f ca="1"/>
        <v/>
      </c>
      <c r="AB3" s="20">
        <v>1</v>
      </c>
      <c r="AC3" s="20" t="str">
        <f t="shared" ref="AC3:AC66" ca="1" si="5">IF(AB3&gt;AB2,IFERROR(IF(AE$1="v",SMALL(AA$2:AA$101,AB3),LARGE(AA$2:AA$101,AB3)),""),AC2)</f>
        <v/>
      </c>
      <c r="AD3" s="20" t="str" cm="1">
        <f t="array" aca="1" ref="AD3" ca="1">IF(AC3="","",IF(AC3&lt;&gt;AC2,1,IF(AD2=misLíneas-2,0,AD2+1)))</f>
        <v/>
      </c>
      <c r="AE3" s="20" t="str" cm="1">
        <f t="array" aca="1" ref="AE3" ca="1">IF(OR(AD3=0,AD3=""),"",INDEX(misCriticidades,AC3)&amp;"-"&amp;IFERROR(MATCH(AD3,miOrdenTarjeta,0),0))</f>
        <v/>
      </c>
      <c r="AF3" s="19" t="str">
        <f ca="1"/>
        <v/>
      </c>
      <c r="AG3" s="20">
        <v>1</v>
      </c>
      <c r="AH3" s="20" t="str">
        <f t="shared" ref="AH3:AH66" ca="1" si="6">IF(AG3&gt;AG2,IFERROR(IF(AJ$1="v",SMALL(AF$2:AF$101,AG3),LARGE(AF$2:AF$101,AG3)),""),AH2)</f>
        <v/>
      </c>
      <c r="AI3" s="20" t="str" cm="1">
        <f t="array" aca="1" ref="AI3" ca="1">IF(AH3="","",IF(AH3&lt;&gt;AH2,1,IF(AI2=misLíneas-2,0,AI2+1)))</f>
        <v/>
      </c>
      <c r="AJ3" s="20" t="str" cm="1">
        <f t="array" aca="1" ref="AJ3" ca="1">IF(OR(AI3=0,AI3=""),"",INDEX(misCriticidades,AH3)&amp;"-"&amp;IFERROR(MATCH(AI3,miOrdenTarjeta,0),0))</f>
        <v/>
      </c>
      <c r="AK3" s="19" t="str">
        <f ca="1"/>
        <v/>
      </c>
      <c r="AL3" s="20">
        <v>1</v>
      </c>
      <c r="AM3" s="20" t="str">
        <f t="shared" ref="AM3:AM66" ca="1" si="7">IF(AL3&gt;AL2,IFERROR(IF(AO$1="v",SMALL(AK$2:AK$101,AL3),LARGE(AK$2:AK$101,AL3)),""),AM2)</f>
        <v/>
      </c>
      <c r="AN3" s="20" t="str" cm="1">
        <f t="array" aca="1" ref="AN3" ca="1">IF(AM3="","",IF(AM3&lt;&gt;AM2,1,IF(AN2=misLíneas-2,0,AN2+1)))</f>
        <v/>
      </c>
      <c r="AO3" s="20" t="str" cm="1">
        <f t="array" aca="1" ref="AO3" ca="1">IF(OR(AN3=0,AN3=""),"",INDEX(misCriticidades,AM3)&amp;"-"&amp;IFERROR(MATCH(AN3,miOrdenTarjeta,0),0))</f>
        <v/>
      </c>
      <c r="AP3" s="19" t="str">
        <f ca="1"/>
        <v/>
      </c>
      <c r="AQ3" s="20">
        <v>1</v>
      </c>
      <c r="AR3" s="20" t="str">
        <f t="shared" ref="AR3:AR66" ca="1" si="8">IF(AQ3&gt;AQ2,IFERROR(IF(AT$1="v",SMALL(AP$2:AP$101,AQ3),LARGE(AP$2:AP$101,AQ3)),""),AR2)</f>
        <v/>
      </c>
      <c r="AS3" s="20" t="str" cm="1">
        <f t="array" aca="1" ref="AS3" ca="1">IF(AR3="","",IF(AR3&lt;&gt;AR2,1,IF(AS2=misLíneas-2,0,AS2+1)))</f>
        <v/>
      </c>
      <c r="AT3" s="20" t="str" cm="1">
        <f t="array" aca="1" ref="AT3" ca="1">IF(OR(AS3=0,AS3=""),"",INDEX(misCriticidades,AR3)&amp;"-"&amp;IFERROR(MATCH(AS3,miOrdenTarjeta,0),0))</f>
        <v/>
      </c>
      <c r="AU3" s="19" t="str">
        <f ca="1"/>
        <v/>
      </c>
      <c r="AV3" s="20">
        <v>1</v>
      </c>
      <c r="AW3" s="20" t="str">
        <f t="shared" ref="AW3:AW66" ca="1" si="9">IF(AV3&gt;AV2,IFERROR(IF(AY$1="v",SMALL(AU$2:AU$101,AV3),LARGE(AU$2:AU$101,AV3)),""),AW2)</f>
        <v/>
      </c>
      <c r="AX3" s="20" t="str" cm="1">
        <f t="array" aca="1" ref="AX3" ca="1">IF(AW3="","",IF(AW3&lt;&gt;AW2,1,IF(AX2=misLíneas-2,0,AX2+1)))</f>
        <v/>
      </c>
      <c r="AY3" s="20" t="str" cm="1">
        <f t="array" aca="1" ref="AY3" ca="1">IF(OR(AX3=0,AX3=""),"",INDEX(misCriticidades,AW3)&amp;"-"&amp;IFERROR(MATCH(AX3,miOrdenTarjeta,0),0))</f>
        <v/>
      </c>
    </row>
    <row r="4" spans="1:51" x14ac:dyDescent="0.25">
      <c r="B4" s="19" t="str">
        <f ca="1"/>
        <v/>
      </c>
      <c r="C4" s="20">
        <f t="shared" ref="C4:C9" ca="1" si="10">C3--(E3=0)</f>
        <v>1</v>
      </c>
      <c r="D4" s="20" t="str">
        <f t="shared" ca="1" si="0"/>
        <v/>
      </c>
      <c r="E4" s="20" t="str" cm="1">
        <f t="array" aca="1" ref="E4" ca="1">IF(D4="","",IF(D4&lt;&gt;D3,1,IF(E3=misLíneas-2,0,E3+1)))</f>
        <v/>
      </c>
      <c r="F4" s="20" t="str" cm="1">
        <f t="array" aca="1" ref="F4" ca="1">IF(OR(E4=0,E4=""),"",INDEX(misCriticidades,D4)&amp;"-"&amp;IFERROR(MATCH(E4,miOrdenTarjeta,0),0))</f>
        <v/>
      </c>
      <c r="G4" s="19" t="str">
        <f ca="1"/>
        <v/>
      </c>
      <c r="H4" s="20">
        <f t="shared" ref="H4:H67" ca="1" si="11">H3--(J3=0)</f>
        <v>1</v>
      </c>
      <c r="I4" s="20">
        <f t="shared" ca="1" si="1"/>
        <v>33</v>
      </c>
      <c r="J4" s="20" cm="1">
        <f t="array" aca="1" ref="J4" ca="1">IF(I4="","",IF(I4&lt;&gt;I3,1,IF(J3=misLíneas-2,0,J3+1)))</f>
        <v>2</v>
      </c>
      <c r="K4" s="20" t="str" cm="1">
        <f t="array" aca="1" ref="K4" ca="1">IF(OR(J4=0,J4=""),"",INDEX(misCriticidades,I4)&amp;"-"&amp;IFERROR(MATCH(J4,miOrdenTarjeta,0),0))</f>
        <v>2-2</v>
      </c>
      <c r="L4" s="19" t="str">
        <f ca="1"/>
        <v/>
      </c>
      <c r="M4" s="20">
        <f t="shared" ref="M4:M67" ca="1" si="12">M3--(O3=0)</f>
        <v>1</v>
      </c>
      <c r="N4" s="20" t="str">
        <f t="shared" ca="1" si="2"/>
        <v/>
      </c>
      <c r="O4" s="20" t="str" cm="1">
        <f t="array" aca="1" ref="O4" ca="1">IF(N4="","",IF(N4&lt;&gt;N3,1,IF(O3=misLíneas-2,0,O3+1)))</f>
        <v/>
      </c>
      <c r="P4" s="20" t="str" cm="1">
        <f t="array" aca="1" ref="P4" ca="1">IF(OR(O4=0,O4=""),"",INDEX(misCriticidades,N4)&amp;"-"&amp;IFERROR(MATCH(O4,miOrdenTarjeta,0),0))</f>
        <v/>
      </c>
      <c r="Q4" s="19">
        <f ca="1"/>
        <v>3</v>
      </c>
      <c r="R4" s="20">
        <f t="shared" ref="R4:R67" ca="1" si="13">R3--(T3=0)</f>
        <v>1</v>
      </c>
      <c r="S4" s="20">
        <f t="shared" ca="1" si="3"/>
        <v>29</v>
      </c>
      <c r="T4" s="20" cm="1">
        <f t="array" aca="1" ref="T4" ca="1">IF(S4="","",IF(S4&lt;&gt;S3,1,IF(T3=misLíneas-2,0,T3+1)))</f>
        <v>2</v>
      </c>
      <c r="U4" s="20" t="str" cm="1">
        <f t="array" aca="1" ref="U4" ca="1">IF(OR(T4=0,T4=""),"",INDEX(misCriticidades,S4)&amp;"-"&amp;IFERROR(MATCH(T4,miOrdenTarjeta,0),0))</f>
        <v>3-2</v>
      </c>
      <c r="V4" s="19" t="str">
        <f ca="1"/>
        <v/>
      </c>
      <c r="W4" s="20">
        <f t="shared" ref="W4:W67" ca="1" si="14">W3--(Y3=0)</f>
        <v>1</v>
      </c>
      <c r="X4" s="20" t="str">
        <f t="shared" ca="1" si="4"/>
        <v/>
      </c>
      <c r="Y4" s="20" t="str" cm="1">
        <f t="array" aca="1" ref="Y4" ca="1">IF(X4="","",IF(X4&lt;&gt;X3,1,IF(Y3=misLíneas-2,0,Y3+1)))</f>
        <v/>
      </c>
      <c r="Z4" s="20" t="str" cm="1">
        <f t="array" aca="1" ref="Z4" ca="1">IF(OR(Y4=0,Y4=""),"",INDEX(misCriticidades,X4)&amp;"-"&amp;IFERROR(MATCH(Y4,miOrdenTarjeta,0),0))</f>
        <v/>
      </c>
      <c r="AA4" s="19" t="str">
        <f ca="1"/>
        <v/>
      </c>
      <c r="AB4" s="20">
        <f t="shared" ref="AB4:AB67" ca="1" si="15">AB3--(AD3=0)</f>
        <v>1</v>
      </c>
      <c r="AC4" s="20" t="str">
        <f t="shared" ca="1" si="5"/>
        <v/>
      </c>
      <c r="AD4" s="20" t="str" cm="1">
        <f t="array" aca="1" ref="AD4" ca="1">IF(AC4="","",IF(AC4&lt;&gt;AC3,1,IF(AD3=misLíneas-2,0,AD3+1)))</f>
        <v/>
      </c>
      <c r="AE4" s="20" t="str" cm="1">
        <f t="array" aca="1" ref="AE4" ca="1">IF(OR(AD4=0,AD4=""),"",INDEX(misCriticidades,AC4)&amp;"-"&amp;IFERROR(MATCH(AD4,miOrdenTarjeta,0),0))</f>
        <v/>
      </c>
      <c r="AF4" s="19" t="str">
        <f ca="1"/>
        <v/>
      </c>
      <c r="AG4" s="20">
        <f t="shared" ref="AG4:AG67" ca="1" si="16">AG3--(AI3=0)</f>
        <v>1</v>
      </c>
      <c r="AH4" s="20" t="str">
        <f t="shared" ca="1" si="6"/>
        <v/>
      </c>
      <c r="AI4" s="20" t="str" cm="1">
        <f t="array" aca="1" ref="AI4" ca="1">IF(AH4="","",IF(AH4&lt;&gt;AH3,1,IF(AI3=misLíneas-2,0,AI3+1)))</f>
        <v/>
      </c>
      <c r="AJ4" s="20" t="str" cm="1">
        <f t="array" aca="1" ref="AJ4" ca="1">IF(OR(AI4=0,AI4=""),"",INDEX(misCriticidades,AH4)&amp;"-"&amp;IFERROR(MATCH(AI4,miOrdenTarjeta,0),0))</f>
        <v/>
      </c>
      <c r="AK4" s="19" t="str">
        <f ca="1"/>
        <v/>
      </c>
      <c r="AL4" s="20">
        <f t="shared" ref="AL4:AL67" ca="1" si="17">AL3--(AN3=0)</f>
        <v>1</v>
      </c>
      <c r="AM4" s="20" t="str">
        <f t="shared" ca="1" si="7"/>
        <v/>
      </c>
      <c r="AN4" s="20" t="str" cm="1">
        <f t="array" aca="1" ref="AN4" ca="1">IF(AM4="","",IF(AM4&lt;&gt;AM3,1,IF(AN3=misLíneas-2,0,AN3+1)))</f>
        <v/>
      </c>
      <c r="AO4" s="20" t="str" cm="1">
        <f t="array" aca="1" ref="AO4" ca="1">IF(OR(AN4=0,AN4=""),"",INDEX(misCriticidades,AM4)&amp;"-"&amp;IFERROR(MATCH(AN4,miOrdenTarjeta,0),0))</f>
        <v/>
      </c>
      <c r="AP4" s="19" t="str">
        <f ca="1"/>
        <v/>
      </c>
      <c r="AQ4" s="20">
        <f t="shared" ref="AQ4:AQ67" ca="1" si="18">AQ3--(AS3=0)</f>
        <v>1</v>
      </c>
      <c r="AR4" s="20" t="str">
        <f t="shared" ca="1" si="8"/>
        <v/>
      </c>
      <c r="AS4" s="20" t="str" cm="1">
        <f t="array" aca="1" ref="AS4" ca="1">IF(AR4="","",IF(AR4&lt;&gt;AR3,1,IF(AS3=misLíneas-2,0,AS3+1)))</f>
        <v/>
      </c>
      <c r="AT4" s="20" t="str" cm="1">
        <f t="array" aca="1" ref="AT4" ca="1">IF(OR(AS4=0,AS4=""),"",INDEX(misCriticidades,AR4)&amp;"-"&amp;IFERROR(MATCH(AS4,miOrdenTarjeta,0),0))</f>
        <v/>
      </c>
      <c r="AU4" s="19" t="str">
        <f ca="1"/>
        <v/>
      </c>
      <c r="AV4" s="20">
        <f t="shared" ref="AV4:AV67" ca="1" si="19">AV3--(AX3=0)</f>
        <v>1</v>
      </c>
      <c r="AW4" s="20" t="str">
        <f t="shared" ca="1" si="9"/>
        <v/>
      </c>
      <c r="AX4" s="20" t="str" cm="1">
        <f t="array" aca="1" ref="AX4" ca="1">IF(AW4="","",IF(AW4&lt;&gt;AW3,1,IF(AX3=misLíneas-2,0,AX3+1)))</f>
        <v/>
      </c>
      <c r="AY4" s="20" t="str" cm="1">
        <f t="array" aca="1" ref="AY4" ca="1">IF(OR(AX4=0,AX4=""),"",INDEX(misCriticidades,AW4)&amp;"-"&amp;IFERROR(MATCH(AX4,miOrdenTarjeta,0),0))</f>
        <v/>
      </c>
    </row>
    <row r="5" spans="1:51" x14ac:dyDescent="0.25">
      <c r="B5" s="19" t="str">
        <f ca="1"/>
        <v/>
      </c>
      <c r="C5" s="20">
        <f t="shared" ca="1" si="10"/>
        <v>1</v>
      </c>
      <c r="D5" s="20" t="str">
        <f t="shared" ca="1" si="0"/>
        <v/>
      </c>
      <c r="E5" s="20" t="str" cm="1">
        <f t="array" aca="1" ref="E5" ca="1">IF(D5="","",IF(D5&lt;&gt;D4,1,IF(E4=misLíneas-2,0,E4+1)))</f>
        <v/>
      </c>
      <c r="F5" s="20" t="str" cm="1">
        <f t="array" aca="1" ref="F5" ca="1">IF(OR(E5=0,E5=""),"",INDEX(misCriticidades,D5)&amp;"-"&amp;IFERROR(MATCH(E5,miOrdenTarjeta,0),0))</f>
        <v/>
      </c>
      <c r="G5" s="19" t="str">
        <f ca="1"/>
        <v/>
      </c>
      <c r="H5" s="20">
        <f t="shared" ca="1" si="11"/>
        <v>1</v>
      </c>
      <c r="I5" s="20">
        <f t="shared" ca="1" si="1"/>
        <v>33</v>
      </c>
      <c r="J5" s="20" cm="1">
        <f t="array" aca="1" ref="J5" ca="1">IF(I5="","",IF(I5&lt;&gt;I4,1,IF(J4=misLíneas-2,0,J4+1)))</f>
        <v>3</v>
      </c>
      <c r="K5" s="20" t="str" cm="1">
        <f t="array" aca="1" ref="K5" ca="1">IF(OR(J5=0,J5=""),"",INDEX(misCriticidades,I5)&amp;"-"&amp;IFERROR(MATCH(J5,miOrdenTarjeta,0),0))</f>
        <v>2-3</v>
      </c>
      <c r="L5" s="19" t="str">
        <f ca="1"/>
        <v/>
      </c>
      <c r="M5" s="20">
        <f t="shared" ca="1" si="12"/>
        <v>1</v>
      </c>
      <c r="N5" s="20" t="str">
        <f t="shared" ca="1" si="2"/>
        <v/>
      </c>
      <c r="O5" s="20" t="str" cm="1">
        <f t="array" aca="1" ref="O5" ca="1">IF(N5="","",IF(N5&lt;&gt;N4,1,IF(O4=misLíneas-2,0,O4+1)))</f>
        <v/>
      </c>
      <c r="P5" s="20" t="str" cm="1">
        <f t="array" aca="1" ref="P5" ca="1">IF(OR(O5=0,O5=""),"",INDEX(misCriticidades,N5)&amp;"-"&amp;IFERROR(MATCH(O5,miOrdenTarjeta,0),0))</f>
        <v/>
      </c>
      <c r="Q5" s="19">
        <f ca="1"/>
        <v>4</v>
      </c>
      <c r="R5" s="20">
        <f t="shared" ca="1" si="13"/>
        <v>1</v>
      </c>
      <c r="S5" s="20">
        <f t="shared" ca="1" si="3"/>
        <v>29</v>
      </c>
      <c r="T5" s="20" cm="1">
        <f t="array" aca="1" ref="T5" ca="1">IF(S5="","",IF(S5&lt;&gt;S4,1,IF(T4=misLíneas-2,0,T4+1)))</f>
        <v>3</v>
      </c>
      <c r="U5" s="20" t="str" cm="1">
        <f t="array" aca="1" ref="U5" ca="1">IF(OR(T5=0,T5=""),"",INDEX(misCriticidades,S5)&amp;"-"&amp;IFERROR(MATCH(T5,miOrdenTarjeta,0),0))</f>
        <v>3-3</v>
      </c>
      <c r="V5" s="19" t="str">
        <f ca="1"/>
        <v/>
      </c>
      <c r="W5" s="20">
        <f t="shared" ca="1" si="14"/>
        <v>1</v>
      </c>
      <c r="X5" s="20" t="str">
        <f t="shared" ca="1" si="4"/>
        <v/>
      </c>
      <c r="Y5" s="20" t="str" cm="1">
        <f t="array" aca="1" ref="Y5" ca="1">IF(X5="","",IF(X5&lt;&gt;X4,1,IF(Y4=misLíneas-2,0,Y4+1)))</f>
        <v/>
      </c>
      <c r="Z5" s="20" t="str" cm="1">
        <f t="array" aca="1" ref="Z5" ca="1">IF(OR(Y5=0,Y5=""),"",INDEX(misCriticidades,X5)&amp;"-"&amp;IFERROR(MATCH(Y5,miOrdenTarjeta,0),0))</f>
        <v/>
      </c>
      <c r="AA5" s="19" t="str">
        <f ca="1"/>
        <v/>
      </c>
      <c r="AB5" s="20">
        <f t="shared" ca="1" si="15"/>
        <v>1</v>
      </c>
      <c r="AC5" s="20" t="str">
        <f t="shared" ca="1" si="5"/>
        <v/>
      </c>
      <c r="AD5" s="20" t="str" cm="1">
        <f t="array" aca="1" ref="AD5" ca="1">IF(AC5="","",IF(AC5&lt;&gt;AC4,1,IF(AD4=misLíneas-2,0,AD4+1)))</f>
        <v/>
      </c>
      <c r="AE5" s="20" t="str" cm="1">
        <f t="array" aca="1" ref="AE5" ca="1">IF(OR(AD5=0,AD5=""),"",INDEX(misCriticidades,AC5)&amp;"-"&amp;IFERROR(MATCH(AD5,miOrdenTarjeta,0),0))</f>
        <v/>
      </c>
      <c r="AF5" s="19" t="str">
        <f ca="1"/>
        <v/>
      </c>
      <c r="AG5" s="20">
        <f t="shared" ca="1" si="16"/>
        <v>1</v>
      </c>
      <c r="AH5" s="20" t="str">
        <f t="shared" ca="1" si="6"/>
        <v/>
      </c>
      <c r="AI5" s="20" t="str" cm="1">
        <f t="array" aca="1" ref="AI5" ca="1">IF(AH5="","",IF(AH5&lt;&gt;AH4,1,IF(AI4=misLíneas-2,0,AI4+1)))</f>
        <v/>
      </c>
      <c r="AJ5" s="20" t="str" cm="1">
        <f t="array" aca="1" ref="AJ5" ca="1">IF(OR(AI5=0,AI5=""),"",INDEX(misCriticidades,AH5)&amp;"-"&amp;IFERROR(MATCH(AI5,miOrdenTarjeta,0),0))</f>
        <v/>
      </c>
      <c r="AK5" s="19" t="str">
        <f ca="1"/>
        <v/>
      </c>
      <c r="AL5" s="20">
        <f t="shared" ca="1" si="17"/>
        <v>1</v>
      </c>
      <c r="AM5" s="20" t="str">
        <f t="shared" ca="1" si="7"/>
        <v/>
      </c>
      <c r="AN5" s="20" t="str" cm="1">
        <f t="array" aca="1" ref="AN5" ca="1">IF(AM5="","",IF(AM5&lt;&gt;AM4,1,IF(AN4=misLíneas-2,0,AN4+1)))</f>
        <v/>
      </c>
      <c r="AO5" s="20" t="str" cm="1">
        <f t="array" aca="1" ref="AO5" ca="1">IF(OR(AN5=0,AN5=""),"",INDEX(misCriticidades,AM5)&amp;"-"&amp;IFERROR(MATCH(AN5,miOrdenTarjeta,0),0))</f>
        <v/>
      </c>
      <c r="AP5" s="19" t="str">
        <f ca="1"/>
        <v/>
      </c>
      <c r="AQ5" s="20">
        <f t="shared" ca="1" si="18"/>
        <v>1</v>
      </c>
      <c r="AR5" s="20" t="str">
        <f t="shared" ca="1" si="8"/>
        <v/>
      </c>
      <c r="AS5" s="20" t="str" cm="1">
        <f t="array" aca="1" ref="AS5" ca="1">IF(AR5="","",IF(AR5&lt;&gt;AR4,1,IF(AS4=misLíneas-2,0,AS4+1)))</f>
        <v/>
      </c>
      <c r="AT5" s="20" t="str" cm="1">
        <f t="array" aca="1" ref="AT5" ca="1">IF(OR(AS5=0,AS5=""),"",INDEX(misCriticidades,AR5)&amp;"-"&amp;IFERROR(MATCH(AS5,miOrdenTarjeta,0),0))</f>
        <v/>
      </c>
      <c r="AU5" s="19" t="str">
        <f ca="1"/>
        <v/>
      </c>
      <c r="AV5" s="20">
        <f t="shared" ca="1" si="19"/>
        <v>1</v>
      </c>
      <c r="AW5" s="20" t="str">
        <f t="shared" ca="1" si="9"/>
        <v/>
      </c>
      <c r="AX5" s="20" t="str" cm="1">
        <f t="array" aca="1" ref="AX5" ca="1">IF(AW5="","",IF(AW5&lt;&gt;AW4,1,IF(AX4=misLíneas-2,0,AX4+1)))</f>
        <v/>
      </c>
      <c r="AY5" s="20" t="str" cm="1">
        <f t="array" aca="1" ref="AY5" ca="1">IF(OR(AX5=0,AX5=""),"",INDEX(misCriticidades,AW5)&amp;"-"&amp;IFERROR(MATCH(AX5,miOrdenTarjeta,0),0))</f>
        <v/>
      </c>
    </row>
    <row r="6" spans="1:51" x14ac:dyDescent="0.25">
      <c r="B6" s="19" t="str">
        <f ca="1"/>
        <v/>
      </c>
      <c r="C6" s="20">
        <f t="shared" ca="1" si="10"/>
        <v>1</v>
      </c>
      <c r="D6" s="20" t="str">
        <f t="shared" ca="1" si="0"/>
        <v/>
      </c>
      <c r="E6" s="20" t="str" cm="1">
        <f t="array" aca="1" ref="E6" ca="1">IF(D6="","",IF(D6&lt;&gt;D5,1,IF(E5=misLíneas-2,0,E5+1)))</f>
        <v/>
      </c>
      <c r="F6" s="20" t="str" cm="1">
        <f t="array" aca="1" ref="F6" ca="1">IF(OR(E6=0,E6=""),"",INDEX(misCriticidades,D6)&amp;"-"&amp;IFERROR(MATCH(E6,miOrdenTarjeta,0),0))</f>
        <v/>
      </c>
      <c r="G6" s="19" t="str">
        <f ca="1"/>
        <v/>
      </c>
      <c r="H6" s="20">
        <f t="shared" ca="1" si="11"/>
        <v>1</v>
      </c>
      <c r="I6" s="20">
        <f t="shared" ca="1" si="1"/>
        <v>33</v>
      </c>
      <c r="J6" s="20" cm="1">
        <f t="array" aca="1" ref="J6" ca="1">IF(I6="","",IF(I6&lt;&gt;I5,1,IF(J5=misLíneas-2,0,J5+1)))</f>
        <v>4</v>
      </c>
      <c r="K6" s="20" t="str" cm="1">
        <f t="array" aca="1" ref="K6" ca="1">IF(OR(J6=0,J6=""),"",INDEX(misCriticidades,I6)&amp;"-"&amp;IFERROR(MATCH(J6,miOrdenTarjeta,0),0))</f>
        <v>2-4</v>
      </c>
      <c r="L6" s="19" t="str">
        <f ca="1"/>
        <v/>
      </c>
      <c r="M6" s="20">
        <f t="shared" ca="1" si="12"/>
        <v>1</v>
      </c>
      <c r="N6" s="20" t="str">
        <f t="shared" ca="1" si="2"/>
        <v/>
      </c>
      <c r="O6" s="20" t="str" cm="1">
        <f t="array" aca="1" ref="O6" ca="1">IF(N6="","",IF(N6&lt;&gt;N5,1,IF(O5=misLíneas-2,0,O5+1)))</f>
        <v/>
      </c>
      <c r="P6" s="20" t="str" cm="1">
        <f t="array" aca="1" ref="P6" ca="1">IF(OR(O6=0,O6=""),"",INDEX(misCriticidades,N6)&amp;"-"&amp;IFERROR(MATCH(O6,miOrdenTarjeta,0),0))</f>
        <v/>
      </c>
      <c r="Q6" s="19">
        <f ca="1"/>
        <v>5</v>
      </c>
      <c r="R6" s="20">
        <f t="shared" ca="1" si="13"/>
        <v>1</v>
      </c>
      <c r="S6" s="20">
        <f t="shared" ca="1" si="3"/>
        <v>29</v>
      </c>
      <c r="T6" s="20" cm="1">
        <f t="array" aca="1" ref="T6" ca="1">IF(S6="","",IF(S6&lt;&gt;S5,1,IF(T5=misLíneas-2,0,T5+1)))</f>
        <v>4</v>
      </c>
      <c r="U6" s="20" t="str" cm="1">
        <f t="array" aca="1" ref="U6" ca="1">IF(OR(T6=0,T6=""),"",INDEX(misCriticidades,S6)&amp;"-"&amp;IFERROR(MATCH(T6,miOrdenTarjeta,0),0))</f>
        <v>3-4</v>
      </c>
      <c r="V6" s="19" t="str">
        <f ca="1"/>
        <v/>
      </c>
      <c r="W6" s="20">
        <f t="shared" ca="1" si="14"/>
        <v>1</v>
      </c>
      <c r="X6" s="20" t="str">
        <f t="shared" ca="1" si="4"/>
        <v/>
      </c>
      <c r="Y6" s="20" t="str" cm="1">
        <f t="array" aca="1" ref="Y6" ca="1">IF(X6="","",IF(X6&lt;&gt;X5,1,IF(Y5=misLíneas-2,0,Y5+1)))</f>
        <v/>
      </c>
      <c r="Z6" s="20" t="str" cm="1">
        <f t="array" aca="1" ref="Z6" ca="1">IF(OR(Y6=0,Y6=""),"",INDEX(misCriticidades,X6)&amp;"-"&amp;IFERROR(MATCH(Y6,miOrdenTarjeta,0),0))</f>
        <v/>
      </c>
      <c r="AA6" s="19" t="str">
        <f ca="1"/>
        <v/>
      </c>
      <c r="AB6" s="20">
        <f t="shared" ca="1" si="15"/>
        <v>1</v>
      </c>
      <c r="AC6" s="20" t="str">
        <f t="shared" ca="1" si="5"/>
        <v/>
      </c>
      <c r="AD6" s="20" t="str" cm="1">
        <f t="array" aca="1" ref="AD6" ca="1">IF(AC6="","",IF(AC6&lt;&gt;AC5,1,IF(AD5=misLíneas-2,0,AD5+1)))</f>
        <v/>
      </c>
      <c r="AE6" s="20" t="str" cm="1">
        <f t="array" aca="1" ref="AE6" ca="1">IF(OR(AD6=0,AD6=""),"",INDEX(misCriticidades,AC6)&amp;"-"&amp;IFERROR(MATCH(AD6,miOrdenTarjeta,0),0))</f>
        <v/>
      </c>
      <c r="AF6" s="19" t="str">
        <f ca="1"/>
        <v/>
      </c>
      <c r="AG6" s="20">
        <f t="shared" ca="1" si="16"/>
        <v>1</v>
      </c>
      <c r="AH6" s="20" t="str">
        <f t="shared" ca="1" si="6"/>
        <v/>
      </c>
      <c r="AI6" s="20" t="str" cm="1">
        <f t="array" aca="1" ref="AI6" ca="1">IF(AH6="","",IF(AH6&lt;&gt;AH5,1,IF(AI5=misLíneas-2,0,AI5+1)))</f>
        <v/>
      </c>
      <c r="AJ6" s="20" t="str" cm="1">
        <f t="array" aca="1" ref="AJ6" ca="1">IF(OR(AI6=0,AI6=""),"",INDEX(misCriticidades,AH6)&amp;"-"&amp;IFERROR(MATCH(AI6,miOrdenTarjeta,0),0))</f>
        <v/>
      </c>
      <c r="AK6" s="19" t="str">
        <f ca="1"/>
        <v/>
      </c>
      <c r="AL6" s="20">
        <f t="shared" ca="1" si="17"/>
        <v>1</v>
      </c>
      <c r="AM6" s="20" t="str">
        <f t="shared" ca="1" si="7"/>
        <v/>
      </c>
      <c r="AN6" s="20" t="str" cm="1">
        <f t="array" aca="1" ref="AN6" ca="1">IF(AM6="","",IF(AM6&lt;&gt;AM5,1,IF(AN5=misLíneas-2,0,AN5+1)))</f>
        <v/>
      </c>
      <c r="AO6" s="20" t="str" cm="1">
        <f t="array" aca="1" ref="AO6" ca="1">IF(OR(AN6=0,AN6=""),"",INDEX(misCriticidades,AM6)&amp;"-"&amp;IFERROR(MATCH(AN6,miOrdenTarjeta,0),0))</f>
        <v/>
      </c>
      <c r="AP6" s="19" t="str">
        <f ca="1"/>
        <v/>
      </c>
      <c r="AQ6" s="20">
        <f t="shared" ca="1" si="18"/>
        <v>1</v>
      </c>
      <c r="AR6" s="20" t="str">
        <f t="shared" ca="1" si="8"/>
        <v/>
      </c>
      <c r="AS6" s="20" t="str" cm="1">
        <f t="array" aca="1" ref="AS6" ca="1">IF(AR6="","",IF(AR6&lt;&gt;AR5,1,IF(AS5=misLíneas-2,0,AS5+1)))</f>
        <v/>
      </c>
      <c r="AT6" s="20" t="str" cm="1">
        <f t="array" aca="1" ref="AT6" ca="1">IF(OR(AS6=0,AS6=""),"",INDEX(misCriticidades,AR6)&amp;"-"&amp;IFERROR(MATCH(AS6,miOrdenTarjeta,0),0))</f>
        <v/>
      </c>
      <c r="AU6" s="19" t="str">
        <f ca="1"/>
        <v/>
      </c>
      <c r="AV6" s="20">
        <f t="shared" ca="1" si="19"/>
        <v>1</v>
      </c>
      <c r="AW6" s="20" t="str">
        <f t="shared" ca="1" si="9"/>
        <v/>
      </c>
      <c r="AX6" s="20" t="str" cm="1">
        <f t="array" aca="1" ref="AX6" ca="1">IF(AW6="","",IF(AW6&lt;&gt;AW5,1,IF(AX5=misLíneas-2,0,AX5+1)))</f>
        <v/>
      </c>
      <c r="AY6" s="20" t="str" cm="1">
        <f t="array" aca="1" ref="AY6" ca="1">IF(OR(AX6=0,AX6=""),"",INDEX(misCriticidades,AW6)&amp;"-"&amp;IFERROR(MATCH(AX6,miOrdenTarjeta,0),0))</f>
        <v/>
      </c>
    </row>
    <row r="7" spans="1:51" x14ac:dyDescent="0.25">
      <c r="B7" s="19" t="str">
        <f ca="1"/>
        <v/>
      </c>
      <c r="C7" s="20">
        <f t="shared" ca="1" si="10"/>
        <v>1</v>
      </c>
      <c r="D7" s="20" t="str">
        <f t="shared" ca="1" si="0"/>
        <v/>
      </c>
      <c r="E7" s="20" t="str" cm="1">
        <f t="array" aca="1" ref="E7" ca="1">IF(D7="","",IF(D7&lt;&gt;D6,1,IF(E6=misLíneas-2,0,E6+1)))</f>
        <v/>
      </c>
      <c r="F7" s="20" t="str" cm="1">
        <f t="array" aca="1" ref="F7" ca="1">IF(OR(E7=0,E7=""),"",INDEX(misCriticidades,D7)&amp;"-"&amp;IFERROR(MATCH(E7,miOrdenTarjeta,0),0))</f>
        <v/>
      </c>
      <c r="G7" s="19" t="str">
        <f ca="1"/>
        <v/>
      </c>
      <c r="H7" s="20">
        <f t="shared" ca="1" si="11"/>
        <v>1</v>
      </c>
      <c r="I7" s="20">
        <f t="shared" ca="1" si="1"/>
        <v>33</v>
      </c>
      <c r="J7" s="20" cm="1">
        <f t="array" aca="1" ref="J7" ca="1">IF(I7="","",IF(I7&lt;&gt;I6,1,IF(J6=misLíneas-2,0,J6+1)))</f>
        <v>5</v>
      </c>
      <c r="K7" s="20" t="str" cm="1">
        <f t="array" aca="1" ref="K7" ca="1">IF(OR(J7=0,J7=""),"",INDEX(misCriticidades,I7)&amp;"-"&amp;IFERROR(MATCH(J7,miOrdenTarjeta,0),0))</f>
        <v>2-5</v>
      </c>
      <c r="L7" s="19" t="str">
        <f ca="1"/>
        <v/>
      </c>
      <c r="M7" s="20">
        <f t="shared" ca="1" si="12"/>
        <v>1</v>
      </c>
      <c r="N7" s="20" t="str">
        <f t="shared" ca="1" si="2"/>
        <v/>
      </c>
      <c r="O7" s="20" t="str" cm="1">
        <f t="array" aca="1" ref="O7" ca="1">IF(N7="","",IF(N7&lt;&gt;N6,1,IF(O6=misLíneas-2,0,O6+1)))</f>
        <v/>
      </c>
      <c r="P7" s="20" t="str" cm="1">
        <f t="array" aca="1" ref="P7" ca="1">IF(OR(O7=0,O7=""),"",INDEX(misCriticidades,N7)&amp;"-"&amp;IFERROR(MATCH(O7,miOrdenTarjeta,0),0))</f>
        <v/>
      </c>
      <c r="Q7" s="19">
        <f ca="1"/>
        <v>6</v>
      </c>
      <c r="R7" s="20">
        <f t="shared" ca="1" si="13"/>
        <v>1</v>
      </c>
      <c r="S7" s="20">
        <f t="shared" ca="1" si="3"/>
        <v>29</v>
      </c>
      <c r="T7" s="20" cm="1">
        <f t="array" aca="1" ref="T7" ca="1">IF(S7="","",IF(S7&lt;&gt;S6,1,IF(T6=misLíneas-2,0,T6+1)))</f>
        <v>5</v>
      </c>
      <c r="U7" s="20" t="str" cm="1">
        <f t="array" aca="1" ref="U7" ca="1">IF(OR(T7=0,T7=""),"",INDEX(misCriticidades,S7)&amp;"-"&amp;IFERROR(MATCH(T7,miOrdenTarjeta,0),0))</f>
        <v>3-5</v>
      </c>
      <c r="V7" s="19" t="str">
        <f ca="1"/>
        <v/>
      </c>
      <c r="W7" s="20">
        <f t="shared" ca="1" si="14"/>
        <v>1</v>
      </c>
      <c r="X7" s="20" t="str">
        <f t="shared" ca="1" si="4"/>
        <v/>
      </c>
      <c r="Y7" s="20" t="str" cm="1">
        <f t="array" aca="1" ref="Y7" ca="1">IF(X7="","",IF(X7&lt;&gt;X6,1,IF(Y6=misLíneas-2,0,Y6+1)))</f>
        <v/>
      </c>
      <c r="Z7" s="20" t="str" cm="1">
        <f t="array" aca="1" ref="Z7" ca="1">IF(OR(Y7=0,Y7=""),"",INDEX(misCriticidades,X7)&amp;"-"&amp;IFERROR(MATCH(Y7,miOrdenTarjeta,0),0))</f>
        <v/>
      </c>
      <c r="AA7" s="19" t="str">
        <f ca="1"/>
        <v/>
      </c>
      <c r="AB7" s="20">
        <f t="shared" ca="1" si="15"/>
        <v>1</v>
      </c>
      <c r="AC7" s="20" t="str">
        <f t="shared" ca="1" si="5"/>
        <v/>
      </c>
      <c r="AD7" s="20" t="str" cm="1">
        <f t="array" aca="1" ref="AD7" ca="1">IF(AC7="","",IF(AC7&lt;&gt;AC6,1,IF(AD6=misLíneas-2,0,AD6+1)))</f>
        <v/>
      </c>
      <c r="AE7" s="20" t="str" cm="1">
        <f t="array" aca="1" ref="AE7" ca="1">IF(OR(AD7=0,AD7=""),"",INDEX(misCriticidades,AC7)&amp;"-"&amp;IFERROR(MATCH(AD7,miOrdenTarjeta,0),0))</f>
        <v/>
      </c>
      <c r="AF7" s="19" t="str">
        <f ca="1"/>
        <v/>
      </c>
      <c r="AG7" s="20">
        <f t="shared" ca="1" si="16"/>
        <v>1</v>
      </c>
      <c r="AH7" s="20" t="str">
        <f t="shared" ca="1" si="6"/>
        <v/>
      </c>
      <c r="AI7" s="20" t="str" cm="1">
        <f t="array" aca="1" ref="AI7" ca="1">IF(AH7="","",IF(AH7&lt;&gt;AH6,1,IF(AI6=misLíneas-2,0,AI6+1)))</f>
        <v/>
      </c>
      <c r="AJ7" s="20" t="str" cm="1">
        <f t="array" aca="1" ref="AJ7" ca="1">IF(OR(AI7=0,AI7=""),"",INDEX(misCriticidades,AH7)&amp;"-"&amp;IFERROR(MATCH(AI7,miOrdenTarjeta,0),0))</f>
        <v/>
      </c>
      <c r="AK7" s="19" t="str">
        <f ca="1"/>
        <v/>
      </c>
      <c r="AL7" s="20">
        <f t="shared" ca="1" si="17"/>
        <v>1</v>
      </c>
      <c r="AM7" s="20" t="str">
        <f t="shared" ca="1" si="7"/>
        <v/>
      </c>
      <c r="AN7" s="20" t="str" cm="1">
        <f t="array" aca="1" ref="AN7" ca="1">IF(AM7="","",IF(AM7&lt;&gt;AM6,1,IF(AN6=misLíneas-2,0,AN6+1)))</f>
        <v/>
      </c>
      <c r="AO7" s="20" t="str" cm="1">
        <f t="array" aca="1" ref="AO7" ca="1">IF(OR(AN7=0,AN7=""),"",INDEX(misCriticidades,AM7)&amp;"-"&amp;IFERROR(MATCH(AN7,miOrdenTarjeta,0),0))</f>
        <v/>
      </c>
      <c r="AP7" s="19" t="str">
        <f ca="1"/>
        <v/>
      </c>
      <c r="AQ7" s="20">
        <f t="shared" ca="1" si="18"/>
        <v>1</v>
      </c>
      <c r="AR7" s="20" t="str">
        <f t="shared" ca="1" si="8"/>
        <v/>
      </c>
      <c r="AS7" s="20" t="str" cm="1">
        <f t="array" aca="1" ref="AS7" ca="1">IF(AR7="","",IF(AR7&lt;&gt;AR6,1,IF(AS6=misLíneas-2,0,AS6+1)))</f>
        <v/>
      </c>
      <c r="AT7" s="20" t="str" cm="1">
        <f t="array" aca="1" ref="AT7" ca="1">IF(OR(AS7=0,AS7=""),"",INDEX(misCriticidades,AR7)&amp;"-"&amp;IFERROR(MATCH(AS7,miOrdenTarjeta,0),0))</f>
        <v/>
      </c>
      <c r="AU7" s="19" t="str">
        <f ca="1"/>
        <v/>
      </c>
      <c r="AV7" s="20">
        <f t="shared" ca="1" si="19"/>
        <v>1</v>
      </c>
      <c r="AW7" s="20" t="str">
        <f t="shared" ca="1" si="9"/>
        <v/>
      </c>
      <c r="AX7" s="20" t="str" cm="1">
        <f t="array" aca="1" ref="AX7" ca="1">IF(AW7="","",IF(AW7&lt;&gt;AW6,1,IF(AX6=misLíneas-2,0,AX6+1)))</f>
        <v/>
      </c>
      <c r="AY7" s="20" t="str" cm="1">
        <f t="array" aca="1" ref="AY7" ca="1">IF(OR(AX7=0,AX7=""),"",INDEX(misCriticidades,AW7)&amp;"-"&amp;IFERROR(MATCH(AX7,miOrdenTarjeta,0),0))</f>
        <v/>
      </c>
    </row>
    <row r="8" spans="1:51" x14ac:dyDescent="0.25">
      <c r="B8" s="19" t="str">
        <f ca="1"/>
        <v/>
      </c>
      <c r="C8" s="20">
        <f t="shared" ca="1" si="10"/>
        <v>1</v>
      </c>
      <c r="D8" s="20" t="str">
        <f t="shared" ca="1" si="0"/>
        <v/>
      </c>
      <c r="E8" s="20" t="str" cm="1">
        <f t="array" aca="1" ref="E8" ca="1">IF(D8="","",IF(D8&lt;&gt;D7,1,IF(E7=misLíneas-2,0,E7+1)))</f>
        <v/>
      </c>
      <c r="F8" s="20" t="str" cm="1">
        <f t="array" aca="1" ref="F8" ca="1">IF(OR(E8=0,E8=""),"",INDEX(misCriticidades,D8)&amp;"-"&amp;IFERROR(MATCH(E8,miOrdenTarjeta,0),0))</f>
        <v/>
      </c>
      <c r="G8" s="19" t="str">
        <f ca="1"/>
        <v/>
      </c>
      <c r="H8" s="20">
        <f t="shared" ca="1" si="11"/>
        <v>1</v>
      </c>
      <c r="I8" s="20">
        <f t="shared" ca="1" si="1"/>
        <v>33</v>
      </c>
      <c r="J8" s="20" cm="1">
        <f t="array" aca="1" ref="J8" ca="1">IF(I8="","",IF(I8&lt;&gt;I7,1,IF(J7=misLíneas-2,0,J7+1)))</f>
        <v>6</v>
      </c>
      <c r="K8" s="20" t="str" cm="1">
        <f t="array" aca="1" ref="K8" ca="1">IF(OR(J8=0,J8=""),"",INDEX(misCriticidades,I8)&amp;"-"&amp;IFERROR(MATCH(J8,miOrdenTarjeta,0),0))</f>
        <v>2-6</v>
      </c>
      <c r="L8" s="19" t="str">
        <f ca="1"/>
        <v/>
      </c>
      <c r="M8" s="20">
        <f t="shared" ca="1" si="12"/>
        <v>1</v>
      </c>
      <c r="N8" s="20" t="str">
        <f t="shared" ca="1" si="2"/>
        <v/>
      </c>
      <c r="O8" s="20" t="str" cm="1">
        <f t="array" aca="1" ref="O8" ca="1">IF(N8="","",IF(N8&lt;&gt;N7,1,IF(O7=misLíneas-2,0,O7+1)))</f>
        <v/>
      </c>
      <c r="P8" s="20" t="str" cm="1">
        <f t="array" aca="1" ref="P8" ca="1">IF(OR(O8=0,O8=""),"",INDEX(misCriticidades,N8)&amp;"-"&amp;IFERROR(MATCH(O8,miOrdenTarjeta,0),0))</f>
        <v/>
      </c>
      <c r="Q8" s="19">
        <f ca="1"/>
        <v>7</v>
      </c>
      <c r="R8" s="20">
        <f t="shared" ca="1" si="13"/>
        <v>1</v>
      </c>
      <c r="S8" s="20">
        <f t="shared" ca="1" si="3"/>
        <v>29</v>
      </c>
      <c r="T8" s="20" cm="1">
        <f t="array" aca="1" ref="T8" ca="1">IF(S8="","",IF(S8&lt;&gt;S7,1,IF(T7=misLíneas-2,0,T7+1)))</f>
        <v>6</v>
      </c>
      <c r="U8" s="20" t="str" cm="1">
        <f t="array" aca="1" ref="U8" ca="1">IF(OR(T8=0,T8=""),"",INDEX(misCriticidades,S8)&amp;"-"&amp;IFERROR(MATCH(T8,miOrdenTarjeta,0),0))</f>
        <v>3-6</v>
      </c>
      <c r="V8" s="19" t="str">
        <f ca="1"/>
        <v/>
      </c>
      <c r="W8" s="20">
        <f t="shared" ca="1" si="14"/>
        <v>1</v>
      </c>
      <c r="X8" s="20" t="str">
        <f t="shared" ca="1" si="4"/>
        <v/>
      </c>
      <c r="Y8" s="20" t="str" cm="1">
        <f t="array" aca="1" ref="Y8" ca="1">IF(X8="","",IF(X8&lt;&gt;X7,1,IF(Y7=misLíneas-2,0,Y7+1)))</f>
        <v/>
      </c>
      <c r="Z8" s="20" t="str" cm="1">
        <f t="array" aca="1" ref="Z8" ca="1">IF(OR(Y8=0,Y8=""),"",INDEX(misCriticidades,X8)&amp;"-"&amp;IFERROR(MATCH(Y8,miOrdenTarjeta,0),0))</f>
        <v/>
      </c>
      <c r="AA8" s="19" t="str">
        <f ca="1"/>
        <v/>
      </c>
      <c r="AB8" s="20">
        <f t="shared" ca="1" si="15"/>
        <v>1</v>
      </c>
      <c r="AC8" s="20" t="str">
        <f t="shared" ca="1" si="5"/>
        <v/>
      </c>
      <c r="AD8" s="20" t="str" cm="1">
        <f t="array" aca="1" ref="AD8" ca="1">IF(AC8="","",IF(AC8&lt;&gt;AC7,1,IF(AD7=misLíneas-2,0,AD7+1)))</f>
        <v/>
      </c>
      <c r="AE8" s="20" t="str" cm="1">
        <f t="array" aca="1" ref="AE8" ca="1">IF(OR(AD8=0,AD8=""),"",INDEX(misCriticidades,AC8)&amp;"-"&amp;IFERROR(MATCH(AD8,miOrdenTarjeta,0),0))</f>
        <v/>
      </c>
      <c r="AF8" s="19" t="str">
        <f ca="1"/>
        <v/>
      </c>
      <c r="AG8" s="20">
        <f t="shared" ca="1" si="16"/>
        <v>1</v>
      </c>
      <c r="AH8" s="20" t="str">
        <f t="shared" ca="1" si="6"/>
        <v/>
      </c>
      <c r="AI8" s="20" t="str" cm="1">
        <f t="array" aca="1" ref="AI8" ca="1">IF(AH8="","",IF(AH8&lt;&gt;AH7,1,IF(AI7=misLíneas-2,0,AI7+1)))</f>
        <v/>
      </c>
      <c r="AJ8" s="20" t="str" cm="1">
        <f t="array" aca="1" ref="AJ8" ca="1">IF(OR(AI8=0,AI8=""),"",INDEX(misCriticidades,AH8)&amp;"-"&amp;IFERROR(MATCH(AI8,miOrdenTarjeta,0),0))</f>
        <v/>
      </c>
      <c r="AK8" s="19" t="str">
        <f ca="1"/>
        <v/>
      </c>
      <c r="AL8" s="20">
        <f t="shared" ca="1" si="17"/>
        <v>1</v>
      </c>
      <c r="AM8" s="20" t="str">
        <f t="shared" ca="1" si="7"/>
        <v/>
      </c>
      <c r="AN8" s="20" t="str" cm="1">
        <f t="array" aca="1" ref="AN8" ca="1">IF(AM8="","",IF(AM8&lt;&gt;AM7,1,IF(AN7=misLíneas-2,0,AN7+1)))</f>
        <v/>
      </c>
      <c r="AO8" s="20" t="str" cm="1">
        <f t="array" aca="1" ref="AO8" ca="1">IF(OR(AN8=0,AN8=""),"",INDEX(misCriticidades,AM8)&amp;"-"&amp;IFERROR(MATCH(AN8,miOrdenTarjeta,0),0))</f>
        <v/>
      </c>
      <c r="AP8" s="19" t="str">
        <f ca="1"/>
        <v/>
      </c>
      <c r="AQ8" s="20">
        <f t="shared" ca="1" si="18"/>
        <v>1</v>
      </c>
      <c r="AR8" s="20" t="str">
        <f t="shared" ca="1" si="8"/>
        <v/>
      </c>
      <c r="AS8" s="20" t="str" cm="1">
        <f t="array" aca="1" ref="AS8" ca="1">IF(AR8="","",IF(AR8&lt;&gt;AR7,1,IF(AS7=misLíneas-2,0,AS7+1)))</f>
        <v/>
      </c>
      <c r="AT8" s="20" t="str" cm="1">
        <f t="array" aca="1" ref="AT8" ca="1">IF(OR(AS8=0,AS8=""),"",INDEX(misCriticidades,AR8)&amp;"-"&amp;IFERROR(MATCH(AS8,miOrdenTarjeta,0),0))</f>
        <v/>
      </c>
      <c r="AU8" s="19" t="str">
        <f ca="1"/>
        <v/>
      </c>
      <c r="AV8" s="20">
        <f t="shared" ca="1" si="19"/>
        <v>1</v>
      </c>
      <c r="AW8" s="20" t="str">
        <f t="shared" ca="1" si="9"/>
        <v/>
      </c>
      <c r="AX8" s="20" t="str" cm="1">
        <f t="array" aca="1" ref="AX8" ca="1">IF(AW8="","",IF(AW8&lt;&gt;AW7,1,IF(AX7=misLíneas-2,0,AX7+1)))</f>
        <v/>
      </c>
      <c r="AY8" s="20" t="str" cm="1">
        <f t="array" aca="1" ref="AY8" ca="1">IF(OR(AX8=0,AX8=""),"",INDEX(misCriticidades,AW8)&amp;"-"&amp;IFERROR(MATCH(AX8,miOrdenTarjeta,0),0))</f>
        <v/>
      </c>
    </row>
    <row r="9" spans="1:51" x14ac:dyDescent="0.25">
      <c r="B9" s="19" t="str">
        <f ca="1"/>
        <v/>
      </c>
      <c r="C9" s="20">
        <f t="shared" ca="1" si="10"/>
        <v>1</v>
      </c>
      <c r="D9" s="20" t="str">
        <f t="shared" ca="1" si="0"/>
        <v/>
      </c>
      <c r="E9" s="20" t="str" cm="1">
        <f t="array" aca="1" ref="E9" ca="1">IF(D9="","",IF(D9&lt;&gt;D8,1,IF(E8=misLíneas-2,0,E8+1)))</f>
        <v/>
      </c>
      <c r="F9" s="20" t="str" cm="1">
        <f t="array" aca="1" ref="F9" ca="1">IF(OR(E9=0,E9=""),"",INDEX(misCriticidades,D9)&amp;"-"&amp;IFERROR(MATCH(E9,miOrdenTarjeta,0),0))</f>
        <v/>
      </c>
      <c r="G9" s="19" t="str">
        <f ca="1"/>
        <v/>
      </c>
      <c r="H9" s="20">
        <f t="shared" ca="1" si="11"/>
        <v>1</v>
      </c>
      <c r="I9" s="20">
        <f t="shared" ca="1" si="1"/>
        <v>33</v>
      </c>
      <c r="J9" s="20" cm="1">
        <f t="array" aca="1" ref="J9" ca="1">IF(I9="","",IF(I9&lt;&gt;I8,1,IF(J8=misLíneas-2,0,J8+1)))</f>
        <v>7</v>
      </c>
      <c r="K9" s="20" t="str" cm="1">
        <f t="array" aca="1" ref="K9" ca="1">IF(OR(J9=0,J9=""),"",INDEX(misCriticidades,I9)&amp;"-"&amp;IFERROR(MATCH(J9,miOrdenTarjeta,0),0))</f>
        <v>2-7</v>
      </c>
      <c r="L9" s="19" t="str">
        <f ca="1"/>
        <v/>
      </c>
      <c r="M9" s="20">
        <f t="shared" ca="1" si="12"/>
        <v>1</v>
      </c>
      <c r="N9" s="20" t="str">
        <f t="shared" ca="1" si="2"/>
        <v/>
      </c>
      <c r="O9" s="20" t="str" cm="1">
        <f t="array" aca="1" ref="O9" ca="1">IF(N9="","",IF(N9&lt;&gt;N8,1,IF(O8=misLíneas-2,0,O8+1)))</f>
        <v/>
      </c>
      <c r="P9" s="20" t="str" cm="1">
        <f t="array" aca="1" ref="P9" ca="1">IF(OR(O9=0,O9=""),"",INDEX(misCriticidades,N9)&amp;"-"&amp;IFERROR(MATCH(O9,miOrdenTarjeta,0),0))</f>
        <v/>
      </c>
      <c r="Q9" s="19">
        <f ca="1"/>
        <v>8</v>
      </c>
      <c r="R9" s="20">
        <f t="shared" ca="1" si="13"/>
        <v>1</v>
      </c>
      <c r="S9" s="20">
        <f t="shared" ca="1" si="3"/>
        <v>29</v>
      </c>
      <c r="T9" s="20" cm="1">
        <f t="array" aca="1" ref="T9" ca="1">IF(S9="","",IF(S9&lt;&gt;S8,1,IF(T8=misLíneas-2,0,T8+1)))</f>
        <v>7</v>
      </c>
      <c r="U9" s="20" t="str" cm="1">
        <f t="array" aca="1" ref="U9" ca="1">IF(OR(T9=0,T9=""),"",INDEX(misCriticidades,S9)&amp;"-"&amp;IFERROR(MATCH(T9,miOrdenTarjeta,0),0))</f>
        <v>3-7</v>
      </c>
      <c r="V9" s="19" t="str">
        <f ca="1"/>
        <v/>
      </c>
      <c r="W9" s="20">
        <f t="shared" ca="1" si="14"/>
        <v>1</v>
      </c>
      <c r="X9" s="20" t="str">
        <f t="shared" ca="1" si="4"/>
        <v/>
      </c>
      <c r="Y9" s="20" t="str" cm="1">
        <f t="array" aca="1" ref="Y9" ca="1">IF(X9="","",IF(X9&lt;&gt;X8,1,IF(Y8=misLíneas-2,0,Y8+1)))</f>
        <v/>
      </c>
      <c r="Z9" s="20" t="str" cm="1">
        <f t="array" aca="1" ref="Z9" ca="1">IF(OR(Y9=0,Y9=""),"",INDEX(misCriticidades,X9)&amp;"-"&amp;IFERROR(MATCH(Y9,miOrdenTarjeta,0),0))</f>
        <v/>
      </c>
      <c r="AA9" s="19" t="str">
        <f ca="1"/>
        <v/>
      </c>
      <c r="AB9" s="20">
        <f t="shared" ca="1" si="15"/>
        <v>1</v>
      </c>
      <c r="AC9" s="20" t="str">
        <f t="shared" ca="1" si="5"/>
        <v/>
      </c>
      <c r="AD9" s="20" t="str" cm="1">
        <f t="array" aca="1" ref="AD9" ca="1">IF(AC9="","",IF(AC9&lt;&gt;AC8,1,IF(AD8=misLíneas-2,0,AD8+1)))</f>
        <v/>
      </c>
      <c r="AE9" s="20" t="str" cm="1">
        <f t="array" aca="1" ref="AE9" ca="1">IF(OR(AD9=0,AD9=""),"",INDEX(misCriticidades,AC9)&amp;"-"&amp;IFERROR(MATCH(AD9,miOrdenTarjeta,0),0))</f>
        <v/>
      </c>
      <c r="AF9" s="19" t="str">
        <f ca="1"/>
        <v/>
      </c>
      <c r="AG9" s="20">
        <f t="shared" ca="1" si="16"/>
        <v>1</v>
      </c>
      <c r="AH9" s="20" t="str">
        <f t="shared" ca="1" si="6"/>
        <v/>
      </c>
      <c r="AI9" s="20" t="str" cm="1">
        <f t="array" aca="1" ref="AI9" ca="1">IF(AH9="","",IF(AH9&lt;&gt;AH8,1,IF(AI8=misLíneas-2,0,AI8+1)))</f>
        <v/>
      </c>
      <c r="AJ9" s="20" t="str" cm="1">
        <f t="array" aca="1" ref="AJ9" ca="1">IF(OR(AI9=0,AI9=""),"",INDEX(misCriticidades,AH9)&amp;"-"&amp;IFERROR(MATCH(AI9,miOrdenTarjeta,0),0))</f>
        <v/>
      </c>
      <c r="AK9" s="19" t="str">
        <f ca="1"/>
        <v/>
      </c>
      <c r="AL9" s="20">
        <f t="shared" ca="1" si="17"/>
        <v>1</v>
      </c>
      <c r="AM9" s="20" t="str">
        <f t="shared" ca="1" si="7"/>
        <v/>
      </c>
      <c r="AN9" s="20" t="str" cm="1">
        <f t="array" aca="1" ref="AN9" ca="1">IF(AM9="","",IF(AM9&lt;&gt;AM8,1,IF(AN8=misLíneas-2,0,AN8+1)))</f>
        <v/>
      </c>
      <c r="AO9" s="20" t="str" cm="1">
        <f t="array" aca="1" ref="AO9" ca="1">IF(OR(AN9=0,AN9=""),"",INDEX(misCriticidades,AM9)&amp;"-"&amp;IFERROR(MATCH(AN9,miOrdenTarjeta,0),0))</f>
        <v/>
      </c>
      <c r="AP9" s="19" t="str">
        <f ca="1"/>
        <v/>
      </c>
      <c r="AQ9" s="20">
        <f t="shared" ca="1" si="18"/>
        <v>1</v>
      </c>
      <c r="AR9" s="20" t="str">
        <f t="shared" ca="1" si="8"/>
        <v/>
      </c>
      <c r="AS9" s="20" t="str" cm="1">
        <f t="array" aca="1" ref="AS9" ca="1">IF(AR9="","",IF(AR9&lt;&gt;AR8,1,IF(AS8=misLíneas-2,0,AS8+1)))</f>
        <v/>
      </c>
      <c r="AT9" s="20" t="str" cm="1">
        <f t="array" aca="1" ref="AT9" ca="1">IF(OR(AS9=0,AS9=""),"",INDEX(misCriticidades,AR9)&amp;"-"&amp;IFERROR(MATCH(AS9,miOrdenTarjeta,0),0))</f>
        <v/>
      </c>
      <c r="AU9" s="19" t="str">
        <f ca="1"/>
        <v/>
      </c>
      <c r="AV9" s="20">
        <f t="shared" ca="1" si="19"/>
        <v>1</v>
      </c>
      <c r="AW9" s="20" t="str">
        <f t="shared" ca="1" si="9"/>
        <v/>
      </c>
      <c r="AX9" s="20" t="str" cm="1">
        <f t="array" aca="1" ref="AX9" ca="1">IF(AW9="","",IF(AW9&lt;&gt;AW8,1,IF(AX8=misLíneas-2,0,AX8+1)))</f>
        <v/>
      </c>
      <c r="AY9" s="20" t="str" cm="1">
        <f t="array" aca="1" ref="AY9" ca="1">IF(OR(AX9=0,AX9=""),"",INDEX(misCriticidades,AW9)&amp;"-"&amp;IFERROR(MATCH(AX9,miOrdenTarjeta,0),0))</f>
        <v/>
      </c>
    </row>
    <row r="10" spans="1:51" x14ac:dyDescent="0.25">
      <c r="B10" s="19" t="str">
        <f ca="1"/>
        <v/>
      </c>
      <c r="C10" s="20">
        <f ca="1">C9--(E9=0)</f>
        <v>1</v>
      </c>
      <c r="D10" s="20" t="str">
        <f t="shared" ca="1" si="0"/>
        <v/>
      </c>
      <c r="E10" s="20" t="str" cm="1">
        <f t="array" aca="1" ref="E10" ca="1">IF(D10="","",IF(D10&lt;&gt;D9,1,IF(E9=misLíneas-2,0,E9+1)))</f>
        <v/>
      </c>
      <c r="F10" s="20" t="str" cm="1">
        <f t="array" aca="1" ref="F10" ca="1">IF(OR(E10=0,E10=""),"",INDEX(misCriticidades,D10)&amp;"-"&amp;IFERROR(MATCH(E10,miOrdenTarjeta,0),0))</f>
        <v/>
      </c>
      <c r="G10" s="19" t="str">
        <f ca="1"/>
        <v/>
      </c>
      <c r="H10" s="20">
        <f t="shared" ca="1" si="11"/>
        <v>1</v>
      </c>
      <c r="I10" s="20">
        <f t="shared" ca="1" si="1"/>
        <v>33</v>
      </c>
      <c r="J10" s="20" cm="1">
        <f t="array" aca="1" ref="J10" ca="1">IF(I10="","",IF(I10&lt;&gt;I9,1,IF(J9=misLíneas-2,0,J9+1)))</f>
        <v>8</v>
      </c>
      <c r="K10" s="20" t="str" cm="1">
        <f t="array" aca="1" ref="K10" ca="1">IF(OR(J10=0,J10=""),"",INDEX(misCriticidades,I10)&amp;"-"&amp;IFERROR(MATCH(J10,miOrdenTarjeta,0),0))</f>
        <v>2-8</v>
      </c>
      <c r="L10" s="19" t="str">
        <f ca="1"/>
        <v/>
      </c>
      <c r="M10" s="20">
        <f t="shared" ca="1" si="12"/>
        <v>1</v>
      </c>
      <c r="N10" s="20" t="str">
        <f t="shared" ca="1" si="2"/>
        <v/>
      </c>
      <c r="O10" s="20" t="str" cm="1">
        <f t="array" aca="1" ref="O10" ca="1">IF(N10="","",IF(N10&lt;&gt;N9,1,IF(O9=misLíneas-2,0,O9+1)))</f>
        <v/>
      </c>
      <c r="P10" s="20" t="str" cm="1">
        <f t="array" aca="1" ref="P10" ca="1">IF(OR(O10=0,O10=""),"",INDEX(misCriticidades,N10)&amp;"-"&amp;IFERROR(MATCH(O10,miOrdenTarjeta,0),0))</f>
        <v/>
      </c>
      <c r="Q10" s="19">
        <f ca="1"/>
        <v>9</v>
      </c>
      <c r="R10" s="20">
        <f t="shared" ca="1" si="13"/>
        <v>1</v>
      </c>
      <c r="S10" s="20">
        <f t="shared" ca="1" si="3"/>
        <v>29</v>
      </c>
      <c r="T10" s="20" cm="1">
        <f t="array" aca="1" ref="T10" ca="1">IF(S10="","",IF(S10&lt;&gt;S9,1,IF(T9=misLíneas-2,0,T9+1)))</f>
        <v>8</v>
      </c>
      <c r="U10" s="20" t="str" cm="1">
        <f t="array" aca="1" ref="U10" ca="1">IF(OR(T10=0,T10=""),"",INDEX(misCriticidades,S10)&amp;"-"&amp;IFERROR(MATCH(T10,miOrdenTarjeta,0),0))</f>
        <v>3-8</v>
      </c>
      <c r="V10" s="19" t="str">
        <f ca="1"/>
        <v/>
      </c>
      <c r="W10" s="20">
        <f t="shared" ca="1" si="14"/>
        <v>1</v>
      </c>
      <c r="X10" s="20" t="str">
        <f t="shared" ca="1" si="4"/>
        <v/>
      </c>
      <c r="Y10" s="20" t="str" cm="1">
        <f t="array" aca="1" ref="Y10" ca="1">IF(X10="","",IF(X10&lt;&gt;X9,1,IF(Y9=misLíneas-2,0,Y9+1)))</f>
        <v/>
      </c>
      <c r="Z10" s="20" t="str" cm="1">
        <f t="array" aca="1" ref="Z10" ca="1">IF(OR(Y10=0,Y10=""),"",INDEX(misCriticidades,X10)&amp;"-"&amp;IFERROR(MATCH(Y10,miOrdenTarjeta,0),0))</f>
        <v/>
      </c>
      <c r="AA10" s="19" t="str">
        <f ca="1"/>
        <v/>
      </c>
      <c r="AB10" s="20">
        <f t="shared" ca="1" si="15"/>
        <v>1</v>
      </c>
      <c r="AC10" s="20" t="str">
        <f t="shared" ca="1" si="5"/>
        <v/>
      </c>
      <c r="AD10" s="20" t="str" cm="1">
        <f t="array" aca="1" ref="AD10" ca="1">IF(AC10="","",IF(AC10&lt;&gt;AC9,1,IF(AD9=misLíneas-2,0,AD9+1)))</f>
        <v/>
      </c>
      <c r="AE10" s="20" t="str" cm="1">
        <f t="array" aca="1" ref="AE10" ca="1">IF(OR(AD10=0,AD10=""),"",INDEX(misCriticidades,AC10)&amp;"-"&amp;IFERROR(MATCH(AD10,miOrdenTarjeta,0),0))</f>
        <v/>
      </c>
      <c r="AF10" s="19" t="str">
        <f ca="1"/>
        <v/>
      </c>
      <c r="AG10" s="20">
        <f t="shared" ca="1" si="16"/>
        <v>1</v>
      </c>
      <c r="AH10" s="20" t="str">
        <f t="shared" ca="1" si="6"/>
        <v/>
      </c>
      <c r="AI10" s="20" t="str" cm="1">
        <f t="array" aca="1" ref="AI10" ca="1">IF(AH10="","",IF(AH10&lt;&gt;AH9,1,IF(AI9=misLíneas-2,0,AI9+1)))</f>
        <v/>
      </c>
      <c r="AJ10" s="20" t="str" cm="1">
        <f t="array" aca="1" ref="AJ10" ca="1">IF(OR(AI10=0,AI10=""),"",INDEX(misCriticidades,AH10)&amp;"-"&amp;IFERROR(MATCH(AI10,miOrdenTarjeta,0),0))</f>
        <v/>
      </c>
      <c r="AK10" s="19" t="str">
        <f ca="1"/>
        <v/>
      </c>
      <c r="AL10" s="20">
        <f t="shared" ca="1" si="17"/>
        <v>1</v>
      </c>
      <c r="AM10" s="20" t="str">
        <f t="shared" ca="1" si="7"/>
        <v/>
      </c>
      <c r="AN10" s="20" t="str" cm="1">
        <f t="array" aca="1" ref="AN10" ca="1">IF(AM10="","",IF(AM10&lt;&gt;AM9,1,IF(AN9=misLíneas-2,0,AN9+1)))</f>
        <v/>
      </c>
      <c r="AO10" s="20" t="str" cm="1">
        <f t="array" aca="1" ref="AO10" ca="1">IF(OR(AN10=0,AN10=""),"",INDEX(misCriticidades,AM10)&amp;"-"&amp;IFERROR(MATCH(AN10,miOrdenTarjeta,0),0))</f>
        <v/>
      </c>
      <c r="AP10" s="19" t="str">
        <f ca="1"/>
        <v/>
      </c>
      <c r="AQ10" s="20">
        <f t="shared" ca="1" si="18"/>
        <v>1</v>
      </c>
      <c r="AR10" s="20" t="str">
        <f t="shared" ca="1" si="8"/>
        <v/>
      </c>
      <c r="AS10" s="20" t="str" cm="1">
        <f t="array" aca="1" ref="AS10" ca="1">IF(AR10="","",IF(AR10&lt;&gt;AR9,1,IF(AS9=misLíneas-2,0,AS9+1)))</f>
        <v/>
      </c>
      <c r="AT10" s="20" t="str" cm="1">
        <f t="array" aca="1" ref="AT10" ca="1">IF(OR(AS10=0,AS10=""),"",INDEX(misCriticidades,AR10)&amp;"-"&amp;IFERROR(MATCH(AS10,miOrdenTarjeta,0),0))</f>
        <v/>
      </c>
      <c r="AU10" s="19" t="str">
        <f ca="1"/>
        <v/>
      </c>
      <c r="AV10" s="20">
        <f t="shared" ca="1" si="19"/>
        <v>1</v>
      </c>
      <c r="AW10" s="20" t="str">
        <f t="shared" ca="1" si="9"/>
        <v/>
      </c>
      <c r="AX10" s="20" t="str" cm="1">
        <f t="array" aca="1" ref="AX10" ca="1">IF(AW10="","",IF(AW10&lt;&gt;AW9,1,IF(AX9=misLíneas-2,0,AX9+1)))</f>
        <v/>
      </c>
      <c r="AY10" s="20" t="str" cm="1">
        <f t="array" aca="1" ref="AY10" ca="1">IF(OR(AX10=0,AX10=""),"",INDEX(misCriticidades,AW10)&amp;"-"&amp;IFERROR(MATCH(AX10,miOrdenTarjeta,0),0))</f>
        <v/>
      </c>
    </row>
    <row r="11" spans="1:51" x14ac:dyDescent="0.25">
      <c r="B11" s="19" t="str">
        <f ca="1"/>
        <v/>
      </c>
      <c r="C11" s="20">
        <f t="shared" ref="C11:C74" ca="1" si="20">C10--(E10=0)</f>
        <v>1</v>
      </c>
      <c r="D11" s="20" t="str">
        <f t="shared" ca="1" si="0"/>
        <v/>
      </c>
      <c r="E11" s="20" t="str" cm="1">
        <f t="array" aca="1" ref="E11" ca="1">IF(D11="","",IF(D11&lt;&gt;D10,1,IF(E10=misLíneas-2,0,E10+1)))</f>
        <v/>
      </c>
      <c r="F11" s="20" t="str" cm="1">
        <f t="array" aca="1" ref="F11" ca="1">IF(OR(E11=0,E11=""),"",INDEX(misCriticidades,D11)&amp;"-"&amp;IFERROR(MATCH(E11,miOrdenTarjeta,0),0))</f>
        <v/>
      </c>
      <c r="G11" s="19">
        <f ca="1"/>
        <v>10</v>
      </c>
      <c r="H11" s="20">
        <f t="shared" ca="1" si="11"/>
        <v>1</v>
      </c>
      <c r="I11" s="20">
        <f t="shared" ca="1" si="1"/>
        <v>33</v>
      </c>
      <c r="J11" s="20" cm="1">
        <f t="array" aca="1" ref="J11" ca="1">IF(I11="","",IF(I11&lt;&gt;I10,1,IF(J10=misLíneas-2,0,J10+1)))</f>
        <v>9</v>
      </c>
      <c r="K11" s="20" t="str" cm="1">
        <f t="array" aca="1" ref="K11" ca="1">IF(OR(J11=0,J11=""),"",INDEX(misCriticidades,I11)&amp;"-"&amp;IFERROR(MATCH(J11,miOrdenTarjeta,0),0))</f>
        <v>2-0</v>
      </c>
      <c r="L11" s="19" t="str">
        <f ca="1"/>
        <v/>
      </c>
      <c r="M11" s="20">
        <f t="shared" ca="1" si="12"/>
        <v>1</v>
      </c>
      <c r="N11" s="20" t="str">
        <f t="shared" ca="1" si="2"/>
        <v/>
      </c>
      <c r="O11" s="20" t="str" cm="1">
        <f t="array" aca="1" ref="O11" ca="1">IF(N11="","",IF(N11&lt;&gt;N10,1,IF(O10=misLíneas-2,0,O10+1)))</f>
        <v/>
      </c>
      <c r="P11" s="20" t="str" cm="1">
        <f t="array" aca="1" ref="P11" ca="1">IF(OR(O11=0,O11=""),"",INDEX(misCriticidades,N11)&amp;"-"&amp;IFERROR(MATCH(O11,miOrdenTarjeta,0),0))</f>
        <v/>
      </c>
      <c r="Q11" s="19" t="str">
        <f ca="1"/>
        <v/>
      </c>
      <c r="R11" s="20">
        <f t="shared" ca="1" si="13"/>
        <v>1</v>
      </c>
      <c r="S11" s="20">
        <f t="shared" ca="1" si="3"/>
        <v>29</v>
      </c>
      <c r="T11" s="20" cm="1">
        <f t="array" aca="1" ref="T11" ca="1">IF(S11="","",IF(S11&lt;&gt;S10,1,IF(T10=misLíneas-2,0,T10+1)))</f>
        <v>9</v>
      </c>
      <c r="U11" s="20" t="str" cm="1">
        <f t="array" aca="1" ref="U11" ca="1">IF(OR(T11=0,T11=""),"",INDEX(misCriticidades,S11)&amp;"-"&amp;IFERROR(MATCH(T11,miOrdenTarjeta,0),0))</f>
        <v>3-0</v>
      </c>
      <c r="V11" s="19" t="str">
        <f ca="1"/>
        <v/>
      </c>
      <c r="W11" s="20">
        <f t="shared" ca="1" si="14"/>
        <v>1</v>
      </c>
      <c r="X11" s="20" t="str">
        <f t="shared" ca="1" si="4"/>
        <v/>
      </c>
      <c r="Y11" s="20" t="str" cm="1">
        <f t="array" aca="1" ref="Y11" ca="1">IF(X11="","",IF(X11&lt;&gt;X10,1,IF(Y10=misLíneas-2,0,Y10+1)))</f>
        <v/>
      </c>
      <c r="Z11" s="20" t="str" cm="1">
        <f t="array" aca="1" ref="Z11" ca="1">IF(OR(Y11=0,Y11=""),"",INDEX(misCriticidades,X11)&amp;"-"&amp;IFERROR(MATCH(Y11,miOrdenTarjeta,0),0))</f>
        <v/>
      </c>
      <c r="AA11" s="19" t="str">
        <f ca="1"/>
        <v/>
      </c>
      <c r="AB11" s="20">
        <f t="shared" ca="1" si="15"/>
        <v>1</v>
      </c>
      <c r="AC11" s="20" t="str">
        <f t="shared" ca="1" si="5"/>
        <v/>
      </c>
      <c r="AD11" s="20" t="str" cm="1">
        <f t="array" aca="1" ref="AD11" ca="1">IF(AC11="","",IF(AC11&lt;&gt;AC10,1,IF(AD10=misLíneas-2,0,AD10+1)))</f>
        <v/>
      </c>
      <c r="AE11" s="20" t="str" cm="1">
        <f t="array" aca="1" ref="AE11" ca="1">IF(OR(AD11=0,AD11=""),"",INDEX(misCriticidades,AC11)&amp;"-"&amp;IFERROR(MATCH(AD11,miOrdenTarjeta,0),0))</f>
        <v/>
      </c>
      <c r="AF11" s="19" t="str">
        <f ca="1"/>
        <v/>
      </c>
      <c r="AG11" s="20">
        <f t="shared" ca="1" si="16"/>
        <v>1</v>
      </c>
      <c r="AH11" s="20" t="str">
        <f t="shared" ca="1" si="6"/>
        <v/>
      </c>
      <c r="AI11" s="20" t="str" cm="1">
        <f t="array" aca="1" ref="AI11" ca="1">IF(AH11="","",IF(AH11&lt;&gt;AH10,1,IF(AI10=misLíneas-2,0,AI10+1)))</f>
        <v/>
      </c>
      <c r="AJ11" s="20" t="str" cm="1">
        <f t="array" aca="1" ref="AJ11" ca="1">IF(OR(AI11=0,AI11=""),"",INDEX(misCriticidades,AH11)&amp;"-"&amp;IFERROR(MATCH(AI11,miOrdenTarjeta,0),0))</f>
        <v/>
      </c>
      <c r="AK11" s="19" t="str">
        <f ca="1"/>
        <v/>
      </c>
      <c r="AL11" s="20">
        <f t="shared" ca="1" si="17"/>
        <v>1</v>
      </c>
      <c r="AM11" s="20" t="str">
        <f t="shared" ca="1" si="7"/>
        <v/>
      </c>
      <c r="AN11" s="20" t="str" cm="1">
        <f t="array" aca="1" ref="AN11" ca="1">IF(AM11="","",IF(AM11&lt;&gt;AM10,1,IF(AN10=misLíneas-2,0,AN10+1)))</f>
        <v/>
      </c>
      <c r="AO11" s="20" t="str" cm="1">
        <f t="array" aca="1" ref="AO11" ca="1">IF(OR(AN11=0,AN11=""),"",INDEX(misCriticidades,AM11)&amp;"-"&amp;IFERROR(MATCH(AN11,miOrdenTarjeta,0),0))</f>
        <v/>
      </c>
      <c r="AP11" s="19" t="str">
        <f ca="1"/>
        <v/>
      </c>
      <c r="AQ11" s="20">
        <f t="shared" ca="1" si="18"/>
        <v>1</v>
      </c>
      <c r="AR11" s="20" t="str">
        <f t="shared" ca="1" si="8"/>
        <v/>
      </c>
      <c r="AS11" s="20" t="str" cm="1">
        <f t="array" aca="1" ref="AS11" ca="1">IF(AR11="","",IF(AR11&lt;&gt;AR10,1,IF(AS10=misLíneas-2,0,AS10+1)))</f>
        <v/>
      </c>
      <c r="AT11" s="20" t="str" cm="1">
        <f t="array" aca="1" ref="AT11" ca="1">IF(OR(AS11=0,AS11=""),"",INDEX(misCriticidades,AR11)&amp;"-"&amp;IFERROR(MATCH(AS11,miOrdenTarjeta,0),0))</f>
        <v/>
      </c>
      <c r="AU11" s="19" t="str">
        <f ca="1"/>
        <v/>
      </c>
      <c r="AV11" s="20">
        <f t="shared" ca="1" si="19"/>
        <v>1</v>
      </c>
      <c r="AW11" s="20" t="str">
        <f t="shared" ca="1" si="9"/>
        <v/>
      </c>
      <c r="AX11" s="20" t="str" cm="1">
        <f t="array" aca="1" ref="AX11" ca="1">IF(AW11="","",IF(AW11&lt;&gt;AW10,1,IF(AX10=misLíneas-2,0,AX10+1)))</f>
        <v/>
      </c>
      <c r="AY11" s="20" t="str" cm="1">
        <f t="array" aca="1" ref="AY11" ca="1">IF(OR(AX11=0,AX11=""),"",INDEX(misCriticidades,AW11)&amp;"-"&amp;IFERROR(MATCH(AX11,miOrdenTarjeta,0),0))</f>
        <v/>
      </c>
    </row>
    <row r="12" spans="1:51" x14ac:dyDescent="0.25">
      <c r="B12" s="19" t="str">
        <f ca="1"/>
        <v/>
      </c>
      <c r="C12" s="20">
        <f t="shared" ca="1" si="20"/>
        <v>1</v>
      </c>
      <c r="D12" s="20" t="str">
        <f t="shared" ca="1" si="0"/>
        <v/>
      </c>
      <c r="E12" s="20" t="str" cm="1">
        <f t="array" aca="1" ref="E12" ca="1">IF(D12="","",IF(D12&lt;&gt;D11,1,IF(E11=misLíneas-2,0,E11+1)))</f>
        <v/>
      </c>
      <c r="F12" s="20" t="str" cm="1">
        <f t="array" aca="1" ref="F12" ca="1">IF(OR(E12=0,E12=""),"",INDEX(misCriticidades,D12)&amp;"-"&amp;IFERROR(MATCH(E12,miOrdenTarjeta,0),0))</f>
        <v/>
      </c>
      <c r="G12" s="19" t="str">
        <f ca="1"/>
        <v/>
      </c>
      <c r="H12" s="20">
        <f t="shared" ca="1" si="11"/>
        <v>1</v>
      </c>
      <c r="I12" s="20">
        <f t="shared" ca="1" si="1"/>
        <v>33</v>
      </c>
      <c r="J12" s="20" cm="1">
        <f t="array" aca="1" ref="J12" ca="1">IF(I12="","",IF(I12&lt;&gt;I11,1,IF(J11=misLíneas-2,0,J11+1)))</f>
        <v>0</v>
      </c>
      <c r="K12" s="20" t="str" cm="1">
        <f t="array" aca="1" ref="K12" ca="1">IF(OR(J12=0,J12=""),"",INDEX(misCriticidades,I12)&amp;"-"&amp;IFERROR(MATCH(J12,miOrdenTarjeta,0),0))</f>
        <v/>
      </c>
      <c r="L12" s="19" t="str">
        <f ca="1"/>
        <v/>
      </c>
      <c r="M12" s="20">
        <f t="shared" ca="1" si="12"/>
        <v>1</v>
      </c>
      <c r="N12" s="20" t="str">
        <f t="shared" ca="1" si="2"/>
        <v/>
      </c>
      <c r="O12" s="20" t="str" cm="1">
        <f t="array" aca="1" ref="O12" ca="1">IF(N12="","",IF(N12&lt;&gt;N11,1,IF(O11=misLíneas-2,0,O11+1)))</f>
        <v/>
      </c>
      <c r="P12" s="20" t="str" cm="1">
        <f t="array" aca="1" ref="P12" ca="1">IF(OR(O12=0,O12=""),"",INDEX(misCriticidades,N12)&amp;"-"&amp;IFERROR(MATCH(O12,miOrdenTarjeta,0),0))</f>
        <v/>
      </c>
      <c r="Q12" s="19">
        <f ca="1"/>
        <v>11</v>
      </c>
      <c r="R12" s="20">
        <f t="shared" ca="1" si="13"/>
        <v>1</v>
      </c>
      <c r="S12" s="20">
        <f t="shared" ca="1" si="3"/>
        <v>29</v>
      </c>
      <c r="T12" s="20" cm="1">
        <f t="array" aca="1" ref="T12" ca="1">IF(S12="","",IF(S12&lt;&gt;S11,1,IF(T11=misLíneas-2,0,T11+1)))</f>
        <v>0</v>
      </c>
      <c r="U12" s="20" t="str" cm="1">
        <f t="array" aca="1" ref="U12" ca="1">IF(OR(T12=0,T12=""),"",INDEX(misCriticidades,S12)&amp;"-"&amp;IFERROR(MATCH(T12,miOrdenTarjeta,0),0))</f>
        <v/>
      </c>
      <c r="V12" s="19" t="str">
        <f ca="1"/>
        <v/>
      </c>
      <c r="W12" s="20">
        <f t="shared" ca="1" si="14"/>
        <v>1</v>
      </c>
      <c r="X12" s="20" t="str">
        <f t="shared" ca="1" si="4"/>
        <v/>
      </c>
      <c r="Y12" s="20" t="str" cm="1">
        <f t="array" aca="1" ref="Y12" ca="1">IF(X12="","",IF(X12&lt;&gt;X11,1,IF(Y11=misLíneas-2,0,Y11+1)))</f>
        <v/>
      </c>
      <c r="Z12" s="20" t="str" cm="1">
        <f t="array" aca="1" ref="Z12" ca="1">IF(OR(Y12=0,Y12=""),"",INDEX(misCriticidades,X12)&amp;"-"&amp;IFERROR(MATCH(Y12,miOrdenTarjeta,0),0))</f>
        <v/>
      </c>
      <c r="AA12" s="19" t="str">
        <f ca="1"/>
        <v/>
      </c>
      <c r="AB12" s="20">
        <f t="shared" ca="1" si="15"/>
        <v>1</v>
      </c>
      <c r="AC12" s="20" t="str">
        <f t="shared" ca="1" si="5"/>
        <v/>
      </c>
      <c r="AD12" s="20" t="str" cm="1">
        <f t="array" aca="1" ref="AD12" ca="1">IF(AC12="","",IF(AC12&lt;&gt;AC11,1,IF(AD11=misLíneas-2,0,AD11+1)))</f>
        <v/>
      </c>
      <c r="AE12" s="20" t="str" cm="1">
        <f t="array" aca="1" ref="AE12" ca="1">IF(OR(AD12=0,AD12=""),"",INDEX(misCriticidades,AC12)&amp;"-"&amp;IFERROR(MATCH(AD12,miOrdenTarjeta,0),0))</f>
        <v/>
      </c>
      <c r="AF12" s="19" t="str">
        <f ca="1"/>
        <v/>
      </c>
      <c r="AG12" s="20">
        <f t="shared" ca="1" si="16"/>
        <v>1</v>
      </c>
      <c r="AH12" s="20" t="str">
        <f t="shared" ca="1" si="6"/>
        <v/>
      </c>
      <c r="AI12" s="20" t="str" cm="1">
        <f t="array" aca="1" ref="AI12" ca="1">IF(AH12="","",IF(AH12&lt;&gt;AH11,1,IF(AI11=misLíneas-2,0,AI11+1)))</f>
        <v/>
      </c>
      <c r="AJ12" s="20" t="str" cm="1">
        <f t="array" aca="1" ref="AJ12" ca="1">IF(OR(AI12=0,AI12=""),"",INDEX(misCriticidades,AH12)&amp;"-"&amp;IFERROR(MATCH(AI12,miOrdenTarjeta,0),0))</f>
        <v/>
      </c>
      <c r="AK12" s="19" t="str">
        <f ca="1"/>
        <v/>
      </c>
      <c r="AL12" s="20">
        <f t="shared" ca="1" si="17"/>
        <v>1</v>
      </c>
      <c r="AM12" s="20" t="str">
        <f t="shared" ca="1" si="7"/>
        <v/>
      </c>
      <c r="AN12" s="20" t="str" cm="1">
        <f t="array" aca="1" ref="AN12" ca="1">IF(AM12="","",IF(AM12&lt;&gt;AM11,1,IF(AN11=misLíneas-2,0,AN11+1)))</f>
        <v/>
      </c>
      <c r="AO12" s="20" t="str" cm="1">
        <f t="array" aca="1" ref="AO12" ca="1">IF(OR(AN12=0,AN12=""),"",INDEX(misCriticidades,AM12)&amp;"-"&amp;IFERROR(MATCH(AN12,miOrdenTarjeta,0),0))</f>
        <v/>
      </c>
      <c r="AP12" s="19" t="str">
        <f ca="1"/>
        <v/>
      </c>
      <c r="AQ12" s="20">
        <f t="shared" ca="1" si="18"/>
        <v>1</v>
      </c>
      <c r="AR12" s="20" t="str">
        <f t="shared" ca="1" si="8"/>
        <v/>
      </c>
      <c r="AS12" s="20" t="str" cm="1">
        <f t="array" aca="1" ref="AS12" ca="1">IF(AR12="","",IF(AR12&lt;&gt;AR11,1,IF(AS11=misLíneas-2,0,AS11+1)))</f>
        <v/>
      </c>
      <c r="AT12" s="20" t="str" cm="1">
        <f t="array" aca="1" ref="AT12" ca="1">IF(OR(AS12=0,AS12=""),"",INDEX(misCriticidades,AR12)&amp;"-"&amp;IFERROR(MATCH(AS12,miOrdenTarjeta,0),0))</f>
        <v/>
      </c>
      <c r="AU12" s="19" t="str">
        <f ca="1"/>
        <v/>
      </c>
      <c r="AV12" s="20">
        <f t="shared" ca="1" si="19"/>
        <v>1</v>
      </c>
      <c r="AW12" s="20" t="str">
        <f t="shared" ca="1" si="9"/>
        <v/>
      </c>
      <c r="AX12" s="20" t="str" cm="1">
        <f t="array" aca="1" ref="AX12" ca="1">IF(AW12="","",IF(AW12&lt;&gt;AW11,1,IF(AX11=misLíneas-2,0,AX11+1)))</f>
        <v/>
      </c>
      <c r="AY12" s="20" t="str" cm="1">
        <f t="array" aca="1" ref="AY12" ca="1">IF(OR(AX12=0,AX12=""),"",INDEX(misCriticidades,AW12)&amp;"-"&amp;IFERROR(MATCH(AX12,miOrdenTarjeta,0),0))</f>
        <v/>
      </c>
    </row>
    <row r="13" spans="1:51" x14ac:dyDescent="0.25">
      <c r="B13" s="19" t="str">
        <f ca="1"/>
        <v/>
      </c>
      <c r="C13" s="20">
        <f t="shared" ca="1" si="20"/>
        <v>1</v>
      </c>
      <c r="D13" s="20" t="str">
        <f t="shared" ca="1" si="0"/>
        <v/>
      </c>
      <c r="E13" s="20" t="str" cm="1">
        <f t="array" aca="1" ref="E13" ca="1">IF(D13="","",IF(D13&lt;&gt;D12,1,IF(E12=misLíneas-2,0,E12+1)))</f>
        <v/>
      </c>
      <c r="F13" s="20" t="str" cm="1">
        <f t="array" aca="1" ref="F13" ca="1">IF(OR(E13=0,E13=""),"",INDEX(misCriticidades,D13)&amp;"-"&amp;IFERROR(MATCH(E13,miOrdenTarjeta,0),0))</f>
        <v/>
      </c>
      <c r="G13" s="19" t="str">
        <f ca="1"/>
        <v/>
      </c>
      <c r="H13" s="20">
        <f t="shared" ca="1" si="11"/>
        <v>2</v>
      </c>
      <c r="I13" s="20">
        <f t="shared" ca="1" si="1"/>
        <v>32</v>
      </c>
      <c r="J13" s="20" cm="1">
        <f t="array" aca="1" ref="J13" ca="1">IF(I13="","",IF(I13&lt;&gt;I12,1,IF(J12=misLíneas-2,0,J12+1)))</f>
        <v>1</v>
      </c>
      <c r="K13" s="20" t="str" cm="1">
        <f t="array" aca="1" ref="K13" ca="1">IF(OR(J13=0,J13=""),"",INDEX(misCriticidades,I13)&amp;"-"&amp;IFERROR(MATCH(J13,miOrdenTarjeta,0),0))</f>
        <v>2-1</v>
      </c>
      <c r="L13" s="19" t="str">
        <f ca="1"/>
        <v/>
      </c>
      <c r="M13" s="20">
        <f t="shared" ca="1" si="12"/>
        <v>1</v>
      </c>
      <c r="N13" s="20" t="str">
        <f t="shared" ca="1" si="2"/>
        <v/>
      </c>
      <c r="O13" s="20" t="str" cm="1">
        <f t="array" aca="1" ref="O13" ca="1">IF(N13="","",IF(N13&lt;&gt;N12,1,IF(O12=misLíneas-2,0,O12+1)))</f>
        <v/>
      </c>
      <c r="P13" s="20" t="str" cm="1">
        <f t="array" aca="1" ref="P13" ca="1">IF(OR(O13=0,O13=""),"",INDEX(misCriticidades,N13)&amp;"-"&amp;IFERROR(MATCH(O13,miOrdenTarjeta,0),0))</f>
        <v/>
      </c>
      <c r="Q13" s="19">
        <f ca="1"/>
        <v>12</v>
      </c>
      <c r="R13" s="20">
        <f t="shared" ca="1" si="13"/>
        <v>2</v>
      </c>
      <c r="S13" s="20">
        <f t="shared" ca="1" si="3"/>
        <v>28</v>
      </c>
      <c r="T13" s="20" cm="1">
        <f t="array" aca="1" ref="T13" ca="1">IF(S13="","",IF(S13&lt;&gt;S12,1,IF(T12=misLíneas-2,0,T12+1)))</f>
        <v>1</v>
      </c>
      <c r="U13" s="20" t="str" cm="1">
        <f t="array" aca="1" ref="U13" ca="1">IF(OR(T13=0,T13=""),"",INDEX(misCriticidades,S13)&amp;"-"&amp;IFERROR(MATCH(T13,miOrdenTarjeta,0),0))</f>
        <v>2-1</v>
      </c>
      <c r="V13" s="19" t="str">
        <f ca="1"/>
        <v/>
      </c>
      <c r="W13" s="20">
        <f t="shared" ca="1" si="14"/>
        <v>1</v>
      </c>
      <c r="X13" s="20" t="str">
        <f t="shared" ca="1" si="4"/>
        <v/>
      </c>
      <c r="Y13" s="20" t="str" cm="1">
        <f t="array" aca="1" ref="Y13" ca="1">IF(X13="","",IF(X13&lt;&gt;X12,1,IF(Y12=misLíneas-2,0,Y12+1)))</f>
        <v/>
      </c>
      <c r="Z13" s="20" t="str" cm="1">
        <f t="array" aca="1" ref="Z13" ca="1">IF(OR(Y13=0,Y13=""),"",INDEX(misCriticidades,X13)&amp;"-"&amp;IFERROR(MATCH(Y13,miOrdenTarjeta,0),0))</f>
        <v/>
      </c>
      <c r="AA13" s="19" t="str">
        <f ca="1"/>
        <v/>
      </c>
      <c r="AB13" s="20">
        <f t="shared" ca="1" si="15"/>
        <v>1</v>
      </c>
      <c r="AC13" s="20" t="str">
        <f t="shared" ca="1" si="5"/>
        <v/>
      </c>
      <c r="AD13" s="20" t="str" cm="1">
        <f t="array" aca="1" ref="AD13" ca="1">IF(AC13="","",IF(AC13&lt;&gt;AC12,1,IF(AD12=misLíneas-2,0,AD12+1)))</f>
        <v/>
      </c>
      <c r="AE13" s="20" t="str" cm="1">
        <f t="array" aca="1" ref="AE13" ca="1">IF(OR(AD13=0,AD13=""),"",INDEX(misCriticidades,AC13)&amp;"-"&amp;IFERROR(MATCH(AD13,miOrdenTarjeta,0),0))</f>
        <v/>
      </c>
      <c r="AF13" s="19" t="str">
        <f ca="1"/>
        <v/>
      </c>
      <c r="AG13" s="20">
        <f t="shared" ca="1" si="16"/>
        <v>1</v>
      </c>
      <c r="AH13" s="20" t="str">
        <f t="shared" ca="1" si="6"/>
        <v/>
      </c>
      <c r="AI13" s="20" t="str" cm="1">
        <f t="array" aca="1" ref="AI13" ca="1">IF(AH13="","",IF(AH13&lt;&gt;AH12,1,IF(AI12=misLíneas-2,0,AI12+1)))</f>
        <v/>
      </c>
      <c r="AJ13" s="20" t="str" cm="1">
        <f t="array" aca="1" ref="AJ13" ca="1">IF(OR(AI13=0,AI13=""),"",INDEX(misCriticidades,AH13)&amp;"-"&amp;IFERROR(MATCH(AI13,miOrdenTarjeta,0),0))</f>
        <v/>
      </c>
      <c r="AK13" s="19" t="str">
        <f ca="1"/>
        <v/>
      </c>
      <c r="AL13" s="20">
        <f t="shared" ca="1" si="17"/>
        <v>1</v>
      </c>
      <c r="AM13" s="20" t="str">
        <f t="shared" ca="1" si="7"/>
        <v/>
      </c>
      <c r="AN13" s="20" t="str" cm="1">
        <f t="array" aca="1" ref="AN13" ca="1">IF(AM13="","",IF(AM13&lt;&gt;AM12,1,IF(AN12=misLíneas-2,0,AN12+1)))</f>
        <v/>
      </c>
      <c r="AO13" s="20" t="str" cm="1">
        <f t="array" aca="1" ref="AO13" ca="1">IF(OR(AN13=0,AN13=""),"",INDEX(misCriticidades,AM13)&amp;"-"&amp;IFERROR(MATCH(AN13,miOrdenTarjeta,0),0))</f>
        <v/>
      </c>
      <c r="AP13" s="19" t="str">
        <f ca="1"/>
        <v/>
      </c>
      <c r="AQ13" s="20">
        <f t="shared" ca="1" si="18"/>
        <v>1</v>
      </c>
      <c r="AR13" s="20" t="str">
        <f t="shared" ca="1" si="8"/>
        <v/>
      </c>
      <c r="AS13" s="20" t="str" cm="1">
        <f t="array" aca="1" ref="AS13" ca="1">IF(AR13="","",IF(AR13&lt;&gt;AR12,1,IF(AS12=misLíneas-2,0,AS12+1)))</f>
        <v/>
      </c>
      <c r="AT13" s="20" t="str" cm="1">
        <f t="array" aca="1" ref="AT13" ca="1">IF(OR(AS13=0,AS13=""),"",INDEX(misCriticidades,AR13)&amp;"-"&amp;IFERROR(MATCH(AS13,miOrdenTarjeta,0),0))</f>
        <v/>
      </c>
      <c r="AU13" s="19" t="str">
        <f ca="1"/>
        <v/>
      </c>
      <c r="AV13" s="20">
        <f t="shared" ca="1" si="19"/>
        <v>1</v>
      </c>
      <c r="AW13" s="20" t="str">
        <f t="shared" ca="1" si="9"/>
        <v/>
      </c>
      <c r="AX13" s="20" t="str" cm="1">
        <f t="array" aca="1" ref="AX13" ca="1">IF(AW13="","",IF(AW13&lt;&gt;AW12,1,IF(AX12=misLíneas-2,0,AX12+1)))</f>
        <v/>
      </c>
      <c r="AY13" s="20" t="str" cm="1">
        <f t="array" aca="1" ref="AY13" ca="1">IF(OR(AX13=0,AX13=""),"",INDEX(misCriticidades,AW13)&amp;"-"&amp;IFERROR(MATCH(AX13,miOrdenTarjeta,0),0))</f>
        <v/>
      </c>
    </row>
    <row r="14" spans="1:51" x14ac:dyDescent="0.25">
      <c r="B14" s="19" t="str">
        <f ca="1"/>
        <v/>
      </c>
      <c r="C14" s="20">
        <f t="shared" ca="1" si="20"/>
        <v>1</v>
      </c>
      <c r="D14" s="20" t="str">
        <f t="shared" ca="1" si="0"/>
        <v/>
      </c>
      <c r="E14" s="20" t="str" cm="1">
        <f t="array" aca="1" ref="E14" ca="1">IF(D14="","",IF(D14&lt;&gt;D13,1,IF(E13=misLíneas-2,0,E13+1)))</f>
        <v/>
      </c>
      <c r="F14" s="20" t="str" cm="1">
        <f t="array" aca="1" ref="F14" ca="1">IF(OR(E14=0,E14=""),"",INDEX(misCriticidades,D14)&amp;"-"&amp;IFERROR(MATCH(E14,miOrdenTarjeta,0),0))</f>
        <v/>
      </c>
      <c r="G14" s="19" t="str">
        <f ca="1"/>
        <v/>
      </c>
      <c r="H14" s="20">
        <f t="shared" ca="1" si="11"/>
        <v>2</v>
      </c>
      <c r="I14" s="20">
        <f t="shared" ca="1" si="1"/>
        <v>32</v>
      </c>
      <c r="J14" s="20" cm="1">
        <f t="array" aca="1" ref="J14" ca="1">IF(I14="","",IF(I14&lt;&gt;I13,1,IF(J13=misLíneas-2,0,J13+1)))</f>
        <v>2</v>
      </c>
      <c r="K14" s="20" t="str" cm="1">
        <f t="array" aca="1" ref="K14" ca="1">IF(OR(J14=0,J14=""),"",INDEX(misCriticidades,I14)&amp;"-"&amp;IFERROR(MATCH(J14,miOrdenTarjeta,0),0))</f>
        <v>2-2</v>
      </c>
      <c r="L14" s="19" t="str">
        <f ca="1"/>
        <v/>
      </c>
      <c r="M14" s="20">
        <f t="shared" ca="1" si="12"/>
        <v>1</v>
      </c>
      <c r="N14" s="20" t="str">
        <f t="shared" ca="1" si="2"/>
        <v/>
      </c>
      <c r="O14" s="20" t="str" cm="1">
        <f t="array" aca="1" ref="O14" ca="1">IF(N14="","",IF(N14&lt;&gt;N13,1,IF(O13=misLíneas-2,0,O13+1)))</f>
        <v/>
      </c>
      <c r="P14" s="20" t="str" cm="1">
        <f t="array" aca="1" ref="P14" ca="1">IF(OR(O14=0,O14=""),"",INDEX(misCriticidades,N14)&amp;"-"&amp;IFERROR(MATCH(O14,miOrdenTarjeta,0),0))</f>
        <v/>
      </c>
      <c r="Q14" s="19">
        <f ca="1"/>
        <v>13</v>
      </c>
      <c r="R14" s="20">
        <f t="shared" ca="1" si="13"/>
        <v>2</v>
      </c>
      <c r="S14" s="20">
        <f t="shared" ca="1" si="3"/>
        <v>28</v>
      </c>
      <c r="T14" s="20" cm="1">
        <f t="array" aca="1" ref="T14" ca="1">IF(S14="","",IF(S14&lt;&gt;S13,1,IF(T13=misLíneas-2,0,T13+1)))</f>
        <v>2</v>
      </c>
      <c r="U14" s="20" t="str" cm="1">
        <f t="array" aca="1" ref="U14" ca="1">IF(OR(T14=0,T14=""),"",INDEX(misCriticidades,S14)&amp;"-"&amp;IFERROR(MATCH(T14,miOrdenTarjeta,0),0))</f>
        <v>2-2</v>
      </c>
      <c r="V14" s="19" t="str">
        <f ca="1"/>
        <v/>
      </c>
      <c r="W14" s="20">
        <f t="shared" ca="1" si="14"/>
        <v>1</v>
      </c>
      <c r="X14" s="20" t="str">
        <f t="shared" ca="1" si="4"/>
        <v/>
      </c>
      <c r="Y14" s="20" t="str" cm="1">
        <f t="array" aca="1" ref="Y14" ca="1">IF(X14="","",IF(X14&lt;&gt;X13,1,IF(Y13=misLíneas-2,0,Y13+1)))</f>
        <v/>
      </c>
      <c r="Z14" s="20" t="str" cm="1">
        <f t="array" aca="1" ref="Z14" ca="1">IF(OR(Y14=0,Y14=""),"",INDEX(misCriticidades,X14)&amp;"-"&amp;IFERROR(MATCH(Y14,miOrdenTarjeta,0),0))</f>
        <v/>
      </c>
      <c r="AA14" s="19" t="str">
        <f ca="1"/>
        <v/>
      </c>
      <c r="AB14" s="20">
        <f t="shared" ca="1" si="15"/>
        <v>1</v>
      </c>
      <c r="AC14" s="20" t="str">
        <f t="shared" ca="1" si="5"/>
        <v/>
      </c>
      <c r="AD14" s="20" t="str" cm="1">
        <f t="array" aca="1" ref="AD14" ca="1">IF(AC14="","",IF(AC14&lt;&gt;AC13,1,IF(AD13=misLíneas-2,0,AD13+1)))</f>
        <v/>
      </c>
      <c r="AE14" s="20" t="str" cm="1">
        <f t="array" aca="1" ref="AE14" ca="1">IF(OR(AD14=0,AD14=""),"",INDEX(misCriticidades,AC14)&amp;"-"&amp;IFERROR(MATCH(AD14,miOrdenTarjeta,0),0))</f>
        <v/>
      </c>
      <c r="AF14" s="19" t="str">
        <f ca="1"/>
        <v/>
      </c>
      <c r="AG14" s="20">
        <f t="shared" ca="1" si="16"/>
        <v>1</v>
      </c>
      <c r="AH14" s="20" t="str">
        <f t="shared" ca="1" si="6"/>
        <v/>
      </c>
      <c r="AI14" s="20" t="str" cm="1">
        <f t="array" aca="1" ref="AI14" ca="1">IF(AH14="","",IF(AH14&lt;&gt;AH13,1,IF(AI13=misLíneas-2,0,AI13+1)))</f>
        <v/>
      </c>
      <c r="AJ14" s="20" t="str" cm="1">
        <f t="array" aca="1" ref="AJ14" ca="1">IF(OR(AI14=0,AI14=""),"",INDEX(misCriticidades,AH14)&amp;"-"&amp;IFERROR(MATCH(AI14,miOrdenTarjeta,0),0))</f>
        <v/>
      </c>
      <c r="AK14" s="19" t="str">
        <f ca="1"/>
        <v/>
      </c>
      <c r="AL14" s="20">
        <f t="shared" ca="1" si="17"/>
        <v>1</v>
      </c>
      <c r="AM14" s="20" t="str">
        <f t="shared" ca="1" si="7"/>
        <v/>
      </c>
      <c r="AN14" s="20" t="str" cm="1">
        <f t="array" aca="1" ref="AN14" ca="1">IF(AM14="","",IF(AM14&lt;&gt;AM13,1,IF(AN13=misLíneas-2,0,AN13+1)))</f>
        <v/>
      </c>
      <c r="AO14" s="20" t="str" cm="1">
        <f t="array" aca="1" ref="AO14" ca="1">IF(OR(AN14=0,AN14=""),"",INDEX(misCriticidades,AM14)&amp;"-"&amp;IFERROR(MATCH(AN14,miOrdenTarjeta,0),0))</f>
        <v/>
      </c>
      <c r="AP14" s="19" t="str">
        <f ca="1"/>
        <v/>
      </c>
      <c r="AQ14" s="20">
        <f t="shared" ca="1" si="18"/>
        <v>1</v>
      </c>
      <c r="AR14" s="20" t="str">
        <f t="shared" ca="1" si="8"/>
        <v/>
      </c>
      <c r="AS14" s="20" t="str" cm="1">
        <f t="array" aca="1" ref="AS14" ca="1">IF(AR14="","",IF(AR14&lt;&gt;AR13,1,IF(AS13=misLíneas-2,0,AS13+1)))</f>
        <v/>
      </c>
      <c r="AT14" s="20" t="str" cm="1">
        <f t="array" aca="1" ref="AT14" ca="1">IF(OR(AS14=0,AS14=""),"",INDEX(misCriticidades,AR14)&amp;"-"&amp;IFERROR(MATCH(AS14,miOrdenTarjeta,0),0))</f>
        <v/>
      </c>
      <c r="AU14" s="19" t="str">
        <f ca="1"/>
        <v/>
      </c>
      <c r="AV14" s="20">
        <f t="shared" ca="1" si="19"/>
        <v>1</v>
      </c>
      <c r="AW14" s="20" t="str">
        <f t="shared" ca="1" si="9"/>
        <v/>
      </c>
      <c r="AX14" s="20" t="str" cm="1">
        <f t="array" aca="1" ref="AX14" ca="1">IF(AW14="","",IF(AW14&lt;&gt;AW13,1,IF(AX13=misLíneas-2,0,AX13+1)))</f>
        <v/>
      </c>
      <c r="AY14" s="20" t="str" cm="1">
        <f t="array" aca="1" ref="AY14" ca="1">IF(OR(AX14=0,AX14=""),"",INDEX(misCriticidades,AW14)&amp;"-"&amp;IFERROR(MATCH(AX14,miOrdenTarjeta,0),0))</f>
        <v/>
      </c>
    </row>
    <row r="15" spans="1:51" x14ac:dyDescent="0.25">
      <c r="B15" s="19" t="str">
        <f ca="1"/>
        <v/>
      </c>
      <c r="C15" s="20">
        <f t="shared" ca="1" si="20"/>
        <v>1</v>
      </c>
      <c r="D15" s="20" t="str">
        <f t="shared" ca="1" si="0"/>
        <v/>
      </c>
      <c r="E15" s="20" t="str" cm="1">
        <f t="array" aca="1" ref="E15" ca="1">IF(D15="","",IF(D15&lt;&gt;D14,1,IF(E14=misLíneas-2,0,E14+1)))</f>
        <v/>
      </c>
      <c r="F15" s="20" t="str" cm="1">
        <f t="array" aca="1" ref="F15" ca="1">IF(OR(E15=0,E15=""),"",INDEX(misCriticidades,D15)&amp;"-"&amp;IFERROR(MATCH(E15,miOrdenTarjeta,0),0))</f>
        <v/>
      </c>
      <c r="G15" s="19" t="str">
        <f ca="1"/>
        <v/>
      </c>
      <c r="H15" s="20">
        <f t="shared" ca="1" si="11"/>
        <v>2</v>
      </c>
      <c r="I15" s="20">
        <f t="shared" ca="1" si="1"/>
        <v>32</v>
      </c>
      <c r="J15" s="20" cm="1">
        <f t="array" aca="1" ref="J15" ca="1">IF(I15="","",IF(I15&lt;&gt;I14,1,IF(J14=misLíneas-2,0,J14+1)))</f>
        <v>3</v>
      </c>
      <c r="K15" s="20" t="str" cm="1">
        <f t="array" aca="1" ref="K15" ca="1">IF(OR(J15=0,J15=""),"",INDEX(misCriticidades,I15)&amp;"-"&amp;IFERROR(MATCH(J15,miOrdenTarjeta,0),0))</f>
        <v>2-3</v>
      </c>
      <c r="L15" s="19" t="str">
        <f ca="1"/>
        <v/>
      </c>
      <c r="M15" s="20">
        <f t="shared" ca="1" si="12"/>
        <v>1</v>
      </c>
      <c r="N15" s="20" t="str">
        <f t="shared" ca="1" si="2"/>
        <v/>
      </c>
      <c r="O15" s="20" t="str" cm="1">
        <f t="array" aca="1" ref="O15" ca="1">IF(N15="","",IF(N15&lt;&gt;N14,1,IF(O14=misLíneas-2,0,O14+1)))</f>
        <v/>
      </c>
      <c r="P15" s="20" t="str" cm="1">
        <f t="array" aca="1" ref="P15" ca="1">IF(OR(O15=0,O15=""),"",INDEX(misCriticidades,N15)&amp;"-"&amp;IFERROR(MATCH(O15,miOrdenTarjeta,0),0))</f>
        <v/>
      </c>
      <c r="Q15" s="19">
        <f ca="1"/>
        <v>14</v>
      </c>
      <c r="R15" s="20">
        <f t="shared" ca="1" si="13"/>
        <v>2</v>
      </c>
      <c r="S15" s="20">
        <f t="shared" ca="1" si="3"/>
        <v>28</v>
      </c>
      <c r="T15" s="20" cm="1">
        <f t="array" aca="1" ref="T15" ca="1">IF(S15="","",IF(S15&lt;&gt;S14,1,IF(T14=misLíneas-2,0,T14+1)))</f>
        <v>3</v>
      </c>
      <c r="U15" s="20" t="str" cm="1">
        <f t="array" aca="1" ref="U15" ca="1">IF(OR(T15=0,T15=""),"",INDEX(misCriticidades,S15)&amp;"-"&amp;IFERROR(MATCH(T15,miOrdenTarjeta,0),0))</f>
        <v>2-3</v>
      </c>
      <c r="V15" s="19" t="str">
        <f ca="1"/>
        <v/>
      </c>
      <c r="W15" s="20">
        <f t="shared" ca="1" si="14"/>
        <v>1</v>
      </c>
      <c r="X15" s="20" t="str">
        <f t="shared" ca="1" si="4"/>
        <v/>
      </c>
      <c r="Y15" s="20" t="str" cm="1">
        <f t="array" aca="1" ref="Y15" ca="1">IF(X15="","",IF(X15&lt;&gt;X14,1,IF(Y14=misLíneas-2,0,Y14+1)))</f>
        <v/>
      </c>
      <c r="Z15" s="20" t="str" cm="1">
        <f t="array" aca="1" ref="Z15" ca="1">IF(OR(Y15=0,Y15=""),"",INDEX(misCriticidades,X15)&amp;"-"&amp;IFERROR(MATCH(Y15,miOrdenTarjeta,0),0))</f>
        <v/>
      </c>
      <c r="AA15" s="19" t="str">
        <f ca="1"/>
        <v/>
      </c>
      <c r="AB15" s="20">
        <f t="shared" ca="1" si="15"/>
        <v>1</v>
      </c>
      <c r="AC15" s="20" t="str">
        <f t="shared" ca="1" si="5"/>
        <v/>
      </c>
      <c r="AD15" s="20" t="str" cm="1">
        <f t="array" aca="1" ref="AD15" ca="1">IF(AC15="","",IF(AC15&lt;&gt;AC14,1,IF(AD14=misLíneas-2,0,AD14+1)))</f>
        <v/>
      </c>
      <c r="AE15" s="20" t="str" cm="1">
        <f t="array" aca="1" ref="AE15" ca="1">IF(OR(AD15=0,AD15=""),"",INDEX(misCriticidades,AC15)&amp;"-"&amp;IFERROR(MATCH(AD15,miOrdenTarjeta,0),0))</f>
        <v/>
      </c>
      <c r="AF15" s="19" t="str">
        <f ca="1"/>
        <v/>
      </c>
      <c r="AG15" s="20">
        <f t="shared" ca="1" si="16"/>
        <v>1</v>
      </c>
      <c r="AH15" s="20" t="str">
        <f t="shared" ca="1" si="6"/>
        <v/>
      </c>
      <c r="AI15" s="20" t="str" cm="1">
        <f t="array" aca="1" ref="AI15" ca="1">IF(AH15="","",IF(AH15&lt;&gt;AH14,1,IF(AI14=misLíneas-2,0,AI14+1)))</f>
        <v/>
      </c>
      <c r="AJ15" s="20" t="str" cm="1">
        <f t="array" aca="1" ref="AJ15" ca="1">IF(OR(AI15=0,AI15=""),"",INDEX(misCriticidades,AH15)&amp;"-"&amp;IFERROR(MATCH(AI15,miOrdenTarjeta,0),0))</f>
        <v/>
      </c>
      <c r="AK15" s="19" t="str">
        <f ca="1"/>
        <v/>
      </c>
      <c r="AL15" s="20">
        <f t="shared" ca="1" si="17"/>
        <v>1</v>
      </c>
      <c r="AM15" s="20" t="str">
        <f t="shared" ca="1" si="7"/>
        <v/>
      </c>
      <c r="AN15" s="20" t="str" cm="1">
        <f t="array" aca="1" ref="AN15" ca="1">IF(AM15="","",IF(AM15&lt;&gt;AM14,1,IF(AN14=misLíneas-2,0,AN14+1)))</f>
        <v/>
      </c>
      <c r="AO15" s="20" t="str" cm="1">
        <f t="array" aca="1" ref="AO15" ca="1">IF(OR(AN15=0,AN15=""),"",INDEX(misCriticidades,AM15)&amp;"-"&amp;IFERROR(MATCH(AN15,miOrdenTarjeta,0),0))</f>
        <v/>
      </c>
      <c r="AP15" s="19" t="str">
        <f ca="1"/>
        <v/>
      </c>
      <c r="AQ15" s="20">
        <f t="shared" ca="1" si="18"/>
        <v>1</v>
      </c>
      <c r="AR15" s="20" t="str">
        <f t="shared" ca="1" si="8"/>
        <v/>
      </c>
      <c r="AS15" s="20" t="str" cm="1">
        <f t="array" aca="1" ref="AS15" ca="1">IF(AR15="","",IF(AR15&lt;&gt;AR14,1,IF(AS14=misLíneas-2,0,AS14+1)))</f>
        <v/>
      </c>
      <c r="AT15" s="20" t="str" cm="1">
        <f t="array" aca="1" ref="AT15" ca="1">IF(OR(AS15=0,AS15=""),"",INDEX(misCriticidades,AR15)&amp;"-"&amp;IFERROR(MATCH(AS15,miOrdenTarjeta,0),0))</f>
        <v/>
      </c>
      <c r="AU15" s="19" t="str">
        <f ca="1"/>
        <v/>
      </c>
      <c r="AV15" s="20">
        <f t="shared" ca="1" si="19"/>
        <v>1</v>
      </c>
      <c r="AW15" s="20" t="str">
        <f t="shared" ca="1" si="9"/>
        <v/>
      </c>
      <c r="AX15" s="20" t="str" cm="1">
        <f t="array" aca="1" ref="AX15" ca="1">IF(AW15="","",IF(AW15&lt;&gt;AW14,1,IF(AX14=misLíneas-2,0,AX14+1)))</f>
        <v/>
      </c>
      <c r="AY15" s="20" t="str" cm="1">
        <f t="array" aca="1" ref="AY15" ca="1">IF(OR(AX15=0,AX15=""),"",INDEX(misCriticidades,AW15)&amp;"-"&amp;IFERROR(MATCH(AX15,miOrdenTarjeta,0),0))</f>
        <v/>
      </c>
    </row>
    <row r="16" spans="1:51" x14ac:dyDescent="0.25">
      <c r="B16" s="19" t="str">
        <f ca="1"/>
        <v/>
      </c>
      <c r="C16" s="20">
        <f t="shared" ca="1" si="20"/>
        <v>1</v>
      </c>
      <c r="D16" s="20" t="str">
        <f t="shared" ca="1" si="0"/>
        <v/>
      </c>
      <c r="E16" s="20" t="str" cm="1">
        <f t="array" aca="1" ref="E16" ca="1">IF(D16="","",IF(D16&lt;&gt;D15,1,IF(E15=misLíneas-2,0,E15+1)))</f>
        <v/>
      </c>
      <c r="F16" s="20" t="str" cm="1">
        <f t="array" aca="1" ref="F16" ca="1">IF(OR(E16=0,E16=""),"",INDEX(misCriticidades,D16)&amp;"-"&amp;IFERROR(MATCH(E16,miOrdenTarjeta,0),0))</f>
        <v/>
      </c>
      <c r="G16" s="19" t="str">
        <f ca="1"/>
        <v/>
      </c>
      <c r="H16" s="20">
        <f t="shared" ca="1" si="11"/>
        <v>2</v>
      </c>
      <c r="I16" s="20">
        <f t="shared" ca="1" si="1"/>
        <v>32</v>
      </c>
      <c r="J16" s="20" cm="1">
        <f t="array" aca="1" ref="J16" ca="1">IF(I16="","",IF(I16&lt;&gt;I15,1,IF(J15=misLíneas-2,0,J15+1)))</f>
        <v>4</v>
      </c>
      <c r="K16" s="20" t="str" cm="1">
        <f t="array" aca="1" ref="K16" ca="1">IF(OR(J16=0,J16=""),"",INDEX(misCriticidades,I16)&amp;"-"&amp;IFERROR(MATCH(J16,miOrdenTarjeta,0),0))</f>
        <v>2-4</v>
      </c>
      <c r="L16" s="19" t="str">
        <f ca="1"/>
        <v/>
      </c>
      <c r="M16" s="20">
        <f t="shared" ca="1" si="12"/>
        <v>1</v>
      </c>
      <c r="N16" s="20" t="str">
        <f t="shared" ca="1" si="2"/>
        <v/>
      </c>
      <c r="O16" s="20" t="str" cm="1">
        <f t="array" aca="1" ref="O16" ca="1">IF(N16="","",IF(N16&lt;&gt;N15,1,IF(O15=misLíneas-2,0,O15+1)))</f>
        <v/>
      </c>
      <c r="P16" s="20" t="str" cm="1">
        <f t="array" aca="1" ref="P16" ca="1">IF(OR(O16=0,O16=""),"",INDEX(misCriticidades,N16)&amp;"-"&amp;IFERROR(MATCH(O16,miOrdenTarjeta,0),0))</f>
        <v/>
      </c>
      <c r="Q16" s="19">
        <f ca="1"/>
        <v>15</v>
      </c>
      <c r="R16" s="20">
        <f t="shared" ca="1" si="13"/>
        <v>2</v>
      </c>
      <c r="S16" s="20">
        <f t="shared" ca="1" si="3"/>
        <v>28</v>
      </c>
      <c r="T16" s="20" cm="1">
        <f t="array" aca="1" ref="T16" ca="1">IF(S16="","",IF(S16&lt;&gt;S15,1,IF(T15=misLíneas-2,0,T15+1)))</f>
        <v>4</v>
      </c>
      <c r="U16" s="20" t="str" cm="1">
        <f t="array" aca="1" ref="U16" ca="1">IF(OR(T16=0,T16=""),"",INDEX(misCriticidades,S16)&amp;"-"&amp;IFERROR(MATCH(T16,miOrdenTarjeta,0),0))</f>
        <v>2-4</v>
      </c>
      <c r="V16" s="19" t="str">
        <f ca="1"/>
        <v/>
      </c>
      <c r="W16" s="20">
        <f t="shared" ca="1" si="14"/>
        <v>1</v>
      </c>
      <c r="X16" s="20" t="str">
        <f t="shared" ca="1" si="4"/>
        <v/>
      </c>
      <c r="Y16" s="20" t="str" cm="1">
        <f t="array" aca="1" ref="Y16" ca="1">IF(X16="","",IF(X16&lt;&gt;X15,1,IF(Y15=misLíneas-2,0,Y15+1)))</f>
        <v/>
      </c>
      <c r="Z16" s="20" t="str" cm="1">
        <f t="array" aca="1" ref="Z16" ca="1">IF(OR(Y16=0,Y16=""),"",INDEX(misCriticidades,X16)&amp;"-"&amp;IFERROR(MATCH(Y16,miOrdenTarjeta,0),0))</f>
        <v/>
      </c>
      <c r="AA16" s="19" t="str">
        <f ca="1"/>
        <v/>
      </c>
      <c r="AB16" s="20">
        <f t="shared" ca="1" si="15"/>
        <v>1</v>
      </c>
      <c r="AC16" s="20" t="str">
        <f t="shared" ca="1" si="5"/>
        <v/>
      </c>
      <c r="AD16" s="20" t="str" cm="1">
        <f t="array" aca="1" ref="AD16" ca="1">IF(AC16="","",IF(AC16&lt;&gt;AC15,1,IF(AD15=misLíneas-2,0,AD15+1)))</f>
        <v/>
      </c>
      <c r="AE16" s="20" t="str" cm="1">
        <f t="array" aca="1" ref="AE16" ca="1">IF(OR(AD16=0,AD16=""),"",INDEX(misCriticidades,AC16)&amp;"-"&amp;IFERROR(MATCH(AD16,miOrdenTarjeta,0),0))</f>
        <v/>
      </c>
      <c r="AF16" s="19" t="str">
        <f ca="1"/>
        <v/>
      </c>
      <c r="AG16" s="20">
        <f t="shared" ca="1" si="16"/>
        <v>1</v>
      </c>
      <c r="AH16" s="20" t="str">
        <f t="shared" ca="1" si="6"/>
        <v/>
      </c>
      <c r="AI16" s="20" t="str" cm="1">
        <f t="array" aca="1" ref="AI16" ca="1">IF(AH16="","",IF(AH16&lt;&gt;AH15,1,IF(AI15=misLíneas-2,0,AI15+1)))</f>
        <v/>
      </c>
      <c r="AJ16" s="20" t="str" cm="1">
        <f t="array" aca="1" ref="AJ16" ca="1">IF(OR(AI16=0,AI16=""),"",INDEX(misCriticidades,AH16)&amp;"-"&amp;IFERROR(MATCH(AI16,miOrdenTarjeta,0),0))</f>
        <v/>
      </c>
      <c r="AK16" s="19" t="str">
        <f ca="1"/>
        <v/>
      </c>
      <c r="AL16" s="20">
        <f t="shared" ca="1" si="17"/>
        <v>1</v>
      </c>
      <c r="AM16" s="20" t="str">
        <f t="shared" ca="1" si="7"/>
        <v/>
      </c>
      <c r="AN16" s="20" t="str" cm="1">
        <f t="array" aca="1" ref="AN16" ca="1">IF(AM16="","",IF(AM16&lt;&gt;AM15,1,IF(AN15=misLíneas-2,0,AN15+1)))</f>
        <v/>
      </c>
      <c r="AO16" s="20" t="str" cm="1">
        <f t="array" aca="1" ref="AO16" ca="1">IF(OR(AN16=0,AN16=""),"",INDEX(misCriticidades,AM16)&amp;"-"&amp;IFERROR(MATCH(AN16,miOrdenTarjeta,0),0))</f>
        <v/>
      </c>
      <c r="AP16" s="19" t="str">
        <f ca="1"/>
        <v/>
      </c>
      <c r="AQ16" s="20">
        <f t="shared" ca="1" si="18"/>
        <v>1</v>
      </c>
      <c r="AR16" s="20" t="str">
        <f t="shared" ca="1" si="8"/>
        <v/>
      </c>
      <c r="AS16" s="20" t="str" cm="1">
        <f t="array" aca="1" ref="AS16" ca="1">IF(AR16="","",IF(AR16&lt;&gt;AR15,1,IF(AS15=misLíneas-2,0,AS15+1)))</f>
        <v/>
      </c>
      <c r="AT16" s="20" t="str" cm="1">
        <f t="array" aca="1" ref="AT16" ca="1">IF(OR(AS16=0,AS16=""),"",INDEX(misCriticidades,AR16)&amp;"-"&amp;IFERROR(MATCH(AS16,miOrdenTarjeta,0),0))</f>
        <v/>
      </c>
      <c r="AU16" s="19" t="str">
        <f ca="1"/>
        <v/>
      </c>
      <c r="AV16" s="20">
        <f t="shared" ca="1" si="19"/>
        <v>1</v>
      </c>
      <c r="AW16" s="20" t="str">
        <f t="shared" ca="1" si="9"/>
        <v/>
      </c>
      <c r="AX16" s="20" t="str" cm="1">
        <f t="array" aca="1" ref="AX16" ca="1">IF(AW16="","",IF(AW16&lt;&gt;AW15,1,IF(AX15=misLíneas-2,0,AX15+1)))</f>
        <v/>
      </c>
      <c r="AY16" s="20" t="str" cm="1">
        <f t="array" aca="1" ref="AY16" ca="1">IF(OR(AX16=0,AX16=""),"",INDEX(misCriticidades,AW16)&amp;"-"&amp;IFERROR(MATCH(AX16,miOrdenTarjeta,0),0))</f>
        <v/>
      </c>
    </row>
    <row r="17" spans="2:51" x14ac:dyDescent="0.25">
      <c r="B17" s="19" t="str">
        <f ca="1"/>
        <v/>
      </c>
      <c r="C17" s="20">
        <f t="shared" ca="1" si="20"/>
        <v>1</v>
      </c>
      <c r="D17" s="20" t="str">
        <f t="shared" ca="1" si="0"/>
        <v/>
      </c>
      <c r="E17" s="20" t="str" cm="1">
        <f t="array" aca="1" ref="E17" ca="1">IF(D17="","",IF(D17&lt;&gt;D16,1,IF(E16=misLíneas-2,0,E16+1)))</f>
        <v/>
      </c>
      <c r="F17" s="20" t="str" cm="1">
        <f t="array" aca="1" ref="F17" ca="1">IF(OR(E17=0,E17=""),"",INDEX(misCriticidades,D17)&amp;"-"&amp;IFERROR(MATCH(E17,miOrdenTarjeta,0),0))</f>
        <v/>
      </c>
      <c r="G17" s="19" t="str">
        <f ca="1"/>
        <v/>
      </c>
      <c r="H17" s="20">
        <f t="shared" ca="1" si="11"/>
        <v>2</v>
      </c>
      <c r="I17" s="20">
        <f t="shared" ca="1" si="1"/>
        <v>32</v>
      </c>
      <c r="J17" s="20" cm="1">
        <f t="array" aca="1" ref="J17" ca="1">IF(I17="","",IF(I17&lt;&gt;I16,1,IF(J16=misLíneas-2,0,J16+1)))</f>
        <v>5</v>
      </c>
      <c r="K17" s="20" t="str" cm="1">
        <f t="array" aca="1" ref="K17" ca="1">IF(OR(J17=0,J17=""),"",INDEX(misCriticidades,I17)&amp;"-"&amp;IFERROR(MATCH(J17,miOrdenTarjeta,0),0))</f>
        <v>2-5</v>
      </c>
      <c r="L17" s="19" t="str">
        <f ca="1"/>
        <v/>
      </c>
      <c r="M17" s="20">
        <f t="shared" ca="1" si="12"/>
        <v>1</v>
      </c>
      <c r="N17" s="20" t="str">
        <f t="shared" ca="1" si="2"/>
        <v/>
      </c>
      <c r="O17" s="20" t="str" cm="1">
        <f t="array" aca="1" ref="O17" ca="1">IF(N17="","",IF(N17&lt;&gt;N16,1,IF(O16=misLíneas-2,0,O16+1)))</f>
        <v/>
      </c>
      <c r="P17" s="20" t="str" cm="1">
        <f t="array" aca="1" ref="P17" ca="1">IF(OR(O17=0,O17=""),"",INDEX(misCriticidades,N17)&amp;"-"&amp;IFERROR(MATCH(O17,miOrdenTarjeta,0),0))</f>
        <v/>
      </c>
      <c r="Q17" s="19">
        <f ca="1"/>
        <v>16</v>
      </c>
      <c r="R17" s="20">
        <f t="shared" ca="1" si="13"/>
        <v>2</v>
      </c>
      <c r="S17" s="20">
        <f t="shared" ca="1" si="3"/>
        <v>28</v>
      </c>
      <c r="T17" s="20" cm="1">
        <f t="array" aca="1" ref="T17" ca="1">IF(S17="","",IF(S17&lt;&gt;S16,1,IF(T16=misLíneas-2,0,T16+1)))</f>
        <v>5</v>
      </c>
      <c r="U17" s="20" t="str" cm="1">
        <f t="array" aca="1" ref="U17" ca="1">IF(OR(T17=0,T17=""),"",INDEX(misCriticidades,S17)&amp;"-"&amp;IFERROR(MATCH(T17,miOrdenTarjeta,0),0))</f>
        <v>2-5</v>
      </c>
      <c r="V17" s="19" t="str">
        <f ca="1"/>
        <v/>
      </c>
      <c r="W17" s="20">
        <f t="shared" ca="1" si="14"/>
        <v>1</v>
      </c>
      <c r="X17" s="20" t="str">
        <f t="shared" ca="1" si="4"/>
        <v/>
      </c>
      <c r="Y17" s="20" t="str" cm="1">
        <f t="array" aca="1" ref="Y17" ca="1">IF(X17="","",IF(X17&lt;&gt;X16,1,IF(Y16=misLíneas-2,0,Y16+1)))</f>
        <v/>
      </c>
      <c r="Z17" s="20" t="str" cm="1">
        <f t="array" aca="1" ref="Z17" ca="1">IF(OR(Y17=0,Y17=""),"",INDEX(misCriticidades,X17)&amp;"-"&amp;IFERROR(MATCH(Y17,miOrdenTarjeta,0),0))</f>
        <v/>
      </c>
      <c r="AA17" s="19" t="str">
        <f ca="1"/>
        <v/>
      </c>
      <c r="AB17" s="20">
        <f t="shared" ca="1" si="15"/>
        <v>1</v>
      </c>
      <c r="AC17" s="20" t="str">
        <f t="shared" ca="1" si="5"/>
        <v/>
      </c>
      <c r="AD17" s="20" t="str" cm="1">
        <f t="array" aca="1" ref="AD17" ca="1">IF(AC17="","",IF(AC17&lt;&gt;AC16,1,IF(AD16=misLíneas-2,0,AD16+1)))</f>
        <v/>
      </c>
      <c r="AE17" s="20" t="str" cm="1">
        <f t="array" aca="1" ref="AE17" ca="1">IF(OR(AD17=0,AD17=""),"",INDEX(misCriticidades,AC17)&amp;"-"&amp;IFERROR(MATCH(AD17,miOrdenTarjeta,0),0))</f>
        <v/>
      </c>
      <c r="AF17" s="19" t="str">
        <f ca="1"/>
        <v/>
      </c>
      <c r="AG17" s="20">
        <f t="shared" ca="1" si="16"/>
        <v>1</v>
      </c>
      <c r="AH17" s="20" t="str">
        <f t="shared" ca="1" si="6"/>
        <v/>
      </c>
      <c r="AI17" s="20" t="str" cm="1">
        <f t="array" aca="1" ref="AI17" ca="1">IF(AH17="","",IF(AH17&lt;&gt;AH16,1,IF(AI16=misLíneas-2,0,AI16+1)))</f>
        <v/>
      </c>
      <c r="AJ17" s="20" t="str" cm="1">
        <f t="array" aca="1" ref="AJ17" ca="1">IF(OR(AI17=0,AI17=""),"",INDEX(misCriticidades,AH17)&amp;"-"&amp;IFERROR(MATCH(AI17,miOrdenTarjeta,0),0))</f>
        <v/>
      </c>
      <c r="AK17" s="19" t="str">
        <f ca="1"/>
        <v/>
      </c>
      <c r="AL17" s="20">
        <f t="shared" ca="1" si="17"/>
        <v>1</v>
      </c>
      <c r="AM17" s="20" t="str">
        <f t="shared" ca="1" si="7"/>
        <v/>
      </c>
      <c r="AN17" s="20" t="str" cm="1">
        <f t="array" aca="1" ref="AN17" ca="1">IF(AM17="","",IF(AM17&lt;&gt;AM16,1,IF(AN16=misLíneas-2,0,AN16+1)))</f>
        <v/>
      </c>
      <c r="AO17" s="20" t="str" cm="1">
        <f t="array" aca="1" ref="AO17" ca="1">IF(OR(AN17=0,AN17=""),"",INDEX(misCriticidades,AM17)&amp;"-"&amp;IFERROR(MATCH(AN17,miOrdenTarjeta,0),0))</f>
        <v/>
      </c>
      <c r="AP17" s="19" t="str">
        <f ca="1"/>
        <v/>
      </c>
      <c r="AQ17" s="20">
        <f t="shared" ca="1" si="18"/>
        <v>1</v>
      </c>
      <c r="AR17" s="20" t="str">
        <f t="shared" ca="1" si="8"/>
        <v/>
      </c>
      <c r="AS17" s="20" t="str" cm="1">
        <f t="array" aca="1" ref="AS17" ca="1">IF(AR17="","",IF(AR17&lt;&gt;AR16,1,IF(AS16=misLíneas-2,0,AS16+1)))</f>
        <v/>
      </c>
      <c r="AT17" s="20" t="str" cm="1">
        <f t="array" aca="1" ref="AT17" ca="1">IF(OR(AS17=0,AS17=""),"",INDEX(misCriticidades,AR17)&amp;"-"&amp;IFERROR(MATCH(AS17,miOrdenTarjeta,0),0))</f>
        <v/>
      </c>
      <c r="AU17" s="19" t="str">
        <f ca="1"/>
        <v/>
      </c>
      <c r="AV17" s="20">
        <f t="shared" ca="1" si="19"/>
        <v>1</v>
      </c>
      <c r="AW17" s="20" t="str">
        <f t="shared" ca="1" si="9"/>
        <v/>
      </c>
      <c r="AX17" s="20" t="str" cm="1">
        <f t="array" aca="1" ref="AX17" ca="1">IF(AW17="","",IF(AW17&lt;&gt;AW16,1,IF(AX16=misLíneas-2,0,AX16+1)))</f>
        <v/>
      </c>
      <c r="AY17" s="20" t="str" cm="1">
        <f t="array" aca="1" ref="AY17" ca="1">IF(OR(AX17=0,AX17=""),"",INDEX(misCriticidades,AW17)&amp;"-"&amp;IFERROR(MATCH(AX17,miOrdenTarjeta,0),0))</f>
        <v/>
      </c>
    </row>
    <row r="18" spans="2:51" x14ac:dyDescent="0.25">
      <c r="B18" s="19" t="str">
        <f ca="1"/>
        <v/>
      </c>
      <c r="C18" s="20">
        <f t="shared" ca="1" si="20"/>
        <v>1</v>
      </c>
      <c r="D18" s="20" t="str">
        <f t="shared" ca="1" si="0"/>
        <v/>
      </c>
      <c r="E18" s="20" t="str" cm="1">
        <f t="array" aca="1" ref="E18" ca="1">IF(D18="","",IF(D18&lt;&gt;D17,1,IF(E17=misLíneas-2,0,E17+1)))</f>
        <v/>
      </c>
      <c r="F18" s="20" t="str" cm="1">
        <f t="array" aca="1" ref="F18" ca="1">IF(OR(E18=0,E18=""),"",INDEX(misCriticidades,D18)&amp;"-"&amp;IFERROR(MATCH(E18,miOrdenTarjeta,0),0))</f>
        <v/>
      </c>
      <c r="G18" s="19" t="str">
        <f ca="1"/>
        <v/>
      </c>
      <c r="H18" s="20">
        <f t="shared" ca="1" si="11"/>
        <v>2</v>
      </c>
      <c r="I18" s="20">
        <f t="shared" ca="1" si="1"/>
        <v>32</v>
      </c>
      <c r="J18" s="20" cm="1">
        <f t="array" aca="1" ref="J18" ca="1">IF(I18="","",IF(I18&lt;&gt;I17,1,IF(J17=misLíneas-2,0,J17+1)))</f>
        <v>6</v>
      </c>
      <c r="K18" s="20" t="str" cm="1">
        <f t="array" aca="1" ref="K18" ca="1">IF(OR(J18=0,J18=""),"",INDEX(misCriticidades,I18)&amp;"-"&amp;IFERROR(MATCH(J18,miOrdenTarjeta,0),0))</f>
        <v>2-6</v>
      </c>
      <c r="L18" s="19" t="str">
        <f ca="1"/>
        <v/>
      </c>
      <c r="M18" s="20">
        <f t="shared" ca="1" si="12"/>
        <v>1</v>
      </c>
      <c r="N18" s="20" t="str">
        <f t="shared" ca="1" si="2"/>
        <v/>
      </c>
      <c r="O18" s="20" t="str" cm="1">
        <f t="array" aca="1" ref="O18" ca="1">IF(N18="","",IF(N18&lt;&gt;N17,1,IF(O17=misLíneas-2,0,O17+1)))</f>
        <v/>
      </c>
      <c r="P18" s="20" t="str" cm="1">
        <f t="array" aca="1" ref="P18" ca="1">IF(OR(O18=0,O18=""),"",INDEX(misCriticidades,N18)&amp;"-"&amp;IFERROR(MATCH(O18,miOrdenTarjeta,0),0))</f>
        <v/>
      </c>
      <c r="Q18" s="19">
        <f ca="1"/>
        <v>17</v>
      </c>
      <c r="R18" s="20">
        <f t="shared" ca="1" si="13"/>
        <v>2</v>
      </c>
      <c r="S18" s="20">
        <f t="shared" ca="1" si="3"/>
        <v>28</v>
      </c>
      <c r="T18" s="20" cm="1">
        <f t="array" aca="1" ref="T18" ca="1">IF(S18="","",IF(S18&lt;&gt;S17,1,IF(T17=misLíneas-2,0,T17+1)))</f>
        <v>6</v>
      </c>
      <c r="U18" s="20" t="str" cm="1">
        <f t="array" aca="1" ref="U18" ca="1">IF(OR(T18=0,T18=""),"",INDEX(misCriticidades,S18)&amp;"-"&amp;IFERROR(MATCH(T18,miOrdenTarjeta,0),0))</f>
        <v>2-6</v>
      </c>
      <c r="V18" s="19" t="str">
        <f ca="1"/>
        <v/>
      </c>
      <c r="W18" s="20">
        <f t="shared" ca="1" si="14"/>
        <v>1</v>
      </c>
      <c r="X18" s="20" t="str">
        <f t="shared" ca="1" si="4"/>
        <v/>
      </c>
      <c r="Y18" s="20" t="str" cm="1">
        <f t="array" aca="1" ref="Y18" ca="1">IF(X18="","",IF(X18&lt;&gt;X17,1,IF(Y17=misLíneas-2,0,Y17+1)))</f>
        <v/>
      </c>
      <c r="Z18" s="20" t="str" cm="1">
        <f t="array" aca="1" ref="Z18" ca="1">IF(OR(Y18=0,Y18=""),"",INDEX(misCriticidades,X18)&amp;"-"&amp;IFERROR(MATCH(Y18,miOrdenTarjeta,0),0))</f>
        <v/>
      </c>
      <c r="AA18" s="19" t="str">
        <f ca="1"/>
        <v/>
      </c>
      <c r="AB18" s="20">
        <f t="shared" ca="1" si="15"/>
        <v>1</v>
      </c>
      <c r="AC18" s="20" t="str">
        <f t="shared" ca="1" si="5"/>
        <v/>
      </c>
      <c r="AD18" s="20" t="str" cm="1">
        <f t="array" aca="1" ref="AD18" ca="1">IF(AC18="","",IF(AC18&lt;&gt;AC17,1,IF(AD17=misLíneas-2,0,AD17+1)))</f>
        <v/>
      </c>
      <c r="AE18" s="20" t="str" cm="1">
        <f t="array" aca="1" ref="AE18" ca="1">IF(OR(AD18=0,AD18=""),"",INDEX(misCriticidades,AC18)&amp;"-"&amp;IFERROR(MATCH(AD18,miOrdenTarjeta,0),0))</f>
        <v/>
      </c>
      <c r="AF18" s="19" t="str">
        <f ca="1"/>
        <v/>
      </c>
      <c r="AG18" s="20">
        <f t="shared" ca="1" si="16"/>
        <v>1</v>
      </c>
      <c r="AH18" s="20" t="str">
        <f t="shared" ca="1" si="6"/>
        <v/>
      </c>
      <c r="AI18" s="20" t="str" cm="1">
        <f t="array" aca="1" ref="AI18" ca="1">IF(AH18="","",IF(AH18&lt;&gt;AH17,1,IF(AI17=misLíneas-2,0,AI17+1)))</f>
        <v/>
      </c>
      <c r="AJ18" s="20" t="str" cm="1">
        <f t="array" aca="1" ref="AJ18" ca="1">IF(OR(AI18=0,AI18=""),"",INDEX(misCriticidades,AH18)&amp;"-"&amp;IFERROR(MATCH(AI18,miOrdenTarjeta,0),0))</f>
        <v/>
      </c>
      <c r="AK18" s="19" t="str">
        <f ca="1"/>
        <v/>
      </c>
      <c r="AL18" s="20">
        <f t="shared" ca="1" si="17"/>
        <v>1</v>
      </c>
      <c r="AM18" s="20" t="str">
        <f t="shared" ca="1" si="7"/>
        <v/>
      </c>
      <c r="AN18" s="20" t="str" cm="1">
        <f t="array" aca="1" ref="AN18" ca="1">IF(AM18="","",IF(AM18&lt;&gt;AM17,1,IF(AN17=misLíneas-2,0,AN17+1)))</f>
        <v/>
      </c>
      <c r="AO18" s="20" t="str" cm="1">
        <f t="array" aca="1" ref="AO18" ca="1">IF(OR(AN18=0,AN18=""),"",INDEX(misCriticidades,AM18)&amp;"-"&amp;IFERROR(MATCH(AN18,miOrdenTarjeta,0),0))</f>
        <v/>
      </c>
      <c r="AP18" s="19" t="str">
        <f ca="1"/>
        <v/>
      </c>
      <c r="AQ18" s="20">
        <f t="shared" ca="1" si="18"/>
        <v>1</v>
      </c>
      <c r="AR18" s="20" t="str">
        <f t="shared" ca="1" si="8"/>
        <v/>
      </c>
      <c r="AS18" s="20" t="str" cm="1">
        <f t="array" aca="1" ref="AS18" ca="1">IF(AR18="","",IF(AR18&lt;&gt;AR17,1,IF(AS17=misLíneas-2,0,AS17+1)))</f>
        <v/>
      </c>
      <c r="AT18" s="20" t="str" cm="1">
        <f t="array" aca="1" ref="AT18" ca="1">IF(OR(AS18=0,AS18=""),"",INDEX(misCriticidades,AR18)&amp;"-"&amp;IFERROR(MATCH(AS18,miOrdenTarjeta,0),0))</f>
        <v/>
      </c>
      <c r="AU18" s="19" t="str">
        <f ca="1"/>
        <v/>
      </c>
      <c r="AV18" s="20">
        <f t="shared" ca="1" si="19"/>
        <v>1</v>
      </c>
      <c r="AW18" s="20" t="str">
        <f t="shared" ca="1" si="9"/>
        <v/>
      </c>
      <c r="AX18" s="20" t="str" cm="1">
        <f t="array" aca="1" ref="AX18" ca="1">IF(AW18="","",IF(AW18&lt;&gt;AW17,1,IF(AX17=misLíneas-2,0,AX17+1)))</f>
        <v/>
      </c>
      <c r="AY18" s="20" t="str" cm="1">
        <f t="array" aca="1" ref="AY18" ca="1">IF(OR(AX18=0,AX18=""),"",INDEX(misCriticidades,AW18)&amp;"-"&amp;IFERROR(MATCH(AX18,miOrdenTarjeta,0),0))</f>
        <v/>
      </c>
    </row>
    <row r="19" spans="2:51" x14ac:dyDescent="0.25">
      <c r="B19" s="19" t="str">
        <f ca="1"/>
        <v/>
      </c>
      <c r="C19" s="20">
        <f t="shared" ca="1" si="20"/>
        <v>1</v>
      </c>
      <c r="D19" s="20" t="str">
        <f t="shared" ca="1" si="0"/>
        <v/>
      </c>
      <c r="E19" s="20" t="str" cm="1">
        <f t="array" aca="1" ref="E19" ca="1">IF(D19="","",IF(D19&lt;&gt;D18,1,IF(E18=misLíneas-2,0,E18+1)))</f>
        <v/>
      </c>
      <c r="F19" s="20" t="str" cm="1">
        <f t="array" aca="1" ref="F19" ca="1">IF(OR(E19=0,E19=""),"",INDEX(misCriticidades,D19)&amp;"-"&amp;IFERROR(MATCH(E19,miOrdenTarjeta,0),0))</f>
        <v/>
      </c>
      <c r="G19" s="19" t="str">
        <f ca="1"/>
        <v/>
      </c>
      <c r="H19" s="20">
        <f t="shared" ca="1" si="11"/>
        <v>2</v>
      </c>
      <c r="I19" s="20">
        <f t="shared" ca="1" si="1"/>
        <v>32</v>
      </c>
      <c r="J19" s="20" cm="1">
        <f t="array" aca="1" ref="J19" ca="1">IF(I19="","",IF(I19&lt;&gt;I18,1,IF(J18=misLíneas-2,0,J18+1)))</f>
        <v>7</v>
      </c>
      <c r="K19" s="20" t="str" cm="1">
        <f t="array" aca="1" ref="K19" ca="1">IF(OR(J19=0,J19=""),"",INDEX(misCriticidades,I19)&amp;"-"&amp;IFERROR(MATCH(J19,miOrdenTarjeta,0),0))</f>
        <v>2-7</v>
      </c>
      <c r="L19" s="19" t="str">
        <f ca="1"/>
        <v/>
      </c>
      <c r="M19" s="20">
        <f t="shared" ca="1" si="12"/>
        <v>1</v>
      </c>
      <c r="N19" s="20" t="str">
        <f t="shared" ca="1" si="2"/>
        <v/>
      </c>
      <c r="O19" s="20" t="str" cm="1">
        <f t="array" aca="1" ref="O19" ca="1">IF(N19="","",IF(N19&lt;&gt;N18,1,IF(O18=misLíneas-2,0,O18+1)))</f>
        <v/>
      </c>
      <c r="P19" s="20" t="str" cm="1">
        <f t="array" aca="1" ref="P19" ca="1">IF(OR(O19=0,O19=""),"",INDEX(misCriticidades,N19)&amp;"-"&amp;IFERROR(MATCH(O19,miOrdenTarjeta,0),0))</f>
        <v/>
      </c>
      <c r="Q19" s="19">
        <f ca="1"/>
        <v>18</v>
      </c>
      <c r="R19" s="20">
        <f t="shared" ca="1" si="13"/>
        <v>2</v>
      </c>
      <c r="S19" s="20">
        <f t="shared" ca="1" si="3"/>
        <v>28</v>
      </c>
      <c r="T19" s="20" cm="1">
        <f t="array" aca="1" ref="T19" ca="1">IF(S19="","",IF(S19&lt;&gt;S18,1,IF(T18=misLíneas-2,0,T18+1)))</f>
        <v>7</v>
      </c>
      <c r="U19" s="20" t="str" cm="1">
        <f t="array" aca="1" ref="U19" ca="1">IF(OR(T19=0,T19=""),"",INDEX(misCriticidades,S19)&amp;"-"&amp;IFERROR(MATCH(T19,miOrdenTarjeta,0),0))</f>
        <v>2-7</v>
      </c>
      <c r="V19" s="19" t="str">
        <f ca="1"/>
        <v/>
      </c>
      <c r="W19" s="20">
        <f t="shared" ca="1" si="14"/>
        <v>1</v>
      </c>
      <c r="X19" s="20" t="str">
        <f t="shared" ca="1" si="4"/>
        <v/>
      </c>
      <c r="Y19" s="20" t="str" cm="1">
        <f t="array" aca="1" ref="Y19" ca="1">IF(X19="","",IF(X19&lt;&gt;X18,1,IF(Y18=misLíneas-2,0,Y18+1)))</f>
        <v/>
      </c>
      <c r="Z19" s="20" t="str" cm="1">
        <f t="array" aca="1" ref="Z19" ca="1">IF(OR(Y19=0,Y19=""),"",INDEX(misCriticidades,X19)&amp;"-"&amp;IFERROR(MATCH(Y19,miOrdenTarjeta,0),0))</f>
        <v/>
      </c>
      <c r="AA19" s="19" t="str">
        <f ca="1"/>
        <v/>
      </c>
      <c r="AB19" s="20">
        <f t="shared" ca="1" si="15"/>
        <v>1</v>
      </c>
      <c r="AC19" s="20" t="str">
        <f t="shared" ca="1" si="5"/>
        <v/>
      </c>
      <c r="AD19" s="20" t="str" cm="1">
        <f t="array" aca="1" ref="AD19" ca="1">IF(AC19="","",IF(AC19&lt;&gt;AC18,1,IF(AD18=misLíneas-2,0,AD18+1)))</f>
        <v/>
      </c>
      <c r="AE19" s="20" t="str" cm="1">
        <f t="array" aca="1" ref="AE19" ca="1">IF(OR(AD19=0,AD19=""),"",INDEX(misCriticidades,AC19)&amp;"-"&amp;IFERROR(MATCH(AD19,miOrdenTarjeta,0),0))</f>
        <v/>
      </c>
      <c r="AF19" s="19" t="str">
        <f ca="1"/>
        <v/>
      </c>
      <c r="AG19" s="20">
        <f t="shared" ca="1" si="16"/>
        <v>1</v>
      </c>
      <c r="AH19" s="20" t="str">
        <f t="shared" ca="1" si="6"/>
        <v/>
      </c>
      <c r="AI19" s="20" t="str" cm="1">
        <f t="array" aca="1" ref="AI19" ca="1">IF(AH19="","",IF(AH19&lt;&gt;AH18,1,IF(AI18=misLíneas-2,0,AI18+1)))</f>
        <v/>
      </c>
      <c r="AJ19" s="20" t="str" cm="1">
        <f t="array" aca="1" ref="AJ19" ca="1">IF(OR(AI19=0,AI19=""),"",INDEX(misCriticidades,AH19)&amp;"-"&amp;IFERROR(MATCH(AI19,miOrdenTarjeta,0),0))</f>
        <v/>
      </c>
      <c r="AK19" s="19" t="str">
        <f ca="1"/>
        <v/>
      </c>
      <c r="AL19" s="20">
        <f t="shared" ca="1" si="17"/>
        <v>1</v>
      </c>
      <c r="AM19" s="20" t="str">
        <f t="shared" ca="1" si="7"/>
        <v/>
      </c>
      <c r="AN19" s="20" t="str" cm="1">
        <f t="array" aca="1" ref="AN19" ca="1">IF(AM19="","",IF(AM19&lt;&gt;AM18,1,IF(AN18=misLíneas-2,0,AN18+1)))</f>
        <v/>
      </c>
      <c r="AO19" s="20" t="str" cm="1">
        <f t="array" aca="1" ref="AO19" ca="1">IF(OR(AN19=0,AN19=""),"",INDEX(misCriticidades,AM19)&amp;"-"&amp;IFERROR(MATCH(AN19,miOrdenTarjeta,0),0))</f>
        <v/>
      </c>
      <c r="AP19" s="19" t="str">
        <f ca="1"/>
        <v/>
      </c>
      <c r="AQ19" s="20">
        <f t="shared" ca="1" si="18"/>
        <v>1</v>
      </c>
      <c r="AR19" s="20" t="str">
        <f t="shared" ca="1" si="8"/>
        <v/>
      </c>
      <c r="AS19" s="20" t="str" cm="1">
        <f t="array" aca="1" ref="AS19" ca="1">IF(AR19="","",IF(AR19&lt;&gt;AR18,1,IF(AS18=misLíneas-2,0,AS18+1)))</f>
        <v/>
      </c>
      <c r="AT19" s="20" t="str" cm="1">
        <f t="array" aca="1" ref="AT19" ca="1">IF(OR(AS19=0,AS19=""),"",INDEX(misCriticidades,AR19)&amp;"-"&amp;IFERROR(MATCH(AS19,miOrdenTarjeta,0),0))</f>
        <v/>
      </c>
      <c r="AU19" s="19" t="str">
        <f ca="1"/>
        <v/>
      </c>
      <c r="AV19" s="20">
        <f t="shared" ca="1" si="19"/>
        <v>1</v>
      </c>
      <c r="AW19" s="20" t="str">
        <f t="shared" ca="1" si="9"/>
        <v/>
      </c>
      <c r="AX19" s="20" t="str" cm="1">
        <f t="array" aca="1" ref="AX19" ca="1">IF(AW19="","",IF(AW19&lt;&gt;AW18,1,IF(AX18=misLíneas-2,0,AX18+1)))</f>
        <v/>
      </c>
      <c r="AY19" s="20" t="str" cm="1">
        <f t="array" aca="1" ref="AY19" ca="1">IF(OR(AX19=0,AX19=""),"",INDEX(misCriticidades,AW19)&amp;"-"&amp;IFERROR(MATCH(AX19,miOrdenTarjeta,0),0))</f>
        <v/>
      </c>
    </row>
    <row r="20" spans="2:51" x14ac:dyDescent="0.25">
      <c r="B20" s="19" t="str">
        <f ca="1"/>
        <v/>
      </c>
      <c r="C20" s="20">
        <f t="shared" ca="1" si="20"/>
        <v>1</v>
      </c>
      <c r="D20" s="20" t="str">
        <f t="shared" ca="1" si="0"/>
        <v/>
      </c>
      <c r="E20" s="20" t="str" cm="1">
        <f t="array" aca="1" ref="E20" ca="1">IF(D20="","",IF(D20&lt;&gt;D19,1,IF(E19=misLíneas-2,0,E19+1)))</f>
        <v/>
      </c>
      <c r="F20" s="20" t="str" cm="1">
        <f t="array" aca="1" ref="F20" ca="1">IF(OR(E20=0,E20=""),"",INDEX(misCriticidades,D20)&amp;"-"&amp;IFERROR(MATCH(E20,miOrdenTarjeta,0),0))</f>
        <v/>
      </c>
      <c r="G20" s="19" t="str">
        <f ca="1"/>
        <v/>
      </c>
      <c r="H20" s="20">
        <f t="shared" ca="1" si="11"/>
        <v>2</v>
      </c>
      <c r="I20" s="20">
        <f t="shared" ca="1" si="1"/>
        <v>32</v>
      </c>
      <c r="J20" s="20" cm="1">
        <f t="array" aca="1" ref="J20" ca="1">IF(I20="","",IF(I20&lt;&gt;I19,1,IF(J19=misLíneas-2,0,J19+1)))</f>
        <v>8</v>
      </c>
      <c r="K20" s="20" t="str" cm="1">
        <f t="array" aca="1" ref="K20" ca="1">IF(OR(J20=0,J20=""),"",INDEX(misCriticidades,I20)&amp;"-"&amp;IFERROR(MATCH(J20,miOrdenTarjeta,0),0))</f>
        <v>2-8</v>
      </c>
      <c r="L20" s="19" t="str">
        <f ca="1"/>
        <v/>
      </c>
      <c r="M20" s="20">
        <f t="shared" ca="1" si="12"/>
        <v>1</v>
      </c>
      <c r="N20" s="20" t="str">
        <f t="shared" ca="1" si="2"/>
        <v/>
      </c>
      <c r="O20" s="20" t="str" cm="1">
        <f t="array" aca="1" ref="O20" ca="1">IF(N20="","",IF(N20&lt;&gt;N19,1,IF(O19=misLíneas-2,0,O19+1)))</f>
        <v/>
      </c>
      <c r="P20" s="20" t="str" cm="1">
        <f t="array" aca="1" ref="P20" ca="1">IF(OR(O20=0,O20=""),"",INDEX(misCriticidades,N20)&amp;"-"&amp;IFERROR(MATCH(O20,miOrdenTarjeta,0),0))</f>
        <v/>
      </c>
      <c r="Q20" s="19">
        <f ca="1"/>
        <v>19</v>
      </c>
      <c r="R20" s="20">
        <f t="shared" ca="1" si="13"/>
        <v>2</v>
      </c>
      <c r="S20" s="20">
        <f t="shared" ca="1" si="3"/>
        <v>28</v>
      </c>
      <c r="T20" s="20" cm="1">
        <f t="array" aca="1" ref="T20" ca="1">IF(S20="","",IF(S20&lt;&gt;S19,1,IF(T19=misLíneas-2,0,T19+1)))</f>
        <v>8</v>
      </c>
      <c r="U20" s="20" t="str" cm="1">
        <f t="array" aca="1" ref="U20" ca="1">IF(OR(T20=0,T20=""),"",INDEX(misCriticidades,S20)&amp;"-"&amp;IFERROR(MATCH(T20,miOrdenTarjeta,0),0))</f>
        <v>2-8</v>
      </c>
      <c r="V20" s="19" t="str">
        <f ca="1"/>
        <v/>
      </c>
      <c r="W20" s="20">
        <f t="shared" ca="1" si="14"/>
        <v>1</v>
      </c>
      <c r="X20" s="20" t="str">
        <f t="shared" ca="1" si="4"/>
        <v/>
      </c>
      <c r="Y20" s="20" t="str" cm="1">
        <f t="array" aca="1" ref="Y20" ca="1">IF(X20="","",IF(X20&lt;&gt;X19,1,IF(Y19=misLíneas-2,0,Y19+1)))</f>
        <v/>
      </c>
      <c r="Z20" s="20" t="str" cm="1">
        <f t="array" aca="1" ref="Z20" ca="1">IF(OR(Y20=0,Y20=""),"",INDEX(misCriticidades,X20)&amp;"-"&amp;IFERROR(MATCH(Y20,miOrdenTarjeta,0),0))</f>
        <v/>
      </c>
      <c r="AA20" s="19" t="str">
        <f ca="1"/>
        <v/>
      </c>
      <c r="AB20" s="20">
        <f t="shared" ca="1" si="15"/>
        <v>1</v>
      </c>
      <c r="AC20" s="20" t="str">
        <f t="shared" ca="1" si="5"/>
        <v/>
      </c>
      <c r="AD20" s="20" t="str" cm="1">
        <f t="array" aca="1" ref="AD20" ca="1">IF(AC20="","",IF(AC20&lt;&gt;AC19,1,IF(AD19=misLíneas-2,0,AD19+1)))</f>
        <v/>
      </c>
      <c r="AE20" s="20" t="str" cm="1">
        <f t="array" aca="1" ref="AE20" ca="1">IF(OR(AD20=0,AD20=""),"",INDEX(misCriticidades,AC20)&amp;"-"&amp;IFERROR(MATCH(AD20,miOrdenTarjeta,0),0))</f>
        <v/>
      </c>
      <c r="AF20" s="19" t="str">
        <f ca="1"/>
        <v/>
      </c>
      <c r="AG20" s="20">
        <f t="shared" ca="1" si="16"/>
        <v>1</v>
      </c>
      <c r="AH20" s="20" t="str">
        <f t="shared" ca="1" si="6"/>
        <v/>
      </c>
      <c r="AI20" s="20" t="str" cm="1">
        <f t="array" aca="1" ref="AI20" ca="1">IF(AH20="","",IF(AH20&lt;&gt;AH19,1,IF(AI19=misLíneas-2,0,AI19+1)))</f>
        <v/>
      </c>
      <c r="AJ20" s="20" t="str" cm="1">
        <f t="array" aca="1" ref="AJ20" ca="1">IF(OR(AI20=0,AI20=""),"",INDEX(misCriticidades,AH20)&amp;"-"&amp;IFERROR(MATCH(AI20,miOrdenTarjeta,0),0))</f>
        <v/>
      </c>
      <c r="AK20" s="19" t="str">
        <f ca="1"/>
        <v/>
      </c>
      <c r="AL20" s="20">
        <f t="shared" ca="1" si="17"/>
        <v>1</v>
      </c>
      <c r="AM20" s="20" t="str">
        <f t="shared" ca="1" si="7"/>
        <v/>
      </c>
      <c r="AN20" s="20" t="str" cm="1">
        <f t="array" aca="1" ref="AN20" ca="1">IF(AM20="","",IF(AM20&lt;&gt;AM19,1,IF(AN19=misLíneas-2,0,AN19+1)))</f>
        <v/>
      </c>
      <c r="AO20" s="20" t="str" cm="1">
        <f t="array" aca="1" ref="AO20" ca="1">IF(OR(AN20=0,AN20=""),"",INDEX(misCriticidades,AM20)&amp;"-"&amp;IFERROR(MATCH(AN20,miOrdenTarjeta,0),0))</f>
        <v/>
      </c>
      <c r="AP20" s="19" t="str">
        <f ca="1"/>
        <v/>
      </c>
      <c r="AQ20" s="20">
        <f t="shared" ca="1" si="18"/>
        <v>1</v>
      </c>
      <c r="AR20" s="20" t="str">
        <f t="shared" ca="1" si="8"/>
        <v/>
      </c>
      <c r="AS20" s="20" t="str" cm="1">
        <f t="array" aca="1" ref="AS20" ca="1">IF(AR20="","",IF(AR20&lt;&gt;AR19,1,IF(AS19=misLíneas-2,0,AS19+1)))</f>
        <v/>
      </c>
      <c r="AT20" s="20" t="str" cm="1">
        <f t="array" aca="1" ref="AT20" ca="1">IF(OR(AS20=0,AS20=""),"",INDEX(misCriticidades,AR20)&amp;"-"&amp;IFERROR(MATCH(AS20,miOrdenTarjeta,0),0))</f>
        <v/>
      </c>
      <c r="AU20" s="19" t="str">
        <f ca="1"/>
        <v/>
      </c>
      <c r="AV20" s="20">
        <f t="shared" ca="1" si="19"/>
        <v>1</v>
      </c>
      <c r="AW20" s="20" t="str">
        <f t="shared" ca="1" si="9"/>
        <v/>
      </c>
      <c r="AX20" s="20" t="str" cm="1">
        <f t="array" aca="1" ref="AX20" ca="1">IF(AW20="","",IF(AW20&lt;&gt;AW19,1,IF(AX19=misLíneas-2,0,AX19+1)))</f>
        <v/>
      </c>
      <c r="AY20" s="20" t="str" cm="1">
        <f t="array" aca="1" ref="AY20" ca="1">IF(OR(AX20=0,AX20=""),"",INDEX(misCriticidades,AW20)&amp;"-"&amp;IFERROR(MATCH(AX20,miOrdenTarjeta,0),0))</f>
        <v/>
      </c>
    </row>
    <row r="21" spans="2:51" x14ac:dyDescent="0.25">
      <c r="B21" s="19" t="str">
        <f ca="1"/>
        <v/>
      </c>
      <c r="C21" s="20">
        <f t="shared" ca="1" si="20"/>
        <v>1</v>
      </c>
      <c r="D21" s="20" t="str">
        <f t="shared" ca="1" si="0"/>
        <v/>
      </c>
      <c r="E21" s="20" t="str" cm="1">
        <f t="array" aca="1" ref="E21" ca="1">IF(D21="","",IF(D21&lt;&gt;D20,1,IF(E20=misLíneas-2,0,E20+1)))</f>
        <v/>
      </c>
      <c r="F21" s="20" t="str" cm="1">
        <f t="array" aca="1" ref="F21" ca="1">IF(OR(E21=0,E21=""),"",INDEX(misCriticidades,D21)&amp;"-"&amp;IFERROR(MATCH(E21,miOrdenTarjeta,0),0))</f>
        <v/>
      </c>
      <c r="G21" s="19" t="str">
        <f ca="1"/>
        <v/>
      </c>
      <c r="H21" s="20">
        <f t="shared" ca="1" si="11"/>
        <v>2</v>
      </c>
      <c r="I21" s="20">
        <f t="shared" ca="1" si="1"/>
        <v>32</v>
      </c>
      <c r="J21" s="20" cm="1">
        <f t="array" aca="1" ref="J21" ca="1">IF(I21="","",IF(I21&lt;&gt;I20,1,IF(J20=misLíneas-2,0,J20+1)))</f>
        <v>9</v>
      </c>
      <c r="K21" s="20" t="str" cm="1">
        <f t="array" aca="1" ref="K21" ca="1">IF(OR(J21=0,J21=""),"",INDEX(misCriticidades,I21)&amp;"-"&amp;IFERROR(MATCH(J21,miOrdenTarjeta,0),0))</f>
        <v>2-0</v>
      </c>
      <c r="L21" s="19" t="str">
        <f ca="1"/>
        <v/>
      </c>
      <c r="M21" s="20">
        <f t="shared" ca="1" si="12"/>
        <v>1</v>
      </c>
      <c r="N21" s="20" t="str">
        <f t="shared" ca="1" si="2"/>
        <v/>
      </c>
      <c r="O21" s="20" t="str" cm="1">
        <f t="array" aca="1" ref="O21" ca="1">IF(N21="","",IF(N21&lt;&gt;N20,1,IF(O20=misLíneas-2,0,O20+1)))</f>
        <v/>
      </c>
      <c r="P21" s="20" t="str" cm="1">
        <f t="array" aca="1" ref="P21" ca="1">IF(OR(O21=0,O21=""),"",INDEX(misCriticidades,N21)&amp;"-"&amp;IFERROR(MATCH(O21,miOrdenTarjeta,0),0))</f>
        <v/>
      </c>
      <c r="Q21" s="19">
        <f ca="1"/>
        <v>20</v>
      </c>
      <c r="R21" s="20">
        <f t="shared" ca="1" si="13"/>
        <v>2</v>
      </c>
      <c r="S21" s="20">
        <f t="shared" ca="1" si="3"/>
        <v>28</v>
      </c>
      <c r="T21" s="20" cm="1">
        <f t="array" aca="1" ref="T21" ca="1">IF(S21="","",IF(S21&lt;&gt;S20,1,IF(T20=misLíneas-2,0,T20+1)))</f>
        <v>9</v>
      </c>
      <c r="U21" s="20" t="str" cm="1">
        <f t="array" aca="1" ref="U21" ca="1">IF(OR(T21=0,T21=""),"",INDEX(misCriticidades,S21)&amp;"-"&amp;IFERROR(MATCH(T21,miOrdenTarjeta,0),0))</f>
        <v>2-0</v>
      </c>
      <c r="V21" s="19" t="str">
        <f ca="1"/>
        <v/>
      </c>
      <c r="W21" s="20">
        <f t="shared" ca="1" si="14"/>
        <v>1</v>
      </c>
      <c r="X21" s="20" t="str">
        <f t="shared" ca="1" si="4"/>
        <v/>
      </c>
      <c r="Y21" s="20" t="str" cm="1">
        <f t="array" aca="1" ref="Y21" ca="1">IF(X21="","",IF(X21&lt;&gt;X20,1,IF(Y20=misLíneas-2,0,Y20+1)))</f>
        <v/>
      </c>
      <c r="Z21" s="20" t="str" cm="1">
        <f t="array" aca="1" ref="Z21" ca="1">IF(OR(Y21=0,Y21=""),"",INDEX(misCriticidades,X21)&amp;"-"&amp;IFERROR(MATCH(Y21,miOrdenTarjeta,0),0))</f>
        <v/>
      </c>
      <c r="AA21" s="19" t="str">
        <f ca="1"/>
        <v/>
      </c>
      <c r="AB21" s="20">
        <f t="shared" ca="1" si="15"/>
        <v>1</v>
      </c>
      <c r="AC21" s="20" t="str">
        <f t="shared" ca="1" si="5"/>
        <v/>
      </c>
      <c r="AD21" s="20" t="str" cm="1">
        <f t="array" aca="1" ref="AD21" ca="1">IF(AC21="","",IF(AC21&lt;&gt;AC20,1,IF(AD20=misLíneas-2,0,AD20+1)))</f>
        <v/>
      </c>
      <c r="AE21" s="20" t="str" cm="1">
        <f t="array" aca="1" ref="AE21" ca="1">IF(OR(AD21=0,AD21=""),"",INDEX(misCriticidades,AC21)&amp;"-"&amp;IFERROR(MATCH(AD21,miOrdenTarjeta,0),0))</f>
        <v/>
      </c>
      <c r="AF21" s="19" t="str">
        <f ca="1"/>
        <v/>
      </c>
      <c r="AG21" s="20">
        <f t="shared" ca="1" si="16"/>
        <v>1</v>
      </c>
      <c r="AH21" s="20" t="str">
        <f t="shared" ca="1" si="6"/>
        <v/>
      </c>
      <c r="AI21" s="20" t="str" cm="1">
        <f t="array" aca="1" ref="AI21" ca="1">IF(AH21="","",IF(AH21&lt;&gt;AH20,1,IF(AI20=misLíneas-2,0,AI20+1)))</f>
        <v/>
      </c>
      <c r="AJ21" s="20" t="str" cm="1">
        <f t="array" aca="1" ref="AJ21" ca="1">IF(OR(AI21=0,AI21=""),"",INDEX(misCriticidades,AH21)&amp;"-"&amp;IFERROR(MATCH(AI21,miOrdenTarjeta,0),0))</f>
        <v/>
      </c>
      <c r="AK21" s="19" t="str">
        <f ca="1"/>
        <v/>
      </c>
      <c r="AL21" s="20">
        <f t="shared" ca="1" si="17"/>
        <v>1</v>
      </c>
      <c r="AM21" s="20" t="str">
        <f t="shared" ca="1" si="7"/>
        <v/>
      </c>
      <c r="AN21" s="20" t="str" cm="1">
        <f t="array" aca="1" ref="AN21" ca="1">IF(AM21="","",IF(AM21&lt;&gt;AM20,1,IF(AN20=misLíneas-2,0,AN20+1)))</f>
        <v/>
      </c>
      <c r="AO21" s="20" t="str" cm="1">
        <f t="array" aca="1" ref="AO21" ca="1">IF(OR(AN21=0,AN21=""),"",INDEX(misCriticidades,AM21)&amp;"-"&amp;IFERROR(MATCH(AN21,miOrdenTarjeta,0),0))</f>
        <v/>
      </c>
      <c r="AP21" s="19" t="str">
        <f ca="1"/>
        <v/>
      </c>
      <c r="AQ21" s="20">
        <f t="shared" ca="1" si="18"/>
        <v>1</v>
      </c>
      <c r="AR21" s="20" t="str">
        <f t="shared" ca="1" si="8"/>
        <v/>
      </c>
      <c r="AS21" s="20" t="str" cm="1">
        <f t="array" aca="1" ref="AS21" ca="1">IF(AR21="","",IF(AR21&lt;&gt;AR20,1,IF(AS20=misLíneas-2,0,AS20+1)))</f>
        <v/>
      </c>
      <c r="AT21" s="20" t="str" cm="1">
        <f t="array" aca="1" ref="AT21" ca="1">IF(OR(AS21=0,AS21=""),"",INDEX(misCriticidades,AR21)&amp;"-"&amp;IFERROR(MATCH(AS21,miOrdenTarjeta,0),0))</f>
        <v/>
      </c>
      <c r="AU21" s="19" t="str">
        <f ca="1"/>
        <v/>
      </c>
      <c r="AV21" s="20">
        <f t="shared" ca="1" si="19"/>
        <v>1</v>
      </c>
      <c r="AW21" s="20" t="str">
        <f t="shared" ca="1" si="9"/>
        <v/>
      </c>
      <c r="AX21" s="20" t="str" cm="1">
        <f t="array" aca="1" ref="AX21" ca="1">IF(AW21="","",IF(AW21&lt;&gt;AW20,1,IF(AX20=misLíneas-2,0,AX20+1)))</f>
        <v/>
      </c>
      <c r="AY21" s="20" t="str" cm="1">
        <f t="array" aca="1" ref="AY21" ca="1">IF(OR(AX21=0,AX21=""),"",INDEX(misCriticidades,AW21)&amp;"-"&amp;IFERROR(MATCH(AX21,miOrdenTarjeta,0),0))</f>
        <v/>
      </c>
    </row>
    <row r="22" spans="2:51" x14ac:dyDescent="0.25">
      <c r="B22" s="19" t="str">
        <f ca="1"/>
        <v/>
      </c>
      <c r="C22" s="20">
        <f t="shared" ca="1" si="20"/>
        <v>1</v>
      </c>
      <c r="D22" s="20" t="str">
        <f t="shared" ca="1" si="0"/>
        <v/>
      </c>
      <c r="E22" s="20" t="str" cm="1">
        <f t="array" aca="1" ref="E22" ca="1">IF(D22="","",IF(D22&lt;&gt;D21,1,IF(E21=misLíneas-2,0,E21+1)))</f>
        <v/>
      </c>
      <c r="F22" s="20" t="str" cm="1">
        <f t="array" aca="1" ref="F22" ca="1">IF(OR(E22=0,E22=""),"",INDEX(misCriticidades,D22)&amp;"-"&amp;IFERROR(MATCH(E22,miOrdenTarjeta,0),0))</f>
        <v/>
      </c>
      <c r="G22" s="19" t="str">
        <f ca="1"/>
        <v/>
      </c>
      <c r="H22" s="20">
        <f t="shared" ca="1" si="11"/>
        <v>2</v>
      </c>
      <c r="I22" s="20">
        <f t="shared" ca="1" si="1"/>
        <v>32</v>
      </c>
      <c r="J22" s="20" cm="1">
        <f t="array" aca="1" ref="J22" ca="1">IF(I22="","",IF(I22&lt;&gt;I21,1,IF(J21=misLíneas-2,0,J21+1)))</f>
        <v>0</v>
      </c>
      <c r="K22" s="20" t="str" cm="1">
        <f t="array" aca="1" ref="K22" ca="1">IF(OR(J22=0,J22=""),"",INDEX(misCriticidades,I22)&amp;"-"&amp;IFERROR(MATCH(J22,miOrdenTarjeta,0),0))</f>
        <v/>
      </c>
      <c r="L22" s="19" t="str">
        <f ca="1"/>
        <v/>
      </c>
      <c r="M22" s="20">
        <f t="shared" ca="1" si="12"/>
        <v>1</v>
      </c>
      <c r="N22" s="20" t="str">
        <f t="shared" ca="1" si="2"/>
        <v/>
      </c>
      <c r="O22" s="20" t="str" cm="1">
        <f t="array" aca="1" ref="O22" ca="1">IF(N22="","",IF(N22&lt;&gt;N21,1,IF(O21=misLíneas-2,0,O21+1)))</f>
        <v/>
      </c>
      <c r="P22" s="20" t="str" cm="1">
        <f t="array" aca="1" ref="P22" ca="1">IF(OR(O22=0,O22=""),"",INDEX(misCriticidades,N22)&amp;"-"&amp;IFERROR(MATCH(O22,miOrdenTarjeta,0),0))</f>
        <v/>
      </c>
      <c r="Q22" s="19">
        <f ca="1"/>
        <v>21</v>
      </c>
      <c r="R22" s="20">
        <f t="shared" ca="1" si="13"/>
        <v>2</v>
      </c>
      <c r="S22" s="20">
        <f t="shared" ca="1" si="3"/>
        <v>28</v>
      </c>
      <c r="T22" s="20" cm="1">
        <f t="array" aca="1" ref="T22" ca="1">IF(S22="","",IF(S22&lt;&gt;S21,1,IF(T21=misLíneas-2,0,T21+1)))</f>
        <v>0</v>
      </c>
      <c r="U22" s="20" t="str" cm="1">
        <f t="array" aca="1" ref="U22" ca="1">IF(OR(T22=0,T22=""),"",INDEX(misCriticidades,S22)&amp;"-"&amp;IFERROR(MATCH(T22,miOrdenTarjeta,0),0))</f>
        <v/>
      </c>
      <c r="V22" s="19" t="str">
        <f ca="1"/>
        <v/>
      </c>
      <c r="W22" s="20">
        <f t="shared" ca="1" si="14"/>
        <v>1</v>
      </c>
      <c r="X22" s="20" t="str">
        <f t="shared" ca="1" si="4"/>
        <v/>
      </c>
      <c r="Y22" s="20" t="str" cm="1">
        <f t="array" aca="1" ref="Y22" ca="1">IF(X22="","",IF(X22&lt;&gt;X21,1,IF(Y21=misLíneas-2,0,Y21+1)))</f>
        <v/>
      </c>
      <c r="Z22" s="20" t="str" cm="1">
        <f t="array" aca="1" ref="Z22" ca="1">IF(OR(Y22=0,Y22=""),"",INDEX(misCriticidades,X22)&amp;"-"&amp;IFERROR(MATCH(Y22,miOrdenTarjeta,0),0))</f>
        <v/>
      </c>
      <c r="AA22" s="19" t="str">
        <f ca="1"/>
        <v/>
      </c>
      <c r="AB22" s="20">
        <f t="shared" ca="1" si="15"/>
        <v>1</v>
      </c>
      <c r="AC22" s="20" t="str">
        <f t="shared" ca="1" si="5"/>
        <v/>
      </c>
      <c r="AD22" s="20" t="str" cm="1">
        <f t="array" aca="1" ref="AD22" ca="1">IF(AC22="","",IF(AC22&lt;&gt;AC21,1,IF(AD21=misLíneas-2,0,AD21+1)))</f>
        <v/>
      </c>
      <c r="AE22" s="20" t="str" cm="1">
        <f t="array" aca="1" ref="AE22" ca="1">IF(OR(AD22=0,AD22=""),"",INDEX(misCriticidades,AC22)&amp;"-"&amp;IFERROR(MATCH(AD22,miOrdenTarjeta,0),0))</f>
        <v/>
      </c>
      <c r="AF22" s="19" t="str">
        <f ca="1"/>
        <v/>
      </c>
      <c r="AG22" s="20">
        <f t="shared" ca="1" si="16"/>
        <v>1</v>
      </c>
      <c r="AH22" s="20" t="str">
        <f t="shared" ca="1" si="6"/>
        <v/>
      </c>
      <c r="AI22" s="20" t="str" cm="1">
        <f t="array" aca="1" ref="AI22" ca="1">IF(AH22="","",IF(AH22&lt;&gt;AH21,1,IF(AI21=misLíneas-2,0,AI21+1)))</f>
        <v/>
      </c>
      <c r="AJ22" s="20" t="str" cm="1">
        <f t="array" aca="1" ref="AJ22" ca="1">IF(OR(AI22=0,AI22=""),"",INDEX(misCriticidades,AH22)&amp;"-"&amp;IFERROR(MATCH(AI22,miOrdenTarjeta,0),0))</f>
        <v/>
      </c>
      <c r="AK22" s="19" t="str">
        <f ca="1"/>
        <v/>
      </c>
      <c r="AL22" s="20">
        <f t="shared" ca="1" si="17"/>
        <v>1</v>
      </c>
      <c r="AM22" s="20" t="str">
        <f t="shared" ca="1" si="7"/>
        <v/>
      </c>
      <c r="AN22" s="20" t="str" cm="1">
        <f t="array" aca="1" ref="AN22" ca="1">IF(AM22="","",IF(AM22&lt;&gt;AM21,1,IF(AN21=misLíneas-2,0,AN21+1)))</f>
        <v/>
      </c>
      <c r="AO22" s="20" t="str" cm="1">
        <f t="array" aca="1" ref="AO22" ca="1">IF(OR(AN22=0,AN22=""),"",INDEX(misCriticidades,AM22)&amp;"-"&amp;IFERROR(MATCH(AN22,miOrdenTarjeta,0),0))</f>
        <v/>
      </c>
      <c r="AP22" s="19" t="str">
        <f ca="1"/>
        <v/>
      </c>
      <c r="AQ22" s="20">
        <f t="shared" ca="1" si="18"/>
        <v>1</v>
      </c>
      <c r="AR22" s="20" t="str">
        <f t="shared" ca="1" si="8"/>
        <v/>
      </c>
      <c r="AS22" s="20" t="str" cm="1">
        <f t="array" aca="1" ref="AS22" ca="1">IF(AR22="","",IF(AR22&lt;&gt;AR21,1,IF(AS21=misLíneas-2,0,AS21+1)))</f>
        <v/>
      </c>
      <c r="AT22" s="20" t="str" cm="1">
        <f t="array" aca="1" ref="AT22" ca="1">IF(OR(AS22=0,AS22=""),"",INDEX(misCriticidades,AR22)&amp;"-"&amp;IFERROR(MATCH(AS22,miOrdenTarjeta,0),0))</f>
        <v/>
      </c>
      <c r="AU22" s="19" t="str">
        <f ca="1"/>
        <v/>
      </c>
      <c r="AV22" s="20">
        <f t="shared" ca="1" si="19"/>
        <v>1</v>
      </c>
      <c r="AW22" s="20" t="str">
        <f t="shared" ca="1" si="9"/>
        <v/>
      </c>
      <c r="AX22" s="20" t="str" cm="1">
        <f t="array" aca="1" ref="AX22" ca="1">IF(AW22="","",IF(AW22&lt;&gt;AW21,1,IF(AX21=misLíneas-2,0,AX21+1)))</f>
        <v/>
      </c>
      <c r="AY22" s="20" t="str" cm="1">
        <f t="array" aca="1" ref="AY22" ca="1">IF(OR(AX22=0,AX22=""),"",INDEX(misCriticidades,AW22)&amp;"-"&amp;IFERROR(MATCH(AX22,miOrdenTarjeta,0),0))</f>
        <v/>
      </c>
    </row>
    <row r="23" spans="2:51" x14ac:dyDescent="0.25">
      <c r="B23" s="19" t="str">
        <f ca="1"/>
        <v/>
      </c>
      <c r="C23" s="20">
        <f t="shared" ca="1" si="20"/>
        <v>1</v>
      </c>
      <c r="D23" s="20" t="str">
        <f t="shared" ca="1" si="0"/>
        <v/>
      </c>
      <c r="E23" s="20" t="str" cm="1">
        <f t="array" aca="1" ref="E23" ca="1">IF(D23="","",IF(D23&lt;&gt;D22,1,IF(E22=misLíneas-2,0,E22+1)))</f>
        <v/>
      </c>
      <c r="F23" s="20" t="str" cm="1">
        <f t="array" aca="1" ref="F23" ca="1">IF(OR(E23=0,E23=""),"",INDEX(misCriticidades,D23)&amp;"-"&amp;IFERROR(MATCH(E23,miOrdenTarjeta,0),0))</f>
        <v/>
      </c>
      <c r="G23" s="19" t="str">
        <f ca="1"/>
        <v/>
      </c>
      <c r="H23" s="20">
        <f t="shared" ca="1" si="11"/>
        <v>3</v>
      </c>
      <c r="I23" s="20">
        <f t="shared" ca="1" si="1"/>
        <v>31</v>
      </c>
      <c r="J23" s="20" cm="1">
        <f t="array" aca="1" ref="J23" ca="1">IF(I23="","",IF(I23&lt;&gt;I22,1,IF(J22=misLíneas-2,0,J22+1)))</f>
        <v>1</v>
      </c>
      <c r="K23" s="20" t="str" cm="1">
        <f t="array" aca="1" ref="K23" ca="1">IF(OR(J23=0,J23=""),"",INDEX(misCriticidades,I23)&amp;"-"&amp;IFERROR(MATCH(J23,miOrdenTarjeta,0),0))</f>
        <v>0-1</v>
      </c>
      <c r="L23" s="19" t="str">
        <f ca="1"/>
        <v/>
      </c>
      <c r="M23" s="20">
        <f t="shared" ca="1" si="12"/>
        <v>1</v>
      </c>
      <c r="N23" s="20" t="str">
        <f t="shared" ca="1" si="2"/>
        <v/>
      </c>
      <c r="O23" s="20" t="str" cm="1">
        <f t="array" aca="1" ref="O23" ca="1">IF(N23="","",IF(N23&lt;&gt;N22,1,IF(O22=misLíneas-2,0,O22+1)))</f>
        <v/>
      </c>
      <c r="P23" s="20" t="str" cm="1">
        <f t="array" aca="1" ref="P23" ca="1">IF(OR(O23=0,O23=""),"",INDEX(misCriticidades,N23)&amp;"-"&amp;IFERROR(MATCH(O23,miOrdenTarjeta,0),0))</f>
        <v/>
      </c>
      <c r="Q23" s="19">
        <f ca="1"/>
        <v>22</v>
      </c>
      <c r="R23" s="20">
        <f t="shared" ca="1" si="13"/>
        <v>3</v>
      </c>
      <c r="S23" s="20">
        <f t="shared" ca="1" si="3"/>
        <v>27</v>
      </c>
      <c r="T23" s="20" cm="1">
        <f t="array" aca="1" ref="T23" ca="1">IF(S23="","",IF(S23&lt;&gt;S22,1,IF(T22=misLíneas-2,0,T22+1)))</f>
        <v>1</v>
      </c>
      <c r="U23" s="20" t="str" cm="1">
        <f t="array" aca="1" ref="U23" ca="1">IF(OR(T23=0,T23=""),"",INDEX(misCriticidades,S23)&amp;"-"&amp;IFERROR(MATCH(T23,miOrdenTarjeta,0),0))</f>
        <v>2-1</v>
      </c>
      <c r="V23" s="19" t="str">
        <f ca="1"/>
        <v/>
      </c>
      <c r="W23" s="20">
        <f t="shared" ca="1" si="14"/>
        <v>1</v>
      </c>
      <c r="X23" s="20" t="str">
        <f t="shared" ca="1" si="4"/>
        <v/>
      </c>
      <c r="Y23" s="20" t="str" cm="1">
        <f t="array" aca="1" ref="Y23" ca="1">IF(X23="","",IF(X23&lt;&gt;X22,1,IF(Y22=misLíneas-2,0,Y22+1)))</f>
        <v/>
      </c>
      <c r="Z23" s="20" t="str" cm="1">
        <f t="array" aca="1" ref="Z23" ca="1">IF(OR(Y23=0,Y23=""),"",INDEX(misCriticidades,X23)&amp;"-"&amp;IFERROR(MATCH(Y23,miOrdenTarjeta,0),0))</f>
        <v/>
      </c>
      <c r="AA23" s="19" t="str">
        <f ca="1"/>
        <v/>
      </c>
      <c r="AB23" s="20">
        <f t="shared" ca="1" si="15"/>
        <v>1</v>
      </c>
      <c r="AC23" s="20" t="str">
        <f t="shared" ca="1" si="5"/>
        <v/>
      </c>
      <c r="AD23" s="20" t="str" cm="1">
        <f t="array" aca="1" ref="AD23" ca="1">IF(AC23="","",IF(AC23&lt;&gt;AC22,1,IF(AD22=misLíneas-2,0,AD22+1)))</f>
        <v/>
      </c>
      <c r="AE23" s="20" t="str" cm="1">
        <f t="array" aca="1" ref="AE23" ca="1">IF(OR(AD23=0,AD23=""),"",INDEX(misCriticidades,AC23)&amp;"-"&amp;IFERROR(MATCH(AD23,miOrdenTarjeta,0),0))</f>
        <v/>
      </c>
      <c r="AF23" s="19" t="str">
        <f ca="1"/>
        <v/>
      </c>
      <c r="AG23" s="20">
        <f t="shared" ca="1" si="16"/>
        <v>1</v>
      </c>
      <c r="AH23" s="20" t="str">
        <f t="shared" ca="1" si="6"/>
        <v/>
      </c>
      <c r="AI23" s="20" t="str" cm="1">
        <f t="array" aca="1" ref="AI23" ca="1">IF(AH23="","",IF(AH23&lt;&gt;AH22,1,IF(AI22=misLíneas-2,0,AI22+1)))</f>
        <v/>
      </c>
      <c r="AJ23" s="20" t="str" cm="1">
        <f t="array" aca="1" ref="AJ23" ca="1">IF(OR(AI23=0,AI23=""),"",INDEX(misCriticidades,AH23)&amp;"-"&amp;IFERROR(MATCH(AI23,miOrdenTarjeta,0),0))</f>
        <v/>
      </c>
      <c r="AK23" s="19" t="str">
        <f ca="1"/>
        <v/>
      </c>
      <c r="AL23" s="20">
        <f t="shared" ca="1" si="17"/>
        <v>1</v>
      </c>
      <c r="AM23" s="20" t="str">
        <f t="shared" ca="1" si="7"/>
        <v/>
      </c>
      <c r="AN23" s="20" t="str" cm="1">
        <f t="array" aca="1" ref="AN23" ca="1">IF(AM23="","",IF(AM23&lt;&gt;AM22,1,IF(AN22=misLíneas-2,0,AN22+1)))</f>
        <v/>
      </c>
      <c r="AO23" s="20" t="str" cm="1">
        <f t="array" aca="1" ref="AO23" ca="1">IF(OR(AN23=0,AN23=""),"",INDEX(misCriticidades,AM23)&amp;"-"&amp;IFERROR(MATCH(AN23,miOrdenTarjeta,0),0))</f>
        <v/>
      </c>
      <c r="AP23" s="19" t="str">
        <f ca="1"/>
        <v/>
      </c>
      <c r="AQ23" s="20">
        <f t="shared" ca="1" si="18"/>
        <v>1</v>
      </c>
      <c r="AR23" s="20" t="str">
        <f t="shared" ca="1" si="8"/>
        <v/>
      </c>
      <c r="AS23" s="20" t="str" cm="1">
        <f t="array" aca="1" ref="AS23" ca="1">IF(AR23="","",IF(AR23&lt;&gt;AR22,1,IF(AS22=misLíneas-2,0,AS22+1)))</f>
        <v/>
      </c>
      <c r="AT23" s="20" t="str" cm="1">
        <f t="array" aca="1" ref="AT23" ca="1">IF(OR(AS23=0,AS23=""),"",INDEX(misCriticidades,AR23)&amp;"-"&amp;IFERROR(MATCH(AS23,miOrdenTarjeta,0),0))</f>
        <v/>
      </c>
      <c r="AU23" s="19" t="str">
        <f ca="1"/>
        <v/>
      </c>
      <c r="AV23" s="20">
        <f t="shared" ca="1" si="19"/>
        <v>1</v>
      </c>
      <c r="AW23" s="20" t="str">
        <f t="shared" ca="1" si="9"/>
        <v/>
      </c>
      <c r="AX23" s="20" t="str" cm="1">
        <f t="array" aca="1" ref="AX23" ca="1">IF(AW23="","",IF(AW23&lt;&gt;AW22,1,IF(AX22=misLíneas-2,0,AX22+1)))</f>
        <v/>
      </c>
      <c r="AY23" s="20" t="str" cm="1">
        <f t="array" aca="1" ref="AY23" ca="1">IF(OR(AX23=0,AX23=""),"",INDEX(misCriticidades,AW23)&amp;"-"&amp;IFERROR(MATCH(AX23,miOrdenTarjeta,0),0))</f>
        <v/>
      </c>
    </row>
    <row r="24" spans="2:51" x14ac:dyDescent="0.25">
      <c r="B24" s="19" t="str">
        <f ca="1"/>
        <v/>
      </c>
      <c r="C24" s="20">
        <f t="shared" ca="1" si="20"/>
        <v>1</v>
      </c>
      <c r="D24" s="20" t="str">
        <f t="shared" ca="1" si="0"/>
        <v/>
      </c>
      <c r="E24" s="20" t="str" cm="1">
        <f t="array" aca="1" ref="E24" ca="1">IF(D24="","",IF(D24&lt;&gt;D23,1,IF(E23=misLíneas-2,0,E23+1)))</f>
        <v/>
      </c>
      <c r="F24" s="20" t="str" cm="1">
        <f t="array" aca="1" ref="F24" ca="1">IF(OR(E24=0,E24=""),"",INDEX(misCriticidades,D24)&amp;"-"&amp;IFERROR(MATCH(E24,miOrdenTarjeta,0),0))</f>
        <v/>
      </c>
      <c r="G24" s="19" t="str">
        <f ca="1"/>
        <v/>
      </c>
      <c r="H24" s="20">
        <f t="shared" ca="1" si="11"/>
        <v>3</v>
      </c>
      <c r="I24" s="20">
        <f t="shared" ca="1" si="1"/>
        <v>31</v>
      </c>
      <c r="J24" s="20" cm="1">
        <f t="array" aca="1" ref="J24" ca="1">IF(I24="","",IF(I24&lt;&gt;I23,1,IF(J23=misLíneas-2,0,J23+1)))</f>
        <v>2</v>
      </c>
      <c r="K24" s="20" t="str" cm="1">
        <f t="array" aca="1" ref="K24" ca="1">IF(OR(J24=0,J24=""),"",INDEX(misCriticidades,I24)&amp;"-"&amp;IFERROR(MATCH(J24,miOrdenTarjeta,0),0))</f>
        <v>0-2</v>
      </c>
      <c r="L24" s="19" t="str">
        <f ca="1"/>
        <v/>
      </c>
      <c r="M24" s="20">
        <f t="shared" ca="1" si="12"/>
        <v>1</v>
      </c>
      <c r="N24" s="20" t="str">
        <f t="shared" ca="1" si="2"/>
        <v/>
      </c>
      <c r="O24" s="20" t="str" cm="1">
        <f t="array" aca="1" ref="O24" ca="1">IF(N24="","",IF(N24&lt;&gt;N23,1,IF(O23=misLíneas-2,0,O23+1)))</f>
        <v/>
      </c>
      <c r="P24" s="20" t="str" cm="1">
        <f t="array" aca="1" ref="P24" ca="1">IF(OR(O24=0,O24=""),"",INDEX(misCriticidades,N24)&amp;"-"&amp;IFERROR(MATCH(O24,miOrdenTarjeta,0),0))</f>
        <v/>
      </c>
      <c r="Q24" s="19">
        <f ca="1"/>
        <v>23</v>
      </c>
      <c r="R24" s="20">
        <f t="shared" ca="1" si="13"/>
        <v>3</v>
      </c>
      <c r="S24" s="20">
        <f t="shared" ca="1" si="3"/>
        <v>27</v>
      </c>
      <c r="T24" s="20" cm="1">
        <f t="array" aca="1" ref="T24" ca="1">IF(S24="","",IF(S24&lt;&gt;S23,1,IF(T23=misLíneas-2,0,T23+1)))</f>
        <v>2</v>
      </c>
      <c r="U24" s="20" t="str" cm="1">
        <f t="array" aca="1" ref="U24" ca="1">IF(OR(T24=0,T24=""),"",INDEX(misCriticidades,S24)&amp;"-"&amp;IFERROR(MATCH(T24,miOrdenTarjeta,0),0))</f>
        <v>2-2</v>
      </c>
      <c r="V24" s="19" t="str">
        <f ca="1"/>
        <v/>
      </c>
      <c r="W24" s="20">
        <f t="shared" ca="1" si="14"/>
        <v>1</v>
      </c>
      <c r="X24" s="20" t="str">
        <f t="shared" ca="1" si="4"/>
        <v/>
      </c>
      <c r="Y24" s="20" t="str" cm="1">
        <f t="array" aca="1" ref="Y24" ca="1">IF(X24="","",IF(X24&lt;&gt;X23,1,IF(Y23=misLíneas-2,0,Y23+1)))</f>
        <v/>
      </c>
      <c r="Z24" s="20" t="str" cm="1">
        <f t="array" aca="1" ref="Z24" ca="1">IF(OR(Y24=0,Y24=""),"",INDEX(misCriticidades,X24)&amp;"-"&amp;IFERROR(MATCH(Y24,miOrdenTarjeta,0),0))</f>
        <v/>
      </c>
      <c r="AA24" s="19" t="str">
        <f ca="1"/>
        <v/>
      </c>
      <c r="AB24" s="20">
        <f t="shared" ca="1" si="15"/>
        <v>1</v>
      </c>
      <c r="AC24" s="20" t="str">
        <f t="shared" ca="1" si="5"/>
        <v/>
      </c>
      <c r="AD24" s="20" t="str" cm="1">
        <f t="array" aca="1" ref="AD24" ca="1">IF(AC24="","",IF(AC24&lt;&gt;AC23,1,IF(AD23=misLíneas-2,0,AD23+1)))</f>
        <v/>
      </c>
      <c r="AE24" s="20" t="str" cm="1">
        <f t="array" aca="1" ref="AE24" ca="1">IF(OR(AD24=0,AD24=""),"",INDEX(misCriticidades,AC24)&amp;"-"&amp;IFERROR(MATCH(AD24,miOrdenTarjeta,0),0))</f>
        <v/>
      </c>
      <c r="AF24" s="19" t="str">
        <f ca="1"/>
        <v/>
      </c>
      <c r="AG24" s="20">
        <f t="shared" ca="1" si="16"/>
        <v>1</v>
      </c>
      <c r="AH24" s="20" t="str">
        <f t="shared" ca="1" si="6"/>
        <v/>
      </c>
      <c r="AI24" s="20" t="str" cm="1">
        <f t="array" aca="1" ref="AI24" ca="1">IF(AH24="","",IF(AH24&lt;&gt;AH23,1,IF(AI23=misLíneas-2,0,AI23+1)))</f>
        <v/>
      </c>
      <c r="AJ24" s="20" t="str" cm="1">
        <f t="array" aca="1" ref="AJ24" ca="1">IF(OR(AI24=0,AI24=""),"",INDEX(misCriticidades,AH24)&amp;"-"&amp;IFERROR(MATCH(AI24,miOrdenTarjeta,0),0))</f>
        <v/>
      </c>
      <c r="AK24" s="19" t="str">
        <f ca="1"/>
        <v/>
      </c>
      <c r="AL24" s="20">
        <f t="shared" ca="1" si="17"/>
        <v>1</v>
      </c>
      <c r="AM24" s="20" t="str">
        <f t="shared" ca="1" si="7"/>
        <v/>
      </c>
      <c r="AN24" s="20" t="str" cm="1">
        <f t="array" aca="1" ref="AN24" ca="1">IF(AM24="","",IF(AM24&lt;&gt;AM23,1,IF(AN23=misLíneas-2,0,AN23+1)))</f>
        <v/>
      </c>
      <c r="AO24" s="20" t="str" cm="1">
        <f t="array" aca="1" ref="AO24" ca="1">IF(OR(AN24=0,AN24=""),"",INDEX(misCriticidades,AM24)&amp;"-"&amp;IFERROR(MATCH(AN24,miOrdenTarjeta,0),0))</f>
        <v/>
      </c>
      <c r="AP24" s="19" t="str">
        <f ca="1"/>
        <v/>
      </c>
      <c r="AQ24" s="20">
        <f t="shared" ca="1" si="18"/>
        <v>1</v>
      </c>
      <c r="AR24" s="20" t="str">
        <f t="shared" ca="1" si="8"/>
        <v/>
      </c>
      <c r="AS24" s="20" t="str" cm="1">
        <f t="array" aca="1" ref="AS24" ca="1">IF(AR24="","",IF(AR24&lt;&gt;AR23,1,IF(AS23=misLíneas-2,0,AS23+1)))</f>
        <v/>
      </c>
      <c r="AT24" s="20" t="str" cm="1">
        <f t="array" aca="1" ref="AT24" ca="1">IF(OR(AS24=0,AS24=""),"",INDEX(misCriticidades,AR24)&amp;"-"&amp;IFERROR(MATCH(AS24,miOrdenTarjeta,0),0))</f>
        <v/>
      </c>
      <c r="AU24" s="19" t="str">
        <f ca="1"/>
        <v/>
      </c>
      <c r="AV24" s="20">
        <f t="shared" ca="1" si="19"/>
        <v>1</v>
      </c>
      <c r="AW24" s="20" t="str">
        <f t="shared" ca="1" si="9"/>
        <v/>
      </c>
      <c r="AX24" s="20" t="str" cm="1">
        <f t="array" aca="1" ref="AX24" ca="1">IF(AW24="","",IF(AW24&lt;&gt;AW23,1,IF(AX23=misLíneas-2,0,AX23+1)))</f>
        <v/>
      </c>
      <c r="AY24" s="20" t="str" cm="1">
        <f t="array" aca="1" ref="AY24" ca="1">IF(OR(AX24=0,AX24=""),"",INDEX(misCriticidades,AW24)&amp;"-"&amp;IFERROR(MATCH(AX24,miOrdenTarjeta,0),0))</f>
        <v/>
      </c>
    </row>
    <row r="25" spans="2:51" x14ac:dyDescent="0.25">
      <c r="B25" s="19" t="str">
        <f ca="1"/>
        <v/>
      </c>
      <c r="C25" s="20">
        <f t="shared" ca="1" si="20"/>
        <v>1</v>
      </c>
      <c r="D25" s="20" t="str">
        <f t="shared" ca="1" si="0"/>
        <v/>
      </c>
      <c r="E25" s="20" t="str" cm="1">
        <f t="array" aca="1" ref="E25" ca="1">IF(D25="","",IF(D25&lt;&gt;D24,1,IF(E24=misLíneas-2,0,E24+1)))</f>
        <v/>
      </c>
      <c r="F25" s="20" t="str" cm="1">
        <f t="array" aca="1" ref="F25" ca="1">IF(OR(E25=0,E25=""),"",INDEX(misCriticidades,D25)&amp;"-"&amp;IFERROR(MATCH(E25,miOrdenTarjeta,0),0))</f>
        <v/>
      </c>
      <c r="G25" s="19" t="str">
        <f ca="1"/>
        <v/>
      </c>
      <c r="H25" s="20">
        <f t="shared" ca="1" si="11"/>
        <v>3</v>
      </c>
      <c r="I25" s="20">
        <f t="shared" ca="1" si="1"/>
        <v>31</v>
      </c>
      <c r="J25" s="20" cm="1">
        <f t="array" aca="1" ref="J25" ca="1">IF(I25="","",IF(I25&lt;&gt;I24,1,IF(J24=misLíneas-2,0,J24+1)))</f>
        <v>3</v>
      </c>
      <c r="K25" s="20" t="str" cm="1">
        <f t="array" aca="1" ref="K25" ca="1">IF(OR(J25=0,J25=""),"",INDEX(misCriticidades,I25)&amp;"-"&amp;IFERROR(MATCH(J25,miOrdenTarjeta,0),0))</f>
        <v>0-3</v>
      </c>
      <c r="L25" s="19" t="str">
        <f ca="1"/>
        <v/>
      </c>
      <c r="M25" s="20">
        <f t="shared" ca="1" si="12"/>
        <v>1</v>
      </c>
      <c r="N25" s="20" t="str">
        <f t="shared" ca="1" si="2"/>
        <v/>
      </c>
      <c r="O25" s="20" t="str" cm="1">
        <f t="array" aca="1" ref="O25" ca="1">IF(N25="","",IF(N25&lt;&gt;N24,1,IF(O24=misLíneas-2,0,O24+1)))</f>
        <v/>
      </c>
      <c r="P25" s="20" t="str" cm="1">
        <f t="array" aca="1" ref="P25" ca="1">IF(OR(O25=0,O25=""),"",INDEX(misCriticidades,N25)&amp;"-"&amp;IFERROR(MATCH(O25,miOrdenTarjeta,0),0))</f>
        <v/>
      </c>
      <c r="Q25" s="19">
        <f ca="1"/>
        <v>24</v>
      </c>
      <c r="R25" s="20">
        <f t="shared" ca="1" si="13"/>
        <v>3</v>
      </c>
      <c r="S25" s="20">
        <f t="shared" ca="1" si="3"/>
        <v>27</v>
      </c>
      <c r="T25" s="20" cm="1">
        <f t="array" aca="1" ref="T25" ca="1">IF(S25="","",IF(S25&lt;&gt;S24,1,IF(T24=misLíneas-2,0,T24+1)))</f>
        <v>3</v>
      </c>
      <c r="U25" s="20" t="str" cm="1">
        <f t="array" aca="1" ref="U25" ca="1">IF(OR(T25=0,T25=""),"",INDEX(misCriticidades,S25)&amp;"-"&amp;IFERROR(MATCH(T25,miOrdenTarjeta,0),0))</f>
        <v>2-3</v>
      </c>
      <c r="V25" s="19" t="str">
        <f ca="1"/>
        <v/>
      </c>
      <c r="W25" s="20">
        <f t="shared" ca="1" si="14"/>
        <v>1</v>
      </c>
      <c r="X25" s="20" t="str">
        <f t="shared" ca="1" si="4"/>
        <v/>
      </c>
      <c r="Y25" s="20" t="str" cm="1">
        <f t="array" aca="1" ref="Y25" ca="1">IF(X25="","",IF(X25&lt;&gt;X24,1,IF(Y24=misLíneas-2,0,Y24+1)))</f>
        <v/>
      </c>
      <c r="Z25" s="20" t="str" cm="1">
        <f t="array" aca="1" ref="Z25" ca="1">IF(OR(Y25=0,Y25=""),"",INDEX(misCriticidades,X25)&amp;"-"&amp;IFERROR(MATCH(Y25,miOrdenTarjeta,0),0))</f>
        <v/>
      </c>
      <c r="AA25" s="19" t="str">
        <f ca="1"/>
        <v/>
      </c>
      <c r="AB25" s="20">
        <f t="shared" ca="1" si="15"/>
        <v>1</v>
      </c>
      <c r="AC25" s="20" t="str">
        <f t="shared" ca="1" si="5"/>
        <v/>
      </c>
      <c r="AD25" s="20" t="str" cm="1">
        <f t="array" aca="1" ref="AD25" ca="1">IF(AC25="","",IF(AC25&lt;&gt;AC24,1,IF(AD24=misLíneas-2,0,AD24+1)))</f>
        <v/>
      </c>
      <c r="AE25" s="20" t="str" cm="1">
        <f t="array" aca="1" ref="AE25" ca="1">IF(OR(AD25=0,AD25=""),"",INDEX(misCriticidades,AC25)&amp;"-"&amp;IFERROR(MATCH(AD25,miOrdenTarjeta,0),0))</f>
        <v/>
      </c>
      <c r="AF25" s="19" t="str">
        <f ca="1"/>
        <v/>
      </c>
      <c r="AG25" s="20">
        <f t="shared" ca="1" si="16"/>
        <v>1</v>
      </c>
      <c r="AH25" s="20" t="str">
        <f t="shared" ca="1" si="6"/>
        <v/>
      </c>
      <c r="AI25" s="20" t="str" cm="1">
        <f t="array" aca="1" ref="AI25" ca="1">IF(AH25="","",IF(AH25&lt;&gt;AH24,1,IF(AI24=misLíneas-2,0,AI24+1)))</f>
        <v/>
      </c>
      <c r="AJ25" s="20" t="str" cm="1">
        <f t="array" aca="1" ref="AJ25" ca="1">IF(OR(AI25=0,AI25=""),"",INDEX(misCriticidades,AH25)&amp;"-"&amp;IFERROR(MATCH(AI25,miOrdenTarjeta,0),0))</f>
        <v/>
      </c>
      <c r="AK25" s="19" t="str">
        <f ca="1"/>
        <v/>
      </c>
      <c r="AL25" s="20">
        <f t="shared" ca="1" si="17"/>
        <v>1</v>
      </c>
      <c r="AM25" s="20" t="str">
        <f t="shared" ca="1" si="7"/>
        <v/>
      </c>
      <c r="AN25" s="20" t="str" cm="1">
        <f t="array" aca="1" ref="AN25" ca="1">IF(AM25="","",IF(AM25&lt;&gt;AM24,1,IF(AN24=misLíneas-2,0,AN24+1)))</f>
        <v/>
      </c>
      <c r="AO25" s="20" t="str" cm="1">
        <f t="array" aca="1" ref="AO25" ca="1">IF(OR(AN25=0,AN25=""),"",INDEX(misCriticidades,AM25)&amp;"-"&amp;IFERROR(MATCH(AN25,miOrdenTarjeta,0),0))</f>
        <v/>
      </c>
      <c r="AP25" s="19" t="str">
        <f ca="1"/>
        <v/>
      </c>
      <c r="AQ25" s="20">
        <f t="shared" ca="1" si="18"/>
        <v>1</v>
      </c>
      <c r="AR25" s="20" t="str">
        <f t="shared" ca="1" si="8"/>
        <v/>
      </c>
      <c r="AS25" s="20" t="str" cm="1">
        <f t="array" aca="1" ref="AS25" ca="1">IF(AR25="","",IF(AR25&lt;&gt;AR24,1,IF(AS24=misLíneas-2,0,AS24+1)))</f>
        <v/>
      </c>
      <c r="AT25" s="20" t="str" cm="1">
        <f t="array" aca="1" ref="AT25" ca="1">IF(OR(AS25=0,AS25=""),"",INDEX(misCriticidades,AR25)&amp;"-"&amp;IFERROR(MATCH(AS25,miOrdenTarjeta,0),0))</f>
        <v/>
      </c>
      <c r="AU25" s="19" t="str">
        <f ca="1"/>
        <v/>
      </c>
      <c r="AV25" s="20">
        <f t="shared" ca="1" si="19"/>
        <v>1</v>
      </c>
      <c r="AW25" s="20" t="str">
        <f t="shared" ca="1" si="9"/>
        <v/>
      </c>
      <c r="AX25" s="20" t="str" cm="1">
        <f t="array" aca="1" ref="AX25" ca="1">IF(AW25="","",IF(AW25&lt;&gt;AW24,1,IF(AX24=misLíneas-2,0,AX24+1)))</f>
        <v/>
      </c>
      <c r="AY25" s="20" t="str" cm="1">
        <f t="array" aca="1" ref="AY25" ca="1">IF(OR(AX25=0,AX25=""),"",INDEX(misCriticidades,AW25)&amp;"-"&amp;IFERROR(MATCH(AX25,miOrdenTarjeta,0),0))</f>
        <v/>
      </c>
    </row>
    <row r="26" spans="2:51" x14ac:dyDescent="0.25">
      <c r="B26" s="19" t="str">
        <f ca="1"/>
        <v/>
      </c>
      <c r="C26" s="20">
        <f t="shared" ca="1" si="20"/>
        <v>1</v>
      </c>
      <c r="D26" s="20" t="str">
        <f t="shared" ca="1" si="0"/>
        <v/>
      </c>
      <c r="E26" s="20" t="str" cm="1">
        <f t="array" aca="1" ref="E26" ca="1">IF(D26="","",IF(D26&lt;&gt;D25,1,IF(E25=misLíneas-2,0,E25+1)))</f>
        <v/>
      </c>
      <c r="F26" s="20" t="str" cm="1">
        <f t="array" aca="1" ref="F26" ca="1">IF(OR(E26=0,E26=""),"",INDEX(misCriticidades,D26)&amp;"-"&amp;IFERROR(MATCH(E26,miOrdenTarjeta,0),0))</f>
        <v/>
      </c>
      <c r="G26" s="19" t="str">
        <f ca="1"/>
        <v/>
      </c>
      <c r="H26" s="20">
        <f t="shared" ca="1" si="11"/>
        <v>3</v>
      </c>
      <c r="I26" s="20">
        <f t="shared" ca="1" si="1"/>
        <v>31</v>
      </c>
      <c r="J26" s="20" cm="1">
        <f t="array" aca="1" ref="J26" ca="1">IF(I26="","",IF(I26&lt;&gt;I25,1,IF(J25=misLíneas-2,0,J25+1)))</f>
        <v>4</v>
      </c>
      <c r="K26" s="20" t="str" cm="1">
        <f t="array" aca="1" ref="K26" ca="1">IF(OR(J26=0,J26=""),"",INDEX(misCriticidades,I26)&amp;"-"&amp;IFERROR(MATCH(J26,miOrdenTarjeta,0),0))</f>
        <v>0-4</v>
      </c>
      <c r="L26" s="19" t="str">
        <f ca="1"/>
        <v/>
      </c>
      <c r="M26" s="20">
        <f t="shared" ca="1" si="12"/>
        <v>1</v>
      </c>
      <c r="N26" s="20" t="str">
        <f t="shared" ca="1" si="2"/>
        <v/>
      </c>
      <c r="O26" s="20" t="str" cm="1">
        <f t="array" aca="1" ref="O26" ca="1">IF(N26="","",IF(N26&lt;&gt;N25,1,IF(O25=misLíneas-2,0,O25+1)))</f>
        <v/>
      </c>
      <c r="P26" s="20" t="str" cm="1">
        <f t="array" aca="1" ref="P26" ca="1">IF(OR(O26=0,O26=""),"",INDEX(misCriticidades,N26)&amp;"-"&amp;IFERROR(MATCH(O26,miOrdenTarjeta,0),0))</f>
        <v/>
      </c>
      <c r="Q26" s="19">
        <f ca="1"/>
        <v>25</v>
      </c>
      <c r="R26" s="20">
        <f t="shared" ca="1" si="13"/>
        <v>3</v>
      </c>
      <c r="S26" s="20">
        <f t="shared" ca="1" si="3"/>
        <v>27</v>
      </c>
      <c r="T26" s="20" cm="1">
        <f t="array" aca="1" ref="T26" ca="1">IF(S26="","",IF(S26&lt;&gt;S25,1,IF(T25=misLíneas-2,0,T25+1)))</f>
        <v>4</v>
      </c>
      <c r="U26" s="20" t="str" cm="1">
        <f t="array" aca="1" ref="U26" ca="1">IF(OR(T26=0,T26=""),"",INDEX(misCriticidades,S26)&amp;"-"&amp;IFERROR(MATCH(T26,miOrdenTarjeta,0),0))</f>
        <v>2-4</v>
      </c>
      <c r="V26" s="19" t="str">
        <f ca="1"/>
        <v/>
      </c>
      <c r="W26" s="20">
        <f t="shared" ca="1" si="14"/>
        <v>1</v>
      </c>
      <c r="X26" s="20" t="str">
        <f t="shared" ca="1" si="4"/>
        <v/>
      </c>
      <c r="Y26" s="20" t="str" cm="1">
        <f t="array" aca="1" ref="Y26" ca="1">IF(X26="","",IF(X26&lt;&gt;X25,1,IF(Y25=misLíneas-2,0,Y25+1)))</f>
        <v/>
      </c>
      <c r="Z26" s="20" t="str" cm="1">
        <f t="array" aca="1" ref="Z26" ca="1">IF(OR(Y26=0,Y26=""),"",INDEX(misCriticidades,X26)&amp;"-"&amp;IFERROR(MATCH(Y26,miOrdenTarjeta,0),0))</f>
        <v/>
      </c>
      <c r="AA26" s="19" t="str">
        <f ca="1"/>
        <v/>
      </c>
      <c r="AB26" s="20">
        <f t="shared" ca="1" si="15"/>
        <v>1</v>
      </c>
      <c r="AC26" s="20" t="str">
        <f t="shared" ca="1" si="5"/>
        <v/>
      </c>
      <c r="AD26" s="20" t="str" cm="1">
        <f t="array" aca="1" ref="AD26" ca="1">IF(AC26="","",IF(AC26&lt;&gt;AC25,1,IF(AD25=misLíneas-2,0,AD25+1)))</f>
        <v/>
      </c>
      <c r="AE26" s="20" t="str" cm="1">
        <f t="array" aca="1" ref="AE26" ca="1">IF(OR(AD26=0,AD26=""),"",INDEX(misCriticidades,AC26)&amp;"-"&amp;IFERROR(MATCH(AD26,miOrdenTarjeta,0),0))</f>
        <v/>
      </c>
      <c r="AF26" s="19" t="str">
        <f ca="1"/>
        <v/>
      </c>
      <c r="AG26" s="20">
        <f t="shared" ca="1" si="16"/>
        <v>1</v>
      </c>
      <c r="AH26" s="20" t="str">
        <f t="shared" ca="1" si="6"/>
        <v/>
      </c>
      <c r="AI26" s="20" t="str" cm="1">
        <f t="array" aca="1" ref="AI26" ca="1">IF(AH26="","",IF(AH26&lt;&gt;AH25,1,IF(AI25=misLíneas-2,0,AI25+1)))</f>
        <v/>
      </c>
      <c r="AJ26" s="20" t="str" cm="1">
        <f t="array" aca="1" ref="AJ26" ca="1">IF(OR(AI26=0,AI26=""),"",INDEX(misCriticidades,AH26)&amp;"-"&amp;IFERROR(MATCH(AI26,miOrdenTarjeta,0),0))</f>
        <v/>
      </c>
      <c r="AK26" s="19" t="str">
        <f ca="1"/>
        <v/>
      </c>
      <c r="AL26" s="20">
        <f t="shared" ca="1" si="17"/>
        <v>1</v>
      </c>
      <c r="AM26" s="20" t="str">
        <f t="shared" ca="1" si="7"/>
        <v/>
      </c>
      <c r="AN26" s="20" t="str" cm="1">
        <f t="array" aca="1" ref="AN26" ca="1">IF(AM26="","",IF(AM26&lt;&gt;AM25,1,IF(AN25=misLíneas-2,0,AN25+1)))</f>
        <v/>
      </c>
      <c r="AO26" s="20" t="str" cm="1">
        <f t="array" aca="1" ref="AO26" ca="1">IF(OR(AN26=0,AN26=""),"",INDEX(misCriticidades,AM26)&amp;"-"&amp;IFERROR(MATCH(AN26,miOrdenTarjeta,0),0))</f>
        <v/>
      </c>
      <c r="AP26" s="19" t="str">
        <f ca="1"/>
        <v/>
      </c>
      <c r="AQ26" s="20">
        <f t="shared" ca="1" si="18"/>
        <v>1</v>
      </c>
      <c r="AR26" s="20" t="str">
        <f t="shared" ca="1" si="8"/>
        <v/>
      </c>
      <c r="AS26" s="20" t="str" cm="1">
        <f t="array" aca="1" ref="AS26" ca="1">IF(AR26="","",IF(AR26&lt;&gt;AR25,1,IF(AS25=misLíneas-2,0,AS25+1)))</f>
        <v/>
      </c>
      <c r="AT26" s="20" t="str" cm="1">
        <f t="array" aca="1" ref="AT26" ca="1">IF(OR(AS26=0,AS26=""),"",INDEX(misCriticidades,AR26)&amp;"-"&amp;IFERROR(MATCH(AS26,miOrdenTarjeta,0),0))</f>
        <v/>
      </c>
      <c r="AU26" s="19" t="str">
        <f ca="1"/>
        <v/>
      </c>
      <c r="AV26" s="20">
        <f t="shared" ca="1" si="19"/>
        <v>1</v>
      </c>
      <c r="AW26" s="20" t="str">
        <f t="shared" ca="1" si="9"/>
        <v/>
      </c>
      <c r="AX26" s="20" t="str" cm="1">
        <f t="array" aca="1" ref="AX26" ca="1">IF(AW26="","",IF(AW26&lt;&gt;AW25,1,IF(AX25=misLíneas-2,0,AX25+1)))</f>
        <v/>
      </c>
      <c r="AY26" s="20" t="str" cm="1">
        <f t="array" aca="1" ref="AY26" ca="1">IF(OR(AX26=0,AX26=""),"",INDEX(misCriticidades,AW26)&amp;"-"&amp;IFERROR(MATCH(AX26,miOrdenTarjeta,0),0))</f>
        <v/>
      </c>
    </row>
    <row r="27" spans="2:51" x14ac:dyDescent="0.25">
      <c r="B27" s="19" t="str">
        <f ca="1"/>
        <v/>
      </c>
      <c r="C27" s="20">
        <f t="shared" ca="1" si="20"/>
        <v>1</v>
      </c>
      <c r="D27" s="20" t="str">
        <f t="shared" ca="1" si="0"/>
        <v/>
      </c>
      <c r="E27" s="20" t="str" cm="1">
        <f t="array" aca="1" ref="E27" ca="1">IF(D27="","",IF(D27&lt;&gt;D26,1,IF(E26=misLíneas-2,0,E26+1)))</f>
        <v/>
      </c>
      <c r="F27" s="20" t="str" cm="1">
        <f t="array" aca="1" ref="F27" ca="1">IF(OR(E27=0,E27=""),"",INDEX(misCriticidades,D27)&amp;"-"&amp;IFERROR(MATCH(E27,miOrdenTarjeta,0),0))</f>
        <v/>
      </c>
      <c r="G27" s="19" t="str">
        <f ca="1"/>
        <v/>
      </c>
      <c r="H27" s="20">
        <f t="shared" ca="1" si="11"/>
        <v>3</v>
      </c>
      <c r="I27" s="20">
        <f t="shared" ca="1" si="1"/>
        <v>31</v>
      </c>
      <c r="J27" s="20" cm="1">
        <f t="array" aca="1" ref="J27" ca="1">IF(I27="","",IF(I27&lt;&gt;I26,1,IF(J26=misLíneas-2,0,J26+1)))</f>
        <v>5</v>
      </c>
      <c r="K27" s="20" t="str" cm="1">
        <f t="array" aca="1" ref="K27" ca="1">IF(OR(J27=0,J27=""),"",INDEX(misCriticidades,I27)&amp;"-"&amp;IFERROR(MATCH(J27,miOrdenTarjeta,0),0))</f>
        <v>0-5</v>
      </c>
      <c r="L27" s="19" t="str">
        <f ca="1"/>
        <v/>
      </c>
      <c r="M27" s="20">
        <f t="shared" ca="1" si="12"/>
        <v>1</v>
      </c>
      <c r="N27" s="20" t="str">
        <f t="shared" ca="1" si="2"/>
        <v/>
      </c>
      <c r="O27" s="20" t="str" cm="1">
        <f t="array" aca="1" ref="O27" ca="1">IF(N27="","",IF(N27&lt;&gt;N26,1,IF(O26=misLíneas-2,0,O26+1)))</f>
        <v/>
      </c>
      <c r="P27" s="20" t="str" cm="1">
        <f t="array" aca="1" ref="P27" ca="1">IF(OR(O27=0,O27=""),"",INDEX(misCriticidades,N27)&amp;"-"&amp;IFERROR(MATCH(O27,miOrdenTarjeta,0),0))</f>
        <v/>
      </c>
      <c r="Q27" s="19">
        <f ca="1"/>
        <v>26</v>
      </c>
      <c r="R27" s="20">
        <f t="shared" ca="1" si="13"/>
        <v>3</v>
      </c>
      <c r="S27" s="20">
        <f t="shared" ca="1" si="3"/>
        <v>27</v>
      </c>
      <c r="T27" s="20" cm="1">
        <f t="array" aca="1" ref="T27" ca="1">IF(S27="","",IF(S27&lt;&gt;S26,1,IF(T26=misLíneas-2,0,T26+1)))</f>
        <v>5</v>
      </c>
      <c r="U27" s="20" t="str" cm="1">
        <f t="array" aca="1" ref="U27" ca="1">IF(OR(T27=0,T27=""),"",INDEX(misCriticidades,S27)&amp;"-"&amp;IFERROR(MATCH(T27,miOrdenTarjeta,0),0))</f>
        <v>2-5</v>
      </c>
      <c r="V27" s="19" t="str">
        <f ca="1"/>
        <v/>
      </c>
      <c r="W27" s="20">
        <f t="shared" ca="1" si="14"/>
        <v>1</v>
      </c>
      <c r="X27" s="20" t="str">
        <f t="shared" ca="1" si="4"/>
        <v/>
      </c>
      <c r="Y27" s="20" t="str" cm="1">
        <f t="array" aca="1" ref="Y27" ca="1">IF(X27="","",IF(X27&lt;&gt;X26,1,IF(Y26=misLíneas-2,0,Y26+1)))</f>
        <v/>
      </c>
      <c r="Z27" s="20" t="str" cm="1">
        <f t="array" aca="1" ref="Z27" ca="1">IF(OR(Y27=0,Y27=""),"",INDEX(misCriticidades,X27)&amp;"-"&amp;IFERROR(MATCH(Y27,miOrdenTarjeta,0),0))</f>
        <v/>
      </c>
      <c r="AA27" s="19" t="str">
        <f ca="1"/>
        <v/>
      </c>
      <c r="AB27" s="20">
        <f t="shared" ca="1" si="15"/>
        <v>1</v>
      </c>
      <c r="AC27" s="20" t="str">
        <f t="shared" ca="1" si="5"/>
        <v/>
      </c>
      <c r="AD27" s="20" t="str" cm="1">
        <f t="array" aca="1" ref="AD27" ca="1">IF(AC27="","",IF(AC27&lt;&gt;AC26,1,IF(AD26=misLíneas-2,0,AD26+1)))</f>
        <v/>
      </c>
      <c r="AE27" s="20" t="str" cm="1">
        <f t="array" aca="1" ref="AE27" ca="1">IF(OR(AD27=0,AD27=""),"",INDEX(misCriticidades,AC27)&amp;"-"&amp;IFERROR(MATCH(AD27,miOrdenTarjeta,0),0))</f>
        <v/>
      </c>
      <c r="AF27" s="19" t="str">
        <f ca="1"/>
        <v/>
      </c>
      <c r="AG27" s="20">
        <f t="shared" ca="1" si="16"/>
        <v>1</v>
      </c>
      <c r="AH27" s="20" t="str">
        <f t="shared" ca="1" si="6"/>
        <v/>
      </c>
      <c r="AI27" s="20" t="str" cm="1">
        <f t="array" aca="1" ref="AI27" ca="1">IF(AH27="","",IF(AH27&lt;&gt;AH26,1,IF(AI26=misLíneas-2,0,AI26+1)))</f>
        <v/>
      </c>
      <c r="AJ27" s="20" t="str" cm="1">
        <f t="array" aca="1" ref="AJ27" ca="1">IF(OR(AI27=0,AI27=""),"",INDEX(misCriticidades,AH27)&amp;"-"&amp;IFERROR(MATCH(AI27,miOrdenTarjeta,0),0))</f>
        <v/>
      </c>
      <c r="AK27" s="19" t="str">
        <f ca="1"/>
        <v/>
      </c>
      <c r="AL27" s="20">
        <f t="shared" ca="1" si="17"/>
        <v>1</v>
      </c>
      <c r="AM27" s="20" t="str">
        <f t="shared" ca="1" si="7"/>
        <v/>
      </c>
      <c r="AN27" s="20" t="str" cm="1">
        <f t="array" aca="1" ref="AN27" ca="1">IF(AM27="","",IF(AM27&lt;&gt;AM26,1,IF(AN26=misLíneas-2,0,AN26+1)))</f>
        <v/>
      </c>
      <c r="AO27" s="20" t="str" cm="1">
        <f t="array" aca="1" ref="AO27" ca="1">IF(OR(AN27=0,AN27=""),"",INDEX(misCriticidades,AM27)&amp;"-"&amp;IFERROR(MATCH(AN27,miOrdenTarjeta,0),0))</f>
        <v/>
      </c>
      <c r="AP27" s="19" t="str">
        <f ca="1"/>
        <v/>
      </c>
      <c r="AQ27" s="20">
        <f t="shared" ca="1" si="18"/>
        <v>1</v>
      </c>
      <c r="AR27" s="20" t="str">
        <f t="shared" ca="1" si="8"/>
        <v/>
      </c>
      <c r="AS27" s="20" t="str" cm="1">
        <f t="array" aca="1" ref="AS27" ca="1">IF(AR27="","",IF(AR27&lt;&gt;AR26,1,IF(AS26=misLíneas-2,0,AS26+1)))</f>
        <v/>
      </c>
      <c r="AT27" s="20" t="str" cm="1">
        <f t="array" aca="1" ref="AT27" ca="1">IF(OR(AS27=0,AS27=""),"",INDEX(misCriticidades,AR27)&amp;"-"&amp;IFERROR(MATCH(AS27,miOrdenTarjeta,0),0))</f>
        <v/>
      </c>
      <c r="AU27" s="19" t="str">
        <f ca="1"/>
        <v/>
      </c>
      <c r="AV27" s="20">
        <f t="shared" ca="1" si="19"/>
        <v>1</v>
      </c>
      <c r="AW27" s="20" t="str">
        <f t="shared" ca="1" si="9"/>
        <v/>
      </c>
      <c r="AX27" s="20" t="str" cm="1">
        <f t="array" aca="1" ref="AX27" ca="1">IF(AW27="","",IF(AW27&lt;&gt;AW26,1,IF(AX26=misLíneas-2,0,AX26+1)))</f>
        <v/>
      </c>
      <c r="AY27" s="20" t="str" cm="1">
        <f t="array" aca="1" ref="AY27" ca="1">IF(OR(AX27=0,AX27=""),"",INDEX(misCriticidades,AW27)&amp;"-"&amp;IFERROR(MATCH(AX27,miOrdenTarjeta,0),0))</f>
        <v/>
      </c>
    </row>
    <row r="28" spans="2:51" x14ac:dyDescent="0.25">
      <c r="B28" s="19" t="str">
        <f ca="1"/>
        <v/>
      </c>
      <c r="C28" s="20">
        <f t="shared" ca="1" si="20"/>
        <v>1</v>
      </c>
      <c r="D28" s="20" t="str">
        <f t="shared" ca="1" si="0"/>
        <v/>
      </c>
      <c r="E28" s="20" t="str" cm="1">
        <f t="array" aca="1" ref="E28" ca="1">IF(D28="","",IF(D28&lt;&gt;D27,1,IF(E27=misLíneas-2,0,E27+1)))</f>
        <v/>
      </c>
      <c r="F28" s="20" t="str" cm="1">
        <f t="array" aca="1" ref="F28" ca="1">IF(OR(E28=0,E28=""),"",INDEX(misCriticidades,D28)&amp;"-"&amp;IFERROR(MATCH(E28,miOrdenTarjeta,0),0))</f>
        <v/>
      </c>
      <c r="G28" s="19" t="str">
        <f ca="1"/>
        <v/>
      </c>
      <c r="H28" s="20">
        <f t="shared" ca="1" si="11"/>
        <v>3</v>
      </c>
      <c r="I28" s="20">
        <f t="shared" ca="1" si="1"/>
        <v>31</v>
      </c>
      <c r="J28" s="20" cm="1">
        <f t="array" aca="1" ref="J28" ca="1">IF(I28="","",IF(I28&lt;&gt;I27,1,IF(J27=misLíneas-2,0,J27+1)))</f>
        <v>6</v>
      </c>
      <c r="K28" s="20" t="str" cm="1">
        <f t="array" aca="1" ref="K28" ca="1">IF(OR(J28=0,J28=""),"",INDEX(misCriticidades,I28)&amp;"-"&amp;IFERROR(MATCH(J28,miOrdenTarjeta,0),0))</f>
        <v>0-6</v>
      </c>
      <c r="L28" s="19" t="str">
        <f ca="1"/>
        <v/>
      </c>
      <c r="M28" s="20">
        <f t="shared" ca="1" si="12"/>
        <v>1</v>
      </c>
      <c r="N28" s="20" t="str">
        <f t="shared" ca="1" si="2"/>
        <v/>
      </c>
      <c r="O28" s="20" t="str" cm="1">
        <f t="array" aca="1" ref="O28" ca="1">IF(N28="","",IF(N28&lt;&gt;N27,1,IF(O27=misLíneas-2,0,O27+1)))</f>
        <v/>
      </c>
      <c r="P28" s="20" t="str" cm="1">
        <f t="array" aca="1" ref="P28" ca="1">IF(OR(O28=0,O28=""),"",INDEX(misCriticidades,N28)&amp;"-"&amp;IFERROR(MATCH(O28,miOrdenTarjeta,0),0))</f>
        <v/>
      </c>
      <c r="Q28" s="19">
        <f ca="1"/>
        <v>27</v>
      </c>
      <c r="R28" s="20">
        <f t="shared" ca="1" si="13"/>
        <v>3</v>
      </c>
      <c r="S28" s="20">
        <f t="shared" ca="1" si="3"/>
        <v>27</v>
      </c>
      <c r="T28" s="20" cm="1">
        <f t="array" aca="1" ref="T28" ca="1">IF(S28="","",IF(S28&lt;&gt;S27,1,IF(T27=misLíneas-2,0,T27+1)))</f>
        <v>6</v>
      </c>
      <c r="U28" s="20" t="str" cm="1">
        <f t="array" aca="1" ref="U28" ca="1">IF(OR(T28=0,T28=""),"",INDEX(misCriticidades,S28)&amp;"-"&amp;IFERROR(MATCH(T28,miOrdenTarjeta,0),0))</f>
        <v>2-6</v>
      </c>
      <c r="V28" s="19" t="str">
        <f ca="1"/>
        <v/>
      </c>
      <c r="W28" s="20">
        <f t="shared" ca="1" si="14"/>
        <v>1</v>
      </c>
      <c r="X28" s="20" t="str">
        <f t="shared" ca="1" si="4"/>
        <v/>
      </c>
      <c r="Y28" s="20" t="str" cm="1">
        <f t="array" aca="1" ref="Y28" ca="1">IF(X28="","",IF(X28&lt;&gt;X27,1,IF(Y27=misLíneas-2,0,Y27+1)))</f>
        <v/>
      </c>
      <c r="Z28" s="20" t="str" cm="1">
        <f t="array" aca="1" ref="Z28" ca="1">IF(OR(Y28=0,Y28=""),"",INDEX(misCriticidades,X28)&amp;"-"&amp;IFERROR(MATCH(Y28,miOrdenTarjeta,0),0))</f>
        <v/>
      </c>
      <c r="AA28" s="19" t="str">
        <f ca="1"/>
        <v/>
      </c>
      <c r="AB28" s="20">
        <f t="shared" ca="1" si="15"/>
        <v>1</v>
      </c>
      <c r="AC28" s="20" t="str">
        <f t="shared" ca="1" si="5"/>
        <v/>
      </c>
      <c r="AD28" s="20" t="str" cm="1">
        <f t="array" aca="1" ref="AD28" ca="1">IF(AC28="","",IF(AC28&lt;&gt;AC27,1,IF(AD27=misLíneas-2,0,AD27+1)))</f>
        <v/>
      </c>
      <c r="AE28" s="20" t="str" cm="1">
        <f t="array" aca="1" ref="AE28" ca="1">IF(OR(AD28=0,AD28=""),"",INDEX(misCriticidades,AC28)&amp;"-"&amp;IFERROR(MATCH(AD28,miOrdenTarjeta,0),0))</f>
        <v/>
      </c>
      <c r="AF28" s="19" t="str">
        <f ca="1"/>
        <v/>
      </c>
      <c r="AG28" s="20">
        <f t="shared" ca="1" si="16"/>
        <v>1</v>
      </c>
      <c r="AH28" s="20" t="str">
        <f t="shared" ca="1" si="6"/>
        <v/>
      </c>
      <c r="AI28" s="20" t="str" cm="1">
        <f t="array" aca="1" ref="AI28" ca="1">IF(AH28="","",IF(AH28&lt;&gt;AH27,1,IF(AI27=misLíneas-2,0,AI27+1)))</f>
        <v/>
      </c>
      <c r="AJ28" s="20" t="str" cm="1">
        <f t="array" aca="1" ref="AJ28" ca="1">IF(OR(AI28=0,AI28=""),"",INDEX(misCriticidades,AH28)&amp;"-"&amp;IFERROR(MATCH(AI28,miOrdenTarjeta,0),0))</f>
        <v/>
      </c>
      <c r="AK28" s="19" t="str">
        <f ca="1"/>
        <v/>
      </c>
      <c r="AL28" s="20">
        <f t="shared" ca="1" si="17"/>
        <v>1</v>
      </c>
      <c r="AM28" s="20" t="str">
        <f t="shared" ca="1" si="7"/>
        <v/>
      </c>
      <c r="AN28" s="20" t="str" cm="1">
        <f t="array" aca="1" ref="AN28" ca="1">IF(AM28="","",IF(AM28&lt;&gt;AM27,1,IF(AN27=misLíneas-2,0,AN27+1)))</f>
        <v/>
      </c>
      <c r="AO28" s="20" t="str" cm="1">
        <f t="array" aca="1" ref="AO28" ca="1">IF(OR(AN28=0,AN28=""),"",INDEX(misCriticidades,AM28)&amp;"-"&amp;IFERROR(MATCH(AN28,miOrdenTarjeta,0),0))</f>
        <v/>
      </c>
      <c r="AP28" s="19" t="str">
        <f ca="1"/>
        <v/>
      </c>
      <c r="AQ28" s="20">
        <f t="shared" ca="1" si="18"/>
        <v>1</v>
      </c>
      <c r="AR28" s="20" t="str">
        <f t="shared" ca="1" si="8"/>
        <v/>
      </c>
      <c r="AS28" s="20" t="str" cm="1">
        <f t="array" aca="1" ref="AS28" ca="1">IF(AR28="","",IF(AR28&lt;&gt;AR27,1,IF(AS27=misLíneas-2,0,AS27+1)))</f>
        <v/>
      </c>
      <c r="AT28" s="20" t="str" cm="1">
        <f t="array" aca="1" ref="AT28" ca="1">IF(OR(AS28=0,AS28=""),"",INDEX(misCriticidades,AR28)&amp;"-"&amp;IFERROR(MATCH(AS28,miOrdenTarjeta,0),0))</f>
        <v/>
      </c>
      <c r="AU28" s="19" t="str">
        <f ca="1"/>
        <v/>
      </c>
      <c r="AV28" s="20">
        <f t="shared" ca="1" si="19"/>
        <v>1</v>
      </c>
      <c r="AW28" s="20" t="str">
        <f t="shared" ca="1" si="9"/>
        <v/>
      </c>
      <c r="AX28" s="20" t="str" cm="1">
        <f t="array" aca="1" ref="AX28" ca="1">IF(AW28="","",IF(AW28&lt;&gt;AW27,1,IF(AX27=misLíneas-2,0,AX27+1)))</f>
        <v/>
      </c>
      <c r="AY28" s="20" t="str" cm="1">
        <f t="array" aca="1" ref="AY28" ca="1">IF(OR(AX28=0,AX28=""),"",INDEX(misCriticidades,AW28)&amp;"-"&amp;IFERROR(MATCH(AX28,miOrdenTarjeta,0),0))</f>
        <v/>
      </c>
    </row>
    <row r="29" spans="2:51" x14ac:dyDescent="0.25">
      <c r="B29" s="19" t="str">
        <f ca="1"/>
        <v/>
      </c>
      <c r="C29" s="20">
        <f t="shared" ca="1" si="20"/>
        <v>1</v>
      </c>
      <c r="D29" s="20" t="str">
        <f t="shared" ca="1" si="0"/>
        <v/>
      </c>
      <c r="E29" s="20" t="str" cm="1">
        <f t="array" aca="1" ref="E29" ca="1">IF(D29="","",IF(D29&lt;&gt;D28,1,IF(E28=misLíneas-2,0,E28+1)))</f>
        <v/>
      </c>
      <c r="F29" s="20" t="str" cm="1">
        <f t="array" aca="1" ref="F29" ca="1">IF(OR(E29=0,E29=""),"",INDEX(misCriticidades,D29)&amp;"-"&amp;IFERROR(MATCH(E29,miOrdenTarjeta,0),0))</f>
        <v/>
      </c>
      <c r="G29" s="19" t="str">
        <f ca="1"/>
        <v/>
      </c>
      <c r="H29" s="20">
        <f t="shared" ca="1" si="11"/>
        <v>3</v>
      </c>
      <c r="I29" s="20">
        <f t="shared" ca="1" si="1"/>
        <v>31</v>
      </c>
      <c r="J29" s="20" cm="1">
        <f t="array" aca="1" ref="J29" ca="1">IF(I29="","",IF(I29&lt;&gt;I28,1,IF(J28=misLíneas-2,0,J28+1)))</f>
        <v>7</v>
      </c>
      <c r="K29" s="20" t="str" cm="1">
        <f t="array" aca="1" ref="K29" ca="1">IF(OR(J29=0,J29=""),"",INDEX(misCriticidades,I29)&amp;"-"&amp;IFERROR(MATCH(J29,miOrdenTarjeta,0),0))</f>
        <v>0-7</v>
      </c>
      <c r="L29" s="19" t="str">
        <f ca="1"/>
        <v/>
      </c>
      <c r="M29" s="20">
        <f t="shared" ca="1" si="12"/>
        <v>1</v>
      </c>
      <c r="N29" s="20" t="str">
        <f t="shared" ca="1" si="2"/>
        <v/>
      </c>
      <c r="O29" s="20" t="str" cm="1">
        <f t="array" aca="1" ref="O29" ca="1">IF(N29="","",IF(N29&lt;&gt;N28,1,IF(O28=misLíneas-2,0,O28+1)))</f>
        <v/>
      </c>
      <c r="P29" s="20" t="str" cm="1">
        <f t="array" aca="1" ref="P29" ca="1">IF(OR(O29=0,O29=""),"",INDEX(misCriticidades,N29)&amp;"-"&amp;IFERROR(MATCH(O29,miOrdenTarjeta,0),0))</f>
        <v/>
      </c>
      <c r="Q29" s="19">
        <f ca="1"/>
        <v>28</v>
      </c>
      <c r="R29" s="20">
        <f t="shared" ca="1" si="13"/>
        <v>3</v>
      </c>
      <c r="S29" s="20">
        <f t="shared" ca="1" si="3"/>
        <v>27</v>
      </c>
      <c r="T29" s="20" cm="1">
        <f t="array" aca="1" ref="T29" ca="1">IF(S29="","",IF(S29&lt;&gt;S28,1,IF(T28=misLíneas-2,0,T28+1)))</f>
        <v>7</v>
      </c>
      <c r="U29" s="20" t="str" cm="1">
        <f t="array" aca="1" ref="U29" ca="1">IF(OR(T29=0,T29=""),"",INDEX(misCriticidades,S29)&amp;"-"&amp;IFERROR(MATCH(T29,miOrdenTarjeta,0),0))</f>
        <v>2-7</v>
      </c>
      <c r="V29" s="19" t="str">
        <f ca="1"/>
        <v/>
      </c>
      <c r="W29" s="20">
        <f t="shared" ca="1" si="14"/>
        <v>1</v>
      </c>
      <c r="X29" s="20" t="str">
        <f t="shared" ca="1" si="4"/>
        <v/>
      </c>
      <c r="Y29" s="20" t="str" cm="1">
        <f t="array" aca="1" ref="Y29" ca="1">IF(X29="","",IF(X29&lt;&gt;X28,1,IF(Y28=misLíneas-2,0,Y28+1)))</f>
        <v/>
      </c>
      <c r="Z29" s="20" t="str" cm="1">
        <f t="array" aca="1" ref="Z29" ca="1">IF(OR(Y29=0,Y29=""),"",INDEX(misCriticidades,X29)&amp;"-"&amp;IFERROR(MATCH(Y29,miOrdenTarjeta,0),0))</f>
        <v/>
      </c>
      <c r="AA29" s="19" t="str">
        <f ca="1"/>
        <v/>
      </c>
      <c r="AB29" s="20">
        <f t="shared" ca="1" si="15"/>
        <v>1</v>
      </c>
      <c r="AC29" s="20" t="str">
        <f t="shared" ca="1" si="5"/>
        <v/>
      </c>
      <c r="AD29" s="20" t="str" cm="1">
        <f t="array" aca="1" ref="AD29" ca="1">IF(AC29="","",IF(AC29&lt;&gt;AC28,1,IF(AD28=misLíneas-2,0,AD28+1)))</f>
        <v/>
      </c>
      <c r="AE29" s="20" t="str" cm="1">
        <f t="array" aca="1" ref="AE29" ca="1">IF(OR(AD29=0,AD29=""),"",INDEX(misCriticidades,AC29)&amp;"-"&amp;IFERROR(MATCH(AD29,miOrdenTarjeta,0),0))</f>
        <v/>
      </c>
      <c r="AF29" s="19" t="str">
        <f ca="1"/>
        <v/>
      </c>
      <c r="AG29" s="20">
        <f t="shared" ca="1" si="16"/>
        <v>1</v>
      </c>
      <c r="AH29" s="20" t="str">
        <f t="shared" ca="1" si="6"/>
        <v/>
      </c>
      <c r="AI29" s="20" t="str" cm="1">
        <f t="array" aca="1" ref="AI29" ca="1">IF(AH29="","",IF(AH29&lt;&gt;AH28,1,IF(AI28=misLíneas-2,0,AI28+1)))</f>
        <v/>
      </c>
      <c r="AJ29" s="20" t="str" cm="1">
        <f t="array" aca="1" ref="AJ29" ca="1">IF(OR(AI29=0,AI29=""),"",INDEX(misCriticidades,AH29)&amp;"-"&amp;IFERROR(MATCH(AI29,miOrdenTarjeta,0),0))</f>
        <v/>
      </c>
      <c r="AK29" s="19" t="str">
        <f ca="1"/>
        <v/>
      </c>
      <c r="AL29" s="20">
        <f t="shared" ca="1" si="17"/>
        <v>1</v>
      </c>
      <c r="AM29" s="20" t="str">
        <f t="shared" ca="1" si="7"/>
        <v/>
      </c>
      <c r="AN29" s="20" t="str" cm="1">
        <f t="array" aca="1" ref="AN29" ca="1">IF(AM29="","",IF(AM29&lt;&gt;AM28,1,IF(AN28=misLíneas-2,0,AN28+1)))</f>
        <v/>
      </c>
      <c r="AO29" s="20" t="str" cm="1">
        <f t="array" aca="1" ref="AO29" ca="1">IF(OR(AN29=0,AN29=""),"",INDEX(misCriticidades,AM29)&amp;"-"&amp;IFERROR(MATCH(AN29,miOrdenTarjeta,0),0))</f>
        <v/>
      </c>
      <c r="AP29" s="19" t="str">
        <f ca="1"/>
        <v/>
      </c>
      <c r="AQ29" s="20">
        <f t="shared" ca="1" si="18"/>
        <v>1</v>
      </c>
      <c r="AR29" s="20" t="str">
        <f t="shared" ca="1" si="8"/>
        <v/>
      </c>
      <c r="AS29" s="20" t="str" cm="1">
        <f t="array" aca="1" ref="AS29" ca="1">IF(AR29="","",IF(AR29&lt;&gt;AR28,1,IF(AS28=misLíneas-2,0,AS28+1)))</f>
        <v/>
      </c>
      <c r="AT29" s="20" t="str" cm="1">
        <f t="array" aca="1" ref="AT29" ca="1">IF(OR(AS29=0,AS29=""),"",INDEX(misCriticidades,AR29)&amp;"-"&amp;IFERROR(MATCH(AS29,miOrdenTarjeta,0),0))</f>
        <v/>
      </c>
      <c r="AU29" s="19" t="str">
        <f ca="1"/>
        <v/>
      </c>
      <c r="AV29" s="20">
        <f t="shared" ca="1" si="19"/>
        <v>1</v>
      </c>
      <c r="AW29" s="20" t="str">
        <f t="shared" ca="1" si="9"/>
        <v/>
      </c>
      <c r="AX29" s="20" t="str" cm="1">
        <f t="array" aca="1" ref="AX29" ca="1">IF(AW29="","",IF(AW29&lt;&gt;AW28,1,IF(AX28=misLíneas-2,0,AX28+1)))</f>
        <v/>
      </c>
      <c r="AY29" s="20" t="str" cm="1">
        <f t="array" aca="1" ref="AY29" ca="1">IF(OR(AX29=0,AX29=""),"",INDEX(misCriticidades,AW29)&amp;"-"&amp;IFERROR(MATCH(AX29,miOrdenTarjeta,0),0))</f>
        <v/>
      </c>
    </row>
    <row r="30" spans="2:51" x14ac:dyDescent="0.25">
      <c r="B30" s="19" t="str">
        <f ca="1"/>
        <v/>
      </c>
      <c r="C30" s="20">
        <f t="shared" ca="1" si="20"/>
        <v>1</v>
      </c>
      <c r="D30" s="20" t="str">
        <f t="shared" ca="1" si="0"/>
        <v/>
      </c>
      <c r="E30" s="20" t="str" cm="1">
        <f t="array" aca="1" ref="E30" ca="1">IF(D30="","",IF(D30&lt;&gt;D29,1,IF(E29=misLíneas-2,0,E29+1)))</f>
        <v/>
      </c>
      <c r="F30" s="20" t="str" cm="1">
        <f t="array" aca="1" ref="F30" ca="1">IF(OR(E30=0,E30=""),"",INDEX(misCriticidades,D30)&amp;"-"&amp;IFERROR(MATCH(E30,miOrdenTarjeta,0),0))</f>
        <v/>
      </c>
      <c r="G30" s="19" t="str">
        <f ca="1"/>
        <v/>
      </c>
      <c r="H30" s="20">
        <f t="shared" ca="1" si="11"/>
        <v>3</v>
      </c>
      <c r="I30" s="20">
        <f t="shared" ca="1" si="1"/>
        <v>31</v>
      </c>
      <c r="J30" s="20" cm="1">
        <f t="array" aca="1" ref="J30" ca="1">IF(I30="","",IF(I30&lt;&gt;I29,1,IF(J29=misLíneas-2,0,J29+1)))</f>
        <v>8</v>
      </c>
      <c r="K30" s="20" t="str" cm="1">
        <f t="array" aca="1" ref="K30" ca="1">IF(OR(J30=0,J30=""),"",INDEX(misCriticidades,I30)&amp;"-"&amp;IFERROR(MATCH(J30,miOrdenTarjeta,0),0))</f>
        <v>0-8</v>
      </c>
      <c r="L30" s="19" t="str">
        <f ca="1"/>
        <v/>
      </c>
      <c r="M30" s="20">
        <f t="shared" ca="1" si="12"/>
        <v>1</v>
      </c>
      <c r="N30" s="20" t="str">
        <f t="shared" ca="1" si="2"/>
        <v/>
      </c>
      <c r="O30" s="20" t="str" cm="1">
        <f t="array" aca="1" ref="O30" ca="1">IF(N30="","",IF(N30&lt;&gt;N29,1,IF(O29=misLíneas-2,0,O29+1)))</f>
        <v/>
      </c>
      <c r="P30" s="20" t="str" cm="1">
        <f t="array" aca="1" ref="P30" ca="1">IF(OR(O30=0,O30=""),"",INDEX(misCriticidades,N30)&amp;"-"&amp;IFERROR(MATCH(O30,miOrdenTarjeta,0),0))</f>
        <v/>
      </c>
      <c r="Q30" s="19">
        <f ca="1"/>
        <v>29</v>
      </c>
      <c r="R30" s="20">
        <f t="shared" ca="1" si="13"/>
        <v>3</v>
      </c>
      <c r="S30" s="20">
        <f t="shared" ca="1" si="3"/>
        <v>27</v>
      </c>
      <c r="T30" s="20" cm="1">
        <f t="array" aca="1" ref="T30" ca="1">IF(S30="","",IF(S30&lt;&gt;S29,1,IF(T29=misLíneas-2,0,T29+1)))</f>
        <v>8</v>
      </c>
      <c r="U30" s="20" t="str" cm="1">
        <f t="array" aca="1" ref="U30" ca="1">IF(OR(T30=0,T30=""),"",INDEX(misCriticidades,S30)&amp;"-"&amp;IFERROR(MATCH(T30,miOrdenTarjeta,0),0))</f>
        <v>2-8</v>
      </c>
      <c r="V30" s="19" t="str">
        <f ca="1"/>
        <v/>
      </c>
      <c r="W30" s="20">
        <f t="shared" ca="1" si="14"/>
        <v>1</v>
      </c>
      <c r="X30" s="20" t="str">
        <f t="shared" ca="1" si="4"/>
        <v/>
      </c>
      <c r="Y30" s="20" t="str" cm="1">
        <f t="array" aca="1" ref="Y30" ca="1">IF(X30="","",IF(X30&lt;&gt;X29,1,IF(Y29=misLíneas-2,0,Y29+1)))</f>
        <v/>
      </c>
      <c r="Z30" s="20" t="str" cm="1">
        <f t="array" aca="1" ref="Z30" ca="1">IF(OR(Y30=0,Y30=""),"",INDEX(misCriticidades,X30)&amp;"-"&amp;IFERROR(MATCH(Y30,miOrdenTarjeta,0),0))</f>
        <v/>
      </c>
      <c r="AA30" s="19" t="str">
        <f ca="1"/>
        <v/>
      </c>
      <c r="AB30" s="20">
        <f t="shared" ca="1" si="15"/>
        <v>1</v>
      </c>
      <c r="AC30" s="20" t="str">
        <f t="shared" ca="1" si="5"/>
        <v/>
      </c>
      <c r="AD30" s="20" t="str" cm="1">
        <f t="array" aca="1" ref="AD30" ca="1">IF(AC30="","",IF(AC30&lt;&gt;AC29,1,IF(AD29=misLíneas-2,0,AD29+1)))</f>
        <v/>
      </c>
      <c r="AE30" s="20" t="str" cm="1">
        <f t="array" aca="1" ref="AE30" ca="1">IF(OR(AD30=0,AD30=""),"",INDEX(misCriticidades,AC30)&amp;"-"&amp;IFERROR(MATCH(AD30,miOrdenTarjeta,0),0))</f>
        <v/>
      </c>
      <c r="AF30" s="19" t="str">
        <f ca="1"/>
        <v/>
      </c>
      <c r="AG30" s="20">
        <f t="shared" ca="1" si="16"/>
        <v>1</v>
      </c>
      <c r="AH30" s="20" t="str">
        <f t="shared" ca="1" si="6"/>
        <v/>
      </c>
      <c r="AI30" s="20" t="str" cm="1">
        <f t="array" aca="1" ref="AI30" ca="1">IF(AH30="","",IF(AH30&lt;&gt;AH29,1,IF(AI29=misLíneas-2,0,AI29+1)))</f>
        <v/>
      </c>
      <c r="AJ30" s="20" t="str" cm="1">
        <f t="array" aca="1" ref="AJ30" ca="1">IF(OR(AI30=0,AI30=""),"",INDEX(misCriticidades,AH30)&amp;"-"&amp;IFERROR(MATCH(AI30,miOrdenTarjeta,0),0))</f>
        <v/>
      </c>
      <c r="AK30" s="19" t="str">
        <f ca="1"/>
        <v/>
      </c>
      <c r="AL30" s="20">
        <f t="shared" ca="1" si="17"/>
        <v>1</v>
      </c>
      <c r="AM30" s="20" t="str">
        <f t="shared" ca="1" si="7"/>
        <v/>
      </c>
      <c r="AN30" s="20" t="str" cm="1">
        <f t="array" aca="1" ref="AN30" ca="1">IF(AM30="","",IF(AM30&lt;&gt;AM29,1,IF(AN29=misLíneas-2,0,AN29+1)))</f>
        <v/>
      </c>
      <c r="AO30" s="20" t="str" cm="1">
        <f t="array" aca="1" ref="AO30" ca="1">IF(OR(AN30=0,AN30=""),"",INDEX(misCriticidades,AM30)&amp;"-"&amp;IFERROR(MATCH(AN30,miOrdenTarjeta,0),0))</f>
        <v/>
      </c>
      <c r="AP30" s="19" t="str">
        <f ca="1"/>
        <v/>
      </c>
      <c r="AQ30" s="20">
        <f t="shared" ca="1" si="18"/>
        <v>1</v>
      </c>
      <c r="AR30" s="20" t="str">
        <f t="shared" ca="1" si="8"/>
        <v/>
      </c>
      <c r="AS30" s="20" t="str" cm="1">
        <f t="array" aca="1" ref="AS30" ca="1">IF(AR30="","",IF(AR30&lt;&gt;AR29,1,IF(AS29=misLíneas-2,0,AS29+1)))</f>
        <v/>
      </c>
      <c r="AT30" s="20" t="str" cm="1">
        <f t="array" aca="1" ref="AT30" ca="1">IF(OR(AS30=0,AS30=""),"",INDEX(misCriticidades,AR30)&amp;"-"&amp;IFERROR(MATCH(AS30,miOrdenTarjeta,0),0))</f>
        <v/>
      </c>
      <c r="AU30" s="19" t="str">
        <f ca="1"/>
        <v/>
      </c>
      <c r="AV30" s="20">
        <f t="shared" ca="1" si="19"/>
        <v>1</v>
      </c>
      <c r="AW30" s="20" t="str">
        <f t="shared" ca="1" si="9"/>
        <v/>
      </c>
      <c r="AX30" s="20" t="str" cm="1">
        <f t="array" aca="1" ref="AX30" ca="1">IF(AW30="","",IF(AW30&lt;&gt;AW29,1,IF(AX29=misLíneas-2,0,AX29+1)))</f>
        <v/>
      </c>
      <c r="AY30" s="20" t="str" cm="1">
        <f t="array" aca="1" ref="AY30" ca="1">IF(OR(AX30=0,AX30=""),"",INDEX(misCriticidades,AW30)&amp;"-"&amp;IFERROR(MATCH(AX30,miOrdenTarjeta,0),0))</f>
        <v/>
      </c>
    </row>
    <row r="31" spans="2:51" x14ac:dyDescent="0.25">
      <c r="B31" s="19" t="str">
        <f ca="1"/>
        <v/>
      </c>
      <c r="C31" s="20">
        <f t="shared" ca="1" si="20"/>
        <v>1</v>
      </c>
      <c r="D31" s="20" t="str">
        <f t="shared" ca="1" si="0"/>
        <v/>
      </c>
      <c r="E31" s="20" t="str" cm="1">
        <f t="array" aca="1" ref="E31" ca="1">IF(D31="","",IF(D31&lt;&gt;D30,1,IF(E30=misLíneas-2,0,E30+1)))</f>
        <v/>
      </c>
      <c r="F31" s="20" t="str" cm="1">
        <f t="array" aca="1" ref="F31" ca="1">IF(OR(E31=0,E31=""),"",INDEX(misCriticidades,D31)&amp;"-"&amp;IFERROR(MATCH(E31,miOrdenTarjeta,0),0))</f>
        <v/>
      </c>
      <c r="G31" s="19">
        <f ca="1"/>
        <v>30</v>
      </c>
      <c r="H31" s="20">
        <f t="shared" ca="1" si="11"/>
        <v>3</v>
      </c>
      <c r="I31" s="20">
        <f t="shared" ca="1" si="1"/>
        <v>31</v>
      </c>
      <c r="J31" s="20" cm="1">
        <f t="array" aca="1" ref="J31" ca="1">IF(I31="","",IF(I31&lt;&gt;I30,1,IF(J30=misLíneas-2,0,J30+1)))</f>
        <v>9</v>
      </c>
      <c r="K31" s="20" t="str" cm="1">
        <f t="array" aca="1" ref="K31" ca="1">IF(OR(J31=0,J31=""),"",INDEX(misCriticidades,I31)&amp;"-"&amp;IFERROR(MATCH(J31,miOrdenTarjeta,0),0))</f>
        <v>0-0</v>
      </c>
      <c r="L31" s="19" t="str">
        <f ca="1"/>
        <v/>
      </c>
      <c r="M31" s="20">
        <f t="shared" ca="1" si="12"/>
        <v>1</v>
      </c>
      <c r="N31" s="20" t="str">
        <f t="shared" ca="1" si="2"/>
        <v/>
      </c>
      <c r="O31" s="20" t="str" cm="1">
        <f t="array" aca="1" ref="O31" ca="1">IF(N31="","",IF(N31&lt;&gt;N30,1,IF(O30=misLíneas-2,0,O30+1)))</f>
        <v/>
      </c>
      <c r="P31" s="20" t="str" cm="1">
        <f t="array" aca="1" ref="P31" ca="1">IF(OR(O31=0,O31=""),"",INDEX(misCriticidades,N31)&amp;"-"&amp;IFERROR(MATCH(O31,miOrdenTarjeta,0),0))</f>
        <v/>
      </c>
      <c r="Q31" s="19" t="str">
        <f ca="1"/>
        <v/>
      </c>
      <c r="R31" s="20">
        <f t="shared" ca="1" si="13"/>
        <v>3</v>
      </c>
      <c r="S31" s="20">
        <f t="shared" ca="1" si="3"/>
        <v>27</v>
      </c>
      <c r="T31" s="20" cm="1">
        <f t="array" aca="1" ref="T31" ca="1">IF(S31="","",IF(S31&lt;&gt;S30,1,IF(T30=misLíneas-2,0,T30+1)))</f>
        <v>9</v>
      </c>
      <c r="U31" s="20" t="str" cm="1">
        <f t="array" aca="1" ref="U31" ca="1">IF(OR(T31=0,T31=""),"",INDEX(misCriticidades,S31)&amp;"-"&amp;IFERROR(MATCH(T31,miOrdenTarjeta,0),0))</f>
        <v>2-0</v>
      </c>
      <c r="V31" s="19" t="str">
        <f ca="1"/>
        <v/>
      </c>
      <c r="W31" s="20">
        <f t="shared" ca="1" si="14"/>
        <v>1</v>
      </c>
      <c r="X31" s="20" t="str">
        <f t="shared" ca="1" si="4"/>
        <v/>
      </c>
      <c r="Y31" s="20" t="str" cm="1">
        <f t="array" aca="1" ref="Y31" ca="1">IF(X31="","",IF(X31&lt;&gt;X30,1,IF(Y30=misLíneas-2,0,Y30+1)))</f>
        <v/>
      </c>
      <c r="Z31" s="20" t="str" cm="1">
        <f t="array" aca="1" ref="Z31" ca="1">IF(OR(Y31=0,Y31=""),"",INDEX(misCriticidades,X31)&amp;"-"&amp;IFERROR(MATCH(Y31,miOrdenTarjeta,0),0))</f>
        <v/>
      </c>
      <c r="AA31" s="19" t="str">
        <f ca="1"/>
        <v/>
      </c>
      <c r="AB31" s="20">
        <f t="shared" ca="1" si="15"/>
        <v>1</v>
      </c>
      <c r="AC31" s="20" t="str">
        <f t="shared" ca="1" si="5"/>
        <v/>
      </c>
      <c r="AD31" s="20" t="str" cm="1">
        <f t="array" aca="1" ref="AD31" ca="1">IF(AC31="","",IF(AC31&lt;&gt;AC30,1,IF(AD30=misLíneas-2,0,AD30+1)))</f>
        <v/>
      </c>
      <c r="AE31" s="20" t="str" cm="1">
        <f t="array" aca="1" ref="AE31" ca="1">IF(OR(AD31=0,AD31=""),"",INDEX(misCriticidades,AC31)&amp;"-"&amp;IFERROR(MATCH(AD31,miOrdenTarjeta,0),0))</f>
        <v/>
      </c>
      <c r="AF31" s="19" t="str">
        <f ca="1"/>
        <v/>
      </c>
      <c r="AG31" s="20">
        <f t="shared" ca="1" si="16"/>
        <v>1</v>
      </c>
      <c r="AH31" s="20" t="str">
        <f t="shared" ca="1" si="6"/>
        <v/>
      </c>
      <c r="AI31" s="20" t="str" cm="1">
        <f t="array" aca="1" ref="AI31" ca="1">IF(AH31="","",IF(AH31&lt;&gt;AH30,1,IF(AI30=misLíneas-2,0,AI30+1)))</f>
        <v/>
      </c>
      <c r="AJ31" s="20" t="str" cm="1">
        <f t="array" aca="1" ref="AJ31" ca="1">IF(OR(AI31=0,AI31=""),"",INDEX(misCriticidades,AH31)&amp;"-"&amp;IFERROR(MATCH(AI31,miOrdenTarjeta,0),0))</f>
        <v/>
      </c>
      <c r="AK31" s="19" t="str">
        <f ca="1"/>
        <v/>
      </c>
      <c r="AL31" s="20">
        <f t="shared" ca="1" si="17"/>
        <v>1</v>
      </c>
      <c r="AM31" s="20" t="str">
        <f t="shared" ca="1" si="7"/>
        <v/>
      </c>
      <c r="AN31" s="20" t="str" cm="1">
        <f t="array" aca="1" ref="AN31" ca="1">IF(AM31="","",IF(AM31&lt;&gt;AM30,1,IF(AN30=misLíneas-2,0,AN30+1)))</f>
        <v/>
      </c>
      <c r="AO31" s="20" t="str" cm="1">
        <f t="array" aca="1" ref="AO31" ca="1">IF(OR(AN31=0,AN31=""),"",INDEX(misCriticidades,AM31)&amp;"-"&amp;IFERROR(MATCH(AN31,miOrdenTarjeta,0),0))</f>
        <v/>
      </c>
      <c r="AP31" s="19" t="str">
        <f ca="1"/>
        <v/>
      </c>
      <c r="AQ31" s="20">
        <f t="shared" ca="1" si="18"/>
        <v>1</v>
      </c>
      <c r="AR31" s="20" t="str">
        <f t="shared" ca="1" si="8"/>
        <v/>
      </c>
      <c r="AS31" s="20" t="str" cm="1">
        <f t="array" aca="1" ref="AS31" ca="1">IF(AR31="","",IF(AR31&lt;&gt;AR30,1,IF(AS30=misLíneas-2,0,AS30+1)))</f>
        <v/>
      </c>
      <c r="AT31" s="20" t="str" cm="1">
        <f t="array" aca="1" ref="AT31" ca="1">IF(OR(AS31=0,AS31=""),"",INDEX(misCriticidades,AR31)&amp;"-"&amp;IFERROR(MATCH(AS31,miOrdenTarjeta,0),0))</f>
        <v/>
      </c>
      <c r="AU31" s="19" t="str">
        <f ca="1"/>
        <v/>
      </c>
      <c r="AV31" s="20">
        <f t="shared" ca="1" si="19"/>
        <v>1</v>
      </c>
      <c r="AW31" s="20" t="str">
        <f t="shared" ca="1" si="9"/>
        <v/>
      </c>
      <c r="AX31" s="20" t="str" cm="1">
        <f t="array" aca="1" ref="AX31" ca="1">IF(AW31="","",IF(AW31&lt;&gt;AW30,1,IF(AX30=misLíneas-2,0,AX30+1)))</f>
        <v/>
      </c>
      <c r="AY31" s="20" t="str" cm="1">
        <f t="array" aca="1" ref="AY31" ca="1">IF(OR(AX31=0,AX31=""),"",INDEX(misCriticidades,AW31)&amp;"-"&amp;IFERROR(MATCH(AX31,miOrdenTarjeta,0),0))</f>
        <v/>
      </c>
    </row>
    <row r="32" spans="2:51" x14ac:dyDescent="0.25">
      <c r="B32" s="19" t="str">
        <f ca="1"/>
        <v/>
      </c>
      <c r="C32" s="20">
        <f t="shared" ca="1" si="20"/>
        <v>1</v>
      </c>
      <c r="D32" s="20" t="str">
        <f t="shared" ca="1" si="0"/>
        <v/>
      </c>
      <c r="E32" s="20" t="str" cm="1">
        <f t="array" aca="1" ref="E32" ca="1">IF(D32="","",IF(D32&lt;&gt;D31,1,IF(E31=misLíneas-2,0,E31+1)))</f>
        <v/>
      </c>
      <c r="F32" s="20" t="str" cm="1">
        <f t="array" aca="1" ref="F32" ca="1">IF(OR(E32=0,E32=""),"",INDEX(misCriticidades,D32)&amp;"-"&amp;IFERROR(MATCH(E32,miOrdenTarjeta,0),0))</f>
        <v/>
      </c>
      <c r="G32" s="19">
        <f ca="1"/>
        <v>31</v>
      </c>
      <c r="H32" s="20">
        <f t="shared" ca="1" si="11"/>
        <v>3</v>
      </c>
      <c r="I32" s="20">
        <f t="shared" ca="1" si="1"/>
        <v>31</v>
      </c>
      <c r="J32" s="20" cm="1">
        <f t="array" aca="1" ref="J32" ca="1">IF(I32="","",IF(I32&lt;&gt;I31,1,IF(J31=misLíneas-2,0,J31+1)))</f>
        <v>0</v>
      </c>
      <c r="K32" s="20" t="str" cm="1">
        <f t="array" aca="1" ref="K32" ca="1">IF(OR(J32=0,J32=""),"",INDEX(misCriticidades,I32)&amp;"-"&amp;IFERROR(MATCH(J32,miOrdenTarjeta,0),0))</f>
        <v/>
      </c>
      <c r="L32" s="19" t="str">
        <f ca="1"/>
        <v/>
      </c>
      <c r="M32" s="20">
        <f t="shared" ca="1" si="12"/>
        <v>1</v>
      </c>
      <c r="N32" s="20" t="str">
        <f t="shared" ca="1" si="2"/>
        <v/>
      </c>
      <c r="O32" s="20" t="str" cm="1">
        <f t="array" aca="1" ref="O32" ca="1">IF(N32="","",IF(N32&lt;&gt;N31,1,IF(O31=misLíneas-2,0,O31+1)))</f>
        <v/>
      </c>
      <c r="P32" s="20" t="str" cm="1">
        <f t="array" aca="1" ref="P32" ca="1">IF(OR(O32=0,O32=""),"",INDEX(misCriticidades,N32)&amp;"-"&amp;IFERROR(MATCH(O32,miOrdenTarjeta,0),0))</f>
        <v/>
      </c>
      <c r="Q32" s="19" t="str">
        <f ca="1"/>
        <v/>
      </c>
      <c r="R32" s="20">
        <f t="shared" ca="1" si="13"/>
        <v>3</v>
      </c>
      <c r="S32" s="20">
        <f t="shared" ca="1" si="3"/>
        <v>27</v>
      </c>
      <c r="T32" s="20" cm="1">
        <f t="array" aca="1" ref="T32" ca="1">IF(S32="","",IF(S32&lt;&gt;S31,1,IF(T31=misLíneas-2,0,T31+1)))</f>
        <v>0</v>
      </c>
      <c r="U32" s="20" t="str" cm="1">
        <f t="array" aca="1" ref="U32" ca="1">IF(OR(T32=0,T32=""),"",INDEX(misCriticidades,S32)&amp;"-"&amp;IFERROR(MATCH(T32,miOrdenTarjeta,0),0))</f>
        <v/>
      </c>
      <c r="V32" s="19" t="str">
        <f ca="1"/>
        <v/>
      </c>
      <c r="W32" s="20">
        <f t="shared" ca="1" si="14"/>
        <v>1</v>
      </c>
      <c r="X32" s="20" t="str">
        <f t="shared" ca="1" si="4"/>
        <v/>
      </c>
      <c r="Y32" s="20" t="str" cm="1">
        <f t="array" aca="1" ref="Y32" ca="1">IF(X32="","",IF(X32&lt;&gt;X31,1,IF(Y31=misLíneas-2,0,Y31+1)))</f>
        <v/>
      </c>
      <c r="Z32" s="20" t="str" cm="1">
        <f t="array" aca="1" ref="Z32" ca="1">IF(OR(Y32=0,Y32=""),"",INDEX(misCriticidades,X32)&amp;"-"&amp;IFERROR(MATCH(Y32,miOrdenTarjeta,0),0))</f>
        <v/>
      </c>
      <c r="AA32" s="19" t="str">
        <f ca="1"/>
        <v/>
      </c>
      <c r="AB32" s="20">
        <f t="shared" ca="1" si="15"/>
        <v>1</v>
      </c>
      <c r="AC32" s="20" t="str">
        <f t="shared" ca="1" si="5"/>
        <v/>
      </c>
      <c r="AD32" s="20" t="str" cm="1">
        <f t="array" aca="1" ref="AD32" ca="1">IF(AC32="","",IF(AC32&lt;&gt;AC31,1,IF(AD31=misLíneas-2,0,AD31+1)))</f>
        <v/>
      </c>
      <c r="AE32" s="20" t="str" cm="1">
        <f t="array" aca="1" ref="AE32" ca="1">IF(OR(AD32=0,AD32=""),"",INDEX(misCriticidades,AC32)&amp;"-"&amp;IFERROR(MATCH(AD32,miOrdenTarjeta,0),0))</f>
        <v/>
      </c>
      <c r="AF32" s="19" t="str">
        <f ca="1"/>
        <v/>
      </c>
      <c r="AG32" s="20">
        <f t="shared" ca="1" si="16"/>
        <v>1</v>
      </c>
      <c r="AH32" s="20" t="str">
        <f t="shared" ca="1" si="6"/>
        <v/>
      </c>
      <c r="AI32" s="20" t="str" cm="1">
        <f t="array" aca="1" ref="AI32" ca="1">IF(AH32="","",IF(AH32&lt;&gt;AH31,1,IF(AI31=misLíneas-2,0,AI31+1)))</f>
        <v/>
      </c>
      <c r="AJ32" s="20" t="str" cm="1">
        <f t="array" aca="1" ref="AJ32" ca="1">IF(OR(AI32=0,AI32=""),"",INDEX(misCriticidades,AH32)&amp;"-"&amp;IFERROR(MATCH(AI32,miOrdenTarjeta,0),0))</f>
        <v/>
      </c>
      <c r="AK32" s="19" t="str">
        <f ca="1"/>
        <v/>
      </c>
      <c r="AL32" s="20">
        <f t="shared" ca="1" si="17"/>
        <v>1</v>
      </c>
      <c r="AM32" s="20" t="str">
        <f t="shared" ca="1" si="7"/>
        <v/>
      </c>
      <c r="AN32" s="20" t="str" cm="1">
        <f t="array" aca="1" ref="AN32" ca="1">IF(AM32="","",IF(AM32&lt;&gt;AM31,1,IF(AN31=misLíneas-2,0,AN31+1)))</f>
        <v/>
      </c>
      <c r="AO32" s="20" t="str" cm="1">
        <f t="array" aca="1" ref="AO32" ca="1">IF(OR(AN32=0,AN32=""),"",INDEX(misCriticidades,AM32)&amp;"-"&amp;IFERROR(MATCH(AN32,miOrdenTarjeta,0),0))</f>
        <v/>
      </c>
      <c r="AP32" s="19" t="str">
        <f ca="1"/>
        <v/>
      </c>
      <c r="AQ32" s="20">
        <f t="shared" ca="1" si="18"/>
        <v>1</v>
      </c>
      <c r="AR32" s="20" t="str">
        <f t="shared" ca="1" si="8"/>
        <v/>
      </c>
      <c r="AS32" s="20" t="str" cm="1">
        <f t="array" aca="1" ref="AS32" ca="1">IF(AR32="","",IF(AR32&lt;&gt;AR31,1,IF(AS31=misLíneas-2,0,AS31+1)))</f>
        <v/>
      </c>
      <c r="AT32" s="20" t="str" cm="1">
        <f t="array" aca="1" ref="AT32" ca="1">IF(OR(AS32=0,AS32=""),"",INDEX(misCriticidades,AR32)&amp;"-"&amp;IFERROR(MATCH(AS32,miOrdenTarjeta,0),0))</f>
        <v/>
      </c>
      <c r="AU32" s="19" t="str">
        <f ca="1"/>
        <v/>
      </c>
      <c r="AV32" s="20">
        <f t="shared" ca="1" si="19"/>
        <v>1</v>
      </c>
      <c r="AW32" s="20" t="str">
        <f t="shared" ca="1" si="9"/>
        <v/>
      </c>
      <c r="AX32" s="20" t="str" cm="1">
        <f t="array" aca="1" ref="AX32" ca="1">IF(AW32="","",IF(AW32&lt;&gt;AW31,1,IF(AX31=misLíneas-2,0,AX31+1)))</f>
        <v/>
      </c>
      <c r="AY32" s="20" t="str" cm="1">
        <f t="array" aca="1" ref="AY32" ca="1">IF(OR(AX32=0,AX32=""),"",INDEX(misCriticidades,AW32)&amp;"-"&amp;IFERROR(MATCH(AX32,miOrdenTarjeta,0),0))</f>
        <v/>
      </c>
    </row>
    <row r="33" spans="2:51" x14ac:dyDescent="0.25">
      <c r="B33" s="19" t="str">
        <f ca="1"/>
        <v/>
      </c>
      <c r="C33" s="20">
        <f t="shared" ca="1" si="20"/>
        <v>1</v>
      </c>
      <c r="D33" s="20" t="str">
        <f t="shared" ca="1" si="0"/>
        <v/>
      </c>
      <c r="E33" s="20" t="str" cm="1">
        <f t="array" aca="1" ref="E33" ca="1">IF(D33="","",IF(D33&lt;&gt;D32,1,IF(E32=misLíneas-2,0,E32+1)))</f>
        <v/>
      </c>
      <c r="F33" s="20" t="str" cm="1">
        <f t="array" aca="1" ref="F33" ca="1">IF(OR(E33=0,E33=""),"",INDEX(misCriticidades,D33)&amp;"-"&amp;IFERROR(MATCH(E33,miOrdenTarjeta,0),0))</f>
        <v/>
      </c>
      <c r="G33" s="19">
        <f ca="1"/>
        <v>32</v>
      </c>
      <c r="H33" s="20">
        <f t="shared" ca="1" si="11"/>
        <v>4</v>
      </c>
      <c r="I33" s="20">
        <f t="shared" ca="1" si="1"/>
        <v>30</v>
      </c>
      <c r="J33" s="20" cm="1">
        <f t="array" aca="1" ref="J33" ca="1">IF(I33="","",IF(I33&lt;&gt;I32,1,IF(J32=misLíneas-2,0,J32+1)))</f>
        <v>1</v>
      </c>
      <c r="K33" s="20" t="str" cm="1">
        <f t="array" aca="1" ref="K33" ca="1">IF(OR(J33=0,J33=""),"",INDEX(misCriticidades,I33)&amp;"-"&amp;IFERROR(MATCH(J33,miOrdenTarjeta,0),0))</f>
        <v>2-1</v>
      </c>
      <c r="L33" s="19" t="str">
        <f ca="1"/>
        <v/>
      </c>
      <c r="M33" s="20">
        <f t="shared" ca="1" si="12"/>
        <v>1</v>
      </c>
      <c r="N33" s="20" t="str">
        <f t="shared" ca="1" si="2"/>
        <v/>
      </c>
      <c r="O33" s="20" t="str" cm="1">
        <f t="array" aca="1" ref="O33" ca="1">IF(N33="","",IF(N33&lt;&gt;N32,1,IF(O32=misLíneas-2,0,O32+1)))</f>
        <v/>
      </c>
      <c r="P33" s="20" t="str" cm="1">
        <f t="array" aca="1" ref="P33" ca="1">IF(OR(O33=0,O33=""),"",INDEX(misCriticidades,N33)&amp;"-"&amp;IFERROR(MATCH(O33,miOrdenTarjeta,0),0))</f>
        <v/>
      </c>
      <c r="Q33" s="19" t="str">
        <f ca="1"/>
        <v/>
      </c>
      <c r="R33" s="20">
        <f t="shared" ca="1" si="13"/>
        <v>4</v>
      </c>
      <c r="S33" s="20">
        <f t="shared" ca="1" si="3"/>
        <v>26</v>
      </c>
      <c r="T33" s="20" cm="1">
        <f t="array" aca="1" ref="T33" ca="1">IF(S33="","",IF(S33&lt;&gt;S32,1,IF(T32=misLíneas-2,0,T32+1)))</f>
        <v>1</v>
      </c>
      <c r="U33" s="20" t="str" cm="1">
        <f t="array" aca="1" ref="U33" ca="1">IF(OR(T33=0,T33=""),"",INDEX(misCriticidades,S33)&amp;"-"&amp;IFERROR(MATCH(T33,miOrdenTarjeta,0),0))</f>
        <v>2-1</v>
      </c>
      <c r="V33" s="19" t="str">
        <f ca="1"/>
        <v/>
      </c>
      <c r="W33" s="20">
        <f t="shared" ca="1" si="14"/>
        <v>1</v>
      </c>
      <c r="X33" s="20" t="str">
        <f t="shared" ca="1" si="4"/>
        <v/>
      </c>
      <c r="Y33" s="20" t="str" cm="1">
        <f t="array" aca="1" ref="Y33" ca="1">IF(X33="","",IF(X33&lt;&gt;X32,1,IF(Y32=misLíneas-2,0,Y32+1)))</f>
        <v/>
      </c>
      <c r="Z33" s="20" t="str" cm="1">
        <f t="array" aca="1" ref="Z33" ca="1">IF(OR(Y33=0,Y33=""),"",INDEX(misCriticidades,X33)&amp;"-"&amp;IFERROR(MATCH(Y33,miOrdenTarjeta,0),0))</f>
        <v/>
      </c>
      <c r="AA33" s="19" t="str">
        <f ca="1"/>
        <v/>
      </c>
      <c r="AB33" s="20">
        <f t="shared" ca="1" si="15"/>
        <v>1</v>
      </c>
      <c r="AC33" s="20" t="str">
        <f t="shared" ca="1" si="5"/>
        <v/>
      </c>
      <c r="AD33" s="20" t="str" cm="1">
        <f t="array" aca="1" ref="AD33" ca="1">IF(AC33="","",IF(AC33&lt;&gt;AC32,1,IF(AD32=misLíneas-2,0,AD32+1)))</f>
        <v/>
      </c>
      <c r="AE33" s="20" t="str" cm="1">
        <f t="array" aca="1" ref="AE33" ca="1">IF(OR(AD33=0,AD33=""),"",INDEX(misCriticidades,AC33)&amp;"-"&amp;IFERROR(MATCH(AD33,miOrdenTarjeta,0),0))</f>
        <v/>
      </c>
      <c r="AF33" s="19" t="str">
        <f ca="1"/>
        <v/>
      </c>
      <c r="AG33" s="20">
        <f t="shared" ca="1" si="16"/>
        <v>1</v>
      </c>
      <c r="AH33" s="20" t="str">
        <f t="shared" ca="1" si="6"/>
        <v/>
      </c>
      <c r="AI33" s="20" t="str" cm="1">
        <f t="array" aca="1" ref="AI33" ca="1">IF(AH33="","",IF(AH33&lt;&gt;AH32,1,IF(AI32=misLíneas-2,0,AI32+1)))</f>
        <v/>
      </c>
      <c r="AJ33" s="20" t="str" cm="1">
        <f t="array" aca="1" ref="AJ33" ca="1">IF(OR(AI33=0,AI33=""),"",INDEX(misCriticidades,AH33)&amp;"-"&amp;IFERROR(MATCH(AI33,miOrdenTarjeta,0),0))</f>
        <v/>
      </c>
      <c r="AK33" s="19" t="str">
        <f ca="1"/>
        <v/>
      </c>
      <c r="AL33" s="20">
        <f t="shared" ca="1" si="17"/>
        <v>1</v>
      </c>
      <c r="AM33" s="20" t="str">
        <f t="shared" ca="1" si="7"/>
        <v/>
      </c>
      <c r="AN33" s="20" t="str" cm="1">
        <f t="array" aca="1" ref="AN33" ca="1">IF(AM33="","",IF(AM33&lt;&gt;AM32,1,IF(AN32=misLíneas-2,0,AN32+1)))</f>
        <v/>
      </c>
      <c r="AO33" s="20" t="str" cm="1">
        <f t="array" aca="1" ref="AO33" ca="1">IF(OR(AN33=0,AN33=""),"",INDEX(misCriticidades,AM33)&amp;"-"&amp;IFERROR(MATCH(AN33,miOrdenTarjeta,0),0))</f>
        <v/>
      </c>
      <c r="AP33" s="19" t="str">
        <f ca="1"/>
        <v/>
      </c>
      <c r="AQ33" s="20">
        <f t="shared" ca="1" si="18"/>
        <v>1</v>
      </c>
      <c r="AR33" s="20" t="str">
        <f t="shared" ca="1" si="8"/>
        <v/>
      </c>
      <c r="AS33" s="20" t="str" cm="1">
        <f t="array" aca="1" ref="AS33" ca="1">IF(AR33="","",IF(AR33&lt;&gt;AR32,1,IF(AS32=misLíneas-2,0,AS32+1)))</f>
        <v/>
      </c>
      <c r="AT33" s="20" t="str" cm="1">
        <f t="array" aca="1" ref="AT33" ca="1">IF(OR(AS33=0,AS33=""),"",INDEX(misCriticidades,AR33)&amp;"-"&amp;IFERROR(MATCH(AS33,miOrdenTarjeta,0),0))</f>
        <v/>
      </c>
      <c r="AU33" s="19" t="str">
        <f ca="1"/>
        <v/>
      </c>
      <c r="AV33" s="20">
        <f t="shared" ca="1" si="19"/>
        <v>1</v>
      </c>
      <c r="AW33" s="20" t="str">
        <f t="shared" ca="1" si="9"/>
        <v/>
      </c>
      <c r="AX33" s="20" t="str" cm="1">
        <f t="array" aca="1" ref="AX33" ca="1">IF(AW33="","",IF(AW33&lt;&gt;AW32,1,IF(AX32=misLíneas-2,0,AX32+1)))</f>
        <v/>
      </c>
      <c r="AY33" s="20" t="str" cm="1">
        <f t="array" aca="1" ref="AY33" ca="1">IF(OR(AX33=0,AX33=""),"",INDEX(misCriticidades,AW33)&amp;"-"&amp;IFERROR(MATCH(AX33,miOrdenTarjeta,0),0))</f>
        <v/>
      </c>
    </row>
    <row r="34" spans="2:51" x14ac:dyDescent="0.25">
      <c r="B34" s="19" t="str">
        <f ca="1"/>
        <v/>
      </c>
      <c r="C34" s="20">
        <f t="shared" ca="1" si="20"/>
        <v>1</v>
      </c>
      <c r="D34" s="20" t="str">
        <f t="shared" ca="1" si="0"/>
        <v/>
      </c>
      <c r="E34" s="20" t="str" cm="1">
        <f t="array" aca="1" ref="E34" ca="1">IF(D34="","",IF(D34&lt;&gt;D33,1,IF(E33=misLíneas-2,0,E33+1)))</f>
        <v/>
      </c>
      <c r="F34" s="20" t="str" cm="1">
        <f t="array" aca="1" ref="F34" ca="1">IF(OR(E34=0,E34=""),"",INDEX(misCriticidades,D34)&amp;"-"&amp;IFERROR(MATCH(E34,miOrdenTarjeta,0),0))</f>
        <v/>
      </c>
      <c r="G34" s="19">
        <f ca="1"/>
        <v>33</v>
      </c>
      <c r="H34" s="20">
        <f t="shared" ca="1" si="11"/>
        <v>4</v>
      </c>
      <c r="I34" s="20">
        <f t="shared" ca="1" si="1"/>
        <v>30</v>
      </c>
      <c r="J34" s="20" cm="1">
        <f t="array" aca="1" ref="J34" ca="1">IF(I34="","",IF(I34&lt;&gt;I33,1,IF(J33=misLíneas-2,0,J33+1)))</f>
        <v>2</v>
      </c>
      <c r="K34" s="20" t="str" cm="1">
        <f t="array" aca="1" ref="K34" ca="1">IF(OR(J34=0,J34=""),"",INDEX(misCriticidades,I34)&amp;"-"&amp;IFERROR(MATCH(J34,miOrdenTarjeta,0),0))</f>
        <v>2-2</v>
      </c>
      <c r="L34" s="19" t="str">
        <f ca="1"/>
        <v/>
      </c>
      <c r="M34" s="20">
        <f t="shared" ca="1" si="12"/>
        <v>1</v>
      </c>
      <c r="N34" s="20" t="str">
        <f t="shared" ca="1" si="2"/>
        <v/>
      </c>
      <c r="O34" s="20" t="str" cm="1">
        <f t="array" aca="1" ref="O34" ca="1">IF(N34="","",IF(N34&lt;&gt;N33,1,IF(O33=misLíneas-2,0,O33+1)))</f>
        <v/>
      </c>
      <c r="P34" s="20" t="str" cm="1">
        <f t="array" aca="1" ref="P34" ca="1">IF(OR(O34=0,O34=""),"",INDEX(misCriticidades,N34)&amp;"-"&amp;IFERROR(MATCH(O34,miOrdenTarjeta,0),0))</f>
        <v/>
      </c>
      <c r="Q34" s="19" t="str">
        <f ca="1"/>
        <v/>
      </c>
      <c r="R34" s="20">
        <f t="shared" ca="1" si="13"/>
        <v>4</v>
      </c>
      <c r="S34" s="20">
        <f t="shared" ca="1" si="3"/>
        <v>26</v>
      </c>
      <c r="T34" s="20" cm="1">
        <f t="array" aca="1" ref="T34" ca="1">IF(S34="","",IF(S34&lt;&gt;S33,1,IF(T33=misLíneas-2,0,T33+1)))</f>
        <v>2</v>
      </c>
      <c r="U34" s="20" t="str" cm="1">
        <f t="array" aca="1" ref="U34" ca="1">IF(OR(T34=0,T34=""),"",INDEX(misCriticidades,S34)&amp;"-"&amp;IFERROR(MATCH(T34,miOrdenTarjeta,0),0))</f>
        <v>2-2</v>
      </c>
      <c r="V34" s="19" t="str">
        <f ca="1"/>
        <v/>
      </c>
      <c r="W34" s="20">
        <f t="shared" ca="1" si="14"/>
        <v>1</v>
      </c>
      <c r="X34" s="20" t="str">
        <f t="shared" ca="1" si="4"/>
        <v/>
      </c>
      <c r="Y34" s="20" t="str" cm="1">
        <f t="array" aca="1" ref="Y34" ca="1">IF(X34="","",IF(X34&lt;&gt;X33,1,IF(Y33=misLíneas-2,0,Y33+1)))</f>
        <v/>
      </c>
      <c r="Z34" s="20" t="str" cm="1">
        <f t="array" aca="1" ref="Z34" ca="1">IF(OR(Y34=0,Y34=""),"",INDEX(misCriticidades,X34)&amp;"-"&amp;IFERROR(MATCH(Y34,miOrdenTarjeta,0),0))</f>
        <v/>
      </c>
      <c r="AA34" s="19" t="str">
        <f ca="1"/>
        <v/>
      </c>
      <c r="AB34" s="20">
        <f t="shared" ca="1" si="15"/>
        <v>1</v>
      </c>
      <c r="AC34" s="20" t="str">
        <f t="shared" ca="1" si="5"/>
        <v/>
      </c>
      <c r="AD34" s="20" t="str" cm="1">
        <f t="array" aca="1" ref="AD34" ca="1">IF(AC34="","",IF(AC34&lt;&gt;AC33,1,IF(AD33=misLíneas-2,0,AD33+1)))</f>
        <v/>
      </c>
      <c r="AE34" s="20" t="str" cm="1">
        <f t="array" aca="1" ref="AE34" ca="1">IF(OR(AD34=0,AD34=""),"",INDEX(misCriticidades,AC34)&amp;"-"&amp;IFERROR(MATCH(AD34,miOrdenTarjeta,0),0))</f>
        <v/>
      </c>
      <c r="AF34" s="19" t="str">
        <f ca="1"/>
        <v/>
      </c>
      <c r="AG34" s="20">
        <f t="shared" ca="1" si="16"/>
        <v>1</v>
      </c>
      <c r="AH34" s="20" t="str">
        <f t="shared" ca="1" si="6"/>
        <v/>
      </c>
      <c r="AI34" s="20" t="str" cm="1">
        <f t="array" aca="1" ref="AI34" ca="1">IF(AH34="","",IF(AH34&lt;&gt;AH33,1,IF(AI33=misLíneas-2,0,AI33+1)))</f>
        <v/>
      </c>
      <c r="AJ34" s="20" t="str" cm="1">
        <f t="array" aca="1" ref="AJ34" ca="1">IF(OR(AI34=0,AI34=""),"",INDEX(misCriticidades,AH34)&amp;"-"&amp;IFERROR(MATCH(AI34,miOrdenTarjeta,0),0))</f>
        <v/>
      </c>
      <c r="AK34" s="19" t="str">
        <f ca="1"/>
        <v/>
      </c>
      <c r="AL34" s="20">
        <f t="shared" ca="1" si="17"/>
        <v>1</v>
      </c>
      <c r="AM34" s="20" t="str">
        <f t="shared" ca="1" si="7"/>
        <v/>
      </c>
      <c r="AN34" s="20" t="str" cm="1">
        <f t="array" aca="1" ref="AN34" ca="1">IF(AM34="","",IF(AM34&lt;&gt;AM33,1,IF(AN33=misLíneas-2,0,AN33+1)))</f>
        <v/>
      </c>
      <c r="AO34" s="20" t="str" cm="1">
        <f t="array" aca="1" ref="AO34" ca="1">IF(OR(AN34=0,AN34=""),"",INDEX(misCriticidades,AM34)&amp;"-"&amp;IFERROR(MATCH(AN34,miOrdenTarjeta,0),0))</f>
        <v/>
      </c>
      <c r="AP34" s="19" t="str">
        <f ca="1"/>
        <v/>
      </c>
      <c r="AQ34" s="20">
        <f t="shared" ca="1" si="18"/>
        <v>1</v>
      </c>
      <c r="AR34" s="20" t="str">
        <f t="shared" ca="1" si="8"/>
        <v/>
      </c>
      <c r="AS34" s="20" t="str" cm="1">
        <f t="array" aca="1" ref="AS34" ca="1">IF(AR34="","",IF(AR34&lt;&gt;AR33,1,IF(AS33=misLíneas-2,0,AS33+1)))</f>
        <v/>
      </c>
      <c r="AT34" s="20" t="str" cm="1">
        <f t="array" aca="1" ref="AT34" ca="1">IF(OR(AS34=0,AS34=""),"",INDEX(misCriticidades,AR34)&amp;"-"&amp;IFERROR(MATCH(AS34,miOrdenTarjeta,0),0))</f>
        <v/>
      </c>
      <c r="AU34" s="19" t="str">
        <f ca="1"/>
        <v/>
      </c>
      <c r="AV34" s="20">
        <f t="shared" ca="1" si="19"/>
        <v>1</v>
      </c>
      <c r="AW34" s="20" t="str">
        <f t="shared" ca="1" si="9"/>
        <v/>
      </c>
      <c r="AX34" s="20" t="str" cm="1">
        <f t="array" aca="1" ref="AX34" ca="1">IF(AW34="","",IF(AW34&lt;&gt;AW33,1,IF(AX33=misLíneas-2,0,AX33+1)))</f>
        <v/>
      </c>
      <c r="AY34" s="20" t="str" cm="1">
        <f t="array" aca="1" ref="AY34" ca="1">IF(OR(AX34=0,AX34=""),"",INDEX(misCriticidades,AW34)&amp;"-"&amp;IFERROR(MATCH(AX34,miOrdenTarjeta,0),0))</f>
        <v/>
      </c>
    </row>
    <row r="35" spans="2:51" x14ac:dyDescent="0.25">
      <c r="B35" s="19" t="str">
        <f ca="1"/>
        <v/>
      </c>
      <c r="C35" s="20">
        <f t="shared" ca="1" si="20"/>
        <v>1</v>
      </c>
      <c r="D35" s="20" t="str">
        <f t="shared" ref="D35:D66" ca="1" si="21">IF(C35&gt;C34,IFERROR(IF(F$1="v",SMALL(B$2:B$101,C35),LARGE(B$2:B$101,C35)),""),D34)</f>
        <v/>
      </c>
      <c r="E35" s="20" t="str" cm="1">
        <f t="array" aca="1" ref="E35" ca="1">IF(D35="","",IF(D35&lt;&gt;D34,1,IF(E34=misLíneas-2,0,E34+1)))</f>
        <v/>
      </c>
      <c r="F35" s="20" t="str" cm="1">
        <f t="array" aca="1" ref="F35" ca="1">IF(OR(E35=0,E35=""),"",INDEX(misCriticidades,D35)&amp;"-"&amp;IFERROR(MATCH(E35,miOrdenTarjeta,0),0))</f>
        <v/>
      </c>
      <c r="G35" s="19" t="str">
        <f ca="1"/>
        <v/>
      </c>
      <c r="H35" s="20">
        <f t="shared" ca="1" si="11"/>
        <v>4</v>
      </c>
      <c r="I35" s="20">
        <f t="shared" ref="I35:I66" ca="1" si="22">IF(H35&gt;H34,IFERROR(IF(K$1="v",SMALL(G$2:G$101,H35),LARGE(G$2:G$101,H35)),""),I34)</f>
        <v>30</v>
      </c>
      <c r="J35" s="20" cm="1">
        <f t="array" aca="1" ref="J35" ca="1">IF(I35="","",IF(I35&lt;&gt;I34,1,IF(J34=misLíneas-2,0,J34+1)))</f>
        <v>3</v>
      </c>
      <c r="K35" s="20" t="str" cm="1">
        <f t="array" aca="1" ref="K35" ca="1">IF(OR(J35=0,J35=""),"",INDEX(misCriticidades,I35)&amp;"-"&amp;IFERROR(MATCH(J35,miOrdenTarjeta,0),0))</f>
        <v>2-3</v>
      </c>
      <c r="L35" s="19" t="str">
        <f ca="1"/>
        <v/>
      </c>
      <c r="M35" s="20">
        <f t="shared" ca="1" si="12"/>
        <v>1</v>
      </c>
      <c r="N35" s="20" t="str">
        <f t="shared" ref="N35:N66" ca="1" si="23">IF(M35&gt;M34,IFERROR(IF(P$1="v",SMALL(L$2:L$101,M35),LARGE(L$2:L$101,M35)),""),N34)</f>
        <v/>
      </c>
      <c r="O35" s="20" t="str" cm="1">
        <f t="array" aca="1" ref="O35" ca="1">IF(N35="","",IF(N35&lt;&gt;N34,1,IF(O34=misLíneas-2,0,O34+1)))</f>
        <v/>
      </c>
      <c r="P35" s="20" t="str" cm="1">
        <f t="array" aca="1" ref="P35" ca="1">IF(OR(O35=0,O35=""),"",INDEX(misCriticidades,N35)&amp;"-"&amp;IFERROR(MATCH(O35,miOrdenTarjeta,0),0))</f>
        <v/>
      </c>
      <c r="Q35" s="19" t="str">
        <f ca="1"/>
        <v/>
      </c>
      <c r="R35" s="20">
        <f t="shared" ca="1" si="13"/>
        <v>4</v>
      </c>
      <c r="S35" s="20">
        <f t="shared" ref="S35:S66" ca="1" si="24">IF(R35&gt;R34,IFERROR(IF(U$1="v",SMALL(Q$2:Q$101,R35),LARGE(Q$2:Q$101,R35)),""),S34)</f>
        <v>26</v>
      </c>
      <c r="T35" s="20" cm="1">
        <f t="array" aca="1" ref="T35" ca="1">IF(S35="","",IF(S35&lt;&gt;S34,1,IF(T34=misLíneas-2,0,T34+1)))</f>
        <v>3</v>
      </c>
      <c r="U35" s="20" t="str" cm="1">
        <f t="array" aca="1" ref="U35" ca="1">IF(OR(T35=0,T35=""),"",INDEX(misCriticidades,S35)&amp;"-"&amp;IFERROR(MATCH(T35,miOrdenTarjeta,0),0))</f>
        <v>2-3</v>
      </c>
      <c r="V35" s="19" t="str">
        <f ca="1"/>
        <v/>
      </c>
      <c r="W35" s="20">
        <f t="shared" ca="1" si="14"/>
        <v>1</v>
      </c>
      <c r="X35" s="20" t="str">
        <f t="shared" ref="X35:X66" ca="1" si="25">IF(W35&gt;W34,IFERROR(IF(Z$1="v",SMALL(V$2:V$101,W35),LARGE(V$2:V$101,W35)),""),X34)</f>
        <v/>
      </c>
      <c r="Y35" s="20" t="str" cm="1">
        <f t="array" aca="1" ref="Y35" ca="1">IF(X35="","",IF(X35&lt;&gt;X34,1,IF(Y34=misLíneas-2,0,Y34+1)))</f>
        <v/>
      </c>
      <c r="Z35" s="20" t="str" cm="1">
        <f t="array" aca="1" ref="Z35" ca="1">IF(OR(Y35=0,Y35=""),"",INDEX(misCriticidades,X35)&amp;"-"&amp;IFERROR(MATCH(Y35,miOrdenTarjeta,0),0))</f>
        <v/>
      </c>
      <c r="AA35" s="19" t="str">
        <f ca="1"/>
        <v/>
      </c>
      <c r="AB35" s="20">
        <f t="shared" ca="1" si="15"/>
        <v>1</v>
      </c>
      <c r="AC35" s="20" t="str">
        <f t="shared" ca="1" si="5"/>
        <v/>
      </c>
      <c r="AD35" s="20" t="str" cm="1">
        <f t="array" aca="1" ref="AD35" ca="1">IF(AC35="","",IF(AC35&lt;&gt;AC34,1,IF(AD34=misLíneas-2,0,AD34+1)))</f>
        <v/>
      </c>
      <c r="AE35" s="20" t="str" cm="1">
        <f t="array" aca="1" ref="AE35" ca="1">IF(OR(AD35=0,AD35=""),"",INDEX(misCriticidades,AC35)&amp;"-"&amp;IFERROR(MATCH(AD35,miOrdenTarjeta,0),0))</f>
        <v/>
      </c>
      <c r="AF35" s="19" t="str">
        <f ca="1"/>
        <v/>
      </c>
      <c r="AG35" s="20">
        <f t="shared" ca="1" si="16"/>
        <v>1</v>
      </c>
      <c r="AH35" s="20" t="str">
        <f t="shared" ca="1" si="6"/>
        <v/>
      </c>
      <c r="AI35" s="20" t="str" cm="1">
        <f t="array" aca="1" ref="AI35" ca="1">IF(AH35="","",IF(AH35&lt;&gt;AH34,1,IF(AI34=misLíneas-2,0,AI34+1)))</f>
        <v/>
      </c>
      <c r="AJ35" s="20" t="str" cm="1">
        <f t="array" aca="1" ref="AJ35" ca="1">IF(OR(AI35=0,AI35=""),"",INDEX(misCriticidades,AH35)&amp;"-"&amp;IFERROR(MATCH(AI35,miOrdenTarjeta,0),0))</f>
        <v/>
      </c>
      <c r="AK35" s="19" t="str">
        <f ca="1"/>
        <v/>
      </c>
      <c r="AL35" s="20">
        <f t="shared" ca="1" si="17"/>
        <v>1</v>
      </c>
      <c r="AM35" s="20" t="str">
        <f t="shared" ca="1" si="7"/>
        <v/>
      </c>
      <c r="AN35" s="20" t="str" cm="1">
        <f t="array" aca="1" ref="AN35" ca="1">IF(AM35="","",IF(AM35&lt;&gt;AM34,1,IF(AN34=misLíneas-2,0,AN34+1)))</f>
        <v/>
      </c>
      <c r="AO35" s="20" t="str" cm="1">
        <f t="array" aca="1" ref="AO35" ca="1">IF(OR(AN35=0,AN35=""),"",INDEX(misCriticidades,AM35)&amp;"-"&amp;IFERROR(MATCH(AN35,miOrdenTarjeta,0),0))</f>
        <v/>
      </c>
      <c r="AP35" s="19" t="str">
        <f ca="1"/>
        <v/>
      </c>
      <c r="AQ35" s="20">
        <f t="shared" ca="1" si="18"/>
        <v>1</v>
      </c>
      <c r="AR35" s="20" t="str">
        <f t="shared" ca="1" si="8"/>
        <v/>
      </c>
      <c r="AS35" s="20" t="str" cm="1">
        <f t="array" aca="1" ref="AS35" ca="1">IF(AR35="","",IF(AR35&lt;&gt;AR34,1,IF(AS34=misLíneas-2,0,AS34+1)))</f>
        <v/>
      </c>
      <c r="AT35" s="20" t="str" cm="1">
        <f t="array" aca="1" ref="AT35" ca="1">IF(OR(AS35=0,AS35=""),"",INDEX(misCriticidades,AR35)&amp;"-"&amp;IFERROR(MATCH(AS35,miOrdenTarjeta,0),0))</f>
        <v/>
      </c>
      <c r="AU35" s="19" t="str">
        <f ca="1"/>
        <v/>
      </c>
      <c r="AV35" s="20">
        <f t="shared" ca="1" si="19"/>
        <v>1</v>
      </c>
      <c r="AW35" s="20" t="str">
        <f t="shared" ca="1" si="9"/>
        <v/>
      </c>
      <c r="AX35" s="20" t="str" cm="1">
        <f t="array" aca="1" ref="AX35" ca="1">IF(AW35="","",IF(AW35&lt;&gt;AW34,1,IF(AX34=misLíneas-2,0,AX34+1)))</f>
        <v/>
      </c>
      <c r="AY35" s="20" t="str" cm="1">
        <f t="array" aca="1" ref="AY35" ca="1">IF(OR(AX35=0,AX35=""),"",INDEX(misCriticidades,AW35)&amp;"-"&amp;IFERROR(MATCH(AX35,miOrdenTarjeta,0),0))</f>
        <v/>
      </c>
    </row>
    <row r="36" spans="2:51" x14ac:dyDescent="0.25">
      <c r="B36" s="19" t="str">
        <f ca="1"/>
        <v/>
      </c>
      <c r="C36" s="20">
        <f t="shared" ca="1" si="20"/>
        <v>1</v>
      </c>
      <c r="D36" s="20" t="str">
        <f t="shared" ca="1" si="21"/>
        <v/>
      </c>
      <c r="E36" s="20" t="str" cm="1">
        <f t="array" aca="1" ref="E36" ca="1">IF(D36="","",IF(D36&lt;&gt;D35,1,IF(E35=misLíneas-2,0,E35+1)))</f>
        <v/>
      </c>
      <c r="F36" s="20" t="str" cm="1">
        <f t="array" aca="1" ref="F36" ca="1">IF(OR(E36=0,E36=""),"",INDEX(misCriticidades,D36)&amp;"-"&amp;IFERROR(MATCH(E36,miOrdenTarjeta,0),0))</f>
        <v/>
      </c>
      <c r="G36" s="19" t="str">
        <f ca="1"/>
        <v/>
      </c>
      <c r="H36" s="20">
        <f t="shared" ca="1" si="11"/>
        <v>4</v>
      </c>
      <c r="I36" s="20">
        <f t="shared" ca="1" si="22"/>
        <v>30</v>
      </c>
      <c r="J36" s="20" cm="1">
        <f t="array" aca="1" ref="J36" ca="1">IF(I36="","",IF(I36&lt;&gt;I35,1,IF(J35=misLíneas-2,0,J35+1)))</f>
        <v>4</v>
      </c>
      <c r="K36" s="20" t="str" cm="1">
        <f t="array" aca="1" ref="K36" ca="1">IF(OR(J36=0,J36=""),"",INDEX(misCriticidades,I36)&amp;"-"&amp;IFERROR(MATCH(J36,miOrdenTarjeta,0),0))</f>
        <v>2-4</v>
      </c>
      <c r="L36" s="19" t="str">
        <f ca="1"/>
        <v/>
      </c>
      <c r="M36" s="20">
        <f t="shared" ca="1" si="12"/>
        <v>1</v>
      </c>
      <c r="N36" s="20" t="str">
        <f t="shared" ca="1" si="23"/>
        <v/>
      </c>
      <c r="O36" s="20" t="str" cm="1">
        <f t="array" aca="1" ref="O36" ca="1">IF(N36="","",IF(N36&lt;&gt;N35,1,IF(O35=misLíneas-2,0,O35+1)))</f>
        <v/>
      </c>
      <c r="P36" s="20" t="str" cm="1">
        <f t="array" aca="1" ref="P36" ca="1">IF(OR(O36=0,O36=""),"",INDEX(misCriticidades,N36)&amp;"-"&amp;IFERROR(MATCH(O36,miOrdenTarjeta,0),0))</f>
        <v/>
      </c>
      <c r="Q36" s="19" t="str">
        <f ca="1"/>
        <v/>
      </c>
      <c r="R36" s="20">
        <f t="shared" ca="1" si="13"/>
        <v>4</v>
      </c>
      <c r="S36" s="20">
        <f t="shared" ca="1" si="24"/>
        <v>26</v>
      </c>
      <c r="T36" s="20" cm="1">
        <f t="array" aca="1" ref="T36" ca="1">IF(S36="","",IF(S36&lt;&gt;S35,1,IF(T35=misLíneas-2,0,T35+1)))</f>
        <v>4</v>
      </c>
      <c r="U36" s="20" t="str" cm="1">
        <f t="array" aca="1" ref="U36" ca="1">IF(OR(T36=0,T36=""),"",INDEX(misCriticidades,S36)&amp;"-"&amp;IFERROR(MATCH(T36,miOrdenTarjeta,0),0))</f>
        <v>2-4</v>
      </c>
      <c r="V36" s="19" t="str">
        <f ca="1"/>
        <v/>
      </c>
      <c r="W36" s="20">
        <f t="shared" ca="1" si="14"/>
        <v>1</v>
      </c>
      <c r="X36" s="20" t="str">
        <f t="shared" ca="1" si="25"/>
        <v/>
      </c>
      <c r="Y36" s="20" t="str" cm="1">
        <f t="array" aca="1" ref="Y36" ca="1">IF(X36="","",IF(X36&lt;&gt;X35,1,IF(Y35=misLíneas-2,0,Y35+1)))</f>
        <v/>
      </c>
      <c r="Z36" s="20" t="str" cm="1">
        <f t="array" aca="1" ref="Z36" ca="1">IF(OR(Y36=0,Y36=""),"",INDEX(misCriticidades,X36)&amp;"-"&amp;IFERROR(MATCH(Y36,miOrdenTarjeta,0),0))</f>
        <v/>
      </c>
      <c r="AA36" s="19" t="str">
        <f ca="1"/>
        <v/>
      </c>
      <c r="AB36" s="20">
        <f t="shared" ca="1" si="15"/>
        <v>1</v>
      </c>
      <c r="AC36" s="20" t="str">
        <f t="shared" ca="1" si="5"/>
        <v/>
      </c>
      <c r="AD36" s="20" t="str" cm="1">
        <f t="array" aca="1" ref="AD36" ca="1">IF(AC36="","",IF(AC36&lt;&gt;AC35,1,IF(AD35=misLíneas-2,0,AD35+1)))</f>
        <v/>
      </c>
      <c r="AE36" s="20" t="str" cm="1">
        <f t="array" aca="1" ref="AE36" ca="1">IF(OR(AD36=0,AD36=""),"",INDEX(misCriticidades,AC36)&amp;"-"&amp;IFERROR(MATCH(AD36,miOrdenTarjeta,0),0))</f>
        <v/>
      </c>
      <c r="AF36" s="19" t="str">
        <f ca="1"/>
        <v/>
      </c>
      <c r="AG36" s="20">
        <f t="shared" ca="1" si="16"/>
        <v>1</v>
      </c>
      <c r="AH36" s="20" t="str">
        <f t="shared" ca="1" si="6"/>
        <v/>
      </c>
      <c r="AI36" s="20" t="str" cm="1">
        <f t="array" aca="1" ref="AI36" ca="1">IF(AH36="","",IF(AH36&lt;&gt;AH35,1,IF(AI35=misLíneas-2,0,AI35+1)))</f>
        <v/>
      </c>
      <c r="AJ36" s="20" t="str" cm="1">
        <f t="array" aca="1" ref="AJ36" ca="1">IF(OR(AI36=0,AI36=""),"",INDEX(misCriticidades,AH36)&amp;"-"&amp;IFERROR(MATCH(AI36,miOrdenTarjeta,0),0))</f>
        <v/>
      </c>
      <c r="AK36" s="19" t="str">
        <f ca="1"/>
        <v/>
      </c>
      <c r="AL36" s="20">
        <f t="shared" ca="1" si="17"/>
        <v>1</v>
      </c>
      <c r="AM36" s="20" t="str">
        <f t="shared" ca="1" si="7"/>
        <v/>
      </c>
      <c r="AN36" s="20" t="str" cm="1">
        <f t="array" aca="1" ref="AN36" ca="1">IF(AM36="","",IF(AM36&lt;&gt;AM35,1,IF(AN35=misLíneas-2,0,AN35+1)))</f>
        <v/>
      </c>
      <c r="AO36" s="20" t="str" cm="1">
        <f t="array" aca="1" ref="AO36" ca="1">IF(OR(AN36=0,AN36=""),"",INDEX(misCriticidades,AM36)&amp;"-"&amp;IFERROR(MATCH(AN36,miOrdenTarjeta,0),0))</f>
        <v/>
      </c>
      <c r="AP36" s="19" t="str">
        <f ca="1"/>
        <v/>
      </c>
      <c r="AQ36" s="20">
        <f t="shared" ca="1" si="18"/>
        <v>1</v>
      </c>
      <c r="AR36" s="20" t="str">
        <f t="shared" ca="1" si="8"/>
        <v/>
      </c>
      <c r="AS36" s="20" t="str" cm="1">
        <f t="array" aca="1" ref="AS36" ca="1">IF(AR36="","",IF(AR36&lt;&gt;AR35,1,IF(AS35=misLíneas-2,0,AS35+1)))</f>
        <v/>
      </c>
      <c r="AT36" s="20" t="str" cm="1">
        <f t="array" aca="1" ref="AT36" ca="1">IF(OR(AS36=0,AS36=""),"",INDEX(misCriticidades,AR36)&amp;"-"&amp;IFERROR(MATCH(AS36,miOrdenTarjeta,0),0))</f>
        <v/>
      </c>
      <c r="AU36" s="19" t="str">
        <f ca="1"/>
        <v/>
      </c>
      <c r="AV36" s="20">
        <f t="shared" ca="1" si="19"/>
        <v>1</v>
      </c>
      <c r="AW36" s="20" t="str">
        <f t="shared" ca="1" si="9"/>
        <v/>
      </c>
      <c r="AX36" s="20" t="str" cm="1">
        <f t="array" aca="1" ref="AX36" ca="1">IF(AW36="","",IF(AW36&lt;&gt;AW35,1,IF(AX35=misLíneas-2,0,AX35+1)))</f>
        <v/>
      </c>
      <c r="AY36" s="20" t="str" cm="1">
        <f t="array" aca="1" ref="AY36" ca="1">IF(OR(AX36=0,AX36=""),"",INDEX(misCriticidades,AW36)&amp;"-"&amp;IFERROR(MATCH(AX36,miOrdenTarjeta,0),0))</f>
        <v/>
      </c>
    </row>
    <row r="37" spans="2:51" x14ac:dyDescent="0.25">
      <c r="B37" s="19" t="str">
        <f ca="1"/>
        <v/>
      </c>
      <c r="C37" s="20">
        <f t="shared" ca="1" si="20"/>
        <v>1</v>
      </c>
      <c r="D37" s="20" t="str">
        <f t="shared" ca="1" si="21"/>
        <v/>
      </c>
      <c r="E37" s="20" t="str" cm="1">
        <f t="array" aca="1" ref="E37" ca="1">IF(D37="","",IF(D37&lt;&gt;D36,1,IF(E36=misLíneas-2,0,E36+1)))</f>
        <v/>
      </c>
      <c r="F37" s="20" t="str" cm="1">
        <f t="array" aca="1" ref="F37" ca="1">IF(OR(E37=0,E37=""),"",INDEX(misCriticidades,D37)&amp;"-"&amp;IFERROR(MATCH(E37,miOrdenTarjeta,0),0))</f>
        <v/>
      </c>
      <c r="G37" s="19" t="str">
        <f ca="1"/>
        <v/>
      </c>
      <c r="H37" s="20">
        <f t="shared" ca="1" si="11"/>
        <v>4</v>
      </c>
      <c r="I37" s="20">
        <f t="shared" ca="1" si="22"/>
        <v>30</v>
      </c>
      <c r="J37" s="20" cm="1">
        <f t="array" aca="1" ref="J37" ca="1">IF(I37="","",IF(I37&lt;&gt;I36,1,IF(J36=misLíneas-2,0,J36+1)))</f>
        <v>5</v>
      </c>
      <c r="K37" s="20" t="str" cm="1">
        <f t="array" aca="1" ref="K37" ca="1">IF(OR(J37=0,J37=""),"",INDEX(misCriticidades,I37)&amp;"-"&amp;IFERROR(MATCH(J37,miOrdenTarjeta,0),0))</f>
        <v>2-5</v>
      </c>
      <c r="L37" s="19" t="str">
        <f ca="1"/>
        <v/>
      </c>
      <c r="M37" s="20">
        <f t="shared" ca="1" si="12"/>
        <v>1</v>
      </c>
      <c r="N37" s="20" t="str">
        <f t="shared" ca="1" si="23"/>
        <v/>
      </c>
      <c r="O37" s="20" t="str" cm="1">
        <f t="array" aca="1" ref="O37" ca="1">IF(N37="","",IF(N37&lt;&gt;N36,1,IF(O36=misLíneas-2,0,O36+1)))</f>
        <v/>
      </c>
      <c r="P37" s="20" t="str" cm="1">
        <f t="array" aca="1" ref="P37" ca="1">IF(OR(O37=0,O37=""),"",INDEX(misCriticidades,N37)&amp;"-"&amp;IFERROR(MATCH(O37,miOrdenTarjeta,0),0))</f>
        <v/>
      </c>
      <c r="Q37" s="19" t="str">
        <f ca="1"/>
        <v/>
      </c>
      <c r="R37" s="20">
        <f t="shared" ca="1" si="13"/>
        <v>4</v>
      </c>
      <c r="S37" s="20">
        <f t="shared" ca="1" si="24"/>
        <v>26</v>
      </c>
      <c r="T37" s="20" cm="1">
        <f t="array" aca="1" ref="T37" ca="1">IF(S37="","",IF(S37&lt;&gt;S36,1,IF(T36=misLíneas-2,0,T36+1)))</f>
        <v>5</v>
      </c>
      <c r="U37" s="20" t="str" cm="1">
        <f t="array" aca="1" ref="U37" ca="1">IF(OR(T37=0,T37=""),"",INDEX(misCriticidades,S37)&amp;"-"&amp;IFERROR(MATCH(T37,miOrdenTarjeta,0),0))</f>
        <v>2-5</v>
      </c>
      <c r="V37" s="19" t="str">
        <f ca="1"/>
        <v/>
      </c>
      <c r="W37" s="20">
        <f t="shared" ca="1" si="14"/>
        <v>1</v>
      </c>
      <c r="X37" s="20" t="str">
        <f t="shared" ca="1" si="25"/>
        <v/>
      </c>
      <c r="Y37" s="20" t="str" cm="1">
        <f t="array" aca="1" ref="Y37" ca="1">IF(X37="","",IF(X37&lt;&gt;X36,1,IF(Y36=misLíneas-2,0,Y36+1)))</f>
        <v/>
      </c>
      <c r="Z37" s="20" t="str" cm="1">
        <f t="array" aca="1" ref="Z37" ca="1">IF(OR(Y37=0,Y37=""),"",INDEX(misCriticidades,X37)&amp;"-"&amp;IFERROR(MATCH(Y37,miOrdenTarjeta,0),0))</f>
        <v/>
      </c>
      <c r="AA37" s="19" t="str">
        <f ca="1"/>
        <v/>
      </c>
      <c r="AB37" s="20">
        <f t="shared" ca="1" si="15"/>
        <v>1</v>
      </c>
      <c r="AC37" s="20" t="str">
        <f t="shared" ca="1" si="5"/>
        <v/>
      </c>
      <c r="AD37" s="20" t="str" cm="1">
        <f t="array" aca="1" ref="AD37" ca="1">IF(AC37="","",IF(AC37&lt;&gt;AC36,1,IF(AD36=misLíneas-2,0,AD36+1)))</f>
        <v/>
      </c>
      <c r="AE37" s="20" t="str" cm="1">
        <f t="array" aca="1" ref="AE37" ca="1">IF(OR(AD37=0,AD37=""),"",INDEX(misCriticidades,AC37)&amp;"-"&amp;IFERROR(MATCH(AD37,miOrdenTarjeta,0),0))</f>
        <v/>
      </c>
      <c r="AF37" s="19" t="str">
        <f ca="1"/>
        <v/>
      </c>
      <c r="AG37" s="20">
        <f t="shared" ca="1" si="16"/>
        <v>1</v>
      </c>
      <c r="AH37" s="20" t="str">
        <f t="shared" ca="1" si="6"/>
        <v/>
      </c>
      <c r="AI37" s="20" t="str" cm="1">
        <f t="array" aca="1" ref="AI37" ca="1">IF(AH37="","",IF(AH37&lt;&gt;AH36,1,IF(AI36=misLíneas-2,0,AI36+1)))</f>
        <v/>
      </c>
      <c r="AJ37" s="20" t="str" cm="1">
        <f t="array" aca="1" ref="AJ37" ca="1">IF(OR(AI37=0,AI37=""),"",INDEX(misCriticidades,AH37)&amp;"-"&amp;IFERROR(MATCH(AI37,miOrdenTarjeta,0),0))</f>
        <v/>
      </c>
      <c r="AK37" s="19" t="str">
        <f ca="1"/>
        <v/>
      </c>
      <c r="AL37" s="20">
        <f t="shared" ca="1" si="17"/>
        <v>1</v>
      </c>
      <c r="AM37" s="20" t="str">
        <f t="shared" ca="1" si="7"/>
        <v/>
      </c>
      <c r="AN37" s="20" t="str" cm="1">
        <f t="array" aca="1" ref="AN37" ca="1">IF(AM37="","",IF(AM37&lt;&gt;AM36,1,IF(AN36=misLíneas-2,0,AN36+1)))</f>
        <v/>
      </c>
      <c r="AO37" s="20" t="str" cm="1">
        <f t="array" aca="1" ref="AO37" ca="1">IF(OR(AN37=0,AN37=""),"",INDEX(misCriticidades,AM37)&amp;"-"&amp;IFERROR(MATCH(AN37,miOrdenTarjeta,0),0))</f>
        <v/>
      </c>
      <c r="AP37" s="19" t="str">
        <f ca="1"/>
        <v/>
      </c>
      <c r="AQ37" s="20">
        <f t="shared" ca="1" si="18"/>
        <v>1</v>
      </c>
      <c r="AR37" s="20" t="str">
        <f t="shared" ca="1" si="8"/>
        <v/>
      </c>
      <c r="AS37" s="20" t="str" cm="1">
        <f t="array" aca="1" ref="AS37" ca="1">IF(AR37="","",IF(AR37&lt;&gt;AR36,1,IF(AS36=misLíneas-2,0,AS36+1)))</f>
        <v/>
      </c>
      <c r="AT37" s="20" t="str" cm="1">
        <f t="array" aca="1" ref="AT37" ca="1">IF(OR(AS37=0,AS37=""),"",INDEX(misCriticidades,AR37)&amp;"-"&amp;IFERROR(MATCH(AS37,miOrdenTarjeta,0),0))</f>
        <v/>
      </c>
      <c r="AU37" s="19" t="str">
        <f ca="1"/>
        <v/>
      </c>
      <c r="AV37" s="20">
        <f t="shared" ca="1" si="19"/>
        <v>1</v>
      </c>
      <c r="AW37" s="20" t="str">
        <f t="shared" ca="1" si="9"/>
        <v/>
      </c>
      <c r="AX37" s="20" t="str" cm="1">
        <f t="array" aca="1" ref="AX37" ca="1">IF(AW37="","",IF(AW37&lt;&gt;AW36,1,IF(AX36=misLíneas-2,0,AX36+1)))</f>
        <v/>
      </c>
      <c r="AY37" s="20" t="str" cm="1">
        <f t="array" aca="1" ref="AY37" ca="1">IF(OR(AX37=0,AX37=""),"",INDEX(misCriticidades,AW37)&amp;"-"&amp;IFERROR(MATCH(AX37,miOrdenTarjeta,0),0))</f>
        <v/>
      </c>
    </row>
    <row r="38" spans="2:51" x14ac:dyDescent="0.25">
      <c r="B38" s="19" t="str">
        <f ca="1"/>
        <v/>
      </c>
      <c r="C38" s="20">
        <f t="shared" ca="1" si="20"/>
        <v>1</v>
      </c>
      <c r="D38" s="20" t="str">
        <f t="shared" ca="1" si="21"/>
        <v/>
      </c>
      <c r="E38" s="20" t="str" cm="1">
        <f t="array" aca="1" ref="E38" ca="1">IF(D38="","",IF(D38&lt;&gt;D37,1,IF(E37=misLíneas-2,0,E37+1)))</f>
        <v/>
      </c>
      <c r="F38" s="20" t="str" cm="1">
        <f t="array" aca="1" ref="F38" ca="1">IF(OR(E38=0,E38=""),"",INDEX(misCriticidades,D38)&amp;"-"&amp;IFERROR(MATCH(E38,miOrdenTarjeta,0),0))</f>
        <v/>
      </c>
      <c r="G38" s="19" t="str">
        <f ca="1"/>
        <v/>
      </c>
      <c r="H38" s="20">
        <f t="shared" ca="1" si="11"/>
        <v>4</v>
      </c>
      <c r="I38" s="20">
        <f t="shared" ca="1" si="22"/>
        <v>30</v>
      </c>
      <c r="J38" s="20" cm="1">
        <f t="array" aca="1" ref="J38" ca="1">IF(I38="","",IF(I38&lt;&gt;I37,1,IF(J37=misLíneas-2,0,J37+1)))</f>
        <v>6</v>
      </c>
      <c r="K38" s="20" t="str" cm="1">
        <f t="array" aca="1" ref="K38" ca="1">IF(OR(J38=0,J38=""),"",INDEX(misCriticidades,I38)&amp;"-"&amp;IFERROR(MATCH(J38,miOrdenTarjeta,0),0))</f>
        <v>2-6</v>
      </c>
      <c r="L38" s="19" t="str">
        <f ca="1"/>
        <v/>
      </c>
      <c r="M38" s="20">
        <f t="shared" ca="1" si="12"/>
        <v>1</v>
      </c>
      <c r="N38" s="20" t="str">
        <f t="shared" ca="1" si="23"/>
        <v/>
      </c>
      <c r="O38" s="20" t="str" cm="1">
        <f t="array" aca="1" ref="O38" ca="1">IF(N38="","",IF(N38&lt;&gt;N37,1,IF(O37=misLíneas-2,0,O37+1)))</f>
        <v/>
      </c>
      <c r="P38" s="20" t="str" cm="1">
        <f t="array" aca="1" ref="P38" ca="1">IF(OR(O38=0,O38=""),"",INDEX(misCriticidades,N38)&amp;"-"&amp;IFERROR(MATCH(O38,miOrdenTarjeta,0),0))</f>
        <v/>
      </c>
      <c r="Q38" s="19" t="str">
        <f ca="1"/>
        <v/>
      </c>
      <c r="R38" s="20">
        <f t="shared" ca="1" si="13"/>
        <v>4</v>
      </c>
      <c r="S38" s="20">
        <f t="shared" ca="1" si="24"/>
        <v>26</v>
      </c>
      <c r="T38" s="20" cm="1">
        <f t="array" aca="1" ref="T38" ca="1">IF(S38="","",IF(S38&lt;&gt;S37,1,IF(T37=misLíneas-2,0,T37+1)))</f>
        <v>6</v>
      </c>
      <c r="U38" s="20" t="str" cm="1">
        <f t="array" aca="1" ref="U38" ca="1">IF(OR(T38=0,T38=""),"",INDEX(misCriticidades,S38)&amp;"-"&amp;IFERROR(MATCH(T38,miOrdenTarjeta,0),0))</f>
        <v>2-6</v>
      </c>
      <c r="V38" s="19" t="str">
        <f ca="1"/>
        <v/>
      </c>
      <c r="W38" s="20">
        <f t="shared" ca="1" si="14"/>
        <v>1</v>
      </c>
      <c r="X38" s="20" t="str">
        <f t="shared" ca="1" si="25"/>
        <v/>
      </c>
      <c r="Y38" s="20" t="str" cm="1">
        <f t="array" aca="1" ref="Y38" ca="1">IF(X38="","",IF(X38&lt;&gt;X37,1,IF(Y37=misLíneas-2,0,Y37+1)))</f>
        <v/>
      </c>
      <c r="Z38" s="20" t="str" cm="1">
        <f t="array" aca="1" ref="Z38" ca="1">IF(OR(Y38=0,Y38=""),"",INDEX(misCriticidades,X38)&amp;"-"&amp;IFERROR(MATCH(Y38,miOrdenTarjeta,0),0))</f>
        <v/>
      </c>
      <c r="AA38" s="19" t="str">
        <f ca="1"/>
        <v/>
      </c>
      <c r="AB38" s="20">
        <f t="shared" ca="1" si="15"/>
        <v>1</v>
      </c>
      <c r="AC38" s="20" t="str">
        <f t="shared" ca="1" si="5"/>
        <v/>
      </c>
      <c r="AD38" s="20" t="str" cm="1">
        <f t="array" aca="1" ref="AD38" ca="1">IF(AC38="","",IF(AC38&lt;&gt;AC37,1,IF(AD37=misLíneas-2,0,AD37+1)))</f>
        <v/>
      </c>
      <c r="AE38" s="20" t="str" cm="1">
        <f t="array" aca="1" ref="AE38" ca="1">IF(OR(AD38=0,AD38=""),"",INDEX(misCriticidades,AC38)&amp;"-"&amp;IFERROR(MATCH(AD38,miOrdenTarjeta,0),0))</f>
        <v/>
      </c>
      <c r="AF38" s="19" t="str">
        <f ca="1"/>
        <v/>
      </c>
      <c r="AG38" s="20">
        <f t="shared" ca="1" si="16"/>
        <v>1</v>
      </c>
      <c r="AH38" s="20" t="str">
        <f t="shared" ca="1" si="6"/>
        <v/>
      </c>
      <c r="AI38" s="20" t="str" cm="1">
        <f t="array" aca="1" ref="AI38" ca="1">IF(AH38="","",IF(AH38&lt;&gt;AH37,1,IF(AI37=misLíneas-2,0,AI37+1)))</f>
        <v/>
      </c>
      <c r="AJ38" s="20" t="str" cm="1">
        <f t="array" aca="1" ref="AJ38" ca="1">IF(OR(AI38=0,AI38=""),"",INDEX(misCriticidades,AH38)&amp;"-"&amp;IFERROR(MATCH(AI38,miOrdenTarjeta,0),0))</f>
        <v/>
      </c>
      <c r="AK38" s="19" t="str">
        <f ca="1"/>
        <v/>
      </c>
      <c r="AL38" s="20">
        <f t="shared" ca="1" si="17"/>
        <v>1</v>
      </c>
      <c r="AM38" s="20" t="str">
        <f t="shared" ca="1" si="7"/>
        <v/>
      </c>
      <c r="AN38" s="20" t="str" cm="1">
        <f t="array" aca="1" ref="AN38" ca="1">IF(AM38="","",IF(AM38&lt;&gt;AM37,1,IF(AN37=misLíneas-2,0,AN37+1)))</f>
        <v/>
      </c>
      <c r="AO38" s="20" t="str" cm="1">
        <f t="array" aca="1" ref="AO38" ca="1">IF(OR(AN38=0,AN38=""),"",INDEX(misCriticidades,AM38)&amp;"-"&amp;IFERROR(MATCH(AN38,miOrdenTarjeta,0),0))</f>
        <v/>
      </c>
      <c r="AP38" s="19" t="str">
        <f ca="1"/>
        <v/>
      </c>
      <c r="AQ38" s="20">
        <f t="shared" ca="1" si="18"/>
        <v>1</v>
      </c>
      <c r="AR38" s="20" t="str">
        <f t="shared" ca="1" si="8"/>
        <v/>
      </c>
      <c r="AS38" s="20" t="str" cm="1">
        <f t="array" aca="1" ref="AS38" ca="1">IF(AR38="","",IF(AR38&lt;&gt;AR37,1,IF(AS37=misLíneas-2,0,AS37+1)))</f>
        <v/>
      </c>
      <c r="AT38" s="20" t="str" cm="1">
        <f t="array" aca="1" ref="AT38" ca="1">IF(OR(AS38=0,AS38=""),"",INDEX(misCriticidades,AR38)&amp;"-"&amp;IFERROR(MATCH(AS38,miOrdenTarjeta,0),0))</f>
        <v/>
      </c>
      <c r="AU38" s="19" t="str">
        <f ca="1"/>
        <v/>
      </c>
      <c r="AV38" s="20">
        <f t="shared" ca="1" si="19"/>
        <v>1</v>
      </c>
      <c r="AW38" s="20" t="str">
        <f t="shared" ca="1" si="9"/>
        <v/>
      </c>
      <c r="AX38" s="20" t="str" cm="1">
        <f t="array" aca="1" ref="AX38" ca="1">IF(AW38="","",IF(AW38&lt;&gt;AW37,1,IF(AX37=misLíneas-2,0,AX37+1)))</f>
        <v/>
      </c>
      <c r="AY38" s="20" t="str" cm="1">
        <f t="array" aca="1" ref="AY38" ca="1">IF(OR(AX38=0,AX38=""),"",INDEX(misCriticidades,AW38)&amp;"-"&amp;IFERROR(MATCH(AX38,miOrdenTarjeta,0),0))</f>
        <v/>
      </c>
    </row>
    <row r="39" spans="2:51" x14ac:dyDescent="0.25">
      <c r="B39" s="19" t="str">
        <f ca="1"/>
        <v/>
      </c>
      <c r="C39" s="20">
        <f t="shared" ca="1" si="20"/>
        <v>1</v>
      </c>
      <c r="D39" s="20" t="str">
        <f t="shared" ca="1" si="21"/>
        <v/>
      </c>
      <c r="E39" s="20" t="str" cm="1">
        <f t="array" aca="1" ref="E39" ca="1">IF(D39="","",IF(D39&lt;&gt;D38,1,IF(E38=misLíneas-2,0,E38+1)))</f>
        <v/>
      </c>
      <c r="F39" s="20" t="str" cm="1">
        <f t="array" aca="1" ref="F39" ca="1">IF(OR(E39=0,E39=""),"",INDEX(misCriticidades,D39)&amp;"-"&amp;IFERROR(MATCH(E39,miOrdenTarjeta,0),0))</f>
        <v/>
      </c>
      <c r="G39" s="19" t="str">
        <f ca="1"/>
        <v/>
      </c>
      <c r="H39" s="20">
        <f t="shared" ca="1" si="11"/>
        <v>4</v>
      </c>
      <c r="I39" s="20">
        <f t="shared" ca="1" si="22"/>
        <v>30</v>
      </c>
      <c r="J39" s="20" cm="1">
        <f t="array" aca="1" ref="J39" ca="1">IF(I39="","",IF(I39&lt;&gt;I38,1,IF(J38=misLíneas-2,0,J38+1)))</f>
        <v>7</v>
      </c>
      <c r="K39" s="20" t="str" cm="1">
        <f t="array" aca="1" ref="K39" ca="1">IF(OR(J39=0,J39=""),"",INDEX(misCriticidades,I39)&amp;"-"&amp;IFERROR(MATCH(J39,miOrdenTarjeta,0),0))</f>
        <v>2-7</v>
      </c>
      <c r="L39" s="19" t="str">
        <f ca="1"/>
        <v/>
      </c>
      <c r="M39" s="20">
        <f t="shared" ca="1" si="12"/>
        <v>1</v>
      </c>
      <c r="N39" s="20" t="str">
        <f t="shared" ca="1" si="23"/>
        <v/>
      </c>
      <c r="O39" s="20" t="str" cm="1">
        <f t="array" aca="1" ref="O39" ca="1">IF(N39="","",IF(N39&lt;&gt;N38,1,IF(O38=misLíneas-2,0,O38+1)))</f>
        <v/>
      </c>
      <c r="P39" s="20" t="str" cm="1">
        <f t="array" aca="1" ref="P39" ca="1">IF(OR(O39=0,O39=""),"",INDEX(misCriticidades,N39)&amp;"-"&amp;IFERROR(MATCH(O39,miOrdenTarjeta,0),0))</f>
        <v/>
      </c>
      <c r="Q39" s="19" t="str">
        <f ca="1"/>
        <v/>
      </c>
      <c r="R39" s="20">
        <f t="shared" ca="1" si="13"/>
        <v>4</v>
      </c>
      <c r="S39" s="20">
        <f t="shared" ca="1" si="24"/>
        <v>26</v>
      </c>
      <c r="T39" s="20" cm="1">
        <f t="array" aca="1" ref="T39" ca="1">IF(S39="","",IF(S39&lt;&gt;S38,1,IF(T38=misLíneas-2,0,T38+1)))</f>
        <v>7</v>
      </c>
      <c r="U39" s="20" t="str" cm="1">
        <f t="array" aca="1" ref="U39" ca="1">IF(OR(T39=0,T39=""),"",INDEX(misCriticidades,S39)&amp;"-"&amp;IFERROR(MATCH(T39,miOrdenTarjeta,0),0))</f>
        <v>2-7</v>
      </c>
      <c r="V39" s="19" t="str">
        <f ca="1"/>
        <v/>
      </c>
      <c r="W39" s="20">
        <f t="shared" ca="1" si="14"/>
        <v>1</v>
      </c>
      <c r="X39" s="20" t="str">
        <f t="shared" ca="1" si="25"/>
        <v/>
      </c>
      <c r="Y39" s="20" t="str" cm="1">
        <f t="array" aca="1" ref="Y39" ca="1">IF(X39="","",IF(X39&lt;&gt;X38,1,IF(Y38=misLíneas-2,0,Y38+1)))</f>
        <v/>
      </c>
      <c r="Z39" s="20" t="str" cm="1">
        <f t="array" aca="1" ref="Z39" ca="1">IF(OR(Y39=0,Y39=""),"",INDEX(misCriticidades,X39)&amp;"-"&amp;IFERROR(MATCH(Y39,miOrdenTarjeta,0),0))</f>
        <v/>
      </c>
      <c r="AA39" s="19" t="str">
        <f ca="1"/>
        <v/>
      </c>
      <c r="AB39" s="20">
        <f t="shared" ca="1" si="15"/>
        <v>1</v>
      </c>
      <c r="AC39" s="20" t="str">
        <f t="shared" ca="1" si="5"/>
        <v/>
      </c>
      <c r="AD39" s="20" t="str" cm="1">
        <f t="array" aca="1" ref="AD39" ca="1">IF(AC39="","",IF(AC39&lt;&gt;AC38,1,IF(AD38=misLíneas-2,0,AD38+1)))</f>
        <v/>
      </c>
      <c r="AE39" s="20" t="str" cm="1">
        <f t="array" aca="1" ref="AE39" ca="1">IF(OR(AD39=0,AD39=""),"",INDEX(misCriticidades,AC39)&amp;"-"&amp;IFERROR(MATCH(AD39,miOrdenTarjeta,0),0))</f>
        <v/>
      </c>
      <c r="AF39" s="19" t="str">
        <f ca="1"/>
        <v/>
      </c>
      <c r="AG39" s="20">
        <f t="shared" ca="1" si="16"/>
        <v>1</v>
      </c>
      <c r="AH39" s="20" t="str">
        <f t="shared" ca="1" si="6"/>
        <v/>
      </c>
      <c r="AI39" s="20" t="str" cm="1">
        <f t="array" aca="1" ref="AI39" ca="1">IF(AH39="","",IF(AH39&lt;&gt;AH38,1,IF(AI38=misLíneas-2,0,AI38+1)))</f>
        <v/>
      </c>
      <c r="AJ39" s="20" t="str" cm="1">
        <f t="array" aca="1" ref="AJ39" ca="1">IF(OR(AI39=0,AI39=""),"",INDEX(misCriticidades,AH39)&amp;"-"&amp;IFERROR(MATCH(AI39,miOrdenTarjeta,0),0))</f>
        <v/>
      </c>
      <c r="AK39" s="19" t="str">
        <f ca="1"/>
        <v/>
      </c>
      <c r="AL39" s="20">
        <f t="shared" ca="1" si="17"/>
        <v>1</v>
      </c>
      <c r="AM39" s="20" t="str">
        <f t="shared" ca="1" si="7"/>
        <v/>
      </c>
      <c r="AN39" s="20" t="str" cm="1">
        <f t="array" aca="1" ref="AN39" ca="1">IF(AM39="","",IF(AM39&lt;&gt;AM38,1,IF(AN38=misLíneas-2,0,AN38+1)))</f>
        <v/>
      </c>
      <c r="AO39" s="20" t="str" cm="1">
        <f t="array" aca="1" ref="AO39" ca="1">IF(OR(AN39=0,AN39=""),"",INDEX(misCriticidades,AM39)&amp;"-"&amp;IFERROR(MATCH(AN39,miOrdenTarjeta,0),0))</f>
        <v/>
      </c>
      <c r="AP39" s="19" t="str">
        <f ca="1"/>
        <v/>
      </c>
      <c r="AQ39" s="20">
        <f t="shared" ca="1" si="18"/>
        <v>1</v>
      </c>
      <c r="AR39" s="20" t="str">
        <f t="shared" ca="1" si="8"/>
        <v/>
      </c>
      <c r="AS39" s="20" t="str" cm="1">
        <f t="array" aca="1" ref="AS39" ca="1">IF(AR39="","",IF(AR39&lt;&gt;AR38,1,IF(AS38=misLíneas-2,0,AS38+1)))</f>
        <v/>
      </c>
      <c r="AT39" s="20" t="str" cm="1">
        <f t="array" aca="1" ref="AT39" ca="1">IF(OR(AS39=0,AS39=""),"",INDEX(misCriticidades,AR39)&amp;"-"&amp;IFERROR(MATCH(AS39,miOrdenTarjeta,0),0))</f>
        <v/>
      </c>
      <c r="AU39" s="19" t="str">
        <f ca="1"/>
        <v/>
      </c>
      <c r="AV39" s="20">
        <f t="shared" ca="1" si="19"/>
        <v>1</v>
      </c>
      <c r="AW39" s="20" t="str">
        <f t="shared" ca="1" si="9"/>
        <v/>
      </c>
      <c r="AX39" s="20" t="str" cm="1">
        <f t="array" aca="1" ref="AX39" ca="1">IF(AW39="","",IF(AW39&lt;&gt;AW38,1,IF(AX38=misLíneas-2,0,AX38+1)))</f>
        <v/>
      </c>
      <c r="AY39" s="20" t="str" cm="1">
        <f t="array" aca="1" ref="AY39" ca="1">IF(OR(AX39=0,AX39=""),"",INDEX(misCriticidades,AW39)&amp;"-"&amp;IFERROR(MATCH(AX39,miOrdenTarjeta,0),0))</f>
        <v/>
      </c>
    </row>
    <row r="40" spans="2:51" x14ac:dyDescent="0.25">
      <c r="B40" s="19" t="str">
        <f ca="1"/>
        <v/>
      </c>
      <c r="C40" s="20">
        <f t="shared" ca="1" si="20"/>
        <v>1</v>
      </c>
      <c r="D40" s="20" t="str">
        <f t="shared" ca="1" si="21"/>
        <v/>
      </c>
      <c r="E40" s="20" t="str" cm="1">
        <f t="array" aca="1" ref="E40" ca="1">IF(D40="","",IF(D40&lt;&gt;D39,1,IF(E39=misLíneas-2,0,E39+1)))</f>
        <v/>
      </c>
      <c r="F40" s="20" t="str" cm="1">
        <f t="array" aca="1" ref="F40" ca="1">IF(OR(E40=0,E40=""),"",INDEX(misCriticidades,D40)&amp;"-"&amp;IFERROR(MATCH(E40,miOrdenTarjeta,0),0))</f>
        <v/>
      </c>
      <c r="G40" s="19" t="str">
        <f ca="1"/>
        <v/>
      </c>
      <c r="H40" s="20">
        <f t="shared" ca="1" si="11"/>
        <v>4</v>
      </c>
      <c r="I40" s="20">
        <f t="shared" ca="1" si="22"/>
        <v>30</v>
      </c>
      <c r="J40" s="20" cm="1">
        <f t="array" aca="1" ref="J40" ca="1">IF(I40="","",IF(I40&lt;&gt;I39,1,IF(J39=misLíneas-2,0,J39+1)))</f>
        <v>8</v>
      </c>
      <c r="K40" s="20" t="str" cm="1">
        <f t="array" aca="1" ref="K40" ca="1">IF(OR(J40=0,J40=""),"",INDEX(misCriticidades,I40)&amp;"-"&amp;IFERROR(MATCH(J40,miOrdenTarjeta,0),0))</f>
        <v>2-8</v>
      </c>
      <c r="L40" s="19" t="str">
        <f ca="1"/>
        <v/>
      </c>
      <c r="M40" s="20">
        <f t="shared" ca="1" si="12"/>
        <v>1</v>
      </c>
      <c r="N40" s="20" t="str">
        <f t="shared" ca="1" si="23"/>
        <v/>
      </c>
      <c r="O40" s="20" t="str" cm="1">
        <f t="array" aca="1" ref="O40" ca="1">IF(N40="","",IF(N40&lt;&gt;N39,1,IF(O39=misLíneas-2,0,O39+1)))</f>
        <v/>
      </c>
      <c r="P40" s="20" t="str" cm="1">
        <f t="array" aca="1" ref="P40" ca="1">IF(OR(O40=0,O40=""),"",INDEX(misCriticidades,N40)&amp;"-"&amp;IFERROR(MATCH(O40,miOrdenTarjeta,0),0))</f>
        <v/>
      </c>
      <c r="Q40" s="19" t="str">
        <f ca="1"/>
        <v/>
      </c>
      <c r="R40" s="20">
        <f t="shared" ca="1" si="13"/>
        <v>4</v>
      </c>
      <c r="S40" s="20">
        <f t="shared" ca="1" si="24"/>
        <v>26</v>
      </c>
      <c r="T40" s="20" cm="1">
        <f t="array" aca="1" ref="T40" ca="1">IF(S40="","",IF(S40&lt;&gt;S39,1,IF(T39=misLíneas-2,0,T39+1)))</f>
        <v>8</v>
      </c>
      <c r="U40" s="20" t="str" cm="1">
        <f t="array" aca="1" ref="U40" ca="1">IF(OR(T40=0,T40=""),"",INDEX(misCriticidades,S40)&amp;"-"&amp;IFERROR(MATCH(T40,miOrdenTarjeta,0),0))</f>
        <v>2-8</v>
      </c>
      <c r="V40" s="19" t="str">
        <f ca="1"/>
        <v/>
      </c>
      <c r="W40" s="20">
        <f t="shared" ca="1" si="14"/>
        <v>1</v>
      </c>
      <c r="X40" s="20" t="str">
        <f t="shared" ca="1" si="25"/>
        <v/>
      </c>
      <c r="Y40" s="20" t="str" cm="1">
        <f t="array" aca="1" ref="Y40" ca="1">IF(X40="","",IF(X40&lt;&gt;X39,1,IF(Y39=misLíneas-2,0,Y39+1)))</f>
        <v/>
      </c>
      <c r="Z40" s="20" t="str" cm="1">
        <f t="array" aca="1" ref="Z40" ca="1">IF(OR(Y40=0,Y40=""),"",INDEX(misCriticidades,X40)&amp;"-"&amp;IFERROR(MATCH(Y40,miOrdenTarjeta,0),0))</f>
        <v/>
      </c>
      <c r="AA40" s="19" t="str">
        <f ca="1"/>
        <v/>
      </c>
      <c r="AB40" s="20">
        <f t="shared" ca="1" si="15"/>
        <v>1</v>
      </c>
      <c r="AC40" s="20" t="str">
        <f t="shared" ca="1" si="5"/>
        <v/>
      </c>
      <c r="AD40" s="20" t="str" cm="1">
        <f t="array" aca="1" ref="AD40" ca="1">IF(AC40="","",IF(AC40&lt;&gt;AC39,1,IF(AD39=misLíneas-2,0,AD39+1)))</f>
        <v/>
      </c>
      <c r="AE40" s="20" t="str" cm="1">
        <f t="array" aca="1" ref="AE40" ca="1">IF(OR(AD40=0,AD40=""),"",INDEX(misCriticidades,AC40)&amp;"-"&amp;IFERROR(MATCH(AD40,miOrdenTarjeta,0),0))</f>
        <v/>
      </c>
      <c r="AF40" s="19" t="str">
        <f ca="1"/>
        <v/>
      </c>
      <c r="AG40" s="20">
        <f t="shared" ca="1" si="16"/>
        <v>1</v>
      </c>
      <c r="AH40" s="20" t="str">
        <f t="shared" ca="1" si="6"/>
        <v/>
      </c>
      <c r="AI40" s="20" t="str" cm="1">
        <f t="array" aca="1" ref="AI40" ca="1">IF(AH40="","",IF(AH40&lt;&gt;AH39,1,IF(AI39=misLíneas-2,0,AI39+1)))</f>
        <v/>
      </c>
      <c r="AJ40" s="20" t="str" cm="1">
        <f t="array" aca="1" ref="AJ40" ca="1">IF(OR(AI40=0,AI40=""),"",INDEX(misCriticidades,AH40)&amp;"-"&amp;IFERROR(MATCH(AI40,miOrdenTarjeta,0),0))</f>
        <v/>
      </c>
      <c r="AK40" s="19" t="str">
        <f ca="1"/>
        <v/>
      </c>
      <c r="AL40" s="20">
        <f t="shared" ca="1" si="17"/>
        <v>1</v>
      </c>
      <c r="AM40" s="20" t="str">
        <f t="shared" ca="1" si="7"/>
        <v/>
      </c>
      <c r="AN40" s="20" t="str" cm="1">
        <f t="array" aca="1" ref="AN40" ca="1">IF(AM40="","",IF(AM40&lt;&gt;AM39,1,IF(AN39=misLíneas-2,0,AN39+1)))</f>
        <v/>
      </c>
      <c r="AO40" s="20" t="str" cm="1">
        <f t="array" aca="1" ref="AO40" ca="1">IF(OR(AN40=0,AN40=""),"",INDEX(misCriticidades,AM40)&amp;"-"&amp;IFERROR(MATCH(AN40,miOrdenTarjeta,0),0))</f>
        <v/>
      </c>
      <c r="AP40" s="19" t="str">
        <f ca="1"/>
        <v/>
      </c>
      <c r="AQ40" s="20">
        <f t="shared" ca="1" si="18"/>
        <v>1</v>
      </c>
      <c r="AR40" s="20" t="str">
        <f t="shared" ca="1" si="8"/>
        <v/>
      </c>
      <c r="AS40" s="20" t="str" cm="1">
        <f t="array" aca="1" ref="AS40" ca="1">IF(AR40="","",IF(AR40&lt;&gt;AR39,1,IF(AS39=misLíneas-2,0,AS39+1)))</f>
        <v/>
      </c>
      <c r="AT40" s="20" t="str" cm="1">
        <f t="array" aca="1" ref="AT40" ca="1">IF(OR(AS40=0,AS40=""),"",INDEX(misCriticidades,AR40)&amp;"-"&amp;IFERROR(MATCH(AS40,miOrdenTarjeta,0),0))</f>
        <v/>
      </c>
      <c r="AU40" s="19" t="str">
        <f ca="1"/>
        <v/>
      </c>
      <c r="AV40" s="20">
        <f t="shared" ca="1" si="19"/>
        <v>1</v>
      </c>
      <c r="AW40" s="20" t="str">
        <f t="shared" ca="1" si="9"/>
        <v/>
      </c>
      <c r="AX40" s="20" t="str" cm="1">
        <f t="array" aca="1" ref="AX40" ca="1">IF(AW40="","",IF(AW40&lt;&gt;AW39,1,IF(AX39=misLíneas-2,0,AX39+1)))</f>
        <v/>
      </c>
      <c r="AY40" s="20" t="str" cm="1">
        <f t="array" aca="1" ref="AY40" ca="1">IF(OR(AX40=0,AX40=""),"",INDEX(misCriticidades,AW40)&amp;"-"&amp;IFERROR(MATCH(AX40,miOrdenTarjeta,0),0))</f>
        <v/>
      </c>
    </row>
    <row r="41" spans="2:51" x14ac:dyDescent="0.25">
      <c r="B41" s="19" t="str">
        <f ca="1"/>
        <v/>
      </c>
      <c r="C41" s="20">
        <f t="shared" ca="1" si="20"/>
        <v>1</v>
      </c>
      <c r="D41" s="20" t="str">
        <f t="shared" ca="1" si="21"/>
        <v/>
      </c>
      <c r="E41" s="20" t="str" cm="1">
        <f t="array" aca="1" ref="E41" ca="1">IF(D41="","",IF(D41&lt;&gt;D40,1,IF(E40=misLíneas-2,0,E40+1)))</f>
        <v/>
      </c>
      <c r="F41" s="20" t="str" cm="1">
        <f t="array" aca="1" ref="F41" ca="1">IF(OR(E41=0,E41=""),"",INDEX(misCriticidades,D41)&amp;"-"&amp;IFERROR(MATCH(E41,miOrdenTarjeta,0),0))</f>
        <v/>
      </c>
      <c r="G41" s="19" t="str">
        <f ca="1"/>
        <v/>
      </c>
      <c r="H41" s="20">
        <f t="shared" ca="1" si="11"/>
        <v>4</v>
      </c>
      <c r="I41" s="20">
        <f t="shared" ca="1" si="22"/>
        <v>30</v>
      </c>
      <c r="J41" s="20" cm="1">
        <f t="array" aca="1" ref="J41" ca="1">IF(I41="","",IF(I41&lt;&gt;I40,1,IF(J40=misLíneas-2,0,J40+1)))</f>
        <v>9</v>
      </c>
      <c r="K41" s="20" t="str" cm="1">
        <f t="array" aca="1" ref="K41" ca="1">IF(OR(J41=0,J41=""),"",INDEX(misCriticidades,I41)&amp;"-"&amp;IFERROR(MATCH(J41,miOrdenTarjeta,0),0))</f>
        <v>2-0</v>
      </c>
      <c r="L41" s="19" t="str">
        <f ca="1"/>
        <v/>
      </c>
      <c r="M41" s="20">
        <f t="shared" ca="1" si="12"/>
        <v>1</v>
      </c>
      <c r="N41" s="20" t="str">
        <f t="shared" ca="1" si="23"/>
        <v/>
      </c>
      <c r="O41" s="20" t="str" cm="1">
        <f t="array" aca="1" ref="O41" ca="1">IF(N41="","",IF(N41&lt;&gt;N40,1,IF(O40=misLíneas-2,0,O40+1)))</f>
        <v/>
      </c>
      <c r="P41" s="20" t="str" cm="1">
        <f t="array" aca="1" ref="P41" ca="1">IF(OR(O41=0,O41=""),"",INDEX(misCriticidades,N41)&amp;"-"&amp;IFERROR(MATCH(O41,miOrdenTarjeta,0),0))</f>
        <v/>
      </c>
      <c r="Q41" s="19" t="str">
        <f ca="1"/>
        <v/>
      </c>
      <c r="R41" s="20">
        <f t="shared" ca="1" si="13"/>
        <v>4</v>
      </c>
      <c r="S41" s="20">
        <f t="shared" ca="1" si="24"/>
        <v>26</v>
      </c>
      <c r="T41" s="20" cm="1">
        <f t="array" aca="1" ref="T41" ca="1">IF(S41="","",IF(S41&lt;&gt;S40,1,IF(T40=misLíneas-2,0,T40+1)))</f>
        <v>9</v>
      </c>
      <c r="U41" s="20" t="str" cm="1">
        <f t="array" aca="1" ref="U41" ca="1">IF(OR(T41=0,T41=""),"",INDEX(misCriticidades,S41)&amp;"-"&amp;IFERROR(MATCH(T41,miOrdenTarjeta,0),0))</f>
        <v>2-0</v>
      </c>
      <c r="V41" s="19" t="str">
        <f ca="1"/>
        <v/>
      </c>
      <c r="W41" s="20">
        <f t="shared" ca="1" si="14"/>
        <v>1</v>
      </c>
      <c r="X41" s="20" t="str">
        <f t="shared" ca="1" si="25"/>
        <v/>
      </c>
      <c r="Y41" s="20" t="str" cm="1">
        <f t="array" aca="1" ref="Y41" ca="1">IF(X41="","",IF(X41&lt;&gt;X40,1,IF(Y40=misLíneas-2,0,Y40+1)))</f>
        <v/>
      </c>
      <c r="Z41" s="20" t="str" cm="1">
        <f t="array" aca="1" ref="Z41" ca="1">IF(OR(Y41=0,Y41=""),"",INDEX(misCriticidades,X41)&amp;"-"&amp;IFERROR(MATCH(Y41,miOrdenTarjeta,0),0))</f>
        <v/>
      </c>
      <c r="AA41" s="19" t="str">
        <f ca="1"/>
        <v/>
      </c>
      <c r="AB41" s="20">
        <f t="shared" ca="1" si="15"/>
        <v>1</v>
      </c>
      <c r="AC41" s="20" t="str">
        <f t="shared" ca="1" si="5"/>
        <v/>
      </c>
      <c r="AD41" s="20" t="str" cm="1">
        <f t="array" aca="1" ref="AD41" ca="1">IF(AC41="","",IF(AC41&lt;&gt;AC40,1,IF(AD40=misLíneas-2,0,AD40+1)))</f>
        <v/>
      </c>
      <c r="AE41" s="20" t="str" cm="1">
        <f t="array" aca="1" ref="AE41" ca="1">IF(OR(AD41=0,AD41=""),"",INDEX(misCriticidades,AC41)&amp;"-"&amp;IFERROR(MATCH(AD41,miOrdenTarjeta,0),0))</f>
        <v/>
      </c>
      <c r="AF41" s="19" t="str">
        <f ca="1"/>
        <v/>
      </c>
      <c r="AG41" s="20">
        <f t="shared" ca="1" si="16"/>
        <v>1</v>
      </c>
      <c r="AH41" s="20" t="str">
        <f t="shared" ca="1" si="6"/>
        <v/>
      </c>
      <c r="AI41" s="20" t="str" cm="1">
        <f t="array" aca="1" ref="AI41" ca="1">IF(AH41="","",IF(AH41&lt;&gt;AH40,1,IF(AI40=misLíneas-2,0,AI40+1)))</f>
        <v/>
      </c>
      <c r="AJ41" s="20" t="str" cm="1">
        <f t="array" aca="1" ref="AJ41" ca="1">IF(OR(AI41=0,AI41=""),"",INDEX(misCriticidades,AH41)&amp;"-"&amp;IFERROR(MATCH(AI41,miOrdenTarjeta,0),0))</f>
        <v/>
      </c>
      <c r="AK41" s="19" t="str">
        <f ca="1"/>
        <v/>
      </c>
      <c r="AL41" s="20">
        <f t="shared" ca="1" si="17"/>
        <v>1</v>
      </c>
      <c r="AM41" s="20" t="str">
        <f t="shared" ca="1" si="7"/>
        <v/>
      </c>
      <c r="AN41" s="20" t="str" cm="1">
        <f t="array" aca="1" ref="AN41" ca="1">IF(AM41="","",IF(AM41&lt;&gt;AM40,1,IF(AN40=misLíneas-2,0,AN40+1)))</f>
        <v/>
      </c>
      <c r="AO41" s="20" t="str" cm="1">
        <f t="array" aca="1" ref="AO41" ca="1">IF(OR(AN41=0,AN41=""),"",INDEX(misCriticidades,AM41)&amp;"-"&amp;IFERROR(MATCH(AN41,miOrdenTarjeta,0),0))</f>
        <v/>
      </c>
      <c r="AP41" s="19" t="str">
        <f ca="1"/>
        <v/>
      </c>
      <c r="AQ41" s="20">
        <f t="shared" ca="1" si="18"/>
        <v>1</v>
      </c>
      <c r="AR41" s="20" t="str">
        <f t="shared" ca="1" si="8"/>
        <v/>
      </c>
      <c r="AS41" s="20" t="str" cm="1">
        <f t="array" aca="1" ref="AS41" ca="1">IF(AR41="","",IF(AR41&lt;&gt;AR40,1,IF(AS40=misLíneas-2,0,AS40+1)))</f>
        <v/>
      </c>
      <c r="AT41" s="20" t="str" cm="1">
        <f t="array" aca="1" ref="AT41" ca="1">IF(OR(AS41=0,AS41=""),"",INDEX(misCriticidades,AR41)&amp;"-"&amp;IFERROR(MATCH(AS41,miOrdenTarjeta,0),0))</f>
        <v/>
      </c>
      <c r="AU41" s="19" t="str">
        <f ca="1"/>
        <v/>
      </c>
      <c r="AV41" s="20">
        <f t="shared" ca="1" si="19"/>
        <v>1</v>
      </c>
      <c r="AW41" s="20" t="str">
        <f t="shared" ca="1" si="9"/>
        <v/>
      </c>
      <c r="AX41" s="20" t="str" cm="1">
        <f t="array" aca="1" ref="AX41" ca="1">IF(AW41="","",IF(AW41&lt;&gt;AW40,1,IF(AX40=misLíneas-2,0,AX40+1)))</f>
        <v/>
      </c>
      <c r="AY41" s="20" t="str" cm="1">
        <f t="array" aca="1" ref="AY41" ca="1">IF(OR(AX41=0,AX41=""),"",INDEX(misCriticidades,AW41)&amp;"-"&amp;IFERROR(MATCH(AX41,miOrdenTarjeta,0),0))</f>
        <v/>
      </c>
    </row>
    <row r="42" spans="2:51" x14ac:dyDescent="0.25">
      <c r="B42" s="19" t="str">
        <f ca="1"/>
        <v/>
      </c>
      <c r="C42" s="20">
        <f t="shared" ca="1" si="20"/>
        <v>1</v>
      </c>
      <c r="D42" s="20" t="str">
        <f t="shared" ca="1" si="21"/>
        <v/>
      </c>
      <c r="E42" s="20" t="str" cm="1">
        <f t="array" aca="1" ref="E42" ca="1">IF(D42="","",IF(D42&lt;&gt;D41,1,IF(E41=misLíneas-2,0,E41+1)))</f>
        <v/>
      </c>
      <c r="F42" s="20" t="str" cm="1">
        <f t="array" aca="1" ref="F42" ca="1">IF(OR(E42=0,E42=""),"",INDEX(misCriticidades,D42)&amp;"-"&amp;IFERROR(MATCH(E42,miOrdenTarjeta,0),0))</f>
        <v/>
      </c>
      <c r="G42" s="19" t="str">
        <f ca="1"/>
        <v/>
      </c>
      <c r="H42" s="20">
        <f t="shared" ca="1" si="11"/>
        <v>4</v>
      </c>
      <c r="I42" s="20">
        <f t="shared" ca="1" si="22"/>
        <v>30</v>
      </c>
      <c r="J42" s="20" cm="1">
        <f t="array" aca="1" ref="J42" ca="1">IF(I42="","",IF(I42&lt;&gt;I41,1,IF(J41=misLíneas-2,0,J41+1)))</f>
        <v>0</v>
      </c>
      <c r="K42" s="20" t="str" cm="1">
        <f t="array" aca="1" ref="K42" ca="1">IF(OR(J42=0,J42=""),"",INDEX(misCriticidades,I42)&amp;"-"&amp;IFERROR(MATCH(J42,miOrdenTarjeta,0),0))</f>
        <v/>
      </c>
      <c r="L42" s="19" t="str">
        <f ca="1"/>
        <v/>
      </c>
      <c r="M42" s="20">
        <f t="shared" ca="1" si="12"/>
        <v>1</v>
      </c>
      <c r="N42" s="20" t="str">
        <f t="shared" ca="1" si="23"/>
        <v/>
      </c>
      <c r="O42" s="20" t="str" cm="1">
        <f t="array" aca="1" ref="O42" ca="1">IF(N42="","",IF(N42&lt;&gt;N41,1,IF(O41=misLíneas-2,0,O41+1)))</f>
        <v/>
      </c>
      <c r="P42" s="20" t="str" cm="1">
        <f t="array" aca="1" ref="P42" ca="1">IF(OR(O42=0,O42=""),"",INDEX(misCriticidades,N42)&amp;"-"&amp;IFERROR(MATCH(O42,miOrdenTarjeta,0),0))</f>
        <v/>
      </c>
      <c r="Q42" s="19" t="str">
        <f ca="1"/>
        <v/>
      </c>
      <c r="R42" s="20">
        <f t="shared" ca="1" si="13"/>
        <v>4</v>
      </c>
      <c r="S42" s="20">
        <f t="shared" ca="1" si="24"/>
        <v>26</v>
      </c>
      <c r="T42" s="20" cm="1">
        <f t="array" aca="1" ref="T42" ca="1">IF(S42="","",IF(S42&lt;&gt;S41,1,IF(T41=misLíneas-2,0,T41+1)))</f>
        <v>0</v>
      </c>
      <c r="U42" s="20" t="str" cm="1">
        <f t="array" aca="1" ref="U42" ca="1">IF(OR(T42=0,T42=""),"",INDEX(misCriticidades,S42)&amp;"-"&amp;IFERROR(MATCH(T42,miOrdenTarjeta,0),0))</f>
        <v/>
      </c>
      <c r="V42" s="19" t="str">
        <f ca="1"/>
        <v/>
      </c>
      <c r="W42" s="20">
        <f t="shared" ca="1" si="14"/>
        <v>1</v>
      </c>
      <c r="X42" s="20" t="str">
        <f t="shared" ca="1" si="25"/>
        <v/>
      </c>
      <c r="Y42" s="20" t="str" cm="1">
        <f t="array" aca="1" ref="Y42" ca="1">IF(X42="","",IF(X42&lt;&gt;X41,1,IF(Y41=misLíneas-2,0,Y41+1)))</f>
        <v/>
      </c>
      <c r="Z42" s="20" t="str" cm="1">
        <f t="array" aca="1" ref="Z42" ca="1">IF(OR(Y42=0,Y42=""),"",INDEX(misCriticidades,X42)&amp;"-"&amp;IFERROR(MATCH(Y42,miOrdenTarjeta,0),0))</f>
        <v/>
      </c>
      <c r="AA42" s="19" t="str">
        <f ca="1"/>
        <v/>
      </c>
      <c r="AB42" s="20">
        <f t="shared" ca="1" si="15"/>
        <v>1</v>
      </c>
      <c r="AC42" s="20" t="str">
        <f t="shared" ca="1" si="5"/>
        <v/>
      </c>
      <c r="AD42" s="20" t="str" cm="1">
        <f t="array" aca="1" ref="AD42" ca="1">IF(AC42="","",IF(AC42&lt;&gt;AC41,1,IF(AD41=misLíneas-2,0,AD41+1)))</f>
        <v/>
      </c>
      <c r="AE42" s="20" t="str" cm="1">
        <f t="array" aca="1" ref="AE42" ca="1">IF(OR(AD42=0,AD42=""),"",INDEX(misCriticidades,AC42)&amp;"-"&amp;IFERROR(MATCH(AD42,miOrdenTarjeta,0),0))</f>
        <v/>
      </c>
      <c r="AF42" s="19" t="str">
        <f ca="1"/>
        <v/>
      </c>
      <c r="AG42" s="20">
        <f t="shared" ca="1" si="16"/>
        <v>1</v>
      </c>
      <c r="AH42" s="20" t="str">
        <f t="shared" ca="1" si="6"/>
        <v/>
      </c>
      <c r="AI42" s="20" t="str" cm="1">
        <f t="array" aca="1" ref="AI42" ca="1">IF(AH42="","",IF(AH42&lt;&gt;AH41,1,IF(AI41=misLíneas-2,0,AI41+1)))</f>
        <v/>
      </c>
      <c r="AJ42" s="20" t="str" cm="1">
        <f t="array" aca="1" ref="AJ42" ca="1">IF(OR(AI42=0,AI42=""),"",INDEX(misCriticidades,AH42)&amp;"-"&amp;IFERROR(MATCH(AI42,miOrdenTarjeta,0),0))</f>
        <v/>
      </c>
      <c r="AK42" s="19" t="str">
        <f ca="1"/>
        <v/>
      </c>
      <c r="AL42" s="20">
        <f t="shared" ca="1" si="17"/>
        <v>1</v>
      </c>
      <c r="AM42" s="20" t="str">
        <f t="shared" ca="1" si="7"/>
        <v/>
      </c>
      <c r="AN42" s="20" t="str" cm="1">
        <f t="array" aca="1" ref="AN42" ca="1">IF(AM42="","",IF(AM42&lt;&gt;AM41,1,IF(AN41=misLíneas-2,0,AN41+1)))</f>
        <v/>
      </c>
      <c r="AO42" s="20" t="str" cm="1">
        <f t="array" aca="1" ref="AO42" ca="1">IF(OR(AN42=0,AN42=""),"",INDEX(misCriticidades,AM42)&amp;"-"&amp;IFERROR(MATCH(AN42,miOrdenTarjeta,0),0))</f>
        <v/>
      </c>
      <c r="AP42" s="19" t="str">
        <f ca="1"/>
        <v/>
      </c>
      <c r="AQ42" s="20">
        <f t="shared" ca="1" si="18"/>
        <v>1</v>
      </c>
      <c r="AR42" s="20" t="str">
        <f t="shared" ca="1" si="8"/>
        <v/>
      </c>
      <c r="AS42" s="20" t="str" cm="1">
        <f t="array" aca="1" ref="AS42" ca="1">IF(AR42="","",IF(AR42&lt;&gt;AR41,1,IF(AS41=misLíneas-2,0,AS41+1)))</f>
        <v/>
      </c>
      <c r="AT42" s="20" t="str" cm="1">
        <f t="array" aca="1" ref="AT42" ca="1">IF(OR(AS42=0,AS42=""),"",INDEX(misCriticidades,AR42)&amp;"-"&amp;IFERROR(MATCH(AS42,miOrdenTarjeta,0),0))</f>
        <v/>
      </c>
      <c r="AU42" s="19" t="str">
        <f ca="1"/>
        <v/>
      </c>
      <c r="AV42" s="20">
        <f t="shared" ca="1" si="19"/>
        <v>1</v>
      </c>
      <c r="AW42" s="20" t="str">
        <f t="shared" ca="1" si="9"/>
        <v/>
      </c>
      <c r="AX42" s="20" t="str" cm="1">
        <f t="array" aca="1" ref="AX42" ca="1">IF(AW42="","",IF(AW42&lt;&gt;AW41,1,IF(AX41=misLíneas-2,0,AX41+1)))</f>
        <v/>
      </c>
      <c r="AY42" s="20" t="str" cm="1">
        <f t="array" aca="1" ref="AY42" ca="1">IF(OR(AX42=0,AX42=""),"",INDEX(misCriticidades,AW42)&amp;"-"&amp;IFERROR(MATCH(AX42,miOrdenTarjeta,0),0))</f>
        <v/>
      </c>
    </row>
    <row r="43" spans="2:51" x14ac:dyDescent="0.25">
      <c r="B43" s="19" t="str">
        <f ca="1"/>
        <v/>
      </c>
      <c r="C43" s="20">
        <f t="shared" ca="1" si="20"/>
        <v>1</v>
      </c>
      <c r="D43" s="20" t="str">
        <f t="shared" ca="1" si="21"/>
        <v/>
      </c>
      <c r="E43" s="20" t="str" cm="1">
        <f t="array" aca="1" ref="E43" ca="1">IF(D43="","",IF(D43&lt;&gt;D42,1,IF(E42=misLíneas-2,0,E42+1)))</f>
        <v/>
      </c>
      <c r="F43" s="20" t="str" cm="1">
        <f t="array" aca="1" ref="F43" ca="1">IF(OR(E43=0,E43=""),"",INDEX(misCriticidades,D43)&amp;"-"&amp;IFERROR(MATCH(E43,miOrdenTarjeta,0),0))</f>
        <v/>
      </c>
      <c r="G43" s="19" t="str">
        <f ca="1"/>
        <v/>
      </c>
      <c r="H43" s="20">
        <f t="shared" ca="1" si="11"/>
        <v>5</v>
      </c>
      <c r="I43" s="20">
        <f t="shared" ca="1" si="22"/>
        <v>10</v>
      </c>
      <c r="J43" s="20" cm="1">
        <f t="array" aca="1" ref="J43" ca="1">IF(I43="","",IF(I43&lt;&gt;I42,1,IF(J42=misLíneas-2,0,J42+1)))</f>
        <v>1</v>
      </c>
      <c r="K43" s="20" t="str" cm="1">
        <f t="array" aca="1" ref="K43" ca="1">IF(OR(J43=0,J43=""),"",INDEX(misCriticidades,I43)&amp;"-"&amp;IFERROR(MATCH(J43,miOrdenTarjeta,0),0))</f>
        <v>2-1</v>
      </c>
      <c r="L43" s="19" t="str">
        <f ca="1"/>
        <v/>
      </c>
      <c r="M43" s="20">
        <f t="shared" ca="1" si="12"/>
        <v>1</v>
      </c>
      <c r="N43" s="20" t="str">
        <f t="shared" ca="1" si="23"/>
        <v/>
      </c>
      <c r="O43" s="20" t="str" cm="1">
        <f t="array" aca="1" ref="O43" ca="1">IF(N43="","",IF(N43&lt;&gt;N42,1,IF(O42=misLíneas-2,0,O42+1)))</f>
        <v/>
      </c>
      <c r="P43" s="20" t="str" cm="1">
        <f t="array" aca="1" ref="P43" ca="1">IF(OR(O43=0,O43=""),"",INDEX(misCriticidades,N43)&amp;"-"&amp;IFERROR(MATCH(O43,miOrdenTarjeta,0),0))</f>
        <v/>
      </c>
      <c r="Q43" s="19" t="str">
        <f ca="1"/>
        <v/>
      </c>
      <c r="R43" s="20">
        <f t="shared" ca="1" si="13"/>
        <v>5</v>
      </c>
      <c r="S43" s="20">
        <f t="shared" ca="1" si="24"/>
        <v>25</v>
      </c>
      <c r="T43" s="20" cm="1">
        <f t="array" aca="1" ref="T43" ca="1">IF(S43="","",IF(S43&lt;&gt;S42,1,IF(T42=misLíneas-2,0,T42+1)))</f>
        <v>1</v>
      </c>
      <c r="U43" s="20" t="str" cm="1">
        <f t="array" aca="1" ref="U43" ca="1">IF(OR(T43=0,T43=""),"",INDEX(misCriticidades,S43)&amp;"-"&amp;IFERROR(MATCH(T43,miOrdenTarjeta,0),0))</f>
        <v>2-1</v>
      </c>
      <c r="V43" s="19" t="str">
        <f ca="1"/>
        <v/>
      </c>
      <c r="W43" s="20">
        <f t="shared" ca="1" si="14"/>
        <v>1</v>
      </c>
      <c r="X43" s="20" t="str">
        <f t="shared" ca="1" si="25"/>
        <v/>
      </c>
      <c r="Y43" s="20" t="str" cm="1">
        <f t="array" aca="1" ref="Y43" ca="1">IF(X43="","",IF(X43&lt;&gt;X42,1,IF(Y42=misLíneas-2,0,Y42+1)))</f>
        <v/>
      </c>
      <c r="Z43" s="20" t="str" cm="1">
        <f t="array" aca="1" ref="Z43" ca="1">IF(OR(Y43=0,Y43=""),"",INDEX(misCriticidades,X43)&amp;"-"&amp;IFERROR(MATCH(Y43,miOrdenTarjeta,0),0))</f>
        <v/>
      </c>
      <c r="AA43" s="19" t="str">
        <f ca="1"/>
        <v/>
      </c>
      <c r="AB43" s="20">
        <f t="shared" ca="1" si="15"/>
        <v>1</v>
      </c>
      <c r="AC43" s="20" t="str">
        <f t="shared" ca="1" si="5"/>
        <v/>
      </c>
      <c r="AD43" s="20" t="str" cm="1">
        <f t="array" aca="1" ref="AD43" ca="1">IF(AC43="","",IF(AC43&lt;&gt;AC42,1,IF(AD42=misLíneas-2,0,AD42+1)))</f>
        <v/>
      </c>
      <c r="AE43" s="20" t="str" cm="1">
        <f t="array" aca="1" ref="AE43" ca="1">IF(OR(AD43=0,AD43=""),"",INDEX(misCriticidades,AC43)&amp;"-"&amp;IFERROR(MATCH(AD43,miOrdenTarjeta,0),0))</f>
        <v/>
      </c>
      <c r="AF43" s="19" t="str">
        <f ca="1"/>
        <v/>
      </c>
      <c r="AG43" s="20">
        <f t="shared" ca="1" si="16"/>
        <v>1</v>
      </c>
      <c r="AH43" s="20" t="str">
        <f t="shared" ca="1" si="6"/>
        <v/>
      </c>
      <c r="AI43" s="20" t="str" cm="1">
        <f t="array" aca="1" ref="AI43" ca="1">IF(AH43="","",IF(AH43&lt;&gt;AH42,1,IF(AI42=misLíneas-2,0,AI42+1)))</f>
        <v/>
      </c>
      <c r="AJ43" s="20" t="str" cm="1">
        <f t="array" aca="1" ref="AJ43" ca="1">IF(OR(AI43=0,AI43=""),"",INDEX(misCriticidades,AH43)&amp;"-"&amp;IFERROR(MATCH(AI43,miOrdenTarjeta,0),0))</f>
        <v/>
      </c>
      <c r="AK43" s="19" t="str">
        <f ca="1"/>
        <v/>
      </c>
      <c r="AL43" s="20">
        <f t="shared" ca="1" si="17"/>
        <v>1</v>
      </c>
      <c r="AM43" s="20" t="str">
        <f t="shared" ca="1" si="7"/>
        <v/>
      </c>
      <c r="AN43" s="20" t="str" cm="1">
        <f t="array" aca="1" ref="AN43" ca="1">IF(AM43="","",IF(AM43&lt;&gt;AM42,1,IF(AN42=misLíneas-2,0,AN42+1)))</f>
        <v/>
      </c>
      <c r="AO43" s="20" t="str" cm="1">
        <f t="array" aca="1" ref="AO43" ca="1">IF(OR(AN43=0,AN43=""),"",INDEX(misCriticidades,AM43)&amp;"-"&amp;IFERROR(MATCH(AN43,miOrdenTarjeta,0),0))</f>
        <v/>
      </c>
      <c r="AP43" s="19" t="str">
        <f ca="1"/>
        <v/>
      </c>
      <c r="AQ43" s="20">
        <f t="shared" ca="1" si="18"/>
        <v>1</v>
      </c>
      <c r="AR43" s="20" t="str">
        <f t="shared" ca="1" si="8"/>
        <v/>
      </c>
      <c r="AS43" s="20" t="str" cm="1">
        <f t="array" aca="1" ref="AS43" ca="1">IF(AR43="","",IF(AR43&lt;&gt;AR42,1,IF(AS42=misLíneas-2,0,AS42+1)))</f>
        <v/>
      </c>
      <c r="AT43" s="20" t="str" cm="1">
        <f t="array" aca="1" ref="AT43" ca="1">IF(OR(AS43=0,AS43=""),"",INDEX(misCriticidades,AR43)&amp;"-"&amp;IFERROR(MATCH(AS43,miOrdenTarjeta,0),0))</f>
        <v/>
      </c>
      <c r="AU43" s="19" t="str">
        <f ca="1"/>
        <v/>
      </c>
      <c r="AV43" s="20">
        <f t="shared" ca="1" si="19"/>
        <v>1</v>
      </c>
      <c r="AW43" s="20" t="str">
        <f t="shared" ca="1" si="9"/>
        <v/>
      </c>
      <c r="AX43" s="20" t="str" cm="1">
        <f t="array" aca="1" ref="AX43" ca="1">IF(AW43="","",IF(AW43&lt;&gt;AW42,1,IF(AX42=misLíneas-2,0,AX42+1)))</f>
        <v/>
      </c>
      <c r="AY43" s="20" t="str" cm="1">
        <f t="array" aca="1" ref="AY43" ca="1">IF(OR(AX43=0,AX43=""),"",INDEX(misCriticidades,AW43)&amp;"-"&amp;IFERROR(MATCH(AX43,miOrdenTarjeta,0),0))</f>
        <v/>
      </c>
    </row>
    <row r="44" spans="2:51" x14ac:dyDescent="0.25">
      <c r="B44" s="19" t="str">
        <f ca="1"/>
        <v/>
      </c>
      <c r="C44" s="20">
        <f t="shared" ca="1" si="20"/>
        <v>1</v>
      </c>
      <c r="D44" s="20" t="str">
        <f t="shared" ca="1" si="21"/>
        <v/>
      </c>
      <c r="E44" s="20" t="str" cm="1">
        <f t="array" aca="1" ref="E44" ca="1">IF(D44="","",IF(D44&lt;&gt;D43,1,IF(E43=misLíneas-2,0,E43+1)))</f>
        <v/>
      </c>
      <c r="F44" s="20" t="str" cm="1">
        <f t="array" aca="1" ref="F44" ca="1">IF(OR(E44=0,E44=""),"",INDEX(misCriticidades,D44)&amp;"-"&amp;IFERROR(MATCH(E44,miOrdenTarjeta,0),0))</f>
        <v/>
      </c>
      <c r="G44" s="19" t="str">
        <f ca="1"/>
        <v/>
      </c>
      <c r="H44" s="20">
        <f t="shared" ca="1" si="11"/>
        <v>5</v>
      </c>
      <c r="I44" s="20">
        <f t="shared" ca="1" si="22"/>
        <v>10</v>
      </c>
      <c r="J44" s="20" cm="1">
        <f t="array" aca="1" ref="J44" ca="1">IF(I44="","",IF(I44&lt;&gt;I43,1,IF(J43=misLíneas-2,0,J43+1)))</f>
        <v>2</v>
      </c>
      <c r="K44" s="20" t="str" cm="1">
        <f t="array" aca="1" ref="K44" ca="1">IF(OR(J44=0,J44=""),"",INDEX(misCriticidades,I44)&amp;"-"&amp;IFERROR(MATCH(J44,miOrdenTarjeta,0),0))</f>
        <v>2-2</v>
      </c>
      <c r="L44" s="19" t="str">
        <f ca="1"/>
        <v/>
      </c>
      <c r="M44" s="20">
        <f t="shared" ca="1" si="12"/>
        <v>1</v>
      </c>
      <c r="N44" s="20" t="str">
        <f t="shared" ca="1" si="23"/>
        <v/>
      </c>
      <c r="O44" s="20" t="str" cm="1">
        <f t="array" aca="1" ref="O44" ca="1">IF(N44="","",IF(N44&lt;&gt;N43,1,IF(O43=misLíneas-2,0,O43+1)))</f>
        <v/>
      </c>
      <c r="P44" s="20" t="str" cm="1">
        <f t="array" aca="1" ref="P44" ca="1">IF(OR(O44=0,O44=""),"",INDEX(misCriticidades,N44)&amp;"-"&amp;IFERROR(MATCH(O44,miOrdenTarjeta,0),0))</f>
        <v/>
      </c>
      <c r="Q44" s="19" t="str">
        <f ca="1"/>
        <v/>
      </c>
      <c r="R44" s="20">
        <f t="shared" ca="1" si="13"/>
        <v>5</v>
      </c>
      <c r="S44" s="20">
        <f t="shared" ca="1" si="24"/>
        <v>25</v>
      </c>
      <c r="T44" s="20" cm="1">
        <f t="array" aca="1" ref="T44" ca="1">IF(S44="","",IF(S44&lt;&gt;S43,1,IF(T43=misLíneas-2,0,T43+1)))</f>
        <v>2</v>
      </c>
      <c r="U44" s="20" t="str" cm="1">
        <f t="array" aca="1" ref="U44" ca="1">IF(OR(T44=0,T44=""),"",INDEX(misCriticidades,S44)&amp;"-"&amp;IFERROR(MATCH(T44,miOrdenTarjeta,0),0))</f>
        <v>2-2</v>
      </c>
      <c r="V44" s="19" t="str">
        <f ca="1"/>
        <v/>
      </c>
      <c r="W44" s="20">
        <f t="shared" ca="1" si="14"/>
        <v>1</v>
      </c>
      <c r="X44" s="20" t="str">
        <f t="shared" ca="1" si="25"/>
        <v/>
      </c>
      <c r="Y44" s="20" t="str" cm="1">
        <f t="array" aca="1" ref="Y44" ca="1">IF(X44="","",IF(X44&lt;&gt;X43,1,IF(Y43=misLíneas-2,0,Y43+1)))</f>
        <v/>
      </c>
      <c r="Z44" s="20" t="str" cm="1">
        <f t="array" aca="1" ref="Z44" ca="1">IF(OR(Y44=0,Y44=""),"",INDEX(misCriticidades,X44)&amp;"-"&amp;IFERROR(MATCH(Y44,miOrdenTarjeta,0),0))</f>
        <v/>
      </c>
      <c r="AA44" s="19" t="str">
        <f ca="1"/>
        <v/>
      </c>
      <c r="AB44" s="20">
        <f t="shared" ca="1" si="15"/>
        <v>1</v>
      </c>
      <c r="AC44" s="20" t="str">
        <f t="shared" ca="1" si="5"/>
        <v/>
      </c>
      <c r="AD44" s="20" t="str" cm="1">
        <f t="array" aca="1" ref="AD44" ca="1">IF(AC44="","",IF(AC44&lt;&gt;AC43,1,IF(AD43=misLíneas-2,0,AD43+1)))</f>
        <v/>
      </c>
      <c r="AE44" s="20" t="str" cm="1">
        <f t="array" aca="1" ref="AE44" ca="1">IF(OR(AD44=0,AD44=""),"",INDEX(misCriticidades,AC44)&amp;"-"&amp;IFERROR(MATCH(AD44,miOrdenTarjeta,0),0))</f>
        <v/>
      </c>
      <c r="AF44" s="19" t="str">
        <f ca="1"/>
        <v/>
      </c>
      <c r="AG44" s="20">
        <f t="shared" ca="1" si="16"/>
        <v>1</v>
      </c>
      <c r="AH44" s="20" t="str">
        <f t="shared" ca="1" si="6"/>
        <v/>
      </c>
      <c r="AI44" s="20" t="str" cm="1">
        <f t="array" aca="1" ref="AI44" ca="1">IF(AH44="","",IF(AH44&lt;&gt;AH43,1,IF(AI43=misLíneas-2,0,AI43+1)))</f>
        <v/>
      </c>
      <c r="AJ44" s="20" t="str" cm="1">
        <f t="array" aca="1" ref="AJ44" ca="1">IF(OR(AI44=0,AI44=""),"",INDEX(misCriticidades,AH44)&amp;"-"&amp;IFERROR(MATCH(AI44,miOrdenTarjeta,0),0))</f>
        <v/>
      </c>
      <c r="AK44" s="19" t="str">
        <f ca="1"/>
        <v/>
      </c>
      <c r="AL44" s="20">
        <f t="shared" ca="1" si="17"/>
        <v>1</v>
      </c>
      <c r="AM44" s="20" t="str">
        <f t="shared" ca="1" si="7"/>
        <v/>
      </c>
      <c r="AN44" s="20" t="str" cm="1">
        <f t="array" aca="1" ref="AN44" ca="1">IF(AM44="","",IF(AM44&lt;&gt;AM43,1,IF(AN43=misLíneas-2,0,AN43+1)))</f>
        <v/>
      </c>
      <c r="AO44" s="20" t="str" cm="1">
        <f t="array" aca="1" ref="AO44" ca="1">IF(OR(AN44=0,AN44=""),"",INDEX(misCriticidades,AM44)&amp;"-"&amp;IFERROR(MATCH(AN44,miOrdenTarjeta,0),0))</f>
        <v/>
      </c>
      <c r="AP44" s="19" t="str">
        <f ca="1"/>
        <v/>
      </c>
      <c r="AQ44" s="20">
        <f t="shared" ca="1" si="18"/>
        <v>1</v>
      </c>
      <c r="AR44" s="20" t="str">
        <f t="shared" ca="1" si="8"/>
        <v/>
      </c>
      <c r="AS44" s="20" t="str" cm="1">
        <f t="array" aca="1" ref="AS44" ca="1">IF(AR44="","",IF(AR44&lt;&gt;AR43,1,IF(AS43=misLíneas-2,0,AS43+1)))</f>
        <v/>
      </c>
      <c r="AT44" s="20" t="str" cm="1">
        <f t="array" aca="1" ref="AT44" ca="1">IF(OR(AS44=0,AS44=""),"",INDEX(misCriticidades,AR44)&amp;"-"&amp;IFERROR(MATCH(AS44,miOrdenTarjeta,0),0))</f>
        <v/>
      </c>
      <c r="AU44" s="19" t="str">
        <f ca="1"/>
        <v/>
      </c>
      <c r="AV44" s="20">
        <f t="shared" ca="1" si="19"/>
        <v>1</v>
      </c>
      <c r="AW44" s="20" t="str">
        <f t="shared" ca="1" si="9"/>
        <v/>
      </c>
      <c r="AX44" s="20" t="str" cm="1">
        <f t="array" aca="1" ref="AX44" ca="1">IF(AW44="","",IF(AW44&lt;&gt;AW43,1,IF(AX43=misLíneas-2,0,AX43+1)))</f>
        <v/>
      </c>
      <c r="AY44" s="20" t="str" cm="1">
        <f t="array" aca="1" ref="AY44" ca="1">IF(OR(AX44=0,AX44=""),"",INDEX(misCriticidades,AW44)&amp;"-"&amp;IFERROR(MATCH(AX44,miOrdenTarjeta,0),0))</f>
        <v/>
      </c>
    </row>
    <row r="45" spans="2:51" x14ac:dyDescent="0.25">
      <c r="B45" s="19" t="str">
        <f ca="1"/>
        <v/>
      </c>
      <c r="C45" s="20">
        <f t="shared" ca="1" si="20"/>
        <v>1</v>
      </c>
      <c r="D45" s="20" t="str">
        <f t="shared" ca="1" si="21"/>
        <v/>
      </c>
      <c r="E45" s="20" t="str" cm="1">
        <f t="array" aca="1" ref="E45" ca="1">IF(D45="","",IF(D45&lt;&gt;D44,1,IF(E44=misLíneas-2,0,E44+1)))</f>
        <v/>
      </c>
      <c r="F45" s="20" t="str" cm="1">
        <f t="array" aca="1" ref="F45" ca="1">IF(OR(E45=0,E45=""),"",INDEX(misCriticidades,D45)&amp;"-"&amp;IFERROR(MATCH(E45,miOrdenTarjeta,0),0))</f>
        <v/>
      </c>
      <c r="G45" s="19" t="str">
        <f ca="1"/>
        <v/>
      </c>
      <c r="H45" s="20">
        <f t="shared" ca="1" si="11"/>
        <v>5</v>
      </c>
      <c r="I45" s="20">
        <f t="shared" ca="1" si="22"/>
        <v>10</v>
      </c>
      <c r="J45" s="20" cm="1">
        <f t="array" aca="1" ref="J45" ca="1">IF(I45="","",IF(I45&lt;&gt;I44,1,IF(J44=misLíneas-2,0,J44+1)))</f>
        <v>3</v>
      </c>
      <c r="K45" s="20" t="str" cm="1">
        <f t="array" aca="1" ref="K45" ca="1">IF(OR(J45=0,J45=""),"",INDEX(misCriticidades,I45)&amp;"-"&amp;IFERROR(MATCH(J45,miOrdenTarjeta,0),0))</f>
        <v>2-3</v>
      </c>
      <c r="L45" s="19" t="str">
        <f ca="1"/>
        <v/>
      </c>
      <c r="M45" s="20">
        <f t="shared" ca="1" si="12"/>
        <v>1</v>
      </c>
      <c r="N45" s="20" t="str">
        <f t="shared" ca="1" si="23"/>
        <v/>
      </c>
      <c r="O45" s="20" t="str" cm="1">
        <f t="array" aca="1" ref="O45" ca="1">IF(N45="","",IF(N45&lt;&gt;N44,1,IF(O44=misLíneas-2,0,O44+1)))</f>
        <v/>
      </c>
      <c r="P45" s="20" t="str" cm="1">
        <f t="array" aca="1" ref="P45" ca="1">IF(OR(O45=0,O45=""),"",INDEX(misCriticidades,N45)&amp;"-"&amp;IFERROR(MATCH(O45,miOrdenTarjeta,0),0))</f>
        <v/>
      </c>
      <c r="Q45" s="19" t="str">
        <f ca="1"/>
        <v/>
      </c>
      <c r="R45" s="20">
        <f t="shared" ca="1" si="13"/>
        <v>5</v>
      </c>
      <c r="S45" s="20">
        <f t="shared" ca="1" si="24"/>
        <v>25</v>
      </c>
      <c r="T45" s="20" cm="1">
        <f t="array" aca="1" ref="T45" ca="1">IF(S45="","",IF(S45&lt;&gt;S44,1,IF(T44=misLíneas-2,0,T44+1)))</f>
        <v>3</v>
      </c>
      <c r="U45" s="20" t="str" cm="1">
        <f t="array" aca="1" ref="U45" ca="1">IF(OR(T45=0,T45=""),"",INDEX(misCriticidades,S45)&amp;"-"&amp;IFERROR(MATCH(T45,miOrdenTarjeta,0),0))</f>
        <v>2-3</v>
      </c>
      <c r="V45" s="19" t="str">
        <f ca="1"/>
        <v/>
      </c>
      <c r="W45" s="20">
        <f t="shared" ca="1" si="14"/>
        <v>1</v>
      </c>
      <c r="X45" s="20" t="str">
        <f t="shared" ca="1" si="25"/>
        <v/>
      </c>
      <c r="Y45" s="20" t="str" cm="1">
        <f t="array" aca="1" ref="Y45" ca="1">IF(X45="","",IF(X45&lt;&gt;X44,1,IF(Y44=misLíneas-2,0,Y44+1)))</f>
        <v/>
      </c>
      <c r="Z45" s="20" t="str" cm="1">
        <f t="array" aca="1" ref="Z45" ca="1">IF(OR(Y45=0,Y45=""),"",INDEX(misCriticidades,X45)&amp;"-"&amp;IFERROR(MATCH(Y45,miOrdenTarjeta,0),0))</f>
        <v/>
      </c>
      <c r="AA45" s="19" t="str">
        <f ca="1"/>
        <v/>
      </c>
      <c r="AB45" s="20">
        <f t="shared" ca="1" si="15"/>
        <v>1</v>
      </c>
      <c r="AC45" s="20" t="str">
        <f t="shared" ca="1" si="5"/>
        <v/>
      </c>
      <c r="AD45" s="20" t="str" cm="1">
        <f t="array" aca="1" ref="AD45" ca="1">IF(AC45="","",IF(AC45&lt;&gt;AC44,1,IF(AD44=misLíneas-2,0,AD44+1)))</f>
        <v/>
      </c>
      <c r="AE45" s="20" t="str" cm="1">
        <f t="array" aca="1" ref="AE45" ca="1">IF(OR(AD45=0,AD45=""),"",INDEX(misCriticidades,AC45)&amp;"-"&amp;IFERROR(MATCH(AD45,miOrdenTarjeta,0),0))</f>
        <v/>
      </c>
      <c r="AF45" s="19" t="str">
        <f ca="1"/>
        <v/>
      </c>
      <c r="AG45" s="20">
        <f t="shared" ca="1" si="16"/>
        <v>1</v>
      </c>
      <c r="AH45" s="20" t="str">
        <f t="shared" ca="1" si="6"/>
        <v/>
      </c>
      <c r="AI45" s="20" t="str" cm="1">
        <f t="array" aca="1" ref="AI45" ca="1">IF(AH45="","",IF(AH45&lt;&gt;AH44,1,IF(AI44=misLíneas-2,0,AI44+1)))</f>
        <v/>
      </c>
      <c r="AJ45" s="20" t="str" cm="1">
        <f t="array" aca="1" ref="AJ45" ca="1">IF(OR(AI45=0,AI45=""),"",INDEX(misCriticidades,AH45)&amp;"-"&amp;IFERROR(MATCH(AI45,miOrdenTarjeta,0),0))</f>
        <v/>
      </c>
      <c r="AK45" s="19" t="str">
        <f ca="1"/>
        <v/>
      </c>
      <c r="AL45" s="20">
        <f t="shared" ca="1" si="17"/>
        <v>1</v>
      </c>
      <c r="AM45" s="20" t="str">
        <f t="shared" ca="1" si="7"/>
        <v/>
      </c>
      <c r="AN45" s="20" t="str" cm="1">
        <f t="array" aca="1" ref="AN45" ca="1">IF(AM45="","",IF(AM45&lt;&gt;AM44,1,IF(AN44=misLíneas-2,0,AN44+1)))</f>
        <v/>
      </c>
      <c r="AO45" s="20" t="str" cm="1">
        <f t="array" aca="1" ref="AO45" ca="1">IF(OR(AN45=0,AN45=""),"",INDEX(misCriticidades,AM45)&amp;"-"&amp;IFERROR(MATCH(AN45,miOrdenTarjeta,0),0))</f>
        <v/>
      </c>
      <c r="AP45" s="19" t="str">
        <f ca="1"/>
        <v/>
      </c>
      <c r="AQ45" s="20">
        <f t="shared" ca="1" si="18"/>
        <v>1</v>
      </c>
      <c r="AR45" s="20" t="str">
        <f t="shared" ca="1" si="8"/>
        <v/>
      </c>
      <c r="AS45" s="20" t="str" cm="1">
        <f t="array" aca="1" ref="AS45" ca="1">IF(AR45="","",IF(AR45&lt;&gt;AR44,1,IF(AS44=misLíneas-2,0,AS44+1)))</f>
        <v/>
      </c>
      <c r="AT45" s="20" t="str" cm="1">
        <f t="array" aca="1" ref="AT45" ca="1">IF(OR(AS45=0,AS45=""),"",INDEX(misCriticidades,AR45)&amp;"-"&amp;IFERROR(MATCH(AS45,miOrdenTarjeta,0),0))</f>
        <v/>
      </c>
      <c r="AU45" s="19" t="str">
        <f ca="1"/>
        <v/>
      </c>
      <c r="AV45" s="20">
        <f t="shared" ca="1" si="19"/>
        <v>1</v>
      </c>
      <c r="AW45" s="20" t="str">
        <f t="shared" ca="1" si="9"/>
        <v/>
      </c>
      <c r="AX45" s="20" t="str" cm="1">
        <f t="array" aca="1" ref="AX45" ca="1">IF(AW45="","",IF(AW45&lt;&gt;AW44,1,IF(AX44=misLíneas-2,0,AX44+1)))</f>
        <v/>
      </c>
      <c r="AY45" s="20" t="str" cm="1">
        <f t="array" aca="1" ref="AY45" ca="1">IF(OR(AX45=0,AX45=""),"",INDEX(misCriticidades,AW45)&amp;"-"&amp;IFERROR(MATCH(AX45,miOrdenTarjeta,0),0))</f>
        <v/>
      </c>
    </row>
    <row r="46" spans="2:51" x14ac:dyDescent="0.25">
      <c r="B46" s="19" t="str">
        <f ca="1"/>
        <v/>
      </c>
      <c r="C46" s="20">
        <f t="shared" ca="1" si="20"/>
        <v>1</v>
      </c>
      <c r="D46" s="20" t="str">
        <f t="shared" ca="1" si="21"/>
        <v/>
      </c>
      <c r="E46" s="20" t="str" cm="1">
        <f t="array" aca="1" ref="E46" ca="1">IF(D46="","",IF(D46&lt;&gt;D45,1,IF(E45=misLíneas-2,0,E45+1)))</f>
        <v/>
      </c>
      <c r="F46" s="20" t="str" cm="1">
        <f t="array" aca="1" ref="F46" ca="1">IF(OR(E46=0,E46=""),"",INDEX(misCriticidades,D46)&amp;"-"&amp;IFERROR(MATCH(E46,miOrdenTarjeta,0),0))</f>
        <v/>
      </c>
      <c r="G46" s="19" t="str">
        <f ca="1"/>
        <v/>
      </c>
      <c r="H46" s="20">
        <f t="shared" ca="1" si="11"/>
        <v>5</v>
      </c>
      <c r="I46" s="20">
        <f t="shared" ca="1" si="22"/>
        <v>10</v>
      </c>
      <c r="J46" s="20" cm="1">
        <f t="array" aca="1" ref="J46" ca="1">IF(I46="","",IF(I46&lt;&gt;I45,1,IF(J45=misLíneas-2,0,J45+1)))</f>
        <v>4</v>
      </c>
      <c r="K46" s="20" t="str" cm="1">
        <f t="array" aca="1" ref="K46" ca="1">IF(OR(J46=0,J46=""),"",INDEX(misCriticidades,I46)&amp;"-"&amp;IFERROR(MATCH(J46,miOrdenTarjeta,0),0))</f>
        <v>2-4</v>
      </c>
      <c r="L46" s="19" t="str">
        <f ca="1"/>
        <v/>
      </c>
      <c r="M46" s="20">
        <f t="shared" ca="1" si="12"/>
        <v>1</v>
      </c>
      <c r="N46" s="20" t="str">
        <f t="shared" ca="1" si="23"/>
        <v/>
      </c>
      <c r="O46" s="20" t="str" cm="1">
        <f t="array" aca="1" ref="O46" ca="1">IF(N46="","",IF(N46&lt;&gt;N45,1,IF(O45=misLíneas-2,0,O45+1)))</f>
        <v/>
      </c>
      <c r="P46" s="20" t="str" cm="1">
        <f t="array" aca="1" ref="P46" ca="1">IF(OR(O46=0,O46=""),"",INDEX(misCriticidades,N46)&amp;"-"&amp;IFERROR(MATCH(O46,miOrdenTarjeta,0),0))</f>
        <v/>
      </c>
      <c r="Q46" s="19" t="str">
        <f ca="1"/>
        <v/>
      </c>
      <c r="R46" s="20">
        <f t="shared" ca="1" si="13"/>
        <v>5</v>
      </c>
      <c r="S46" s="20">
        <f t="shared" ca="1" si="24"/>
        <v>25</v>
      </c>
      <c r="T46" s="20" cm="1">
        <f t="array" aca="1" ref="T46" ca="1">IF(S46="","",IF(S46&lt;&gt;S45,1,IF(T45=misLíneas-2,0,T45+1)))</f>
        <v>4</v>
      </c>
      <c r="U46" s="20" t="str" cm="1">
        <f t="array" aca="1" ref="U46" ca="1">IF(OR(T46=0,T46=""),"",INDEX(misCriticidades,S46)&amp;"-"&amp;IFERROR(MATCH(T46,miOrdenTarjeta,0),0))</f>
        <v>2-4</v>
      </c>
      <c r="V46" s="19" t="str">
        <f ca="1"/>
        <v/>
      </c>
      <c r="W46" s="20">
        <f t="shared" ca="1" si="14"/>
        <v>1</v>
      </c>
      <c r="X46" s="20" t="str">
        <f t="shared" ca="1" si="25"/>
        <v/>
      </c>
      <c r="Y46" s="20" t="str" cm="1">
        <f t="array" aca="1" ref="Y46" ca="1">IF(X46="","",IF(X46&lt;&gt;X45,1,IF(Y45=misLíneas-2,0,Y45+1)))</f>
        <v/>
      </c>
      <c r="Z46" s="20" t="str" cm="1">
        <f t="array" aca="1" ref="Z46" ca="1">IF(OR(Y46=0,Y46=""),"",INDEX(misCriticidades,X46)&amp;"-"&amp;IFERROR(MATCH(Y46,miOrdenTarjeta,0),0))</f>
        <v/>
      </c>
      <c r="AA46" s="19" t="str">
        <f ca="1"/>
        <v/>
      </c>
      <c r="AB46" s="20">
        <f t="shared" ca="1" si="15"/>
        <v>1</v>
      </c>
      <c r="AC46" s="20" t="str">
        <f t="shared" ca="1" si="5"/>
        <v/>
      </c>
      <c r="AD46" s="20" t="str" cm="1">
        <f t="array" aca="1" ref="AD46" ca="1">IF(AC46="","",IF(AC46&lt;&gt;AC45,1,IF(AD45=misLíneas-2,0,AD45+1)))</f>
        <v/>
      </c>
      <c r="AE46" s="20" t="str" cm="1">
        <f t="array" aca="1" ref="AE46" ca="1">IF(OR(AD46=0,AD46=""),"",INDEX(misCriticidades,AC46)&amp;"-"&amp;IFERROR(MATCH(AD46,miOrdenTarjeta,0),0))</f>
        <v/>
      </c>
      <c r="AF46" s="19" t="str">
        <f ca="1"/>
        <v/>
      </c>
      <c r="AG46" s="20">
        <f t="shared" ca="1" si="16"/>
        <v>1</v>
      </c>
      <c r="AH46" s="20" t="str">
        <f t="shared" ca="1" si="6"/>
        <v/>
      </c>
      <c r="AI46" s="20" t="str" cm="1">
        <f t="array" aca="1" ref="AI46" ca="1">IF(AH46="","",IF(AH46&lt;&gt;AH45,1,IF(AI45=misLíneas-2,0,AI45+1)))</f>
        <v/>
      </c>
      <c r="AJ46" s="20" t="str" cm="1">
        <f t="array" aca="1" ref="AJ46" ca="1">IF(OR(AI46=0,AI46=""),"",INDEX(misCriticidades,AH46)&amp;"-"&amp;IFERROR(MATCH(AI46,miOrdenTarjeta,0),0))</f>
        <v/>
      </c>
      <c r="AK46" s="19" t="str">
        <f ca="1"/>
        <v/>
      </c>
      <c r="AL46" s="20">
        <f t="shared" ca="1" si="17"/>
        <v>1</v>
      </c>
      <c r="AM46" s="20" t="str">
        <f t="shared" ca="1" si="7"/>
        <v/>
      </c>
      <c r="AN46" s="20" t="str" cm="1">
        <f t="array" aca="1" ref="AN46" ca="1">IF(AM46="","",IF(AM46&lt;&gt;AM45,1,IF(AN45=misLíneas-2,0,AN45+1)))</f>
        <v/>
      </c>
      <c r="AO46" s="20" t="str" cm="1">
        <f t="array" aca="1" ref="AO46" ca="1">IF(OR(AN46=0,AN46=""),"",INDEX(misCriticidades,AM46)&amp;"-"&amp;IFERROR(MATCH(AN46,miOrdenTarjeta,0),0))</f>
        <v/>
      </c>
      <c r="AP46" s="19" t="str">
        <f ca="1"/>
        <v/>
      </c>
      <c r="AQ46" s="20">
        <f t="shared" ca="1" si="18"/>
        <v>1</v>
      </c>
      <c r="AR46" s="20" t="str">
        <f t="shared" ca="1" si="8"/>
        <v/>
      </c>
      <c r="AS46" s="20" t="str" cm="1">
        <f t="array" aca="1" ref="AS46" ca="1">IF(AR46="","",IF(AR46&lt;&gt;AR45,1,IF(AS45=misLíneas-2,0,AS45+1)))</f>
        <v/>
      </c>
      <c r="AT46" s="20" t="str" cm="1">
        <f t="array" aca="1" ref="AT46" ca="1">IF(OR(AS46=0,AS46=""),"",INDEX(misCriticidades,AR46)&amp;"-"&amp;IFERROR(MATCH(AS46,miOrdenTarjeta,0),0))</f>
        <v/>
      </c>
      <c r="AU46" s="19" t="str">
        <f ca="1"/>
        <v/>
      </c>
      <c r="AV46" s="20">
        <f t="shared" ca="1" si="19"/>
        <v>1</v>
      </c>
      <c r="AW46" s="20" t="str">
        <f t="shared" ca="1" si="9"/>
        <v/>
      </c>
      <c r="AX46" s="20" t="str" cm="1">
        <f t="array" aca="1" ref="AX46" ca="1">IF(AW46="","",IF(AW46&lt;&gt;AW45,1,IF(AX45=misLíneas-2,0,AX45+1)))</f>
        <v/>
      </c>
      <c r="AY46" s="20" t="str" cm="1">
        <f t="array" aca="1" ref="AY46" ca="1">IF(OR(AX46=0,AX46=""),"",INDEX(misCriticidades,AW46)&amp;"-"&amp;IFERROR(MATCH(AX46,miOrdenTarjeta,0),0))</f>
        <v/>
      </c>
    </row>
    <row r="47" spans="2:51" x14ac:dyDescent="0.25">
      <c r="B47" s="19" t="str">
        <f ca="1"/>
        <v/>
      </c>
      <c r="C47" s="20">
        <f t="shared" ca="1" si="20"/>
        <v>1</v>
      </c>
      <c r="D47" s="20" t="str">
        <f t="shared" ca="1" si="21"/>
        <v/>
      </c>
      <c r="E47" s="20" t="str" cm="1">
        <f t="array" aca="1" ref="E47" ca="1">IF(D47="","",IF(D47&lt;&gt;D46,1,IF(E46=misLíneas-2,0,E46+1)))</f>
        <v/>
      </c>
      <c r="F47" s="20" t="str" cm="1">
        <f t="array" aca="1" ref="F47" ca="1">IF(OR(E47=0,E47=""),"",INDEX(misCriticidades,D47)&amp;"-"&amp;IFERROR(MATCH(E47,miOrdenTarjeta,0),0))</f>
        <v/>
      </c>
      <c r="G47" s="19" t="str">
        <f ca="1"/>
        <v/>
      </c>
      <c r="H47" s="20">
        <f t="shared" ca="1" si="11"/>
        <v>5</v>
      </c>
      <c r="I47" s="20">
        <f t="shared" ca="1" si="22"/>
        <v>10</v>
      </c>
      <c r="J47" s="20" cm="1">
        <f t="array" aca="1" ref="J47" ca="1">IF(I47="","",IF(I47&lt;&gt;I46,1,IF(J46=misLíneas-2,0,J46+1)))</f>
        <v>5</v>
      </c>
      <c r="K47" s="20" t="str" cm="1">
        <f t="array" aca="1" ref="K47" ca="1">IF(OR(J47=0,J47=""),"",INDEX(misCriticidades,I47)&amp;"-"&amp;IFERROR(MATCH(J47,miOrdenTarjeta,0),0))</f>
        <v>2-5</v>
      </c>
      <c r="L47" s="19" t="str">
        <f ca="1"/>
        <v/>
      </c>
      <c r="M47" s="20">
        <f t="shared" ca="1" si="12"/>
        <v>1</v>
      </c>
      <c r="N47" s="20" t="str">
        <f t="shared" ca="1" si="23"/>
        <v/>
      </c>
      <c r="O47" s="20" t="str" cm="1">
        <f t="array" aca="1" ref="O47" ca="1">IF(N47="","",IF(N47&lt;&gt;N46,1,IF(O46=misLíneas-2,0,O46+1)))</f>
        <v/>
      </c>
      <c r="P47" s="20" t="str" cm="1">
        <f t="array" aca="1" ref="P47" ca="1">IF(OR(O47=0,O47=""),"",INDEX(misCriticidades,N47)&amp;"-"&amp;IFERROR(MATCH(O47,miOrdenTarjeta,0),0))</f>
        <v/>
      </c>
      <c r="Q47" s="19" t="str">
        <f ca="1"/>
        <v/>
      </c>
      <c r="R47" s="20">
        <f t="shared" ca="1" si="13"/>
        <v>5</v>
      </c>
      <c r="S47" s="20">
        <f t="shared" ca="1" si="24"/>
        <v>25</v>
      </c>
      <c r="T47" s="20" cm="1">
        <f t="array" aca="1" ref="T47" ca="1">IF(S47="","",IF(S47&lt;&gt;S46,1,IF(T46=misLíneas-2,0,T46+1)))</f>
        <v>5</v>
      </c>
      <c r="U47" s="20" t="str" cm="1">
        <f t="array" aca="1" ref="U47" ca="1">IF(OR(T47=0,T47=""),"",INDEX(misCriticidades,S47)&amp;"-"&amp;IFERROR(MATCH(T47,miOrdenTarjeta,0),0))</f>
        <v>2-5</v>
      </c>
      <c r="V47" s="19" t="str">
        <f ca="1"/>
        <v/>
      </c>
      <c r="W47" s="20">
        <f t="shared" ca="1" si="14"/>
        <v>1</v>
      </c>
      <c r="X47" s="20" t="str">
        <f t="shared" ca="1" si="25"/>
        <v/>
      </c>
      <c r="Y47" s="20" t="str" cm="1">
        <f t="array" aca="1" ref="Y47" ca="1">IF(X47="","",IF(X47&lt;&gt;X46,1,IF(Y46=misLíneas-2,0,Y46+1)))</f>
        <v/>
      </c>
      <c r="Z47" s="20" t="str" cm="1">
        <f t="array" aca="1" ref="Z47" ca="1">IF(OR(Y47=0,Y47=""),"",INDEX(misCriticidades,X47)&amp;"-"&amp;IFERROR(MATCH(Y47,miOrdenTarjeta,0),0))</f>
        <v/>
      </c>
      <c r="AA47" s="19" t="str">
        <f ca="1"/>
        <v/>
      </c>
      <c r="AB47" s="20">
        <f t="shared" ca="1" si="15"/>
        <v>1</v>
      </c>
      <c r="AC47" s="20" t="str">
        <f t="shared" ca="1" si="5"/>
        <v/>
      </c>
      <c r="AD47" s="20" t="str" cm="1">
        <f t="array" aca="1" ref="AD47" ca="1">IF(AC47="","",IF(AC47&lt;&gt;AC46,1,IF(AD46=misLíneas-2,0,AD46+1)))</f>
        <v/>
      </c>
      <c r="AE47" s="20" t="str" cm="1">
        <f t="array" aca="1" ref="AE47" ca="1">IF(OR(AD47=0,AD47=""),"",INDEX(misCriticidades,AC47)&amp;"-"&amp;IFERROR(MATCH(AD47,miOrdenTarjeta,0),0))</f>
        <v/>
      </c>
      <c r="AF47" s="19" t="str">
        <f ca="1"/>
        <v/>
      </c>
      <c r="AG47" s="20">
        <f t="shared" ca="1" si="16"/>
        <v>1</v>
      </c>
      <c r="AH47" s="20" t="str">
        <f t="shared" ca="1" si="6"/>
        <v/>
      </c>
      <c r="AI47" s="20" t="str" cm="1">
        <f t="array" aca="1" ref="AI47" ca="1">IF(AH47="","",IF(AH47&lt;&gt;AH46,1,IF(AI46=misLíneas-2,0,AI46+1)))</f>
        <v/>
      </c>
      <c r="AJ47" s="20" t="str" cm="1">
        <f t="array" aca="1" ref="AJ47" ca="1">IF(OR(AI47=0,AI47=""),"",INDEX(misCriticidades,AH47)&amp;"-"&amp;IFERROR(MATCH(AI47,miOrdenTarjeta,0),0))</f>
        <v/>
      </c>
      <c r="AK47" s="19" t="str">
        <f ca="1"/>
        <v/>
      </c>
      <c r="AL47" s="20">
        <f t="shared" ca="1" si="17"/>
        <v>1</v>
      </c>
      <c r="AM47" s="20" t="str">
        <f t="shared" ca="1" si="7"/>
        <v/>
      </c>
      <c r="AN47" s="20" t="str" cm="1">
        <f t="array" aca="1" ref="AN47" ca="1">IF(AM47="","",IF(AM47&lt;&gt;AM46,1,IF(AN46=misLíneas-2,0,AN46+1)))</f>
        <v/>
      </c>
      <c r="AO47" s="20" t="str" cm="1">
        <f t="array" aca="1" ref="AO47" ca="1">IF(OR(AN47=0,AN47=""),"",INDEX(misCriticidades,AM47)&amp;"-"&amp;IFERROR(MATCH(AN47,miOrdenTarjeta,0),0))</f>
        <v/>
      </c>
      <c r="AP47" s="19" t="str">
        <f ca="1"/>
        <v/>
      </c>
      <c r="AQ47" s="20">
        <f t="shared" ca="1" si="18"/>
        <v>1</v>
      </c>
      <c r="AR47" s="20" t="str">
        <f t="shared" ca="1" si="8"/>
        <v/>
      </c>
      <c r="AS47" s="20" t="str" cm="1">
        <f t="array" aca="1" ref="AS47" ca="1">IF(AR47="","",IF(AR47&lt;&gt;AR46,1,IF(AS46=misLíneas-2,0,AS46+1)))</f>
        <v/>
      </c>
      <c r="AT47" s="20" t="str" cm="1">
        <f t="array" aca="1" ref="AT47" ca="1">IF(OR(AS47=0,AS47=""),"",INDEX(misCriticidades,AR47)&amp;"-"&amp;IFERROR(MATCH(AS47,miOrdenTarjeta,0),0))</f>
        <v/>
      </c>
      <c r="AU47" s="19" t="str">
        <f ca="1"/>
        <v/>
      </c>
      <c r="AV47" s="20">
        <f t="shared" ca="1" si="19"/>
        <v>1</v>
      </c>
      <c r="AW47" s="20" t="str">
        <f t="shared" ca="1" si="9"/>
        <v/>
      </c>
      <c r="AX47" s="20" t="str" cm="1">
        <f t="array" aca="1" ref="AX47" ca="1">IF(AW47="","",IF(AW47&lt;&gt;AW46,1,IF(AX46=misLíneas-2,0,AX46+1)))</f>
        <v/>
      </c>
      <c r="AY47" s="20" t="str" cm="1">
        <f t="array" aca="1" ref="AY47" ca="1">IF(OR(AX47=0,AX47=""),"",INDEX(misCriticidades,AW47)&amp;"-"&amp;IFERROR(MATCH(AX47,miOrdenTarjeta,0),0))</f>
        <v/>
      </c>
    </row>
    <row r="48" spans="2:51" x14ac:dyDescent="0.25">
      <c r="B48" s="19" t="str">
        <f ca="1"/>
        <v/>
      </c>
      <c r="C48" s="20">
        <f t="shared" ca="1" si="20"/>
        <v>1</v>
      </c>
      <c r="D48" s="20" t="str">
        <f t="shared" ca="1" si="21"/>
        <v/>
      </c>
      <c r="E48" s="20" t="str" cm="1">
        <f t="array" aca="1" ref="E48" ca="1">IF(D48="","",IF(D48&lt;&gt;D47,1,IF(E47=misLíneas-2,0,E47+1)))</f>
        <v/>
      </c>
      <c r="F48" s="20" t="str" cm="1">
        <f t="array" aca="1" ref="F48" ca="1">IF(OR(E48=0,E48=""),"",INDEX(misCriticidades,D48)&amp;"-"&amp;IFERROR(MATCH(E48,miOrdenTarjeta,0),0))</f>
        <v/>
      </c>
      <c r="G48" s="19" t="str">
        <f ca="1"/>
        <v/>
      </c>
      <c r="H48" s="20">
        <f t="shared" ca="1" si="11"/>
        <v>5</v>
      </c>
      <c r="I48" s="20">
        <f t="shared" ca="1" si="22"/>
        <v>10</v>
      </c>
      <c r="J48" s="20" cm="1">
        <f t="array" aca="1" ref="J48" ca="1">IF(I48="","",IF(I48&lt;&gt;I47,1,IF(J47=misLíneas-2,0,J47+1)))</f>
        <v>6</v>
      </c>
      <c r="K48" s="20" t="str" cm="1">
        <f t="array" aca="1" ref="K48" ca="1">IF(OR(J48=0,J48=""),"",INDEX(misCriticidades,I48)&amp;"-"&amp;IFERROR(MATCH(J48,miOrdenTarjeta,0),0))</f>
        <v>2-6</v>
      </c>
      <c r="L48" s="19" t="str">
        <f ca="1"/>
        <v/>
      </c>
      <c r="M48" s="20">
        <f t="shared" ca="1" si="12"/>
        <v>1</v>
      </c>
      <c r="N48" s="20" t="str">
        <f t="shared" ca="1" si="23"/>
        <v/>
      </c>
      <c r="O48" s="20" t="str" cm="1">
        <f t="array" aca="1" ref="O48" ca="1">IF(N48="","",IF(N48&lt;&gt;N47,1,IF(O47=misLíneas-2,0,O47+1)))</f>
        <v/>
      </c>
      <c r="P48" s="20" t="str" cm="1">
        <f t="array" aca="1" ref="P48" ca="1">IF(OR(O48=0,O48=""),"",INDEX(misCriticidades,N48)&amp;"-"&amp;IFERROR(MATCH(O48,miOrdenTarjeta,0),0))</f>
        <v/>
      </c>
      <c r="Q48" s="19" t="str">
        <f ca="1"/>
        <v/>
      </c>
      <c r="R48" s="20">
        <f t="shared" ca="1" si="13"/>
        <v>5</v>
      </c>
      <c r="S48" s="20">
        <f t="shared" ca="1" si="24"/>
        <v>25</v>
      </c>
      <c r="T48" s="20" cm="1">
        <f t="array" aca="1" ref="T48" ca="1">IF(S48="","",IF(S48&lt;&gt;S47,1,IF(T47=misLíneas-2,0,T47+1)))</f>
        <v>6</v>
      </c>
      <c r="U48" s="20" t="str" cm="1">
        <f t="array" aca="1" ref="U48" ca="1">IF(OR(T48=0,T48=""),"",INDEX(misCriticidades,S48)&amp;"-"&amp;IFERROR(MATCH(T48,miOrdenTarjeta,0),0))</f>
        <v>2-6</v>
      </c>
      <c r="V48" s="19" t="str">
        <f ca="1"/>
        <v/>
      </c>
      <c r="W48" s="20">
        <f t="shared" ca="1" si="14"/>
        <v>1</v>
      </c>
      <c r="X48" s="20" t="str">
        <f t="shared" ca="1" si="25"/>
        <v/>
      </c>
      <c r="Y48" s="20" t="str" cm="1">
        <f t="array" aca="1" ref="Y48" ca="1">IF(X48="","",IF(X48&lt;&gt;X47,1,IF(Y47=misLíneas-2,0,Y47+1)))</f>
        <v/>
      </c>
      <c r="Z48" s="20" t="str" cm="1">
        <f t="array" aca="1" ref="Z48" ca="1">IF(OR(Y48=0,Y48=""),"",INDEX(misCriticidades,X48)&amp;"-"&amp;IFERROR(MATCH(Y48,miOrdenTarjeta,0),0))</f>
        <v/>
      </c>
      <c r="AA48" s="19" t="str">
        <f ca="1"/>
        <v/>
      </c>
      <c r="AB48" s="20">
        <f t="shared" ca="1" si="15"/>
        <v>1</v>
      </c>
      <c r="AC48" s="20" t="str">
        <f t="shared" ca="1" si="5"/>
        <v/>
      </c>
      <c r="AD48" s="20" t="str" cm="1">
        <f t="array" aca="1" ref="AD48" ca="1">IF(AC48="","",IF(AC48&lt;&gt;AC47,1,IF(AD47=misLíneas-2,0,AD47+1)))</f>
        <v/>
      </c>
      <c r="AE48" s="20" t="str" cm="1">
        <f t="array" aca="1" ref="AE48" ca="1">IF(OR(AD48=0,AD48=""),"",INDEX(misCriticidades,AC48)&amp;"-"&amp;IFERROR(MATCH(AD48,miOrdenTarjeta,0),0))</f>
        <v/>
      </c>
      <c r="AF48" s="19" t="str">
        <f ca="1"/>
        <v/>
      </c>
      <c r="AG48" s="20">
        <f t="shared" ca="1" si="16"/>
        <v>1</v>
      </c>
      <c r="AH48" s="20" t="str">
        <f t="shared" ca="1" si="6"/>
        <v/>
      </c>
      <c r="AI48" s="20" t="str" cm="1">
        <f t="array" aca="1" ref="AI48" ca="1">IF(AH48="","",IF(AH48&lt;&gt;AH47,1,IF(AI47=misLíneas-2,0,AI47+1)))</f>
        <v/>
      </c>
      <c r="AJ48" s="20" t="str" cm="1">
        <f t="array" aca="1" ref="AJ48" ca="1">IF(OR(AI48=0,AI48=""),"",INDEX(misCriticidades,AH48)&amp;"-"&amp;IFERROR(MATCH(AI48,miOrdenTarjeta,0),0))</f>
        <v/>
      </c>
      <c r="AK48" s="19" t="str">
        <f ca="1"/>
        <v/>
      </c>
      <c r="AL48" s="20">
        <f t="shared" ca="1" si="17"/>
        <v>1</v>
      </c>
      <c r="AM48" s="20" t="str">
        <f t="shared" ca="1" si="7"/>
        <v/>
      </c>
      <c r="AN48" s="20" t="str" cm="1">
        <f t="array" aca="1" ref="AN48" ca="1">IF(AM48="","",IF(AM48&lt;&gt;AM47,1,IF(AN47=misLíneas-2,0,AN47+1)))</f>
        <v/>
      </c>
      <c r="AO48" s="20" t="str" cm="1">
        <f t="array" aca="1" ref="AO48" ca="1">IF(OR(AN48=0,AN48=""),"",INDEX(misCriticidades,AM48)&amp;"-"&amp;IFERROR(MATCH(AN48,miOrdenTarjeta,0),0))</f>
        <v/>
      </c>
      <c r="AP48" s="19" t="str">
        <f ca="1"/>
        <v/>
      </c>
      <c r="AQ48" s="20">
        <f t="shared" ca="1" si="18"/>
        <v>1</v>
      </c>
      <c r="AR48" s="20" t="str">
        <f t="shared" ca="1" si="8"/>
        <v/>
      </c>
      <c r="AS48" s="20" t="str" cm="1">
        <f t="array" aca="1" ref="AS48" ca="1">IF(AR48="","",IF(AR48&lt;&gt;AR47,1,IF(AS47=misLíneas-2,0,AS47+1)))</f>
        <v/>
      </c>
      <c r="AT48" s="20" t="str" cm="1">
        <f t="array" aca="1" ref="AT48" ca="1">IF(OR(AS48=0,AS48=""),"",INDEX(misCriticidades,AR48)&amp;"-"&amp;IFERROR(MATCH(AS48,miOrdenTarjeta,0),0))</f>
        <v/>
      </c>
      <c r="AU48" s="19" t="str">
        <f ca="1"/>
        <v/>
      </c>
      <c r="AV48" s="20">
        <f t="shared" ca="1" si="19"/>
        <v>1</v>
      </c>
      <c r="AW48" s="20" t="str">
        <f t="shared" ca="1" si="9"/>
        <v/>
      </c>
      <c r="AX48" s="20" t="str" cm="1">
        <f t="array" aca="1" ref="AX48" ca="1">IF(AW48="","",IF(AW48&lt;&gt;AW47,1,IF(AX47=misLíneas-2,0,AX47+1)))</f>
        <v/>
      </c>
      <c r="AY48" s="20" t="str" cm="1">
        <f t="array" aca="1" ref="AY48" ca="1">IF(OR(AX48=0,AX48=""),"",INDEX(misCriticidades,AW48)&amp;"-"&amp;IFERROR(MATCH(AX48,miOrdenTarjeta,0),0))</f>
        <v/>
      </c>
    </row>
    <row r="49" spans="2:51" x14ac:dyDescent="0.25">
      <c r="B49" s="19" t="str">
        <f ca="1"/>
        <v/>
      </c>
      <c r="C49" s="20">
        <f t="shared" ca="1" si="20"/>
        <v>1</v>
      </c>
      <c r="D49" s="20" t="str">
        <f t="shared" ca="1" si="21"/>
        <v/>
      </c>
      <c r="E49" s="20" t="str" cm="1">
        <f t="array" aca="1" ref="E49" ca="1">IF(D49="","",IF(D49&lt;&gt;D48,1,IF(E48=misLíneas-2,0,E48+1)))</f>
        <v/>
      </c>
      <c r="F49" s="20" t="str" cm="1">
        <f t="array" aca="1" ref="F49" ca="1">IF(OR(E49=0,E49=""),"",INDEX(misCriticidades,D49)&amp;"-"&amp;IFERROR(MATCH(E49,miOrdenTarjeta,0),0))</f>
        <v/>
      </c>
      <c r="G49" s="19" t="str">
        <f ca="1"/>
        <v/>
      </c>
      <c r="H49" s="20">
        <f t="shared" ca="1" si="11"/>
        <v>5</v>
      </c>
      <c r="I49" s="20">
        <f t="shared" ca="1" si="22"/>
        <v>10</v>
      </c>
      <c r="J49" s="20" cm="1">
        <f t="array" aca="1" ref="J49" ca="1">IF(I49="","",IF(I49&lt;&gt;I48,1,IF(J48=misLíneas-2,0,J48+1)))</f>
        <v>7</v>
      </c>
      <c r="K49" s="20" t="str" cm="1">
        <f t="array" aca="1" ref="K49" ca="1">IF(OR(J49=0,J49=""),"",INDEX(misCriticidades,I49)&amp;"-"&amp;IFERROR(MATCH(J49,miOrdenTarjeta,0),0))</f>
        <v>2-7</v>
      </c>
      <c r="L49" s="19" t="str">
        <f ca="1"/>
        <v/>
      </c>
      <c r="M49" s="20">
        <f t="shared" ca="1" si="12"/>
        <v>1</v>
      </c>
      <c r="N49" s="20" t="str">
        <f t="shared" ca="1" si="23"/>
        <v/>
      </c>
      <c r="O49" s="20" t="str" cm="1">
        <f t="array" aca="1" ref="O49" ca="1">IF(N49="","",IF(N49&lt;&gt;N48,1,IF(O48=misLíneas-2,0,O48+1)))</f>
        <v/>
      </c>
      <c r="P49" s="20" t="str" cm="1">
        <f t="array" aca="1" ref="P49" ca="1">IF(OR(O49=0,O49=""),"",INDEX(misCriticidades,N49)&amp;"-"&amp;IFERROR(MATCH(O49,miOrdenTarjeta,0),0))</f>
        <v/>
      </c>
      <c r="Q49" s="19" t="str">
        <f ca="1"/>
        <v/>
      </c>
      <c r="R49" s="20">
        <f t="shared" ca="1" si="13"/>
        <v>5</v>
      </c>
      <c r="S49" s="20">
        <f t="shared" ca="1" si="24"/>
        <v>25</v>
      </c>
      <c r="T49" s="20" cm="1">
        <f t="array" aca="1" ref="T49" ca="1">IF(S49="","",IF(S49&lt;&gt;S48,1,IF(T48=misLíneas-2,0,T48+1)))</f>
        <v>7</v>
      </c>
      <c r="U49" s="20" t="str" cm="1">
        <f t="array" aca="1" ref="U49" ca="1">IF(OR(T49=0,T49=""),"",INDEX(misCriticidades,S49)&amp;"-"&amp;IFERROR(MATCH(T49,miOrdenTarjeta,0),0))</f>
        <v>2-7</v>
      </c>
      <c r="V49" s="19" t="str">
        <f ca="1"/>
        <v/>
      </c>
      <c r="W49" s="20">
        <f t="shared" ca="1" si="14"/>
        <v>1</v>
      </c>
      <c r="X49" s="20" t="str">
        <f t="shared" ca="1" si="25"/>
        <v/>
      </c>
      <c r="Y49" s="20" t="str" cm="1">
        <f t="array" aca="1" ref="Y49" ca="1">IF(X49="","",IF(X49&lt;&gt;X48,1,IF(Y48=misLíneas-2,0,Y48+1)))</f>
        <v/>
      </c>
      <c r="Z49" s="20" t="str" cm="1">
        <f t="array" aca="1" ref="Z49" ca="1">IF(OR(Y49=0,Y49=""),"",INDEX(misCriticidades,X49)&amp;"-"&amp;IFERROR(MATCH(Y49,miOrdenTarjeta,0),0))</f>
        <v/>
      </c>
      <c r="AA49" s="19" t="str">
        <f ca="1"/>
        <v/>
      </c>
      <c r="AB49" s="20">
        <f t="shared" ca="1" si="15"/>
        <v>1</v>
      </c>
      <c r="AC49" s="20" t="str">
        <f t="shared" ca="1" si="5"/>
        <v/>
      </c>
      <c r="AD49" s="20" t="str" cm="1">
        <f t="array" aca="1" ref="AD49" ca="1">IF(AC49="","",IF(AC49&lt;&gt;AC48,1,IF(AD48=misLíneas-2,0,AD48+1)))</f>
        <v/>
      </c>
      <c r="AE49" s="20" t="str" cm="1">
        <f t="array" aca="1" ref="AE49" ca="1">IF(OR(AD49=0,AD49=""),"",INDEX(misCriticidades,AC49)&amp;"-"&amp;IFERROR(MATCH(AD49,miOrdenTarjeta,0),0))</f>
        <v/>
      </c>
      <c r="AF49" s="19" t="str">
        <f ca="1"/>
        <v/>
      </c>
      <c r="AG49" s="20">
        <f t="shared" ca="1" si="16"/>
        <v>1</v>
      </c>
      <c r="AH49" s="20" t="str">
        <f t="shared" ca="1" si="6"/>
        <v/>
      </c>
      <c r="AI49" s="20" t="str" cm="1">
        <f t="array" aca="1" ref="AI49" ca="1">IF(AH49="","",IF(AH49&lt;&gt;AH48,1,IF(AI48=misLíneas-2,0,AI48+1)))</f>
        <v/>
      </c>
      <c r="AJ49" s="20" t="str" cm="1">
        <f t="array" aca="1" ref="AJ49" ca="1">IF(OR(AI49=0,AI49=""),"",INDEX(misCriticidades,AH49)&amp;"-"&amp;IFERROR(MATCH(AI49,miOrdenTarjeta,0),0))</f>
        <v/>
      </c>
      <c r="AK49" s="19" t="str">
        <f ca="1"/>
        <v/>
      </c>
      <c r="AL49" s="20">
        <f t="shared" ca="1" si="17"/>
        <v>1</v>
      </c>
      <c r="AM49" s="20" t="str">
        <f t="shared" ca="1" si="7"/>
        <v/>
      </c>
      <c r="AN49" s="20" t="str" cm="1">
        <f t="array" aca="1" ref="AN49" ca="1">IF(AM49="","",IF(AM49&lt;&gt;AM48,1,IF(AN48=misLíneas-2,0,AN48+1)))</f>
        <v/>
      </c>
      <c r="AO49" s="20" t="str" cm="1">
        <f t="array" aca="1" ref="AO49" ca="1">IF(OR(AN49=0,AN49=""),"",INDEX(misCriticidades,AM49)&amp;"-"&amp;IFERROR(MATCH(AN49,miOrdenTarjeta,0),0))</f>
        <v/>
      </c>
      <c r="AP49" s="19" t="str">
        <f ca="1"/>
        <v/>
      </c>
      <c r="AQ49" s="20">
        <f t="shared" ca="1" si="18"/>
        <v>1</v>
      </c>
      <c r="AR49" s="20" t="str">
        <f t="shared" ca="1" si="8"/>
        <v/>
      </c>
      <c r="AS49" s="20" t="str" cm="1">
        <f t="array" aca="1" ref="AS49" ca="1">IF(AR49="","",IF(AR49&lt;&gt;AR48,1,IF(AS48=misLíneas-2,0,AS48+1)))</f>
        <v/>
      </c>
      <c r="AT49" s="20" t="str" cm="1">
        <f t="array" aca="1" ref="AT49" ca="1">IF(OR(AS49=0,AS49=""),"",INDEX(misCriticidades,AR49)&amp;"-"&amp;IFERROR(MATCH(AS49,miOrdenTarjeta,0),0))</f>
        <v/>
      </c>
      <c r="AU49" s="19" t="str">
        <f ca="1"/>
        <v/>
      </c>
      <c r="AV49" s="20">
        <f t="shared" ca="1" si="19"/>
        <v>1</v>
      </c>
      <c r="AW49" s="20" t="str">
        <f t="shared" ca="1" si="9"/>
        <v/>
      </c>
      <c r="AX49" s="20" t="str" cm="1">
        <f t="array" aca="1" ref="AX49" ca="1">IF(AW49="","",IF(AW49&lt;&gt;AW48,1,IF(AX48=misLíneas-2,0,AX48+1)))</f>
        <v/>
      </c>
      <c r="AY49" s="20" t="str" cm="1">
        <f t="array" aca="1" ref="AY49" ca="1">IF(OR(AX49=0,AX49=""),"",INDEX(misCriticidades,AW49)&amp;"-"&amp;IFERROR(MATCH(AX49,miOrdenTarjeta,0),0))</f>
        <v/>
      </c>
    </row>
    <row r="50" spans="2:51" x14ac:dyDescent="0.25">
      <c r="B50" s="19" t="str">
        <f ca="1"/>
        <v/>
      </c>
      <c r="C50" s="20">
        <f t="shared" ca="1" si="20"/>
        <v>1</v>
      </c>
      <c r="D50" s="20" t="str">
        <f t="shared" ca="1" si="21"/>
        <v/>
      </c>
      <c r="E50" s="20" t="str" cm="1">
        <f t="array" aca="1" ref="E50" ca="1">IF(D50="","",IF(D50&lt;&gt;D49,1,IF(E49=misLíneas-2,0,E49+1)))</f>
        <v/>
      </c>
      <c r="F50" s="20" t="str" cm="1">
        <f t="array" aca="1" ref="F50" ca="1">IF(OR(E50=0,E50=""),"",INDEX(misCriticidades,D50)&amp;"-"&amp;IFERROR(MATCH(E50,miOrdenTarjeta,0),0))</f>
        <v/>
      </c>
      <c r="G50" s="19" t="str">
        <f ca="1"/>
        <v/>
      </c>
      <c r="H50" s="20">
        <f t="shared" ca="1" si="11"/>
        <v>5</v>
      </c>
      <c r="I50" s="20">
        <f t="shared" ca="1" si="22"/>
        <v>10</v>
      </c>
      <c r="J50" s="20" cm="1">
        <f t="array" aca="1" ref="J50" ca="1">IF(I50="","",IF(I50&lt;&gt;I49,1,IF(J49=misLíneas-2,0,J49+1)))</f>
        <v>8</v>
      </c>
      <c r="K50" s="20" t="str" cm="1">
        <f t="array" aca="1" ref="K50" ca="1">IF(OR(J50=0,J50=""),"",INDEX(misCriticidades,I50)&amp;"-"&amp;IFERROR(MATCH(J50,miOrdenTarjeta,0),0))</f>
        <v>2-8</v>
      </c>
      <c r="L50" s="19" t="str">
        <f ca="1"/>
        <v/>
      </c>
      <c r="M50" s="20">
        <f t="shared" ca="1" si="12"/>
        <v>1</v>
      </c>
      <c r="N50" s="20" t="str">
        <f t="shared" ca="1" si="23"/>
        <v/>
      </c>
      <c r="O50" s="20" t="str" cm="1">
        <f t="array" aca="1" ref="O50" ca="1">IF(N50="","",IF(N50&lt;&gt;N49,1,IF(O49=misLíneas-2,0,O49+1)))</f>
        <v/>
      </c>
      <c r="P50" s="20" t="str" cm="1">
        <f t="array" aca="1" ref="P50" ca="1">IF(OR(O50=0,O50=""),"",INDEX(misCriticidades,N50)&amp;"-"&amp;IFERROR(MATCH(O50,miOrdenTarjeta,0),0))</f>
        <v/>
      </c>
      <c r="Q50" s="19" t="str">
        <f ca="1"/>
        <v/>
      </c>
      <c r="R50" s="20">
        <f t="shared" ca="1" si="13"/>
        <v>5</v>
      </c>
      <c r="S50" s="20">
        <f t="shared" ca="1" si="24"/>
        <v>25</v>
      </c>
      <c r="T50" s="20" cm="1">
        <f t="array" aca="1" ref="T50" ca="1">IF(S50="","",IF(S50&lt;&gt;S49,1,IF(T49=misLíneas-2,0,T49+1)))</f>
        <v>8</v>
      </c>
      <c r="U50" s="20" t="str" cm="1">
        <f t="array" aca="1" ref="U50" ca="1">IF(OR(T50=0,T50=""),"",INDEX(misCriticidades,S50)&amp;"-"&amp;IFERROR(MATCH(T50,miOrdenTarjeta,0),0))</f>
        <v>2-8</v>
      </c>
      <c r="V50" s="19" t="str">
        <f ca="1"/>
        <v/>
      </c>
      <c r="W50" s="20">
        <f t="shared" ca="1" si="14"/>
        <v>1</v>
      </c>
      <c r="X50" s="20" t="str">
        <f t="shared" ca="1" si="25"/>
        <v/>
      </c>
      <c r="Y50" s="20" t="str" cm="1">
        <f t="array" aca="1" ref="Y50" ca="1">IF(X50="","",IF(X50&lt;&gt;X49,1,IF(Y49=misLíneas-2,0,Y49+1)))</f>
        <v/>
      </c>
      <c r="Z50" s="20" t="str" cm="1">
        <f t="array" aca="1" ref="Z50" ca="1">IF(OR(Y50=0,Y50=""),"",INDEX(misCriticidades,X50)&amp;"-"&amp;IFERROR(MATCH(Y50,miOrdenTarjeta,0),0))</f>
        <v/>
      </c>
      <c r="AA50" s="19" t="str">
        <f ca="1"/>
        <v/>
      </c>
      <c r="AB50" s="20">
        <f t="shared" ca="1" si="15"/>
        <v>1</v>
      </c>
      <c r="AC50" s="20" t="str">
        <f t="shared" ca="1" si="5"/>
        <v/>
      </c>
      <c r="AD50" s="20" t="str" cm="1">
        <f t="array" aca="1" ref="AD50" ca="1">IF(AC50="","",IF(AC50&lt;&gt;AC49,1,IF(AD49=misLíneas-2,0,AD49+1)))</f>
        <v/>
      </c>
      <c r="AE50" s="20" t="str" cm="1">
        <f t="array" aca="1" ref="AE50" ca="1">IF(OR(AD50=0,AD50=""),"",INDEX(misCriticidades,AC50)&amp;"-"&amp;IFERROR(MATCH(AD50,miOrdenTarjeta,0),0))</f>
        <v/>
      </c>
      <c r="AF50" s="19" t="str">
        <f ca="1"/>
        <v/>
      </c>
      <c r="AG50" s="20">
        <f t="shared" ca="1" si="16"/>
        <v>1</v>
      </c>
      <c r="AH50" s="20" t="str">
        <f t="shared" ca="1" si="6"/>
        <v/>
      </c>
      <c r="AI50" s="20" t="str" cm="1">
        <f t="array" aca="1" ref="AI50" ca="1">IF(AH50="","",IF(AH50&lt;&gt;AH49,1,IF(AI49=misLíneas-2,0,AI49+1)))</f>
        <v/>
      </c>
      <c r="AJ50" s="20" t="str" cm="1">
        <f t="array" aca="1" ref="AJ50" ca="1">IF(OR(AI50=0,AI50=""),"",INDEX(misCriticidades,AH50)&amp;"-"&amp;IFERROR(MATCH(AI50,miOrdenTarjeta,0),0))</f>
        <v/>
      </c>
      <c r="AK50" s="19" t="str">
        <f ca="1"/>
        <v/>
      </c>
      <c r="AL50" s="20">
        <f t="shared" ca="1" si="17"/>
        <v>1</v>
      </c>
      <c r="AM50" s="20" t="str">
        <f t="shared" ca="1" si="7"/>
        <v/>
      </c>
      <c r="AN50" s="20" t="str" cm="1">
        <f t="array" aca="1" ref="AN50" ca="1">IF(AM50="","",IF(AM50&lt;&gt;AM49,1,IF(AN49=misLíneas-2,0,AN49+1)))</f>
        <v/>
      </c>
      <c r="AO50" s="20" t="str" cm="1">
        <f t="array" aca="1" ref="AO50" ca="1">IF(OR(AN50=0,AN50=""),"",INDEX(misCriticidades,AM50)&amp;"-"&amp;IFERROR(MATCH(AN50,miOrdenTarjeta,0),0))</f>
        <v/>
      </c>
      <c r="AP50" s="19" t="str">
        <f ca="1"/>
        <v/>
      </c>
      <c r="AQ50" s="20">
        <f t="shared" ca="1" si="18"/>
        <v>1</v>
      </c>
      <c r="AR50" s="20" t="str">
        <f t="shared" ca="1" si="8"/>
        <v/>
      </c>
      <c r="AS50" s="20" t="str" cm="1">
        <f t="array" aca="1" ref="AS50" ca="1">IF(AR50="","",IF(AR50&lt;&gt;AR49,1,IF(AS49=misLíneas-2,0,AS49+1)))</f>
        <v/>
      </c>
      <c r="AT50" s="20" t="str" cm="1">
        <f t="array" aca="1" ref="AT50" ca="1">IF(OR(AS50=0,AS50=""),"",INDEX(misCriticidades,AR50)&amp;"-"&amp;IFERROR(MATCH(AS50,miOrdenTarjeta,0),0))</f>
        <v/>
      </c>
      <c r="AU50" s="19" t="str">
        <f ca="1"/>
        <v/>
      </c>
      <c r="AV50" s="20">
        <f t="shared" ca="1" si="19"/>
        <v>1</v>
      </c>
      <c r="AW50" s="20" t="str">
        <f t="shared" ca="1" si="9"/>
        <v/>
      </c>
      <c r="AX50" s="20" t="str" cm="1">
        <f t="array" aca="1" ref="AX50" ca="1">IF(AW50="","",IF(AW50&lt;&gt;AW49,1,IF(AX49=misLíneas-2,0,AX49+1)))</f>
        <v/>
      </c>
      <c r="AY50" s="20" t="str" cm="1">
        <f t="array" aca="1" ref="AY50" ca="1">IF(OR(AX50=0,AX50=""),"",INDEX(misCriticidades,AW50)&amp;"-"&amp;IFERROR(MATCH(AX50,miOrdenTarjeta,0),0))</f>
        <v/>
      </c>
    </row>
    <row r="51" spans="2:51" x14ac:dyDescent="0.25">
      <c r="B51" s="19" t="str">
        <f ca="1"/>
        <v/>
      </c>
      <c r="C51" s="20">
        <f t="shared" ca="1" si="20"/>
        <v>1</v>
      </c>
      <c r="D51" s="20" t="str">
        <f t="shared" ca="1" si="21"/>
        <v/>
      </c>
      <c r="E51" s="20" t="str" cm="1">
        <f t="array" aca="1" ref="E51" ca="1">IF(D51="","",IF(D51&lt;&gt;D50,1,IF(E50=misLíneas-2,0,E50+1)))</f>
        <v/>
      </c>
      <c r="F51" s="20" t="str" cm="1">
        <f t="array" aca="1" ref="F51" ca="1">IF(OR(E51=0,E51=""),"",INDEX(misCriticidades,D51)&amp;"-"&amp;IFERROR(MATCH(E51,miOrdenTarjeta,0),0))</f>
        <v/>
      </c>
      <c r="G51" s="19" t="str">
        <f ca="1"/>
        <v/>
      </c>
      <c r="H51" s="20">
        <f t="shared" ca="1" si="11"/>
        <v>5</v>
      </c>
      <c r="I51" s="20">
        <f t="shared" ca="1" si="22"/>
        <v>10</v>
      </c>
      <c r="J51" s="20" cm="1">
        <f t="array" aca="1" ref="J51" ca="1">IF(I51="","",IF(I51&lt;&gt;I50,1,IF(J50=misLíneas-2,0,J50+1)))</f>
        <v>9</v>
      </c>
      <c r="K51" s="20" t="str" cm="1">
        <f t="array" aca="1" ref="K51" ca="1">IF(OR(J51=0,J51=""),"",INDEX(misCriticidades,I51)&amp;"-"&amp;IFERROR(MATCH(J51,miOrdenTarjeta,0),0))</f>
        <v>2-0</v>
      </c>
      <c r="L51" s="19" t="str">
        <f ca="1"/>
        <v/>
      </c>
      <c r="M51" s="20">
        <f t="shared" ca="1" si="12"/>
        <v>1</v>
      </c>
      <c r="N51" s="20" t="str">
        <f t="shared" ca="1" si="23"/>
        <v/>
      </c>
      <c r="O51" s="20" t="str" cm="1">
        <f t="array" aca="1" ref="O51" ca="1">IF(N51="","",IF(N51&lt;&gt;N50,1,IF(O50=misLíneas-2,0,O50+1)))</f>
        <v/>
      </c>
      <c r="P51" s="20" t="str" cm="1">
        <f t="array" aca="1" ref="P51" ca="1">IF(OR(O51=0,O51=""),"",INDEX(misCriticidades,N51)&amp;"-"&amp;IFERROR(MATCH(O51,miOrdenTarjeta,0),0))</f>
        <v/>
      </c>
      <c r="Q51" s="19" t="str">
        <f ca="1"/>
        <v/>
      </c>
      <c r="R51" s="20">
        <f t="shared" ca="1" si="13"/>
        <v>5</v>
      </c>
      <c r="S51" s="20">
        <f t="shared" ca="1" si="24"/>
        <v>25</v>
      </c>
      <c r="T51" s="20" cm="1">
        <f t="array" aca="1" ref="T51" ca="1">IF(S51="","",IF(S51&lt;&gt;S50,1,IF(T50=misLíneas-2,0,T50+1)))</f>
        <v>9</v>
      </c>
      <c r="U51" s="20" t="str" cm="1">
        <f t="array" aca="1" ref="U51" ca="1">IF(OR(T51=0,T51=""),"",INDEX(misCriticidades,S51)&amp;"-"&amp;IFERROR(MATCH(T51,miOrdenTarjeta,0),0))</f>
        <v>2-0</v>
      </c>
      <c r="V51" s="19" t="str">
        <f ca="1"/>
        <v/>
      </c>
      <c r="W51" s="20">
        <f t="shared" ca="1" si="14"/>
        <v>1</v>
      </c>
      <c r="X51" s="20" t="str">
        <f t="shared" ca="1" si="25"/>
        <v/>
      </c>
      <c r="Y51" s="20" t="str" cm="1">
        <f t="array" aca="1" ref="Y51" ca="1">IF(X51="","",IF(X51&lt;&gt;X50,1,IF(Y50=misLíneas-2,0,Y50+1)))</f>
        <v/>
      </c>
      <c r="Z51" s="20" t="str" cm="1">
        <f t="array" aca="1" ref="Z51" ca="1">IF(OR(Y51=0,Y51=""),"",INDEX(misCriticidades,X51)&amp;"-"&amp;IFERROR(MATCH(Y51,miOrdenTarjeta,0),0))</f>
        <v/>
      </c>
      <c r="AA51" s="19" t="str">
        <f ca="1"/>
        <v/>
      </c>
      <c r="AB51" s="20">
        <f t="shared" ca="1" si="15"/>
        <v>1</v>
      </c>
      <c r="AC51" s="20" t="str">
        <f t="shared" ca="1" si="5"/>
        <v/>
      </c>
      <c r="AD51" s="20" t="str" cm="1">
        <f t="array" aca="1" ref="AD51" ca="1">IF(AC51="","",IF(AC51&lt;&gt;AC50,1,IF(AD50=misLíneas-2,0,AD50+1)))</f>
        <v/>
      </c>
      <c r="AE51" s="20" t="str" cm="1">
        <f t="array" aca="1" ref="AE51" ca="1">IF(OR(AD51=0,AD51=""),"",INDEX(misCriticidades,AC51)&amp;"-"&amp;IFERROR(MATCH(AD51,miOrdenTarjeta,0),0))</f>
        <v/>
      </c>
      <c r="AF51" s="19" t="str">
        <f ca="1"/>
        <v/>
      </c>
      <c r="AG51" s="20">
        <f t="shared" ca="1" si="16"/>
        <v>1</v>
      </c>
      <c r="AH51" s="20" t="str">
        <f t="shared" ca="1" si="6"/>
        <v/>
      </c>
      <c r="AI51" s="20" t="str" cm="1">
        <f t="array" aca="1" ref="AI51" ca="1">IF(AH51="","",IF(AH51&lt;&gt;AH50,1,IF(AI50=misLíneas-2,0,AI50+1)))</f>
        <v/>
      </c>
      <c r="AJ51" s="20" t="str" cm="1">
        <f t="array" aca="1" ref="AJ51" ca="1">IF(OR(AI51=0,AI51=""),"",INDEX(misCriticidades,AH51)&amp;"-"&amp;IFERROR(MATCH(AI51,miOrdenTarjeta,0),0))</f>
        <v/>
      </c>
      <c r="AK51" s="19" t="str">
        <f ca="1"/>
        <v/>
      </c>
      <c r="AL51" s="20">
        <f t="shared" ca="1" si="17"/>
        <v>1</v>
      </c>
      <c r="AM51" s="20" t="str">
        <f t="shared" ca="1" si="7"/>
        <v/>
      </c>
      <c r="AN51" s="20" t="str" cm="1">
        <f t="array" aca="1" ref="AN51" ca="1">IF(AM51="","",IF(AM51&lt;&gt;AM50,1,IF(AN50=misLíneas-2,0,AN50+1)))</f>
        <v/>
      </c>
      <c r="AO51" s="20" t="str" cm="1">
        <f t="array" aca="1" ref="AO51" ca="1">IF(OR(AN51=0,AN51=""),"",INDEX(misCriticidades,AM51)&amp;"-"&amp;IFERROR(MATCH(AN51,miOrdenTarjeta,0),0))</f>
        <v/>
      </c>
      <c r="AP51" s="19" t="str">
        <f ca="1"/>
        <v/>
      </c>
      <c r="AQ51" s="20">
        <f t="shared" ca="1" si="18"/>
        <v>1</v>
      </c>
      <c r="AR51" s="20" t="str">
        <f t="shared" ca="1" si="8"/>
        <v/>
      </c>
      <c r="AS51" s="20" t="str" cm="1">
        <f t="array" aca="1" ref="AS51" ca="1">IF(AR51="","",IF(AR51&lt;&gt;AR50,1,IF(AS50=misLíneas-2,0,AS50+1)))</f>
        <v/>
      </c>
      <c r="AT51" s="20" t="str" cm="1">
        <f t="array" aca="1" ref="AT51" ca="1">IF(OR(AS51=0,AS51=""),"",INDEX(misCriticidades,AR51)&amp;"-"&amp;IFERROR(MATCH(AS51,miOrdenTarjeta,0),0))</f>
        <v/>
      </c>
      <c r="AU51" s="19" t="str">
        <f ca="1"/>
        <v/>
      </c>
      <c r="AV51" s="20">
        <f t="shared" ca="1" si="19"/>
        <v>1</v>
      </c>
      <c r="AW51" s="20" t="str">
        <f t="shared" ca="1" si="9"/>
        <v/>
      </c>
      <c r="AX51" s="20" t="str" cm="1">
        <f t="array" aca="1" ref="AX51" ca="1">IF(AW51="","",IF(AW51&lt;&gt;AW50,1,IF(AX50=misLíneas-2,0,AX50+1)))</f>
        <v/>
      </c>
      <c r="AY51" s="20" t="str" cm="1">
        <f t="array" aca="1" ref="AY51" ca="1">IF(OR(AX51=0,AX51=""),"",INDEX(misCriticidades,AW51)&amp;"-"&amp;IFERROR(MATCH(AX51,miOrdenTarjeta,0),0))</f>
        <v/>
      </c>
    </row>
    <row r="52" spans="2:51" x14ac:dyDescent="0.25">
      <c r="B52" s="19" t="str">
        <f ca="1"/>
        <v/>
      </c>
      <c r="C52" s="20">
        <f t="shared" ca="1" si="20"/>
        <v>1</v>
      </c>
      <c r="D52" s="20" t="str">
        <f t="shared" ca="1" si="21"/>
        <v/>
      </c>
      <c r="E52" s="20" t="str" cm="1">
        <f t="array" aca="1" ref="E52" ca="1">IF(D52="","",IF(D52&lt;&gt;D51,1,IF(E51=misLíneas-2,0,E51+1)))</f>
        <v/>
      </c>
      <c r="F52" s="20" t="str" cm="1">
        <f t="array" aca="1" ref="F52" ca="1">IF(OR(E52=0,E52=""),"",INDEX(misCriticidades,D52)&amp;"-"&amp;IFERROR(MATCH(E52,miOrdenTarjeta,0),0))</f>
        <v/>
      </c>
      <c r="G52" s="19" t="str">
        <f ca="1"/>
        <v/>
      </c>
      <c r="H52" s="20">
        <f t="shared" ca="1" si="11"/>
        <v>5</v>
      </c>
      <c r="I52" s="20">
        <f t="shared" ca="1" si="22"/>
        <v>10</v>
      </c>
      <c r="J52" s="20" cm="1">
        <f t="array" aca="1" ref="J52" ca="1">IF(I52="","",IF(I52&lt;&gt;I51,1,IF(J51=misLíneas-2,0,J51+1)))</f>
        <v>0</v>
      </c>
      <c r="K52" s="20" t="str" cm="1">
        <f t="array" aca="1" ref="K52" ca="1">IF(OR(J52=0,J52=""),"",INDEX(misCriticidades,I52)&amp;"-"&amp;IFERROR(MATCH(J52,miOrdenTarjeta,0),0))</f>
        <v/>
      </c>
      <c r="L52" s="19" t="str">
        <f ca="1"/>
        <v/>
      </c>
      <c r="M52" s="20">
        <f t="shared" ca="1" si="12"/>
        <v>1</v>
      </c>
      <c r="N52" s="20" t="str">
        <f t="shared" ca="1" si="23"/>
        <v/>
      </c>
      <c r="O52" s="20" t="str" cm="1">
        <f t="array" aca="1" ref="O52" ca="1">IF(N52="","",IF(N52&lt;&gt;N51,1,IF(O51=misLíneas-2,0,O51+1)))</f>
        <v/>
      </c>
      <c r="P52" s="20" t="str" cm="1">
        <f t="array" aca="1" ref="P52" ca="1">IF(OR(O52=0,O52=""),"",INDEX(misCriticidades,N52)&amp;"-"&amp;IFERROR(MATCH(O52,miOrdenTarjeta,0),0))</f>
        <v/>
      </c>
      <c r="Q52" s="19" t="str">
        <f ca="1"/>
        <v/>
      </c>
      <c r="R52" s="20">
        <f t="shared" ca="1" si="13"/>
        <v>5</v>
      </c>
      <c r="S52" s="20">
        <f t="shared" ca="1" si="24"/>
        <v>25</v>
      </c>
      <c r="T52" s="20" cm="1">
        <f t="array" aca="1" ref="T52" ca="1">IF(S52="","",IF(S52&lt;&gt;S51,1,IF(T51=misLíneas-2,0,T51+1)))</f>
        <v>0</v>
      </c>
      <c r="U52" s="20" t="str" cm="1">
        <f t="array" aca="1" ref="U52" ca="1">IF(OR(T52=0,T52=""),"",INDEX(misCriticidades,S52)&amp;"-"&amp;IFERROR(MATCH(T52,miOrdenTarjeta,0),0))</f>
        <v/>
      </c>
      <c r="V52" s="19" t="str">
        <f ca="1"/>
        <v/>
      </c>
      <c r="W52" s="20">
        <f t="shared" ca="1" si="14"/>
        <v>1</v>
      </c>
      <c r="X52" s="20" t="str">
        <f t="shared" ca="1" si="25"/>
        <v/>
      </c>
      <c r="Y52" s="20" t="str" cm="1">
        <f t="array" aca="1" ref="Y52" ca="1">IF(X52="","",IF(X52&lt;&gt;X51,1,IF(Y51=misLíneas-2,0,Y51+1)))</f>
        <v/>
      </c>
      <c r="Z52" s="20" t="str" cm="1">
        <f t="array" aca="1" ref="Z52" ca="1">IF(OR(Y52=0,Y52=""),"",INDEX(misCriticidades,X52)&amp;"-"&amp;IFERROR(MATCH(Y52,miOrdenTarjeta,0),0))</f>
        <v/>
      </c>
      <c r="AA52" s="19" t="str">
        <f ca="1"/>
        <v/>
      </c>
      <c r="AB52" s="20">
        <f t="shared" ca="1" si="15"/>
        <v>1</v>
      </c>
      <c r="AC52" s="20" t="str">
        <f t="shared" ca="1" si="5"/>
        <v/>
      </c>
      <c r="AD52" s="20" t="str" cm="1">
        <f t="array" aca="1" ref="AD52" ca="1">IF(AC52="","",IF(AC52&lt;&gt;AC51,1,IF(AD51=misLíneas-2,0,AD51+1)))</f>
        <v/>
      </c>
      <c r="AE52" s="20" t="str" cm="1">
        <f t="array" aca="1" ref="AE52" ca="1">IF(OR(AD52=0,AD52=""),"",INDEX(misCriticidades,AC52)&amp;"-"&amp;IFERROR(MATCH(AD52,miOrdenTarjeta,0),0))</f>
        <v/>
      </c>
      <c r="AF52" s="19" t="str">
        <f ca="1"/>
        <v/>
      </c>
      <c r="AG52" s="20">
        <f t="shared" ca="1" si="16"/>
        <v>1</v>
      </c>
      <c r="AH52" s="20" t="str">
        <f t="shared" ca="1" si="6"/>
        <v/>
      </c>
      <c r="AI52" s="20" t="str" cm="1">
        <f t="array" aca="1" ref="AI52" ca="1">IF(AH52="","",IF(AH52&lt;&gt;AH51,1,IF(AI51=misLíneas-2,0,AI51+1)))</f>
        <v/>
      </c>
      <c r="AJ52" s="20" t="str" cm="1">
        <f t="array" aca="1" ref="AJ52" ca="1">IF(OR(AI52=0,AI52=""),"",INDEX(misCriticidades,AH52)&amp;"-"&amp;IFERROR(MATCH(AI52,miOrdenTarjeta,0),0))</f>
        <v/>
      </c>
      <c r="AK52" s="19" t="str">
        <f ca="1"/>
        <v/>
      </c>
      <c r="AL52" s="20">
        <f t="shared" ca="1" si="17"/>
        <v>1</v>
      </c>
      <c r="AM52" s="20" t="str">
        <f t="shared" ca="1" si="7"/>
        <v/>
      </c>
      <c r="AN52" s="20" t="str" cm="1">
        <f t="array" aca="1" ref="AN52" ca="1">IF(AM52="","",IF(AM52&lt;&gt;AM51,1,IF(AN51=misLíneas-2,0,AN51+1)))</f>
        <v/>
      </c>
      <c r="AO52" s="20" t="str" cm="1">
        <f t="array" aca="1" ref="AO52" ca="1">IF(OR(AN52=0,AN52=""),"",INDEX(misCriticidades,AM52)&amp;"-"&amp;IFERROR(MATCH(AN52,miOrdenTarjeta,0),0))</f>
        <v/>
      </c>
      <c r="AP52" s="19" t="str">
        <f ca="1"/>
        <v/>
      </c>
      <c r="AQ52" s="20">
        <f t="shared" ca="1" si="18"/>
        <v>1</v>
      </c>
      <c r="AR52" s="20" t="str">
        <f t="shared" ca="1" si="8"/>
        <v/>
      </c>
      <c r="AS52" s="20" t="str" cm="1">
        <f t="array" aca="1" ref="AS52" ca="1">IF(AR52="","",IF(AR52&lt;&gt;AR51,1,IF(AS51=misLíneas-2,0,AS51+1)))</f>
        <v/>
      </c>
      <c r="AT52" s="20" t="str" cm="1">
        <f t="array" aca="1" ref="AT52" ca="1">IF(OR(AS52=0,AS52=""),"",INDEX(misCriticidades,AR52)&amp;"-"&amp;IFERROR(MATCH(AS52,miOrdenTarjeta,0),0))</f>
        <v/>
      </c>
      <c r="AU52" s="19" t="str">
        <f ca="1"/>
        <v/>
      </c>
      <c r="AV52" s="20">
        <f t="shared" ca="1" si="19"/>
        <v>1</v>
      </c>
      <c r="AW52" s="20" t="str">
        <f t="shared" ca="1" si="9"/>
        <v/>
      </c>
      <c r="AX52" s="20" t="str" cm="1">
        <f t="array" aca="1" ref="AX52" ca="1">IF(AW52="","",IF(AW52&lt;&gt;AW51,1,IF(AX51=misLíneas-2,0,AX51+1)))</f>
        <v/>
      </c>
      <c r="AY52" s="20" t="str" cm="1">
        <f t="array" aca="1" ref="AY52" ca="1">IF(OR(AX52=0,AX52=""),"",INDEX(misCriticidades,AW52)&amp;"-"&amp;IFERROR(MATCH(AX52,miOrdenTarjeta,0),0))</f>
        <v/>
      </c>
    </row>
    <row r="53" spans="2:51" x14ac:dyDescent="0.25">
      <c r="B53" s="19" t="str">
        <f ca="1"/>
        <v/>
      </c>
      <c r="C53" s="20">
        <f t="shared" ca="1" si="20"/>
        <v>1</v>
      </c>
      <c r="D53" s="20" t="str">
        <f t="shared" ca="1" si="21"/>
        <v/>
      </c>
      <c r="E53" s="20" t="str" cm="1">
        <f t="array" aca="1" ref="E53" ca="1">IF(D53="","",IF(D53&lt;&gt;D52,1,IF(E52=misLíneas-2,0,E52+1)))</f>
        <v/>
      </c>
      <c r="F53" s="20" t="str" cm="1">
        <f t="array" aca="1" ref="F53" ca="1">IF(OR(E53=0,E53=""),"",INDEX(misCriticidades,D53)&amp;"-"&amp;IFERROR(MATCH(E53,miOrdenTarjeta,0),0))</f>
        <v/>
      </c>
      <c r="G53" s="19" t="str">
        <f ca="1"/>
        <v/>
      </c>
      <c r="H53" s="20">
        <f t="shared" ca="1" si="11"/>
        <v>6</v>
      </c>
      <c r="I53" s="20">
        <f t="shared" ca="1" si="22"/>
        <v>1</v>
      </c>
      <c r="J53" s="20" cm="1">
        <f t="array" aca="1" ref="J53" ca="1">IF(I53="","",IF(I53&lt;&gt;I52,1,IF(J52=misLíneas-2,0,J52+1)))</f>
        <v>1</v>
      </c>
      <c r="K53" s="20" t="str" cm="1">
        <f t="array" aca="1" ref="K53" ca="1">IF(OR(J53=0,J53=""),"",INDEX(misCriticidades,I53)&amp;"-"&amp;IFERROR(MATCH(J53,miOrdenTarjeta,0),0))</f>
        <v>2-1</v>
      </c>
      <c r="L53" s="19" t="str">
        <f ca="1"/>
        <v/>
      </c>
      <c r="M53" s="20">
        <f t="shared" ca="1" si="12"/>
        <v>1</v>
      </c>
      <c r="N53" s="20" t="str">
        <f t="shared" ca="1" si="23"/>
        <v/>
      </c>
      <c r="O53" s="20" t="str" cm="1">
        <f t="array" aca="1" ref="O53" ca="1">IF(N53="","",IF(N53&lt;&gt;N52,1,IF(O52=misLíneas-2,0,O52+1)))</f>
        <v/>
      </c>
      <c r="P53" s="20" t="str" cm="1">
        <f t="array" aca="1" ref="P53" ca="1">IF(OR(O53=0,O53=""),"",INDEX(misCriticidades,N53)&amp;"-"&amp;IFERROR(MATCH(O53,miOrdenTarjeta,0),0))</f>
        <v/>
      </c>
      <c r="Q53" s="19" t="str">
        <f ca="1"/>
        <v/>
      </c>
      <c r="R53" s="20">
        <f t="shared" ca="1" si="13"/>
        <v>6</v>
      </c>
      <c r="S53" s="20">
        <f t="shared" ca="1" si="24"/>
        <v>24</v>
      </c>
      <c r="T53" s="20" cm="1">
        <f t="array" aca="1" ref="T53" ca="1">IF(S53="","",IF(S53&lt;&gt;S52,1,IF(T52=misLíneas-2,0,T52+1)))</f>
        <v>1</v>
      </c>
      <c r="U53" s="20" t="str" cm="1">
        <f t="array" aca="1" ref="U53" ca="1">IF(OR(T53=0,T53=""),"",INDEX(misCriticidades,S53)&amp;"-"&amp;IFERROR(MATCH(T53,miOrdenTarjeta,0),0))</f>
        <v>2-1</v>
      </c>
      <c r="V53" s="19" t="str">
        <f ca="1"/>
        <v/>
      </c>
      <c r="W53" s="20">
        <f t="shared" ca="1" si="14"/>
        <v>1</v>
      </c>
      <c r="X53" s="20" t="str">
        <f t="shared" ca="1" si="25"/>
        <v/>
      </c>
      <c r="Y53" s="20" t="str" cm="1">
        <f t="array" aca="1" ref="Y53" ca="1">IF(X53="","",IF(X53&lt;&gt;X52,1,IF(Y52=misLíneas-2,0,Y52+1)))</f>
        <v/>
      </c>
      <c r="Z53" s="20" t="str" cm="1">
        <f t="array" aca="1" ref="Z53" ca="1">IF(OR(Y53=0,Y53=""),"",INDEX(misCriticidades,X53)&amp;"-"&amp;IFERROR(MATCH(Y53,miOrdenTarjeta,0),0))</f>
        <v/>
      </c>
      <c r="AA53" s="19" t="str">
        <f ca="1"/>
        <v/>
      </c>
      <c r="AB53" s="20">
        <f t="shared" ca="1" si="15"/>
        <v>1</v>
      </c>
      <c r="AC53" s="20" t="str">
        <f t="shared" ca="1" si="5"/>
        <v/>
      </c>
      <c r="AD53" s="20" t="str" cm="1">
        <f t="array" aca="1" ref="AD53" ca="1">IF(AC53="","",IF(AC53&lt;&gt;AC52,1,IF(AD52=misLíneas-2,0,AD52+1)))</f>
        <v/>
      </c>
      <c r="AE53" s="20" t="str" cm="1">
        <f t="array" aca="1" ref="AE53" ca="1">IF(OR(AD53=0,AD53=""),"",INDEX(misCriticidades,AC53)&amp;"-"&amp;IFERROR(MATCH(AD53,miOrdenTarjeta,0),0))</f>
        <v/>
      </c>
      <c r="AF53" s="19" t="str">
        <f ca="1"/>
        <v/>
      </c>
      <c r="AG53" s="20">
        <f t="shared" ca="1" si="16"/>
        <v>1</v>
      </c>
      <c r="AH53" s="20" t="str">
        <f t="shared" ca="1" si="6"/>
        <v/>
      </c>
      <c r="AI53" s="20" t="str" cm="1">
        <f t="array" aca="1" ref="AI53" ca="1">IF(AH53="","",IF(AH53&lt;&gt;AH52,1,IF(AI52=misLíneas-2,0,AI52+1)))</f>
        <v/>
      </c>
      <c r="AJ53" s="20" t="str" cm="1">
        <f t="array" aca="1" ref="AJ53" ca="1">IF(OR(AI53=0,AI53=""),"",INDEX(misCriticidades,AH53)&amp;"-"&amp;IFERROR(MATCH(AI53,miOrdenTarjeta,0),0))</f>
        <v/>
      </c>
      <c r="AK53" s="19" t="str">
        <f ca="1"/>
        <v/>
      </c>
      <c r="AL53" s="20">
        <f t="shared" ca="1" si="17"/>
        <v>1</v>
      </c>
      <c r="AM53" s="20" t="str">
        <f t="shared" ca="1" si="7"/>
        <v/>
      </c>
      <c r="AN53" s="20" t="str" cm="1">
        <f t="array" aca="1" ref="AN53" ca="1">IF(AM53="","",IF(AM53&lt;&gt;AM52,1,IF(AN52=misLíneas-2,0,AN52+1)))</f>
        <v/>
      </c>
      <c r="AO53" s="20" t="str" cm="1">
        <f t="array" aca="1" ref="AO53" ca="1">IF(OR(AN53=0,AN53=""),"",INDEX(misCriticidades,AM53)&amp;"-"&amp;IFERROR(MATCH(AN53,miOrdenTarjeta,0),0))</f>
        <v/>
      </c>
      <c r="AP53" s="19" t="str">
        <f ca="1"/>
        <v/>
      </c>
      <c r="AQ53" s="20">
        <f t="shared" ca="1" si="18"/>
        <v>1</v>
      </c>
      <c r="AR53" s="20" t="str">
        <f t="shared" ca="1" si="8"/>
        <v/>
      </c>
      <c r="AS53" s="20" t="str" cm="1">
        <f t="array" aca="1" ref="AS53" ca="1">IF(AR53="","",IF(AR53&lt;&gt;AR52,1,IF(AS52=misLíneas-2,0,AS52+1)))</f>
        <v/>
      </c>
      <c r="AT53" s="20" t="str" cm="1">
        <f t="array" aca="1" ref="AT53" ca="1">IF(OR(AS53=0,AS53=""),"",INDEX(misCriticidades,AR53)&amp;"-"&amp;IFERROR(MATCH(AS53,miOrdenTarjeta,0),0))</f>
        <v/>
      </c>
      <c r="AU53" s="19" t="str">
        <f ca="1"/>
        <v/>
      </c>
      <c r="AV53" s="20">
        <f t="shared" ca="1" si="19"/>
        <v>1</v>
      </c>
      <c r="AW53" s="20" t="str">
        <f t="shared" ca="1" si="9"/>
        <v/>
      </c>
      <c r="AX53" s="20" t="str" cm="1">
        <f t="array" aca="1" ref="AX53" ca="1">IF(AW53="","",IF(AW53&lt;&gt;AW52,1,IF(AX52=misLíneas-2,0,AX52+1)))</f>
        <v/>
      </c>
      <c r="AY53" s="20" t="str" cm="1">
        <f t="array" aca="1" ref="AY53" ca="1">IF(OR(AX53=0,AX53=""),"",INDEX(misCriticidades,AW53)&amp;"-"&amp;IFERROR(MATCH(AX53,miOrdenTarjeta,0),0))</f>
        <v/>
      </c>
    </row>
    <row r="54" spans="2:51" x14ac:dyDescent="0.25">
      <c r="B54" s="19" t="str">
        <f ca="1"/>
        <v/>
      </c>
      <c r="C54" s="20">
        <f t="shared" ca="1" si="20"/>
        <v>1</v>
      </c>
      <c r="D54" s="20" t="str">
        <f t="shared" ca="1" si="21"/>
        <v/>
      </c>
      <c r="E54" s="20" t="str" cm="1">
        <f t="array" aca="1" ref="E54" ca="1">IF(D54="","",IF(D54&lt;&gt;D53,1,IF(E53=misLíneas-2,0,E53+1)))</f>
        <v/>
      </c>
      <c r="F54" s="20" t="str" cm="1">
        <f t="array" aca="1" ref="F54" ca="1">IF(OR(E54=0,E54=""),"",INDEX(misCriticidades,D54)&amp;"-"&amp;IFERROR(MATCH(E54,miOrdenTarjeta,0),0))</f>
        <v/>
      </c>
      <c r="G54" s="19" t="str">
        <f ca="1"/>
        <v/>
      </c>
      <c r="H54" s="20">
        <f t="shared" ca="1" si="11"/>
        <v>6</v>
      </c>
      <c r="I54" s="20">
        <f t="shared" ca="1" si="22"/>
        <v>1</v>
      </c>
      <c r="J54" s="20" cm="1">
        <f t="array" aca="1" ref="J54" ca="1">IF(I54="","",IF(I54&lt;&gt;I53,1,IF(J53=misLíneas-2,0,J53+1)))</f>
        <v>2</v>
      </c>
      <c r="K54" s="20" t="str" cm="1">
        <f t="array" aca="1" ref="K54" ca="1">IF(OR(J54=0,J54=""),"",INDEX(misCriticidades,I54)&amp;"-"&amp;IFERROR(MATCH(J54,miOrdenTarjeta,0),0))</f>
        <v>2-2</v>
      </c>
      <c r="L54" s="19" t="str">
        <f ca="1"/>
        <v/>
      </c>
      <c r="M54" s="20">
        <f t="shared" ca="1" si="12"/>
        <v>1</v>
      </c>
      <c r="N54" s="20" t="str">
        <f t="shared" ca="1" si="23"/>
        <v/>
      </c>
      <c r="O54" s="20" t="str" cm="1">
        <f t="array" aca="1" ref="O54" ca="1">IF(N54="","",IF(N54&lt;&gt;N53,1,IF(O53=misLíneas-2,0,O53+1)))</f>
        <v/>
      </c>
      <c r="P54" s="20" t="str" cm="1">
        <f t="array" aca="1" ref="P54" ca="1">IF(OR(O54=0,O54=""),"",INDEX(misCriticidades,N54)&amp;"-"&amp;IFERROR(MATCH(O54,miOrdenTarjeta,0),0))</f>
        <v/>
      </c>
      <c r="Q54" s="19" t="str">
        <f ca="1"/>
        <v/>
      </c>
      <c r="R54" s="20">
        <f t="shared" ca="1" si="13"/>
        <v>6</v>
      </c>
      <c r="S54" s="20">
        <f t="shared" ca="1" si="24"/>
        <v>24</v>
      </c>
      <c r="T54" s="20" cm="1">
        <f t="array" aca="1" ref="T54" ca="1">IF(S54="","",IF(S54&lt;&gt;S53,1,IF(T53=misLíneas-2,0,T53+1)))</f>
        <v>2</v>
      </c>
      <c r="U54" s="20" t="str" cm="1">
        <f t="array" aca="1" ref="U54" ca="1">IF(OR(T54=0,T54=""),"",INDEX(misCriticidades,S54)&amp;"-"&amp;IFERROR(MATCH(T54,miOrdenTarjeta,0),0))</f>
        <v>2-2</v>
      </c>
      <c r="V54" s="19" t="str">
        <f ca="1"/>
        <v/>
      </c>
      <c r="W54" s="20">
        <f t="shared" ca="1" si="14"/>
        <v>1</v>
      </c>
      <c r="X54" s="20" t="str">
        <f t="shared" ca="1" si="25"/>
        <v/>
      </c>
      <c r="Y54" s="20" t="str" cm="1">
        <f t="array" aca="1" ref="Y54" ca="1">IF(X54="","",IF(X54&lt;&gt;X53,1,IF(Y53=misLíneas-2,0,Y53+1)))</f>
        <v/>
      </c>
      <c r="Z54" s="20" t="str" cm="1">
        <f t="array" aca="1" ref="Z54" ca="1">IF(OR(Y54=0,Y54=""),"",INDEX(misCriticidades,X54)&amp;"-"&amp;IFERROR(MATCH(Y54,miOrdenTarjeta,0),0))</f>
        <v/>
      </c>
      <c r="AA54" s="19" t="str">
        <f ca="1"/>
        <v/>
      </c>
      <c r="AB54" s="20">
        <f t="shared" ca="1" si="15"/>
        <v>1</v>
      </c>
      <c r="AC54" s="20" t="str">
        <f t="shared" ca="1" si="5"/>
        <v/>
      </c>
      <c r="AD54" s="20" t="str" cm="1">
        <f t="array" aca="1" ref="AD54" ca="1">IF(AC54="","",IF(AC54&lt;&gt;AC53,1,IF(AD53=misLíneas-2,0,AD53+1)))</f>
        <v/>
      </c>
      <c r="AE54" s="20" t="str" cm="1">
        <f t="array" aca="1" ref="AE54" ca="1">IF(OR(AD54=0,AD54=""),"",INDEX(misCriticidades,AC54)&amp;"-"&amp;IFERROR(MATCH(AD54,miOrdenTarjeta,0),0))</f>
        <v/>
      </c>
      <c r="AF54" s="19" t="str">
        <f ca="1"/>
        <v/>
      </c>
      <c r="AG54" s="20">
        <f t="shared" ca="1" si="16"/>
        <v>1</v>
      </c>
      <c r="AH54" s="20" t="str">
        <f t="shared" ca="1" si="6"/>
        <v/>
      </c>
      <c r="AI54" s="20" t="str" cm="1">
        <f t="array" aca="1" ref="AI54" ca="1">IF(AH54="","",IF(AH54&lt;&gt;AH53,1,IF(AI53=misLíneas-2,0,AI53+1)))</f>
        <v/>
      </c>
      <c r="AJ54" s="20" t="str" cm="1">
        <f t="array" aca="1" ref="AJ54" ca="1">IF(OR(AI54=0,AI54=""),"",INDEX(misCriticidades,AH54)&amp;"-"&amp;IFERROR(MATCH(AI54,miOrdenTarjeta,0),0))</f>
        <v/>
      </c>
      <c r="AK54" s="19" t="str">
        <f ca="1"/>
        <v/>
      </c>
      <c r="AL54" s="20">
        <f t="shared" ca="1" si="17"/>
        <v>1</v>
      </c>
      <c r="AM54" s="20" t="str">
        <f t="shared" ca="1" si="7"/>
        <v/>
      </c>
      <c r="AN54" s="20" t="str" cm="1">
        <f t="array" aca="1" ref="AN54" ca="1">IF(AM54="","",IF(AM54&lt;&gt;AM53,1,IF(AN53=misLíneas-2,0,AN53+1)))</f>
        <v/>
      </c>
      <c r="AO54" s="20" t="str" cm="1">
        <f t="array" aca="1" ref="AO54" ca="1">IF(OR(AN54=0,AN54=""),"",INDEX(misCriticidades,AM54)&amp;"-"&amp;IFERROR(MATCH(AN54,miOrdenTarjeta,0),0))</f>
        <v/>
      </c>
      <c r="AP54" s="19" t="str">
        <f ca="1"/>
        <v/>
      </c>
      <c r="AQ54" s="20">
        <f t="shared" ca="1" si="18"/>
        <v>1</v>
      </c>
      <c r="AR54" s="20" t="str">
        <f t="shared" ca="1" si="8"/>
        <v/>
      </c>
      <c r="AS54" s="20" t="str" cm="1">
        <f t="array" aca="1" ref="AS54" ca="1">IF(AR54="","",IF(AR54&lt;&gt;AR53,1,IF(AS53=misLíneas-2,0,AS53+1)))</f>
        <v/>
      </c>
      <c r="AT54" s="20" t="str" cm="1">
        <f t="array" aca="1" ref="AT54" ca="1">IF(OR(AS54=0,AS54=""),"",INDEX(misCriticidades,AR54)&amp;"-"&amp;IFERROR(MATCH(AS54,miOrdenTarjeta,0),0))</f>
        <v/>
      </c>
      <c r="AU54" s="19" t="str">
        <f ca="1"/>
        <v/>
      </c>
      <c r="AV54" s="20">
        <f t="shared" ca="1" si="19"/>
        <v>1</v>
      </c>
      <c r="AW54" s="20" t="str">
        <f t="shared" ca="1" si="9"/>
        <v/>
      </c>
      <c r="AX54" s="20" t="str" cm="1">
        <f t="array" aca="1" ref="AX54" ca="1">IF(AW54="","",IF(AW54&lt;&gt;AW53,1,IF(AX53=misLíneas-2,0,AX53+1)))</f>
        <v/>
      </c>
      <c r="AY54" s="20" t="str" cm="1">
        <f t="array" aca="1" ref="AY54" ca="1">IF(OR(AX54=0,AX54=""),"",INDEX(misCriticidades,AW54)&amp;"-"&amp;IFERROR(MATCH(AX54,miOrdenTarjeta,0),0))</f>
        <v/>
      </c>
    </row>
    <row r="55" spans="2:51" x14ac:dyDescent="0.25">
      <c r="B55" s="19" t="str">
        <f ca="1"/>
        <v/>
      </c>
      <c r="C55" s="20">
        <f t="shared" ca="1" si="20"/>
        <v>1</v>
      </c>
      <c r="D55" s="20" t="str">
        <f t="shared" ca="1" si="21"/>
        <v/>
      </c>
      <c r="E55" s="20" t="str" cm="1">
        <f t="array" aca="1" ref="E55" ca="1">IF(D55="","",IF(D55&lt;&gt;D54,1,IF(E54=misLíneas-2,0,E54+1)))</f>
        <v/>
      </c>
      <c r="F55" s="20" t="str" cm="1">
        <f t="array" aca="1" ref="F55" ca="1">IF(OR(E55=0,E55=""),"",INDEX(misCriticidades,D55)&amp;"-"&amp;IFERROR(MATCH(E55,miOrdenTarjeta,0),0))</f>
        <v/>
      </c>
      <c r="G55" s="19" t="str">
        <f ca="1"/>
        <v/>
      </c>
      <c r="H55" s="20">
        <f t="shared" ca="1" si="11"/>
        <v>6</v>
      </c>
      <c r="I55" s="20">
        <f t="shared" ca="1" si="22"/>
        <v>1</v>
      </c>
      <c r="J55" s="20" cm="1">
        <f t="array" aca="1" ref="J55" ca="1">IF(I55="","",IF(I55&lt;&gt;I54,1,IF(J54=misLíneas-2,0,J54+1)))</f>
        <v>3</v>
      </c>
      <c r="K55" s="20" t="str" cm="1">
        <f t="array" aca="1" ref="K55" ca="1">IF(OR(J55=0,J55=""),"",INDEX(misCriticidades,I55)&amp;"-"&amp;IFERROR(MATCH(J55,miOrdenTarjeta,0),0))</f>
        <v>2-3</v>
      </c>
      <c r="L55" s="19" t="str">
        <f ca="1"/>
        <v/>
      </c>
      <c r="M55" s="20">
        <f t="shared" ca="1" si="12"/>
        <v>1</v>
      </c>
      <c r="N55" s="20" t="str">
        <f t="shared" ca="1" si="23"/>
        <v/>
      </c>
      <c r="O55" s="20" t="str" cm="1">
        <f t="array" aca="1" ref="O55" ca="1">IF(N55="","",IF(N55&lt;&gt;N54,1,IF(O54=misLíneas-2,0,O54+1)))</f>
        <v/>
      </c>
      <c r="P55" s="20" t="str" cm="1">
        <f t="array" aca="1" ref="P55" ca="1">IF(OR(O55=0,O55=""),"",INDEX(misCriticidades,N55)&amp;"-"&amp;IFERROR(MATCH(O55,miOrdenTarjeta,0),0))</f>
        <v/>
      </c>
      <c r="Q55" s="19" t="str">
        <f ca="1"/>
        <v/>
      </c>
      <c r="R55" s="20">
        <f t="shared" ca="1" si="13"/>
        <v>6</v>
      </c>
      <c r="S55" s="20">
        <f t="shared" ca="1" si="24"/>
        <v>24</v>
      </c>
      <c r="T55" s="20" cm="1">
        <f t="array" aca="1" ref="T55" ca="1">IF(S55="","",IF(S55&lt;&gt;S54,1,IF(T54=misLíneas-2,0,T54+1)))</f>
        <v>3</v>
      </c>
      <c r="U55" s="20" t="str" cm="1">
        <f t="array" aca="1" ref="U55" ca="1">IF(OR(T55=0,T55=""),"",INDEX(misCriticidades,S55)&amp;"-"&amp;IFERROR(MATCH(T55,miOrdenTarjeta,0),0))</f>
        <v>2-3</v>
      </c>
      <c r="V55" s="19" t="str">
        <f ca="1"/>
        <v/>
      </c>
      <c r="W55" s="20">
        <f t="shared" ca="1" si="14"/>
        <v>1</v>
      </c>
      <c r="X55" s="20" t="str">
        <f t="shared" ca="1" si="25"/>
        <v/>
      </c>
      <c r="Y55" s="20" t="str" cm="1">
        <f t="array" aca="1" ref="Y55" ca="1">IF(X55="","",IF(X55&lt;&gt;X54,1,IF(Y54=misLíneas-2,0,Y54+1)))</f>
        <v/>
      </c>
      <c r="Z55" s="20" t="str" cm="1">
        <f t="array" aca="1" ref="Z55" ca="1">IF(OR(Y55=0,Y55=""),"",INDEX(misCriticidades,X55)&amp;"-"&amp;IFERROR(MATCH(Y55,miOrdenTarjeta,0),0))</f>
        <v/>
      </c>
      <c r="AA55" s="19" t="str">
        <f ca="1"/>
        <v/>
      </c>
      <c r="AB55" s="20">
        <f t="shared" ca="1" si="15"/>
        <v>1</v>
      </c>
      <c r="AC55" s="20" t="str">
        <f t="shared" ca="1" si="5"/>
        <v/>
      </c>
      <c r="AD55" s="20" t="str" cm="1">
        <f t="array" aca="1" ref="AD55" ca="1">IF(AC55="","",IF(AC55&lt;&gt;AC54,1,IF(AD54=misLíneas-2,0,AD54+1)))</f>
        <v/>
      </c>
      <c r="AE55" s="20" t="str" cm="1">
        <f t="array" aca="1" ref="AE55" ca="1">IF(OR(AD55=0,AD55=""),"",INDEX(misCriticidades,AC55)&amp;"-"&amp;IFERROR(MATCH(AD55,miOrdenTarjeta,0),0))</f>
        <v/>
      </c>
      <c r="AF55" s="19" t="str">
        <f ca="1"/>
        <v/>
      </c>
      <c r="AG55" s="20">
        <f t="shared" ca="1" si="16"/>
        <v>1</v>
      </c>
      <c r="AH55" s="20" t="str">
        <f t="shared" ca="1" si="6"/>
        <v/>
      </c>
      <c r="AI55" s="20" t="str" cm="1">
        <f t="array" aca="1" ref="AI55" ca="1">IF(AH55="","",IF(AH55&lt;&gt;AH54,1,IF(AI54=misLíneas-2,0,AI54+1)))</f>
        <v/>
      </c>
      <c r="AJ55" s="20" t="str" cm="1">
        <f t="array" aca="1" ref="AJ55" ca="1">IF(OR(AI55=0,AI55=""),"",INDEX(misCriticidades,AH55)&amp;"-"&amp;IFERROR(MATCH(AI55,miOrdenTarjeta,0),0))</f>
        <v/>
      </c>
      <c r="AK55" s="19" t="str">
        <f ca="1"/>
        <v/>
      </c>
      <c r="AL55" s="20">
        <f t="shared" ca="1" si="17"/>
        <v>1</v>
      </c>
      <c r="AM55" s="20" t="str">
        <f t="shared" ca="1" si="7"/>
        <v/>
      </c>
      <c r="AN55" s="20" t="str" cm="1">
        <f t="array" aca="1" ref="AN55" ca="1">IF(AM55="","",IF(AM55&lt;&gt;AM54,1,IF(AN54=misLíneas-2,0,AN54+1)))</f>
        <v/>
      </c>
      <c r="AO55" s="20" t="str" cm="1">
        <f t="array" aca="1" ref="AO55" ca="1">IF(OR(AN55=0,AN55=""),"",INDEX(misCriticidades,AM55)&amp;"-"&amp;IFERROR(MATCH(AN55,miOrdenTarjeta,0),0))</f>
        <v/>
      </c>
      <c r="AP55" s="19" t="str">
        <f ca="1"/>
        <v/>
      </c>
      <c r="AQ55" s="20">
        <f t="shared" ca="1" si="18"/>
        <v>1</v>
      </c>
      <c r="AR55" s="20" t="str">
        <f t="shared" ca="1" si="8"/>
        <v/>
      </c>
      <c r="AS55" s="20" t="str" cm="1">
        <f t="array" aca="1" ref="AS55" ca="1">IF(AR55="","",IF(AR55&lt;&gt;AR54,1,IF(AS54=misLíneas-2,0,AS54+1)))</f>
        <v/>
      </c>
      <c r="AT55" s="20" t="str" cm="1">
        <f t="array" aca="1" ref="AT55" ca="1">IF(OR(AS55=0,AS55=""),"",INDEX(misCriticidades,AR55)&amp;"-"&amp;IFERROR(MATCH(AS55,miOrdenTarjeta,0),0))</f>
        <v/>
      </c>
      <c r="AU55" s="19" t="str">
        <f ca="1"/>
        <v/>
      </c>
      <c r="AV55" s="20">
        <f t="shared" ca="1" si="19"/>
        <v>1</v>
      </c>
      <c r="AW55" s="20" t="str">
        <f t="shared" ca="1" si="9"/>
        <v/>
      </c>
      <c r="AX55" s="20" t="str" cm="1">
        <f t="array" aca="1" ref="AX55" ca="1">IF(AW55="","",IF(AW55&lt;&gt;AW54,1,IF(AX54=misLíneas-2,0,AX54+1)))</f>
        <v/>
      </c>
      <c r="AY55" s="20" t="str" cm="1">
        <f t="array" aca="1" ref="AY55" ca="1">IF(OR(AX55=0,AX55=""),"",INDEX(misCriticidades,AW55)&amp;"-"&amp;IFERROR(MATCH(AX55,miOrdenTarjeta,0),0))</f>
        <v/>
      </c>
    </row>
    <row r="56" spans="2:51" x14ac:dyDescent="0.25">
      <c r="B56" s="19" t="str">
        <f ca="1"/>
        <v/>
      </c>
      <c r="C56" s="20">
        <f t="shared" ca="1" si="20"/>
        <v>1</v>
      </c>
      <c r="D56" s="20" t="str">
        <f t="shared" ca="1" si="21"/>
        <v/>
      </c>
      <c r="E56" s="20" t="str" cm="1">
        <f t="array" aca="1" ref="E56" ca="1">IF(D56="","",IF(D56&lt;&gt;D55,1,IF(E55=misLíneas-2,0,E55+1)))</f>
        <v/>
      </c>
      <c r="F56" s="20" t="str" cm="1">
        <f t="array" aca="1" ref="F56" ca="1">IF(OR(E56=0,E56=""),"",INDEX(misCriticidades,D56)&amp;"-"&amp;IFERROR(MATCH(E56,miOrdenTarjeta,0),0))</f>
        <v/>
      </c>
      <c r="G56" s="19" t="str">
        <f ca="1"/>
        <v/>
      </c>
      <c r="H56" s="20">
        <f t="shared" ca="1" si="11"/>
        <v>6</v>
      </c>
      <c r="I56" s="20">
        <f t="shared" ca="1" si="22"/>
        <v>1</v>
      </c>
      <c r="J56" s="20" cm="1">
        <f t="array" aca="1" ref="J56" ca="1">IF(I56="","",IF(I56&lt;&gt;I55,1,IF(J55=misLíneas-2,0,J55+1)))</f>
        <v>4</v>
      </c>
      <c r="K56" s="20" t="str" cm="1">
        <f t="array" aca="1" ref="K56" ca="1">IF(OR(J56=0,J56=""),"",INDEX(misCriticidades,I56)&amp;"-"&amp;IFERROR(MATCH(J56,miOrdenTarjeta,0),0))</f>
        <v>2-4</v>
      </c>
      <c r="L56" s="19" t="str">
        <f ca="1"/>
        <v/>
      </c>
      <c r="M56" s="20">
        <f t="shared" ca="1" si="12"/>
        <v>1</v>
      </c>
      <c r="N56" s="20" t="str">
        <f t="shared" ca="1" si="23"/>
        <v/>
      </c>
      <c r="O56" s="20" t="str" cm="1">
        <f t="array" aca="1" ref="O56" ca="1">IF(N56="","",IF(N56&lt;&gt;N55,1,IF(O55=misLíneas-2,0,O55+1)))</f>
        <v/>
      </c>
      <c r="P56" s="20" t="str" cm="1">
        <f t="array" aca="1" ref="P56" ca="1">IF(OR(O56=0,O56=""),"",INDEX(misCriticidades,N56)&amp;"-"&amp;IFERROR(MATCH(O56,miOrdenTarjeta,0),0))</f>
        <v/>
      </c>
      <c r="Q56" s="19" t="str">
        <f ca="1"/>
        <v/>
      </c>
      <c r="R56" s="20">
        <f t="shared" ca="1" si="13"/>
        <v>6</v>
      </c>
      <c r="S56" s="20">
        <f t="shared" ca="1" si="24"/>
        <v>24</v>
      </c>
      <c r="T56" s="20" cm="1">
        <f t="array" aca="1" ref="T56" ca="1">IF(S56="","",IF(S56&lt;&gt;S55,1,IF(T55=misLíneas-2,0,T55+1)))</f>
        <v>4</v>
      </c>
      <c r="U56" s="20" t="str" cm="1">
        <f t="array" aca="1" ref="U56" ca="1">IF(OR(T56=0,T56=""),"",INDEX(misCriticidades,S56)&amp;"-"&amp;IFERROR(MATCH(T56,miOrdenTarjeta,0),0))</f>
        <v>2-4</v>
      </c>
      <c r="V56" s="19" t="str">
        <f ca="1"/>
        <v/>
      </c>
      <c r="W56" s="20">
        <f t="shared" ca="1" si="14"/>
        <v>1</v>
      </c>
      <c r="X56" s="20" t="str">
        <f t="shared" ca="1" si="25"/>
        <v/>
      </c>
      <c r="Y56" s="20" t="str" cm="1">
        <f t="array" aca="1" ref="Y56" ca="1">IF(X56="","",IF(X56&lt;&gt;X55,1,IF(Y55=misLíneas-2,0,Y55+1)))</f>
        <v/>
      </c>
      <c r="Z56" s="20" t="str" cm="1">
        <f t="array" aca="1" ref="Z56" ca="1">IF(OR(Y56=0,Y56=""),"",INDEX(misCriticidades,X56)&amp;"-"&amp;IFERROR(MATCH(Y56,miOrdenTarjeta,0),0))</f>
        <v/>
      </c>
      <c r="AA56" s="19" t="str">
        <f ca="1"/>
        <v/>
      </c>
      <c r="AB56" s="20">
        <f t="shared" ca="1" si="15"/>
        <v>1</v>
      </c>
      <c r="AC56" s="20" t="str">
        <f t="shared" ca="1" si="5"/>
        <v/>
      </c>
      <c r="AD56" s="20" t="str" cm="1">
        <f t="array" aca="1" ref="AD56" ca="1">IF(AC56="","",IF(AC56&lt;&gt;AC55,1,IF(AD55=misLíneas-2,0,AD55+1)))</f>
        <v/>
      </c>
      <c r="AE56" s="20" t="str" cm="1">
        <f t="array" aca="1" ref="AE56" ca="1">IF(OR(AD56=0,AD56=""),"",INDEX(misCriticidades,AC56)&amp;"-"&amp;IFERROR(MATCH(AD56,miOrdenTarjeta,0),0))</f>
        <v/>
      </c>
      <c r="AF56" s="19" t="str">
        <f ca="1"/>
        <v/>
      </c>
      <c r="AG56" s="20">
        <f t="shared" ca="1" si="16"/>
        <v>1</v>
      </c>
      <c r="AH56" s="20" t="str">
        <f t="shared" ca="1" si="6"/>
        <v/>
      </c>
      <c r="AI56" s="20" t="str" cm="1">
        <f t="array" aca="1" ref="AI56" ca="1">IF(AH56="","",IF(AH56&lt;&gt;AH55,1,IF(AI55=misLíneas-2,0,AI55+1)))</f>
        <v/>
      </c>
      <c r="AJ56" s="20" t="str" cm="1">
        <f t="array" aca="1" ref="AJ56" ca="1">IF(OR(AI56=0,AI56=""),"",INDEX(misCriticidades,AH56)&amp;"-"&amp;IFERROR(MATCH(AI56,miOrdenTarjeta,0),0))</f>
        <v/>
      </c>
      <c r="AK56" s="19" t="str">
        <f ca="1"/>
        <v/>
      </c>
      <c r="AL56" s="20">
        <f t="shared" ca="1" si="17"/>
        <v>1</v>
      </c>
      <c r="AM56" s="20" t="str">
        <f t="shared" ca="1" si="7"/>
        <v/>
      </c>
      <c r="AN56" s="20" t="str" cm="1">
        <f t="array" aca="1" ref="AN56" ca="1">IF(AM56="","",IF(AM56&lt;&gt;AM55,1,IF(AN55=misLíneas-2,0,AN55+1)))</f>
        <v/>
      </c>
      <c r="AO56" s="20" t="str" cm="1">
        <f t="array" aca="1" ref="AO56" ca="1">IF(OR(AN56=0,AN56=""),"",INDEX(misCriticidades,AM56)&amp;"-"&amp;IFERROR(MATCH(AN56,miOrdenTarjeta,0),0))</f>
        <v/>
      </c>
      <c r="AP56" s="19" t="str">
        <f ca="1"/>
        <v/>
      </c>
      <c r="AQ56" s="20">
        <f t="shared" ca="1" si="18"/>
        <v>1</v>
      </c>
      <c r="AR56" s="20" t="str">
        <f t="shared" ca="1" si="8"/>
        <v/>
      </c>
      <c r="AS56" s="20" t="str" cm="1">
        <f t="array" aca="1" ref="AS56" ca="1">IF(AR56="","",IF(AR56&lt;&gt;AR55,1,IF(AS55=misLíneas-2,0,AS55+1)))</f>
        <v/>
      </c>
      <c r="AT56" s="20" t="str" cm="1">
        <f t="array" aca="1" ref="AT56" ca="1">IF(OR(AS56=0,AS56=""),"",INDEX(misCriticidades,AR56)&amp;"-"&amp;IFERROR(MATCH(AS56,miOrdenTarjeta,0),0))</f>
        <v/>
      </c>
      <c r="AU56" s="19" t="str">
        <f ca="1"/>
        <v/>
      </c>
      <c r="AV56" s="20">
        <f t="shared" ca="1" si="19"/>
        <v>1</v>
      </c>
      <c r="AW56" s="20" t="str">
        <f t="shared" ca="1" si="9"/>
        <v/>
      </c>
      <c r="AX56" s="20" t="str" cm="1">
        <f t="array" aca="1" ref="AX56" ca="1">IF(AW56="","",IF(AW56&lt;&gt;AW55,1,IF(AX55=misLíneas-2,0,AX55+1)))</f>
        <v/>
      </c>
      <c r="AY56" s="20" t="str" cm="1">
        <f t="array" aca="1" ref="AY56" ca="1">IF(OR(AX56=0,AX56=""),"",INDEX(misCriticidades,AW56)&amp;"-"&amp;IFERROR(MATCH(AX56,miOrdenTarjeta,0),0))</f>
        <v/>
      </c>
    </row>
    <row r="57" spans="2:51" x14ac:dyDescent="0.25">
      <c r="B57" s="19" t="str">
        <f ca="1"/>
        <v/>
      </c>
      <c r="C57" s="20">
        <f t="shared" ca="1" si="20"/>
        <v>1</v>
      </c>
      <c r="D57" s="20" t="str">
        <f t="shared" ca="1" si="21"/>
        <v/>
      </c>
      <c r="E57" s="20" t="str" cm="1">
        <f t="array" aca="1" ref="E57" ca="1">IF(D57="","",IF(D57&lt;&gt;D56,1,IF(E56=misLíneas-2,0,E56+1)))</f>
        <v/>
      </c>
      <c r="F57" s="20" t="str" cm="1">
        <f t="array" aca="1" ref="F57" ca="1">IF(OR(E57=0,E57=""),"",INDEX(misCriticidades,D57)&amp;"-"&amp;IFERROR(MATCH(E57,miOrdenTarjeta,0),0))</f>
        <v/>
      </c>
      <c r="G57" s="19" t="str">
        <f ca="1"/>
        <v/>
      </c>
      <c r="H57" s="20">
        <f t="shared" ca="1" si="11"/>
        <v>6</v>
      </c>
      <c r="I57" s="20">
        <f t="shared" ca="1" si="22"/>
        <v>1</v>
      </c>
      <c r="J57" s="20" cm="1">
        <f t="array" aca="1" ref="J57" ca="1">IF(I57="","",IF(I57&lt;&gt;I56,1,IF(J56=misLíneas-2,0,J56+1)))</f>
        <v>5</v>
      </c>
      <c r="K57" s="20" t="str" cm="1">
        <f t="array" aca="1" ref="K57" ca="1">IF(OR(J57=0,J57=""),"",INDEX(misCriticidades,I57)&amp;"-"&amp;IFERROR(MATCH(J57,miOrdenTarjeta,0),0))</f>
        <v>2-5</v>
      </c>
      <c r="L57" s="19" t="str">
        <f ca="1"/>
        <v/>
      </c>
      <c r="M57" s="20">
        <f t="shared" ca="1" si="12"/>
        <v>1</v>
      </c>
      <c r="N57" s="20" t="str">
        <f t="shared" ca="1" si="23"/>
        <v/>
      </c>
      <c r="O57" s="20" t="str" cm="1">
        <f t="array" aca="1" ref="O57" ca="1">IF(N57="","",IF(N57&lt;&gt;N56,1,IF(O56=misLíneas-2,0,O56+1)))</f>
        <v/>
      </c>
      <c r="P57" s="20" t="str" cm="1">
        <f t="array" aca="1" ref="P57" ca="1">IF(OR(O57=0,O57=""),"",INDEX(misCriticidades,N57)&amp;"-"&amp;IFERROR(MATCH(O57,miOrdenTarjeta,0),0))</f>
        <v/>
      </c>
      <c r="Q57" s="19" t="str">
        <f ca="1"/>
        <v/>
      </c>
      <c r="R57" s="20">
        <f t="shared" ca="1" si="13"/>
        <v>6</v>
      </c>
      <c r="S57" s="20">
        <f t="shared" ca="1" si="24"/>
        <v>24</v>
      </c>
      <c r="T57" s="20" cm="1">
        <f t="array" aca="1" ref="T57" ca="1">IF(S57="","",IF(S57&lt;&gt;S56,1,IF(T56=misLíneas-2,0,T56+1)))</f>
        <v>5</v>
      </c>
      <c r="U57" s="20" t="str" cm="1">
        <f t="array" aca="1" ref="U57" ca="1">IF(OR(T57=0,T57=""),"",INDEX(misCriticidades,S57)&amp;"-"&amp;IFERROR(MATCH(T57,miOrdenTarjeta,0),0))</f>
        <v>2-5</v>
      </c>
      <c r="V57" s="19" t="str">
        <f ca="1"/>
        <v/>
      </c>
      <c r="W57" s="20">
        <f t="shared" ca="1" si="14"/>
        <v>1</v>
      </c>
      <c r="X57" s="20" t="str">
        <f t="shared" ca="1" si="25"/>
        <v/>
      </c>
      <c r="Y57" s="20" t="str" cm="1">
        <f t="array" aca="1" ref="Y57" ca="1">IF(X57="","",IF(X57&lt;&gt;X56,1,IF(Y56=misLíneas-2,0,Y56+1)))</f>
        <v/>
      </c>
      <c r="Z57" s="20" t="str" cm="1">
        <f t="array" aca="1" ref="Z57" ca="1">IF(OR(Y57=0,Y57=""),"",INDEX(misCriticidades,X57)&amp;"-"&amp;IFERROR(MATCH(Y57,miOrdenTarjeta,0),0))</f>
        <v/>
      </c>
      <c r="AA57" s="19" t="str">
        <f ca="1"/>
        <v/>
      </c>
      <c r="AB57" s="20">
        <f t="shared" ca="1" si="15"/>
        <v>1</v>
      </c>
      <c r="AC57" s="20" t="str">
        <f t="shared" ca="1" si="5"/>
        <v/>
      </c>
      <c r="AD57" s="20" t="str" cm="1">
        <f t="array" aca="1" ref="AD57" ca="1">IF(AC57="","",IF(AC57&lt;&gt;AC56,1,IF(AD56=misLíneas-2,0,AD56+1)))</f>
        <v/>
      </c>
      <c r="AE57" s="20" t="str" cm="1">
        <f t="array" aca="1" ref="AE57" ca="1">IF(OR(AD57=0,AD57=""),"",INDEX(misCriticidades,AC57)&amp;"-"&amp;IFERROR(MATCH(AD57,miOrdenTarjeta,0),0))</f>
        <v/>
      </c>
      <c r="AF57" s="19" t="str">
        <f ca="1"/>
        <v/>
      </c>
      <c r="AG57" s="20">
        <f t="shared" ca="1" si="16"/>
        <v>1</v>
      </c>
      <c r="AH57" s="20" t="str">
        <f t="shared" ca="1" si="6"/>
        <v/>
      </c>
      <c r="AI57" s="20" t="str" cm="1">
        <f t="array" aca="1" ref="AI57" ca="1">IF(AH57="","",IF(AH57&lt;&gt;AH56,1,IF(AI56=misLíneas-2,0,AI56+1)))</f>
        <v/>
      </c>
      <c r="AJ57" s="20" t="str" cm="1">
        <f t="array" aca="1" ref="AJ57" ca="1">IF(OR(AI57=0,AI57=""),"",INDEX(misCriticidades,AH57)&amp;"-"&amp;IFERROR(MATCH(AI57,miOrdenTarjeta,0),0))</f>
        <v/>
      </c>
      <c r="AK57" s="19" t="str">
        <f ca="1"/>
        <v/>
      </c>
      <c r="AL57" s="20">
        <f t="shared" ca="1" si="17"/>
        <v>1</v>
      </c>
      <c r="AM57" s="20" t="str">
        <f t="shared" ca="1" si="7"/>
        <v/>
      </c>
      <c r="AN57" s="20" t="str" cm="1">
        <f t="array" aca="1" ref="AN57" ca="1">IF(AM57="","",IF(AM57&lt;&gt;AM56,1,IF(AN56=misLíneas-2,0,AN56+1)))</f>
        <v/>
      </c>
      <c r="AO57" s="20" t="str" cm="1">
        <f t="array" aca="1" ref="AO57" ca="1">IF(OR(AN57=0,AN57=""),"",INDEX(misCriticidades,AM57)&amp;"-"&amp;IFERROR(MATCH(AN57,miOrdenTarjeta,0),0))</f>
        <v/>
      </c>
      <c r="AP57" s="19" t="str">
        <f ca="1"/>
        <v/>
      </c>
      <c r="AQ57" s="20">
        <f t="shared" ca="1" si="18"/>
        <v>1</v>
      </c>
      <c r="AR57" s="20" t="str">
        <f t="shared" ca="1" si="8"/>
        <v/>
      </c>
      <c r="AS57" s="20" t="str" cm="1">
        <f t="array" aca="1" ref="AS57" ca="1">IF(AR57="","",IF(AR57&lt;&gt;AR56,1,IF(AS56=misLíneas-2,0,AS56+1)))</f>
        <v/>
      </c>
      <c r="AT57" s="20" t="str" cm="1">
        <f t="array" aca="1" ref="AT57" ca="1">IF(OR(AS57=0,AS57=""),"",INDEX(misCriticidades,AR57)&amp;"-"&amp;IFERROR(MATCH(AS57,miOrdenTarjeta,0),0))</f>
        <v/>
      </c>
      <c r="AU57" s="19" t="str">
        <f ca="1"/>
        <v/>
      </c>
      <c r="AV57" s="20">
        <f t="shared" ca="1" si="19"/>
        <v>1</v>
      </c>
      <c r="AW57" s="20" t="str">
        <f t="shared" ca="1" si="9"/>
        <v/>
      </c>
      <c r="AX57" s="20" t="str" cm="1">
        <f t="array" aca="1" ref="AX57" ca="1">IF(AW57="","",IF(AW57&lt;&gt;AW56,1,IF(AX56=misLíneas-2,0,AX56+1)))</f>
        <v/>
      </c>
      <c r="AY57" s="20" t="str" cm="1">
        <f t="array" aca="1" ref="AY57" ca="1">IF(OR(AX57=0,AX57=""),"",INDEX(misCriticidades,AW57)&amp;"-"&amp;IFERROR(MATCH(AX57,miOrdenTarjeta,0),0))</f>
        <v/>
      </c>
    </row>
    <row r="58" spans="2:51" x14ac:dyDescent="0.25">
      <c r="B58" s="19" t="str">
        <f ca="1"/>
        <v/>
      </c>
      <c r="C58" s="20">
        <f t="shared" ca="1" si="20"/>
        <v>1</v>
      </c>
      <c r="D58" s="20" t="str">
        <f t="shared" ca="1" si="21"/>
        <v/>
      </c>
      <c r="E58" s="20" t="str" cm="1">
        <f t="array" aca="1" ref="E58" ca="1">IF(D58="","",IF(D58&lt;&gt;D57,1,IF(E57=misLíneas-2,0,E57+1)))</f>
        <v/>
      </c>
      <c r="F58" s="20" t="str" cm="1">
        <f t="array" aca="1" ref="F58" ca="1">IF(OR(E58=0,E58=""),"",INDEX(misCriticidades,D58)&amp;"-"&amp;IFERROR(MATCH(E58,miOrdenTarjeta,0),0))</f>
        <v/>
      </c>
      <c r="G58" s="19" t="str">
        <f ca="1"/>
        <v/>
      </c>
      <c r="H58" s="20">
        <f t="shared" ca="1" si="11"/>
        <v>6</v>
      </c>
      <c r="I58" s="20">
        <f t="shared" ca="1" si="22"/>
        <v>1</v>
      </c>
      <c r="J58" s="20" cm="1">
        <f t="array" aca="1" ref="J58" ca="1">IF(I58="","",IF(I58&lt;&gt;I57,1,IF(J57=misLíneas-2,0,J57+1)))</f>
        <v>6</v>
      </c>
      <c r="K58" s="20" t="str" cm="1">
        <f t="array" aca="1" ref="K58" ca="1">IF(OR(J58=0,J58=""),"",INDEX(misCriticidades,I58)&amp;"-"&amp;IFERROR(MATCH(J58,miOrdenTarjeta,0),0))</f>
        <v>2-6</v>
      </c>
      <c r="L58" s="19" t="str">
        <f ca="1"/>
        <v/>
      </c>
      <c r="M58" s="20">
        <f t="shared" ca="1" si="12"/>
        <v>1</v>
      </c>
      <c r="N58" s="20" t="str">
        <f t="shared" ca="1" si="23"/>
        <v/>
      </c>
      <c r="O58" s="20" t="str" cm="1">
        <f t="array" aca="1" ref="O58" ca="1">IF(N58="","",IF(N58&lt;&gt;N57,1,IF(O57=misLíneas-2,0,O57+1)))</f>
        <v/>
      </c>
      <c r="P58" s="20" t="str" cm="1">
        <f t="array" aca="1" ref="P58" ca="1">IF(OR(O58=0,O58=""),"",INDEX(misCriticidades,N58)&amp;"-"&amp;IFERROR(MATCH(O58,miOrdenTarjeta,0),0))</f>
        <v/>
      </c>
      <c r="Q58" s="19" t="str">
        <f ca="1"/>
        <v/>
      </c>
      <c r="R58" s="20">
        <f t="shared" ca="1" si="13"/>
        <v>6</v>
      </c>
      <c r="S58" s="20">
        <f t="shared" ca="1" si="24"/>
        <v>24</v>
      </c>
      <c r="T58" s="20" cm="1">
        <f t="array" aca="1" ref="T58" ca="1">IF(S58="","",IF(S58&lt;&gt;S57,1,IF(T57=misLíneas-2,0,T57+1)))</f>
        <v>6</v>
      </c>
      <c r="U58" s="20" t="str" cm="1">
        <f t="array" aca="1" ref="U58" ca="1">IF(OR(T58=0,T58=""),"",INDEX(misCriticidades,S58)&amp;"-"&amp;IFERROR(MATCH(T58,miOrdenTarjeta,0),0))</f>
        <v>2-6</v>
      </c>
      <c r="V58" s="19" t="str">
        <f ca="1"/>
        <v/>
      </c>
      <c r="W58" s="20">
        <f t="shared" ca="1" si="14"/>
        <v>1</v>
      </c>
      <c r="X58" s="20" t="str">
        <f t="shared" ca="1" si="25"/>
        <v/>
      </c>
      <c r="Y58" s="20" t="str" cm="1">
        <f t="array" aca="1" ref="Y58" ca="1">IF(X58="","",IF(X58&lt;&gt;X57,1,IF(Y57=misLíneas-2,0,Y57+1)))</f>
        <v/>
      </c>
      <c r="Z58" s="20" t="str" cm="1">
        <f t="array" aca="1" ref="Z58" ca="1">IF(OR(Y58=0,Y58=""),"",INDEX(misCriticidades,X58)&amp;"-"&amp;IFERROR(MATCH(Y58,miOrdenTarjeta,0),0))</f>
        <v/>
      </c>
      <c r="AA58" s="19" t="str">
        <f ca="1"/>
        <v/>
      </c>
      <c r="AB58" s="20">
        <f t="shared" ca="1" si="15"/>
        <v>1</v>
      </c>
      <c r="AC58" s="20" t="str">
        <f t="shared" ca="1" si="5"/>
        <v/>
      </c>
      <c r="AD58" s="20" t="str" cm="1">
        <f t="array" aca="1" ref="AD58" ca="1">IF(AC58="","",IF(AC58&lt;&gt;AC57,1,IF(AD57=misLíneas-2,0,AD57+1)))</f>
        <v/>
      </c>
      <c r="AE58" s="20" t="str" cm="1">
        <f t="array" aca="1" ref="AE58" ca="1">IF(OR(AD58=0,AD58=""),"",INDEX(misCriticidades,AC58)&amp;"-"&amp;IFERROR(MATCH(AD58,miOrdenTarjeta,0),0))</f>
        <v/>
      </c>
      <c r="AF58" s="19" t="str">
        <f ca="1"/>
        <v/>
      </c>
      <c r="AG58" s="20">
        <f t="shared" ca="1" si="16"/>
        <v>1</v>
      </c>
      <c r="AH58" s="20" t="str">
        <f t="shared" ca="1" si="6"/>
        <v/>
      </c>
      <c r="AI58" s="20" t="str" cm="1">
        <f t="array" aca="1" ref="AI58" ca="1">IF(AH58="","",IF(AH58&lt;&gt;AH57,1,IF(AI57=misLíneas-2,0,AI57+1)))</f>
        <v/>
      </c>
      <c r="AJ58" s="20" t="str" cm="1">
        <f t="array" aca="1" ref="AJ58" ca="1">IF(OR(AI58=0,AI58=""),"",INDEX(misCriticidades,AH58)&amp;"-"&amp;IFERROR(MATCH(AI58,miOrdenTarjeta,0),0))</f>
        <v/>
      </c>
      <c r="AK58" s="19" t="str">
        <f ca="1"/>
        <v/>
      </c>
      <c r="AL58" s="20">
        <f t="shared" ca="1" si="17"/>
        <v>1</v>
      </c>
      <c r="AM58" s="20" t="str">
        <f t="shared" ca="1" si="7"/>
        <v/>
      </c>
      <c r="AN58" s="20" t="str" cm="1">
        <f t="array" aca="1" ref="AN58" ca="1">IF(AM58="","",IF(AM58&lt;&gt;AM57,1,IF(AN57=misLíneas-2,0,AN57+1)))</f>
        <v/>
      </c>
      <c r="AO58" s="20" t="str" cm="1">
        <f t="array" aca="1" ref="AO58" ca="1">IF(OR(AN58=0,AN58=""),"",INDEX(misCriticidades,AM58)&amp;"-"&amp;IFERROR(MATCH(AN58,miOrdenTarjeta,0),0))</f>
        <v/>
      </c>
      <c r="AP58" s="19" t="str">
        <f ca="1"/>
        <v/>
      </c>
      <c r="AQ58" s="20">
        <f t="shared" ca="1" si="18"/>
        <v>1</v>
      </c>
      <c r="AR58" s="20" t="str">
        <f t="shared" ca="1" si="8"/>
        <v/>
      </c>
      <c r="AS58" s="20" t="str" cm="1">
        <f t="array" aca="1" ref="AS58" ca="1">IF(AR58="","",IF(AR58&lt;&gt;AR57,1,IF(AS57=misLíneas-2,0,AS57+1)))</f>
        <v/>
      </c>
      <c r="AT58" s="20" t="str" cm="1">
        <f t="array" aca="1" ref="AT58" ca="1">IF(OR(AS58=0,AS58=""),"",INDEX(misCriticidades,AR58)&amp;"-"&amp;IFERROR(MATCH(AS58,miOrdenTarjeta,0),0))</f>
        <v/>
      </c>
      <c r="AU58" s="19" t="str">
        <f ca="1"/>
        <v/>
      </c>
      <c r="AV58" s="20">
        <f t="shared" ca="1" si="19"/>
        <v>1</v>
      </c>
      <c r="AW58" s="20" t="str">
        <f t="shared" ca="1" si="9"/>
        <v/>
      </c>
      <c r="AX58" s="20" t="str" cm="1">
        <f t="array" aca="1" ref="AX58" ca="1">IF(AW58="","",IF(AW58&lt;&gt;AW57,1,IF(AX57=misLíneas-2,0,AX57+1)))</f>
        <v/>
      </c>
      <c r="AY58" s="20" t="str" cm="1">
        <f t="array" aca="1" ref="AY58" ca="1">IF(OR(AX58=0,AX58=""),"",INDEX(misCriticidades,AW58)&amp;"-"&amp;IFERROR(MATCH(AX58,miOrdenTarjeta,0),0))</f>
        <v/>
      </c>
    </row>
    <row r="59" spans="2:51" x14ac:dyDescent="0.25">
      <c r="B59" s="19" t="str">
        <f ca="1"/>
        <v/>
      </c>
      <c r="C59" s="20">
        <f t="shared" ca="1" si="20"/>
        <v>1</v>
      </c>
      <c r="D59" s="20" t="str">
        <f t="shared" ca="1" si="21"/>
        <v/>
      </c>
      <c r="E59" s="20" t="str" cm="1">
        <f t="array" aca="1" ref="E59" ca="1">IF(D59="","",IF(D59&lt;&gt;D58,1,IF(E58=misLíneas-2,0,E58+1)))</f>
        <v/>
      </c>
      <c r="F59" s="20" t="str" cm="1">
        <f t="array" aca="1" ref="F59" ca="1">IF(OR(E59=0,E59=""),"",INDEX(misCriticidades,D59)&amp;"-"&amp;IFERROR(MATCH(E59,miOrdenTarjeta,0),0))</f>
        <v/>
      </c>
      <c r="G59" s="19" t="str">
        <f ca="1"/>
        <v/>
      </c>
      <c r="H59" s="20">
        <f t="shared" ca="1" si="11"/>
        <v>6</v>
      </c>
      <c r="I59" s="20">
        <f t="shared" ca="1" si="22"/>
        <v>1</v>
      </c>
      <c r="J59" s="20" cm="1">
        <f t="array" aca="1" ref="J59" ca="1">IF(I59="","",IF(I59&lt;&gt;I58,1,IF(J58=misLíneas-2,0,J58+1)))</f>
        <v>7</v>
      </c>
      <c r="K59" s="20" t="str" cm="1">
        <f t="array" aca="1" ref="K59" ca="1">IF(OR(J59=0,J59=""),"",INDEX(misCriticidades,I59)&amp;"-"&amp;IFERROR(MATCH(J59,miOrdenTarjeta,0),0))</f>
        <v>2-7</v>
      </c>
      <c r="L59" s="19" t="str">
        <f ca="1"/>
        <v/>
      </c>
      <c r="M59" s="20">
        <f t="shared" ca="1" si="12"/>
        <v>1</v>
      </c>
      <c r="N59" s="20" t="str">
        <f t="shared" ca="1" si="23"/>
        <v/>
      </c>
      <c r="O59" s="20" t="str" cm="1">
        <f t="array" aca="1" ref="O59" ca="1">IF(N59="","",IF(N59&lt;&gt;N58,1,IF(O58=misLíneas-2,0,O58+1)))</f>
        <v/>
      </c>
      <c r="P59" s="20" t="str" cm="1">
        <f t="array" aca="1" ref="P59" ca="1">IF(OR(O59=0,O59=""),"",INDEX(misCriticidades,N59)&amp;"-"&amp;IFERROR(MATCH(O59,miOrdenTarjeta,0),0))</f>
        <v/>
      </c>
      <c r="Q59" s="19" t="str">
        <f ca="1"/>
        <v/>
      </c>
      <c r="R59" s="20">
        <f t="shared" ca="1" si="13"/>
        <v>6</v>
      </c>
      <c r="S59" s="20">
        <f t="shared" ca="1" si="24"/>
        <v>24</v>
      </c>
      <c r="T59" s="20" cm="1">
        <f t="array" aca="1" ref="T59" ca="1">IF(S59="","",IF(S59&lt;&gt;S58,1,IF(T58=misLíneas-2,0,T58+1)))</f>
        <v>7</v>
      </c>
      <c r="U59" s="20" t="str" cm="1">
        <f t="array" aca="1" ref="U59" ca="1">IF(OR(T59=0,T59=""),"",INDEX(misCriticidades,S59)&amp;"-"&amp;IFERROR(MATCH(T59,miOrdenTarjeta,0),0))</f>
        <v>2-7</v>
      </c>
      <c r="V59" s="19" t="str">
        <f ca="1"/>
        <v/>
      </c>
      <c r="W59" s="20">
        <f t="shared" ca="1" si="14"/>
        <v>1</v>
      </c>
      <c r="X59" s="20" t="str">
        <f t="shared" ca="1" si="25"/>
        <v/>
      </c>
      <c r="Y59" s="20" t="str" cm="1">
        <f t="array" aca="1" ref="Y59" ca="1">IF(X59="","",IF(X59&lt;&gt;X58,1,IF(Y58=misLíneas-2,0,Y58+1)))</f>
        <v/>
      </c>
      <c r="Z59" s="20" t="str" cm="1">
        <f t="array" aca="1" ref="Z59" ca="1">IF(OR(Y59=0,Y59=""),"",INDEX(misCriticidades,X59)&amp;"-"&amp;IFERROR(MATCH(Y59,miOrdenTarjeta,0),0))</f>
        <v/>
      </c>
      <c r="AA59" s="19" t="str">
        <f ca="1"/>
        <v/>
      </c>
      <c r="AB59" s="20">
        <f t="shared" ca="1" si="15"/>
        <v>1</v>
      </c>
      <c r="AC59" s="20" t="str">
        <f t="shared" ca="1" si="5"/>
        <v/>
      </c>
      <c r="AD59" s="20" t="str" cm="1">
        <f t="array" aca="1" ref="AD59" ca="1">IF(AC59="","",IF(AC59&lt;&gt;AC58,1,IF(AD58=misLíneas-2,0,AD58+1)))</f>
        <v/>
      </c>
      <c r="AE59" s="20" t="str" cm="1">
        <f t="array" aca="1" ref="AE59" ca="1">IF(OR(AD59=0,AD59=""),"",INDEX(misCriticidades,AC59)&amp;"-"&amp;IFERROR(MATCH(AD59,miOrdenTarjeta,0),0))</f>
        <v/>
      </c>
      <c r="AF59" s="19" t="str">
        <f ca="1"/>
        <v/>
      </c>
      <c r="AG59" s="20">
        <f t="shared" ca="1" si="16"/>
        <v>1</v>
      </c>
      <c r="AH59" s="20" t="str">
        <f t="shared" ca="1" si="6"/>
        <v/>
      </c>
      <c r="AI59" s="20" t="str" cm="1">
        <f t="array" aca="1" ref="AI59" ca="1">IF(AH59="","",IF(AH59&lt;&gt;AH58,1,IF(AI58=misLíneas-2,0,AI58+1)))</f>
        <v/>
      </c>
      <c r="AJ59" s="20" t="str" cm="1">
        <f t="array" aca="1" ref="AJ59" ca="1">IF(OR(AI59=0,AI59=""),"",INDEX(misCriticidades,AH59)&amp;"-"&amp;IFERROR(MATCH(AI59,miOrdenTarjeta,0),0))</f>
        <v/>
      </c>
      <c r="AK59" s="19" t="str">
        <f ca="1"/>
        <v/>
      </c>
      <c r="AL59" s="20">
        <f t="shared" ca="1" si="17"/>
        <v>1</v>
      </c>
      <c r="AM59" s="20" t="str">
        <f t="shared" ca="1" si="7"/>
        <v/>
      </c>
      <c r="AN59" s="20" t="str" cm="1">
        <f t="array" aca="1" ref="AN59" ca="1">IF(AM59="","",IF(AM59&lt;&gt;AM58,1,IF(AN58=misLíneas-2,0,AN58+1)))</f>
        <v/>
      </c>
      <c r="AO59" s="20" t="str" cm="1">
        <f t="array" aca="1" ref="AO59" ca="1">IF(OR(AN59=0,AN59=""),"",INDEX(misCriticidades,AM59)&amp;"-"&amp;IFERROR(MATCH(AN59,miOrdenTarjeta,0),0))</f>
        <v/>
      </c>
      <c r="AP59" s="19" t="str">
        <f ca="1"/>
        <v/>
      </c>
      <c r="AQ59" s="20">
        <f t="shared" ca="1" si="18"/>
        <v>1</v>
      </c>
      <c r="AR59" s="20" t="str">
        <f t="shared" ca="1" si="8"/>
        <v/>
      </c>
      <c r="AS59" s="20" t="str" cm="1">
        <f t="array" aca="1" ref="AS59" ca="1">IF(AR59="","",IF(AR59&lt;&gt;AR58,1,IF(AS58=misLíneas-2,0,AS58+1)))</f>
        <v/>
      </c>
      <c r="AT59" s="20" t="str" cm="1">
        <f t="array" aca="1" ref="AT59" ca="1">IF(OR(AS59=0,AS59=""),"",INDEX(misCriticidades,AR59)&amp;"-"&amp;IFERROR(MATCH(AS59,miOrdenTarjeta,0),0))</f>
        <v/>
      </c>
      <c r="AU59" s="19" t="str">
        <f ca="1"/>
        <v/>
      </c>
      <c r="AV59" s="20">
        <f t="shared" ca="1" si="19"/>
        <v>1</v>
      </c>
      <c r="AW59" s="20" t="str">
        <f t="shared" ca="1" si="9"/>
        <v/>
      </c>
      <c r="AX59" s="20" t="str" cm="1">
        <f t="array" aca="1" ref="AX59" ca="1">IF(AW59="","",IF(AW59&lt;&gt;AW58,1,IF(AX58=misLíneas-2,0,AX58+1)))</f>
        <v/>
      </c>
      <c r="AY59" s="20" t="str" cm="1">
        <f t="array" aca="1" ref="AY59" ca="1">IF(OR(AX59=0,AX59=""),"",INDEX(misCriticidades,AW59)&amp;"-"&amp;IFERROR(MATCH(AX59,miOrdenTarjeta,0),0))</f>
        <v/>
      </c>
    </row>
    <row r="60" spans="2:51" x14ac:dyDescent="0.25">
      <c r="B60" s="19" t="str">
        <f ca="1"/>
        <v/>
      </c>
      <c r="C60" s="20">
        <f t="shared" ca="1" si="20"/>
        <v>1</v>
      </c>
      <c r="D60" s="20" t="str">
        <f t="shared" ca="1" si="21"/>
        <v/>
      </c>
      <c r="E60" s="20" t="str" cm="1">
        <f t="array" aca="1" ref="E60" ca="1">IF(D60="","",IF(D60&lt;&gt;D59,1,IF(E59=misLíneas-2,0,E59+1)))</f>
        <v/>
      </c>
      <c r="F60" s="20" t="str" cm="1">
        <f t="array" aca="1" ref="F60" ca="1">IF(OR(E60=0,E60=""),"",INDEX(misCriticidades,D60)&amp;"-"&amp;IFERROR(MATCH(E60,miOrdenTarjeta,0),0))</f>
        <v/>
      </c>
      <c r="G60" s="19" t="str">
        <f ca="1"/>
        <v/>
      </c>
      <c r="H60" s="20">
        <f t="shared" ca="1" si="11"/>
        <v>6</v>
      </c>
      <c r="I60" s="20">
        <f t="shared" ca="1" si="22"/>
        <v>1</v>
      </c>
      <c r="J60" s="20" cm="1">
        <f t="array" aca="1" ref="J60" ca="1">IF(I60="","",IF(I60&lt;&gt;I59,1,IF(J59=misLíneas-2,0,J59+1)))</f>
        <v>8</v>
      </c>
      <c r="K60" s="20" t="str" cm="1">
        <f t="array" aca="1" ref="K60" ca="1">IF(OR(J60=0,J60=""),"",INDEX(misCriticidades,I60)&amp;"-"&amp;IFERROR(MATCH(J60,miOrdenTarjeta,0),0))</f>
        <v>2-8</v>
      </c>
      <c r="L60" s="19" t="str">
        <f ca="1"/>
        <v/>
      </c>
      <c r="M60" s="20">
        <f t="shared" ca="1" si="12"/>
        <v>1</v>
      </c>
      <c r="N60" s="20" t="str">
        <f t="shared" ca="1" si="23"/>
        <v/>
      </c>
      <c r="O60" s="20" t="str" cm="1">
        <f t="array" aca="1" ref="O60" ca="1">IF(N60="","",IF(N60&lt;&gt;N59,1,IF(O59=misLíneas-2,0,O59+1)))</f>
        <v/>
      </c>
      <c r="P60" s="20" t="str" cm="1">
        <f t="array" aca="1" ref="P60" ca="1">IF(OR(O60=0,O60=""),"",INDEX(misCriticidades,N60)&amp;"-"&amp;IFERROR(MATCH(O60,miOrdenTarjeta,0),0))</f>
        <v/>
      </c>
      <c r="Q60" s="19" t="str">
        <f ca="1"/>
        <v/>
      </c>
      <c r="R60" s="20">
        <f t="shared" ca="1" si="13"/>
        <v>6</v>
      </c>
      <c r="S60" s="20">
        <f t="shared" ca="1" si="24"/>
        <v>24</v>
      </c>
      <c r="T60" s="20" cm="1">
        <f t="array" aca="1" ref="T60" ca="1">IF(S60="","",IF(S60&lt;&gt;S59,1,IF(T59=misLíneas-2,0,T59+1)))</f>
        <v>8</v>
      </c>
      <c r="U60" s="20" t="str" cm="1">
        <f t="array" aca="1" ref="U60" ca="1">IF(OR(T60=0,T60=""),"",INDEX(misCriticidades,S60)&amp;"-"&amp;IFERROR(MATCH(T60,miOrdenTarjeta,0),0))</f>
        <v>2-8</v>
      </c>
      <c r="V60" s="19" t="str">
        <f ca="1"/>
        <v/>
      </c>
      <c r="W60" s="20">
        <f t="shared" ca="1" si="14"/>
        <v>1</v>
      </c>
      <c r="X60" s="20" t="str">
        <f t="shared" ca="1" si="25"/>
        <v/>
      </c>
      <c r="Y60" s="20" t="str" cm="1">
        <f t="array" aca="1" ref="Y60" ca="1">IF(X60="","",IF(X60&lt;&gt;X59,1,IF(Y59=misLíneas-2,0,Y59+1)))</f>
        <v/>
      </c>
      <c r="Z60" s="20" t="str" cm="1">
        <f t="array" aca="1" ref="Z60" ca="1">IF(OR(Y60=0,Y60=""),"",INDEX(misCriticidades,X60)&amp;"-"&amp;IFERROR(MATCH(Y60,miOrdenTarjeta,0),0))</f>
        <v/>
      </c>
      <c r="AA60" s="19" t="str">
        <f ca="1"/>
        <v/>
      </c>
      <c r="AB60" s="20">
        <f t="shared" ca="1" si="15"/>
        <v>1</v>
      </c>
      <c r="AC60" s="20" t="str">
        <f t="shared" ca="1" si="5"/>
        <v/>
      </c>
      <c r="AD60" s="20" t="str" cm="1">
        <f t="array" aca="1" ref="AD60" ca="1">IF(AC60="","",IF(AC60&lt;&gt;AC59,1,IF(AD59=misLíneas-2,0,AD59+1)))</f>
        <v/>
      </c>
      <c r="AE60" s="20" t="str" cm="1">
        <f t="array" aca="1" ref="AE60" ca="1">IF(OR(AD60=0,AD60=""),"",INDEX(misCriticidades,AC60)&amp;"-"&amp;IFERROR(MATCH(AD60,miOrdenTarjeta,0),0))</f>
        <v/>
      </c>
      <c r="AF60" s="19" t="str">
        <f ca="1"/>
        <v/>
      </c>
      <c r="AG60" s="20">
        <f t="shared" ca="1" si="16"/>
        <v>1</v>
      </c>
      <c r="AH60" s="20" t="str">
        <f t="shared" ca="1" si="6"/>
        <v/>
      </c>
      <c r="AI60" s="20" t="str" cm="1">
        <f t="array" aca="1" ref="AI60" ca="1">IF(AH60="","",IF(AH60&lt;&gt;AH59,1,IF(AI59=misLíneas-2,0,AI59+1)))</f>
        <v/>
      </c>
      <c r="AJ60" s="20" t="str" cm="1">
        <f t="array" aca="1" ref="AJ60" ca="1">IF(OR(AI60=0,AI60=""),"",INDEX(misCriticidades,AH60)&amp;"-"&amp;IFERROR(MATCH(AI60,miOrdenTarjeta,0),0))</f>
        <v/>
      </c>
      <c r="AK60" s="19" t="str">
        <f ca="1"/>
        <v/>
      </c>
      <c r="AL60" s="20">
        <f t="shared" ca="1" si="17"/>
        <v>1</v>
      </c>
      <c r="AM60" s="20" t="str">
        <f t="shared" ca="1" si="7"/>
        <v/>
      </c>
      <c r="AN60" s="20" t="str" cm="1">
        <f t="array" aca="1" ref="AN60" ca="1">IF(AM60="","",IF(AM60&lt;&gt;AM59,1,IF(AN59=misLíneas-2,0,AN59+1)))</f>
        <v/>
      </c>
      <c r="AO60" s="20" t="str" cm="1">
        <f t="array" aca="1" ref="AO60" ca="1">IF(OR(AN60=0,AN60=""),"",INDEX(misCriticidades,AM60)&amp;"-"&amp;IFERROR(MATCH(AN60,miOrdenTarjeta,0),0))</f>
        <v/>
      </c>
      <c r="AP60" s="19" t="str">
        <f ca="1"/>
        <v/>
      </c>
      <c r="AQ60" s="20">
        <f t="shared" ca="1" si="18"/>
        <v>1</v>
      </c>
      <c r="AR60" s="20" t="str">
        <f t="shared" ca="1" si="8"/>
        <v/>
      </c>
      <c r="AS60" s="20" t="str" cm="1">
        <f t="array" aca="1" ref="AS60" ca="1">IF(AR60="","",IF(AR60&lt;&gt;AR59,1,IF(AS59=misLíneas-2,0,AS59+1)))</f>
        <v/>
      </c>
      <c r="AT60" s="20" t="str" cm="1">
        <f t="array" aca="1" ref="AT60" ca="1">IF(OR(AS60=0,AS60=""),"",INDEX(misCriticidades,AR60)&amp;"-"&amp;IFERROR(MATCH(AS60,miOrdenTarjeta,0),0))</f>
        <v/>
      </c>
      <c r="AU60" s="19" t="str">
        <f ca="1"/>
        <v/>
      </c>
      <c r="AV60" s="20">
        <f t="shared" ca="1" si="19"/>
        <v>1</v>
      </c>
      <c r="AW60" s="20" t="str">
        <f t="shared" ca="1" si="9"/>
        <v/>
      </c>
      <c r="AX60" s="20" t="str" cm="1">
        <f t="array" aca="1" ref="AX60" ca="1">IF(AW60="","",IF(AW60&lt;&gt;AW59,1,IF(AX59=misLíneas-2,0,AX59+1)))</f>
        <v/>
      </c>
      <c r="AY60" s="20" t="str" cm="1">
        <f t="array" aca="1" ref="AY60" ca="1">IF(OR(AX60=0,AX60=""),"",INDEX(misCriticidades,AW60)&amp;"-"&amp;IFERROR(MATCH(AX60,miOrdenTarjeta,0),0))</f>
        <v/>
      </c>
    </row>
    <row r="61" spans="2:51" x14ac:dyDescent="0.25">
      <c r="B61" s="19" t="str">
        <f ca="1"/>
        <v/>
      </c>
      <c r="C61" s="20">
        <f t="shared" ca="1" si="20"/>
        <v>1</v>
      </c>
      <c r="D61" s="20" t="str">
        <f t="shared" ca="1" si="21"/>
        <v/>
      </c>
      <c r="E61" s="20" t="str" cm="1">
        <f t="array" aca="1" ref="E61" ca="1">IF(D61="","",IF(D61&lt;&gt;D60,1,IF(E60=misLíneas-2,0,E60+1)))</f>
        <v/>
      </c>
      <c r="F61" s="20" t="str" cm="1">
        <f t="array" aca="1" ref="F61" ca="1">IF(OR(E61=0,E61=""),"",INDEX(misCriticidades,D61)&amp;"-"&amp;IFERROR(MATCH(E61,miOrdenTarjeta,0),0))</f>
        <v/>
      </c>
      <c r="G61" s="19" t="str">
        <f ca="1"/>
        <v/>
      </c>
      <c r="H61" s="20">
        <f t="shared" ca="1" si="11"/>
        <v>6</v>
      </c>
      <c r="I61" s="20">
        <f t="shared" ca="1" si="22"/>
        <v>1</v>
      </c>
      <c r="J61" s="20" cm="1">
        <f t="array" aca="1" ref="J61" ca="1">IF(I61="","",IF(I61&lt;&gt;I60,1,IF(J60=misLíneas-2,0,J60+1)))</f>
        <v>9</v>
      </c>
      <c r="K61" s="20" t="str" cm="1">
        <f t="array" aca="1" ref="K61" ca="1">IF(OR(J61=0,J61=""),"",INDEX(misCriticidades,I61)&amp;"-"&amp;IFERROR(MATCH(J61,miOrdenTarjeta,0),0))</f>
        <v>2-0</v>
      </c>
      <c r="L61" s="19" t="str">
        <f ca="1"/>
        <v/>
      </c>
      <c r="M61" s="20">
        <f t="shared" ca="1" si="12"/>
        <v>1</v>
      </c>
      <c r="N61" s="20" t="str">
        <f t="shared" ca="1" si="23"/>
        <v/>
      </c>
      <c r="O61" s="20" t="str" cm="1">
        <f t="array" aca="1" ref="O61" ca="1">IF(N61="","",IF(N61&lt;&gt;N60,1,IF(O60=misLíneas-2,0,O60+1)))</f>
        <v/>
      </c>
      <c r="P61" s="20" t="str" cm="1">
        <f t="array" aca="1" ref="P61" ca="1">IF(OR(O61=0,O61=""),"",INDEX(misCriticidades,N61)&amp;"-"&amp;IFERROR(MATCH(O61,miOrdenTarjeta,0),0))</f>
        <v/>
      </c>
      <c r="Q61" s="19" t="str">
        <f ca="1"/>
        <v/>
      </c>
      <c r="R61" s="20">
        <f t="shared" ca="1" si="13"/>
        <v>6</v>
      </c>
      <c r="S61" s="20">
        <f t="shared" ca="1" si="24"/>
        <v>24</v>
      </c>
      <c r="T61" s="20" cm="1">
        <f t="array" aca="1" ref="T61" ca="1">IF(S61="","",IF(S61&lt;&gt;S60,1,IF(T60=misLíneas-2,0,T60+1)))</f>
        <v>9</v>
      </c>
      <c r="U61" s="20" t="str" cm="1">
        <f t="array" aca="1" ref="U61" ca="1">IF(OR(T61=0,T61=""),"",INDEX(misCriticidades,S61)&amp;"-"&amp;IFERROR(MATCH(T61,miOrdenTarjeta,0),0))</f>
        <v>2-0</v>
      </c>
      <c r="V61" s="19" t="str">
        <f ca="1"/>
        <v/>
      </c>
      <c r="W61" s="20">
        <f t="shared" ca="1" si="14"/>
        <v>1</v>
      </c>
      <c r="X61" s="20" t="str">
        <f t="shared" ca="1" si="25"/>
        <v/>
      </c>
      <c r="Y61" s="20" t="str" cm="1">
        <f t="array" aca="1" ref="Y61" ca="1">IF(X61="","",IF(X61&lt;&gt;X60,1,IF(Y60=misLíneas-2,0,Y60+1)))</f>
        <v/>
      </c>
      <c r="Z61" s="20" t="str" cm="1">
        <f t="array" aca="1" ref="Z61" ca="1">IF(OR(Y61=0,Y61=""),"",INDEX(misCriticidades,X61)&amp;"-"&amp;IFERROR(MATCH(Y61,miOrdenTarjeta,0),0))</f>
        <v/>
      </c>
      <c r="AA61" s="19" t="str">
        <f ca="1"/>
        <v/>
      </c>
      <c r="AB61" s="20">
        <f t="shared" ca="1" si="15"/>
        <v>1</v>
      </c>
      <c r="AC61" s="20" t="str">
        <f t="shared" ca="1" si="5"/>
        <v/>
      </c>
      <c r="AD61" s="20" t="str" cm="1">
        <f t="array" aca="1" ref="AD61" ca="1">IF(AC61="","",IF(AC61&lt;&gt;AC60,1,IF(AD60=misLíneas-2,0,AD60+1)))</f>
        <v/>
      </c>
      <c r="AE61" s="20" t="str" cm="1">
        <f t="array" aca="1" ref="AE61" ca="1">IF(OR(AD61=0,AD61=""),"",INDEX(misCriticidades,AC61)&amp;"-"&amp;IFERROR(MATCH(AD61,miOrdenTarjeta,0),0))</f>
        <v/>
      </c>
      <c r="AF61" s="19" t="str">
        <f ca="1"/>
        <v/>
      </c>
      <c r="AG61" s="20">
        <f t="shared" ca="1" si="16"/>
        <v>1</v>
      </c>
      <c r="AH61" s="20" t="str">
        <f t="shared" ca="1" si="6"/>
        <v/>
      </c>
      <c r="AI61" s="20" t="str" cm="1">
        <f t="array" aca="1" ref="AI61" ca="1">IF(AH61="","",IF(AH61&lt;&gt;AH60,1,IF(AI60=misLíneas-2,0,AI60+1)))</f>
        <v/>
      </c>
      <c r="AJ61" s="20" t="str" cm="1">
        <f t="array" aca="1" ref="AJ61" ca="1">IF(OR(AI61=0,AI61=""),"",INDEX(misCriticidades,AH61)&amp;"-"&amp;IFERROR(MATCH(AI61,miOrdenTarjeta,0),0))</f>
        <v/>
      </c>
      <c r="AK61" s="19" t="str">
        <f ca="1"/>
        <v/>
      </c>
      <c r="AL61" s="20">
        <f t="shared" ca="1" si="17"/>
        <v>1</v>
      </c>
      <c r="AM61" s="20" t="str">
        <f t="shared" ca="1" si="7"/>
        <v/>
      </c>
      <c r="AN61" s="20" t="str" cm="1">
        <f t="array" aca="1" ref="AN61" ca="1">IF(AM61="","",IF(AM61&lt;&gt;AM60,1,IF(AN60=misLíneas-2,0,AN60+1)))</f>
        <v/>
      </c>
      <c r="AO61" s="20" t="str" cm="1">
        <f t="array" aca="1" ref="AO61" ca="1">IF(OR(AN61=0,AN61=""),"",INDEX(misCriticidades,AM61)&amp;"-"&amp;IFERROR(MATCH(AN61,miOrdenTarjeta,0),0))</f>
        <v/>
      </c>
      <c r="AP61" s="19" t="str">
        <f ca="1"/>
        <v/>
      </c>
      <c r="AQ61" s="20">
        <f t="shared" ca="1" si="18"/>
        <v>1</v>
      </c>
      <c r="AR61" s="20" t="str">
        <f t="shared" ca="1" si="8"/>
        <v/>
      </c>
      <c r="AS61" s="20" t="str" cm="1">
        <f t="array" aca="1" ref="AS61" ca="1">IF(AR61="","",IF(AR61&lt;&gt;AR60,1,IF(AS60=misLíneas-2,0,AS60+1)))</f>
        <v/>
      </c>
      <c r="AT61" s="20" t="str" cm="1">
        <f t="array" aca="1" ref="AT61" ca="1">IF(OR(AS61=0,AS61=""),"",INDEX(misCriticidades,AR61)&amp;"-"&amp;IFERROR(MATCH(AS61,miOrdenTarjeta,0),0))</f>
        <v/>
      </c>
      <c r="AU61" s="19" t="str">
        <f ca="1"/>
        <v/>
      </c>
      <c r="AV61" s="20">
        <f t="shared" ca="1" si="19"/>
        <v>1</v>
      </c>
      <c r="AW61" s="20" t="str">
        <f t="shared" ca="1" si="9"/>
        <v/>
      </c>
      <c r="AX61" s="20" t="str" cm="1">
        <f t="array" aca="1" ref="AX61" ca="1">IF(AW61="","",IF(AW61&lt;&gt;AW60,1,IF(AX60=misLíneas-2,0,AX60+1)))</f>
        <v/>
      </c>
      <c r="AY61" s="20" t="str" cm="1">
        <f t="array" aca="1" ref="AY61" ca="1">IF(OR(AX61=0,AX61=""),"",INDEX(misCriticidades,AW61)&amp;"-"&amp;IFERROR(MATCH(AX61,miOrdenTarjeta,0),0))</f>
        <v/>
      </c>
    </row>
    <row r="62" spans="2:51" x14ac:dyDescent="0.25">
      <c r="B62" s="19" t="str">
        <f ca="1"/>
        <v/>
      </c>
      <c r="C62" s="20">
        <f t="shared" ca="1" si="20"/>
        <v>1</v>
      </c>
      <c r="D62" s="20" t="str">
        <f t="shared" ca="1" si="21"/>
        <v/>
      </c>
      <c r="E62" s="20" t="str" cm="1">
        <f t="array" aca="1" ref="E62" ca="1">IF(D62="","",IF(D62&lt;&gt;D61,1,IF(E61=misLíneas-2,0,E61+1)))</f>
        <v/>
      </c>
      <c r="F62" s="20" t="str" cm="1">
        <f t="array" aca="1" ref="F62" ca="1">IF(OR(E62=0,E62=""),"",INDEX(misCriticidades,D62)&amp;"-"&amp;IFERROR(MATCH(E62,miOrdenTarjeta,0),0))</f>
        <v/>
      </c>
      <c r="G62" s="19" t="str">
        <f ca="1"/>
        <v/>
      </c>
      <c r="H62" s="20">
        <f t="shared" ca="1" si="11"/>
        <v>6</v>
      </c>
      <c r="I62" s="20">
        <f t="shared" ca="1" si="22"/>
        <v>1</v>
      </c>
      <c r="J62" s="20" cm="1">
        <f t="array" aca="1" ref="J62" ca="1">IF(I62="","",IF(I62&lt;&gt;I61,1,IF(J61=misLíneas-2,0,J61+1)))</f>
        <v>0</v>
      </c>
      <c r="K62" s="20" t="str" cm="1">
        <f t="array" aca="1" ref="K62" ca="1">IF(OR(J62=0,J62=""),"",INDEX(misCriticidades,I62)&amp;"-"&amp;IFERROR(MATCH(J62,miOrdenTarjeta,0),0))</f>
        <v/>
      </c>
      <c r="L62" s="19" t="str">
        <f ca="1"/>
        <v/>
      </c>
      <c r="M62" s="20">
        <f t="shared" ca="1" si="12"/>
        <v>1</v>
      </c>
      <c r="N62" s="20" t="str">
        <f t="shared" ca="1" si="23"/>
        <v/>
      </c>
      <c r="O62" s="20" t="str" cm="1">
        <f t="array" aca="1" ref="O62" ca="1">IF(N62="","",IF(N62&lt;&gt;N61,1,IF(O61=misLíneas-2,0,O61+1)))</f>
        <v/>
      </c>
      <c r="P62" s="20" t="str" cm="1">
        <f t="array" aca="1" ref="P62" ca="1">IF(OR(O62=0,O62=""),"",INDEX(misCriticidades,N62)&amp;"-"&amp;IFERROR(MATCH(O62,miOrdenTarjeta,0),0))</f>
        <v/>
      </c>
      <c r="Q62" s="19" t="str">
        <f ca="1"/>
        <v/>
      </c>
      <c r="R62" s="20">
        <f t="shared" ca="1" si="13"/>
        <v>6</v>
      </c>
      <c r="S62" s="20">
        <f t="shared" ca="1" si="24"/>
        <v>24</v>
      </c>
      <c r="T62" s="20" cm="1">
        <f t="array" aca="1" ref="T62" ca="1">IF(S62="","",IF(S62&lt;&gt;S61,1,IF(T61=misLíneas-2,0,T61+1)))</f>
        <v>0</v>
      </c>
      <c r="U62" s="20" t="str" cm="1">
        <f t="array" aca="1" ref="U62" ca="1">IF(OR(T62=0,T62=""),"",INDEX(misCriticidades,S62)&amp;"-"&amp;IFERROR(MATCH(T62,miOrdenTarjeta,0),0))</f>
        <v/>
      </c>
      <c r="V62" s="19" t="str">
        <f ca="1"/>
        <v/>
      </c>
      <c r="W62" s="20">
        <f t="shared" ca="1" si="14"/>
        <v>1</v>
      </c>
      <c r="X62" s="20" t="str">
        <f t="shared" ca="1" si="25"/>
        <v/>
      </c>
      <c r="Y62" s="20" t="str" cm="1">
        <f t="array" aca="1" ref="Y62" ca="1">IF(X62="","",IF(X62&lt;&gt;X61,1,IF(Y61=misLíneas-2,0,Y61+1)))</f>
        <v/>
      </c>
      <c r="Z62" s="20" t="str" cm="1">
        <f t="array" aca="1" ref="Z62" ca="1">IF(OR(Y62=0,Y62=""),"",INDEX(misCriticidades,X62)&amp;"-"&amp;IFERROR(MATCH(Y62,miOrdenTarjeta,0),0))</f>
        <v/>
      </c>
      <c r="AA62" s="19" t="str">
        <f ca="1"/>
        <v/>
      </c>
      <c r="AB62" s="20">
        <f t="shared" ca="1" si="15"/>
        <v>1</v>
      </c>
      <c r="AC62" s="20" t="str">
        <f t="shared" ca="1" si="5"/>
        <v/>
      </c>
      <c r="AD62" s="20" t="str" cm="1">
        <f t="array" aca="1" ref="AD62" ca="1">IF(AC62="","",IF(AC62&lt;&gt;AC61,1,IF(AD61=misLíneas-2,0,AD61+1)))</f>
        <v/>
      </c>
      <c r="AE62" s="20" t="str" cm="1">
        <f t="array" aca="1" ref="AE62" ca="1">IF(OR(AD62=0,AD62=""),"",INDEX(misCriticidades,AC62)&amp;"-"&amp;IFERROR(MATCH(AD62,miOrdenTarjeta,0),0))</f>
        <v/>
      </c>
      <c r="AF62" s="19" t="str">
        <f ca="1"/>
        <v/>
      </c>
      <c r="AG62" s="20">
        <f t="shared" ca="1" si="16"/>
        <v>1</v>
      </c>
      <c r="AH62" s="20" t="str">
        <f t="shared" ca="1" si="6"/>
        <v/>
      </c>
      <c r="AI62" s="20" t="str" cm="1">
        <f t="array" aca="1" ref="AI62" ca="1">IF(AH62="","",IF(AH62&lt;&gt;AH61,1,IF(AI61=misLíneas-2,0,AI61+1)))</f>
        <v/>
      </c>
      <c r="AJ62" s="20" t="str" cm="1">
        <f t="array" aca="1" ref="AJ62" ca="1">IF(OR(AI62=0,AI62=""),"",INDEX(misCriticidades,AH62)&amp;"-"&amp;IFERROR(MATCH(AI62,miOrdenTarjeta,0),0))</f>
        <v/>
      </c>
      <c r="AK62" s="19" t="str">
        <f ca="1"/>
        <v/>
      </c>
      <c r="AL62" s="20">
        <f t="shared" ca="1" si="17"/>
        <v>1</v>
      </c>
      <c r="AM62" s="20" t="str">
        <f t="shared" ca="1" si="7"/>
        <v/>
      </c>
      <c r="AN62" s="20" t="str" cm="1">
        <f t="array" aca="1" ref="AN62" ca="1">IF(AM62="","",IF(AM62&lt;&gt;AM61,1,IF(AN61=misLíneas-2,0,AN61+1)))</f>
        <v/>
      </c>
      <c r="AO62" s="20" t="str" cm="1">
        <f t="array" aca="1" ref="AO62" ca="1">IF(OR(AN62=0,AN62=""),"",INDEX(misCriticidades,AM62)&amp;"-"&amp;IFERROR(MATCH(AN62,miOrdenTarjeta,0),0))</f>
        <v/>
      </c>
      <c r="AP62" s="19" t="str">
        <f ca="1"/>
        <v/>
      </c>
      <c r="AQ62" s="20">
        <f t="shared" ca="1" si="18"/>
        <v>1</v>
      </c>
      <c r="AR62" s="20" t="str">
        <f t="shared" ca="1" si="8"/>
        <v/>
      </c>
      <c r="AS62" s="20" t="str" cm="1">
        <f t="array" aca="1" ref="AS62" ca="1">IF(AR62="","",IF(AR62&lt;&gt;AR61,1,IF(AS61=misLíneas-2,0,AS61+1)))</f>
        <v/>
      </c>
      <c r="AT62" s="20" t="str" cm="1">
        <f t="array" aca="1" ref="AT62" ca="1">IF(OR(AS62=0,AS62=""),"",INDEX(misCriticidades,AR62)&amp;"-"&amp;IFERROR(MATCH(AS62,miOrdenTarjeta,0),0))</f>
        <v/>
      </c>
      <c r="AU62" s="19" t="str">
        <f ca="1"/>
        <v/>
      </c>
      <c r="AV62" s="20">
        <f t="shared" ca="1" si="19"/>
        <v>1</v>
      </c>
      <c r="AW62" s="20" t="str">
        <f t="shared" ca="1" si="9"/>
        <v/>
      </c>
      <c r="AX62" s="20" t="str" cm="1">
        <f t="array" aca="1" ref="AX62" ca="1">IF(AW62="","",IF(AW62&lt;&gt;AW61,1,IF(AX61=misLíneas-2,0,AX61+1)))</f>
        <v/>
      </c>
      <c r="AY62" s="20" t="str" cm="1">
        <f t="array" aca="1" ref="AY62" ca="1">IF(OR(AX62=0,AX62=""),"",INDEX(misCriticidades,AW62)&amp;"-"&amp;IFERROR(MATCH(AX62,miOrdenTarjeta,0),0))</f>
        <v/>
      </c>
    </row>
    <row r="63" spans="2:51" x14ac:dyDescent="0.25">
      <c r="B63" s="19" t="str">
        <f ca="1"/>
        <v/>
      </c>
      <c r="C63" s="20">
        <f t="shared" ca="1" si="20"/>
        <v>1</v>
      </c>
      <c r="D63" s="20" t="str">
        <f t="shared" ca="1" si="21"/>
        <v/>
      </c>
      <c r="E63" s="20" t="str" cm="1">
        <f t="array" aca="1" ref="E63" ca="1">IF(D63="","",IF(D63&lt;&gt;D62,1,IF(E62=misLíneas-2,0,E62+1)))</f>
        <v/>
      </c>
      <c r="F63" s="20" t="str" cm="1">
        <f t="array" aca="1" ref="F63" ca="1">IF(OR(E63=0,E63=""),"",INDEX(misCriticidades,D63)&amp;"-"&amp;IFERROR(MATCH(E63,miOrdenTarjeta,0),0))</f>
        <v/>
      </c>
      <c r="G63" s="19" t="str">
        <f ca="1"/>
        <v/>
      </c>
      <c r="H63" s="20">
        <f t="shared" ca="1" si="11"/>
        <v>7</v>
      </c>
      <c r="I63" s="20" t="str">
        <f t="shared" ca="1" si="22"/>
        <v/>
      </c>
      <c r="J63" s="20" t="str" cm="1">
        <f t="array" aca="1" ref="J63" ca="1">IF(I63="","",IF(I63&lt;&gt;I62,1,IF(J62=misLíneas-2,0,J62+1)))</f>
        <v/>
      </c>
      <c r="K63" s="20" t="str" cm="1">
        <f t="array" aca="1" ref="K63" ca="1">IF(OR(J63=0,J63=""),"",INDEX(misCriticidades,I63)&amp;"-"&amp;IFERROR(MATCH(J63,miOrdenTarjeta,0),0))</f>
        <v/>
      </c>
      <c r="L63" s="19" t="str">
        <f ca="1"/>
        <v/>
      </c>
      <c r="M63" s="20">
        <f t="shared" ca="1" si="12"/>
        <v>1</v>
      </c>
      <c r="N63" s="20" t="str">
        <f t="shared" ca="1" si="23"/>
        <v/>
      </c>
      <c r="O63" s="20" t="str" cm="1">
        <f t="array" aca="1" ref="O63" ca="1">IF(N63="","",IF(N63&lt;&gt;N62,1,IF(O62=misLíneas-2,0,O62+1)))</f>
        <v/>
      </c>
      <c r="P63" s="20" t="str" cm="1">
        <f t="array" aca="1" ref="P63" ca="1">IF(OR(O63=0,O63=""),"",INDEX(misCriticidades,N63)&amp;"-"&amp;IFERROR(MATCH(O63,miOrdenTarjeta,0),0))</f>
        <v/>
      </c>
      <c r="Q63" s="19" t="str">
        <f ca="1"/>
        <v/>
      </c>
      <c r="R63" s="20">
        <f t="shared" ca="1" si="13"/>
        <v>7</v>
      </c>
      <c r="S63" s="20">
        <f t="shared" ca="1" si="24"/>
        <v>23</v>
      </c>
      <c r="T63" s="20" cm="1">
        <f t="array" aca="1" ref="T63" ca="1">IF(S63="","",IF(S63&lt;&gt;S62,1,IF(T62=misLíneas-2,0,T62+1)))</f>
        <v>1</v>
      </c>
      <c r="U63" s="20" t="str" cm="1">
        <f t="array" aca="1" ref="U63" ca="1">IF(OR(T63=0,T63=""),"",INDEX(misCriticidades,S63)&amp;"-"&amp;IFERROR(MATCH(T63,miOrdenTarjeta,0),0))</f>
        <v>3-1</v>
      </c>
      <c r="V63" s="19" t="str">
        <f ca="1"/>
        <v/>
      </c>
      <c r="W63" s="20">
        <f t="shared" ca="1" si="14"/>
        <v>1</v>
      </c>
      <c r="X63" s="20" t="str">
        <f t="shared" ca="1" si="25"/>
        <v/>
      </c>
      <c r="Y63" s="20" t="str" cm="1">
        <f t="array" aca="1" ref="Y63" ca="1">IF(X63="","",IF(X63&lt;&gt;X62,1,IF(Y62=misLíneas-2,0,Y62+1)))</f>
        <v/>
      </c>
      <c r="Z63" s="20" t="str" cm="1">
        <f t="array" aca="1" ref="Z63" ca="1">IF(OR(Y63=0,Y63=""),"",INDEX(misCriticidades,X63)&amp;"-"&amp;IFERROR(MATCH(Y63,miOrdenTarjeta,0),0))</f>
        <v/>
      </c>
      <c r="AA63" s="19" t="str">
        <f ca="1"/>
        <v/>
      </c>
      <c r="AB63" s="20">
        <f t="shared" ca="1" si="15"/>
        <v>1</v>
      </c>
      <c r="AC63" s="20" t="str">
        <f t="shared" ca="1" si="5"/>
        <v/>
      </c>
      <c r="AD63" s="20" t="str" cm="1">
        <f t="array" aca="1" ref="AD63" ca="1">IF(AC63="","",IF(AC63&lt;&gt;AC62,1,IF(AD62=misLíneas-2,0,AD62+1)))</f>
        <v/>
      </c>
      <c r="AE63" s="20" t="str" cm="1">
        <f t="array" aca="1" ref="AE63" ca="1">IF(OR(AD63=0,AD63=""),"",INDEX(misCriticidades,AC63)&amp;"-"&amp;IFERROR(MATCH(AD63,miOrdenTarjeta,0),0))</f>
        <v/>
      </c>
      <c r="AF63" s="19" t="str">
        <f ca="1"/>
        <v/>
      </c>
      <c r="AG63" s="20">
        <f t="shared" ca="1" si="16"/>
        <v>1</v>
      </c>
      <c r="AH63" s="20" t="str">
        <f t="shared" ca="1" si="6"/>
        <v/>
      </c>
      <c r="AI63" s="20" t="str" cm="1">
        <f t="array" aca="1" ref="AI63" ca="1">IF(AH63="","",IF(AH63&lt;&gt;AH62,1,IF(AI62=misLíneas-2,0,AI62+1)))</f>
        <v/>
      </c>
      <c r="AJ63" s="20" t="str" cm="1">
        <f t="array" aca="1" ref="AJ63" ca="1">IF(OR(AI63=0,AI63=""),"",INDEX(misCriticidades,AH63)&amp;"-"&amp;IFERROR(MATCH(AI63,miOrdenTarjeta,0),0))</f>
        <v/>
      </c>
      <c r="AK63" s="19" t="str">
        <f ca="1"/>
        <v/>
      </c>
      <c r="AL63" s="20">
        <f t="shared" ca="1" si="17"/>
        <v>1</v>
      </c>
      <c r="AM63" s="20" t="str">
        <f t="shared" ca="1" si="7"/>
        <v/>
      </c>
      <c r="AN63" s="20" t="str" cm="1">
        <f t="array" aca="1" ref="AN63" ca="1">IF(AM63="","",IF(AM63&lt;&gt;AM62,1,IF(AN62=misLíneas-2,0,AN62+1)))</f>
        <v/>
      </c>
      <c r="AO63" s="20" t="str" cm="1">
        <f t="array" aca="1" ref="AO63" ca="1">IF(OR(AN63=0,AN63=""),"",INDEX(misCriticidades,AM63)&amp;"-"&amp;IFERROR(MATCH(AN63,miOrdenTarjeta,0),0))</f>
        <v/>
      </c>
      <c r="AP63" s="19" t="str">
        <f ca="1"/>
        <v/>
      </c>
      <c r="AQ63" s="20">
        <f t="shared" ca="1" si="18"/>
        <v>1</v>
      </c>
      <c r="AR63" s="20" t="str">
        <f t="shared" ca="1" si="8"/>
        <v/>
      </c>
      <c r="AS63" s="20" t="str" cm="1">
        <f t="array" aca="1" ref="AS63" ca="1">IF(AR63="","",IF(AR63&lt;&gt;AR62,1,IF(AS62=misLíneas-2,0,AS62+1)))</f>
        <v/>
      </c>
      <c r="AT63" s="20" t="str" cm="1">
        <f t="array" aca="1" ref="AT63" ca="1">IF(OR(AS63=0,AS63=""),"",INDEX(misCriticidades,AR63)&amp;"-"&amp;IFERROR(MATCH(AS63,miOrdenTarjeta,0),0))</f>
        <v/>
      </c>
      <c r="AU63" s="19" t="str">
        <f ca="1"/>
        <v/>
      </c>
      <c r="AV63" s="20">
        <f t="shared" ca="1" si="19"/>
        <v>1</v>
      </c>
      <c r="AW63" s="20" t="str">
        <f t="shared" ca="1" si="9"/>
        <v/>
      </c>
      <c r="AX63" s="20" t="str" cm="1">
        <f t="array" aca="1" ref="AX63" ca="1">IF(AW63="","",IF(AW63&lt;&gt;AW62,1,IF(AX62=misLíneas-2,0,AX62+1)))</f>
        <v/>
      </c>
      <c r="AY63" s="20" t="str" cm="1">
        <f t="array" aca="1" ref="AY63" ca="1">IF(OR(AX63=0,AX63=""),"",INDEX(misCriticidades,AW63)&amp;"-"&amp;IFERROR(MATCH(AX63,miOrdenTarjeta,0),0))</f>
        <v/>
      </c>
    </row>
    <row r="64" spans="2:51" x14ac:dyDescent="0.25">
      <c r="B64" s="19" t="str">
        <f ca="1"/>
        <v/>
      </c>
      <c r="C64" s="20">
        <f t="shared" ca="1" si="20"/>
        <v>1</v>
      </c>
      <c r="D64" s="20" t="str">
        <f t="shared" ca="1" si="21"/>
        <v/>
      </c>
      <c r="E64" s="20" t="str" cm="1">
        <f t="array" aca="1" ref="E64" ca="1">IF(D64="","",IF(D64&lt;&gt;D63,1,IF(E63=misLíneas-2,0,E63+1)))</f>
        <v/>
      </c>
      <c r="F64" s="20" t="str" cm="1">
        <f t="array" aca="1" ref="F64" ca="1">IF(OR(E64=0,E64=""),"",INDEX(misCriticidades,D64)&amp;"-"&amp;IFERROR(MATCH(E64,miOrdenTarjeta,0),0))</f>
        <v/>
      </c>
      <c r="G64" s="19" t="str">
        <f ca="1"/>
        <v/>
      </c>
      <c r="H64" s="20">
        <f t="shared" ca="1" si="11"/>
        <v>7</v>
      </c>
      <c r="I64" s="20" t="str">
        <f t="shared" ca="1" si="22"/>
        <v/>
      </c>
      <c r="J64" s="20" t="str" cm="1">
        <f t="array" aca="1" ref="J64" ca="1">IF(I64="","",IF(I64&lt;&gt;I63,1,IF(J63=misLíneas-2,0,J63+1)))</f>
        <v/>
      </c>
      <c r="K64" s="20" t="str" cm="1">
        <f t="array" aca="1" ref="K64" ca="1">IF(OR(J64=0,J64=""),"",INDEX(misCriticidades,I64)&amp;"-"&amp;IFERROR(MATCH(J64,miOrdenTarjeta,0),0))</f>
        <v/>
      </c>
      <c r="L64" s="19" t="str">
        <f ca="1"/>
        <v/>
      </c>
      <c r="M64" s="20">
        <f t="shared" ca="1" si="12"/>
        <v>1</v>
      </c>
      <c r="N64" s="20" t="str">
        <f t="shared" ca="1" si="23"/>
        <v/>
      </c>
      <c r="O64" s="20" t="str" cm="1">
        <f t="array" aca="1" ref="O64" ca="1">IF(N64="","",IF(N64&lt;&gt;N63,1,IF(O63=misLíneas-2,0,O63+1)))</f>
        <v/>
      </c>
      <c r="P64" s="20" t="str" cm="1">
        <f t="array" aca="1" ref="P64" ca="1">IF(OR(O64=0,O64=""),"",INDEX(misCriticidades,N64)&amp;"-"&amp;IFERROR(MATCH(O64,miOrdenTarjeta,0),0))</f>
        <v/>
      </c>
      <c r="Q64" s="19" t="str">
        <f ca="1"/>
        <v/>
      </c>
      <c r="R64" s="20">
        <f t="shared" ca="1" si="13"/>
        <v>7</v>
      </c>
      <c r="S64" s="20">
        <f t="shared" ca="1" si="24"/>
        <v>23</v>
      </c>
      <c r="T64" s="20" cm="1">
        <f t="array" aca="1" ref="T64" ca="1">IF(S64="","",IF(S64&lt;&gt;S63,1,IF(T63=misLíneas-2,0,T63+1)))</f>
        <v>2</v>
      </c>
      <c r="U64" s="20" t="str" cm="1">
        <f t="array" aca="1" ref="U64" ca="1">IF(OR(T64=0,T64=""),"",INDEX(misCriticidades,S64)&amp;"-"&amp;IFERROR(MATCH(T64,miOrdenTarjeta,0),0))</f>
        <v>3-2</v>
      </c>
      <c r="V64" s="19" t="str">
        <f ca="1"/>
        <v/>
      </c>
      <c r="W64" s="20">
        <f t="shared" ca="1" si="14"/>
        <v>1</v>
      </c>
      <c r="X64" s="20" t="str">
        <f t="shared" ca="1" si="25"/>
        <v/>
      </c>
      <c r="Y64" s="20" t="str" cm="1">
        <f t="array" aca="1" ref="Y64" ca="1">IF(X64="","",IF(X64&lt;&gt;X63,1,IF(Y63=misLíneas-2,0,Y63+1)))</f>
        <v/>
      </c>
      <c r="Z64" s="20" t="str" cm="1">
        <f t="array" aca="1" ref="Z64" ca="1">IF(OR(Y64=0,Y64=""),"",INDEX(misCriticidades,X64)&amp;"-"&amp;IFERROR(MATCH(Y64,miOrdenTarjeta,0),0))</f>
        <v/>
      </c>
      <c r="AA64" s="19" t="str">
        <f ca="1"/>
        <v/>
      </c>
      <c r="AB64" s="20">
        <f t="shared" ca="1" si="15"/>
        <v>1</v>
      </c>
      <c r="AC64" s="20" t="str">
        <f t="shared" ca="1" si="5"/>
        <v/>
      </c>
      <c r="AD64" s="20" t="str" cm="1">
        <f t="array" aca="1" ref="AD64" ca="1">IF(AC64="","",IF(AC64&lt;&gt;AC63,1,IF(AD63=misLíneas-2,0,AD63+1)))</f>
        <v/>
      </c>
      <c r="AE64" s="20" t="str" cm="1">
        <f t="array" aca="1" ref="AE64" ca="1">IF(OR(AD64=0,AD64=""),"",INDEX(misCriticidades,AC64)&amp;"-"&amp;IFERROR(MATCH(AD64,miOrdenTarjeta,0),0))</f>
        <v/>
      </c>
      <c r="AF64" s="19" t="str">
        <f ca="1"/>
        <v/>
      </c>
      <c r="AG64" s="20">
        <f t="shared" ca="1" si="16"/>
        <v>1</v>
      </c>
      <c r="AH64" s="20" t="str">
        <f t="shared" ca="1" si="6"/>
        <v/>
      </c>
      <c r="AI64" s="20" t="str" cm="1">
        <f t="array" aca="1" ref="AI64" ca="1">IF(AH64="","",IF(AH64&lt;&gt;AH63,1,IF(AI63=misLíneas-2,0,AI63+1)))</f>
        <v/>
      </c>
      <c r="AJ64" s="20" t="str" cm="1">
        <f t="array" aca="1" ref="AJ64" ca="1">IF(OR(AI64=0,AI64=""),"",INDEX(misCriticidades,AH64)&amp;"-"&amp;IFERROR(MATCH(AI64,miOrdenTarjeta,0),0))</f>
        <v/>
      </c>
      <c r="AK64" s="19" t="str">
        <f ca="1"/>
        <v/>
      </c>
      <c r="AL64" s="20">
        <f t="shared" ca="1" si="17"/>
        <v>1</v>
      </c>
      <c r="AM64" s="20" t="str">
        <f t="shared" ca="1" si="7"/>
        <v/>
      </c>
      <c r="AN64" s="20" t="str" cm="1">
        <f t="array" aca="1" ref="AN64" ca="1">IF(AM64="","",IF(AM64&lt;&gt;AM63,1,IF(AN63=misLíneas-2,0,AN63+1)))</f>
        <v/>
      </c>
      <c r="AO64" s="20" t="str" cm="1">
        <f t="array" aca="1" ref="AO64" ca="1">IF(OR(AN64=0,AN64=""),"",INDEX(misCriticidades,AM64)&amp;"-"&amp;IFERROR(MATCH(AN64,miOrdenTarjeta,0),0))</f>
        <v/>
      </c>
      <c r="AP64" s="19" t="str">
        <f ca="1"/>
        <v/>
      </c>
      <c r="AQ64" s="20">
        <f t="shared" ca="1" si="18"/>
        <v>1</v>
      </c>
      <c r="AR64" s="20" t="str">
        <f t="shared" ca="1" si="8"/>
        <v/>
      </c>
      <c r="AS64" s="20" t="str" cm="1">
        <f t="array" aca="1" ref="AS64" ca="1">IF(AR64="","",IF(AR64&lt;&gt;AR63,1,IF(AS63=misLíneas-2,0,AS63+1)))</f>
        <v/>
      </c>
      <c r="AT64" s="20" t="str" cm="1">
        <f t="array" aca="1" ref="AT64" ca="1">IF(OR(AS64=0,AS64=""),"",INDEX(misCriticidades,AR64)&amp;"-"&amp;IFERROR(MATCH(AS64,miOrdenTarjeta,0),0))</f>
        <v/>
      </c>
      <c r="AU64" s="19" t="str">
        <f ca="1"/>
        <v/>
      </c>
      <c r="AV64" s="20">
        <f t="shared" ca="1" si="19"/>
        <v>1</v>
      </c>
      <c r="AW64" s="20" t="str">
        <f t="shared" ca="1" si="9"/>
        <v/>
      </c>
      <c r="AX64" s="20" t="str" cm="1">
        <f t="array" aca="1" ref="AX64" ca="1">IF(AW64="","",IF(AW64&lt;&gt;AW63,1,IF(AX63=misLíneas-2,0,AX63+1)))</f>
        <v/>
      </c>
      <c r="AY64" s="20" t="str" cm="1">
        <f t="array" aca="1" ref="AY64" ca="1">IF(OR(AX64=0,AX64=""),"",INDEX(misCriticidades,AW64)&amp;"-"&amp;IFERROR(MATCH(AX64,miOrdenTarjeta,0),0))</f>
        <v/>
      </c>
    </row>
    <row r="65" spans="2:51" x14ac:dyDescent="0.25">
      <c r="B65" s="19" t="str">
        <f ca="1"/>
        <v/>
      </c>
      <c r="C65" s="20">
        <f t="shared" ca="1" si="20"/>
        <v>1</v>
      </c>
      <c r="D65" s="20" t="str">
        <f t="shared" ca="1" si="21"/>
        <v/>
      </c>
      <c r="E65" s="20" t="str" cm="1">
        <f t="array" aca="1" ref="E65" ca="1">IF(D65="","",IF(D65&lt;&gt;D64,1,IF(E64=misLíneas-2,0,E64+1)))</f>
        <v/>
      </c>
      <c r="F65" s="20" t="str" cm="1">
        <f t="array" aca="1" ref="F65" ca="1">IF(OR(E65=0,E65=""),"",INDEX(misCriticidades,D65)&amp;"-"&amp;IFERROR(MATCH(E65,miOrdenTarjeta,0),0))</f>
        <v/>
      </c>
      <c r="G65" s="19" t="str">
        <f ca="1"/>
        <v/>
      </c>
      <c r="H65" s="20">
        <f t="shared" ca="1" si="11"/>
        <v>7</v>
      </c>
      <c r="I65" s="20" t="str">
        <f t="shared" ca="1" si="22"/>
        <v/>
      </c>
      <c r="J65" s="20" t="str" cm="1">
        <f t="array" aca="1" ref="J65" ca="1">IF(I65="","",IF(I65&lt;&gt;I64,1,IF(J64=misLíneas-2,0,J64+1)))</f>
        <v/>
      </c>
      <c r="K65" s="20" t="str" cm="1">
        <f t="array" aca="1" ref="K65" ca="1">IF(OR(J65=0,J65=""),"",INDEX(misCriticidades,I65)&amp;"-"&amp;IFERROR(MATCH(J65,miOrdenTarjeta,0),0))</f>
        <v/>
      </c>
      <c r="L65" s="19" t="str">
        <f ca="1"/>
        <v/>
      </c>
      <c r="M65" s="20">
        <f t="shared" ca="1" si="12"/>
        <v>1</v>
      </c>
      <c r="N65" s="20" t="str">
        <f t="shared" ca="1" si="23"/>
        <v/>
      </c>
      <c r="O65" s="20" t="str" cm="1">
        <f t="array" aca="1" ref="O65" ca="1">IF(N65="","",IF(N65&lt;&gt;N64,1,IF(O64=misLíneas-2,0,O64+1)))</f>
        <v/>
      </c>
      <c r="P65" s="20" t="str" cm="1">
        <f t="array" aca="1" ref="P65" ca="1">IF(OR(O65=0,O65=""),"",INDEX(misCriticidades,N65)&amp;"-"&amp;IFERROR(MATCH(O65,miOrdenTarjeta,0),0))</f>
        <v/>
      </c>
      <c r="Q65" s="19" t="str">
        <f ca="1"/>
        <v/>
      </c>
      <c r="R65" s="20">
        <f t="shared" ca="1" si="13"/>
        <v>7</v>
      </c>
      <c r="S65" s="20">
        <f t="shared" ca="1" si="24"/>
        <v>23</v>
      </c>
      <c r="T65" s="20" cm="1">
        <f t="array" aca="1" ref="T65" ca="1">IF(S65="","",IF(S65&lt;&gt;S64,1,IF(T64=misLíneas-2,0,T64+1)))</f>
        <v>3</v>
      </c>
      <c r="U65" s="20" t="str" cm="1">
        <f t="array" aca="1" ref="U65" ca="1">IF(OR(T65=0,T65=""),"",INDEX(misCriticidades,S65)&amp;"-"&amp;IFERROR(MATCH(T65,miOrdenTarjeta,0),0))</f>
        <v>3-3</v>
      </c>
      <c r="V65" s="19" t="str">
        <f ca="1"/>
        <v/>
      </c>
      <c r="W65" s="20">
        <f t="shared" ca="1" si="14"/>
        <v>1</v>
      </c>
      <c r="X65" s="20" t="str">
        <f t="shared" ca="1" si="25"/>
        <v/>
      </c>
      <c r="Y65" s="20" t="str" cm="1">
        <f t="array" aca="1" ref="Y65" ca="1">IF(X65="","",IF(X65&lt;&gt;X64,1,IF(Y64=misLíneas-2,0,Y64+1)))</f>
        <v/>
      </c>
      <c r="Z65" s="20" t="str" cm="1">
        <f t="array" aca="1" ref="Z65" ca="1">IF(OR(Y65=0,Y65=""),"",INDEX(misCriticidades,X65)&amp;"-"&amp;IFERROR(MATCH(Y65,miOrdenTarjeta,0),0))</f>
        <v/>
      </c>
      <c r="AA65" s="19" t="str">
        <f ca="1"/>
        <v/>
      </c>
      <c r="AB65" s="20">
        <f t="shared" ca="1" si="15"/>
        <v>1</v>
      </c>
      <c r="AC65" s="20" t="str">
        <f t="shared" ca="1" si="5"/>
        <v/>
      </c>
      <c r="AD65" s="20" t="str" cm="1">
        <f t="array" aca="1" ref="AD65" ca="1">IF(AC65="","",IF(AC65&lt;&gt;AC64,1,IF(AD64=misLíneas-2,0,AD64+1)))</f>
        <v/>
      </c>
      <c r="AE65" s="20" t="str" cm="1">
        <f t="array" aca="1" ref="AE65" ca="1">IF(OR(AD65=0,AD65=""),"",INDEX(misCriticidades,AC65)&amp;"-"&amp;IFERROR(MATCH(AD65,miOrdenTarjeta,0),0))</f>
        <v/>
      </c>
      <c r="AF65" s="19" t="str">
        <f ca="1"/>
        <v/>
      </c>
      <c r="AG65" s="20">
        <f t="shared" ca="1" si="16"/>
        <v>1</v>
      </c>
      <c r="AH65" s="20" t="str">
        <f t="shared" ca="1" si="6"/>
        <v/>
      </c>
      <c r="AI65" s="20" t="str" cm="1">
        <f t="array" aca="1" ref="AI65" ca="1">IF(AH65="","",IF(AH65&lt;&gt;AH64,1,IF(AI64=misLíneas-2,0,AI64+1)))</f>
        <v/>
      </c>
      <c r="AJ65" s="20" t="str" cm="1">
        <f t="array" aca="1" ref="AJ65" ca="1">IF(OR(AI65=0,AI65=""),"",INDEX(misCriticidades,AH65)&amp;"-"&amp;IFERROR(MATCH(AI65,miOrdenTarjeta,0),0))</f>
        <v/>
      </c>
      <c r="AK65" s="19" t="str">
        <f ca="1"/>
        <v/>
      </c>
      <c r="AL65" s="20">
        <f t="shared" ca="1" si="17"/>
        <v>1</v>
      </c>
      <c r="AM65" s="20" t="str">
        <f t="shared" ca="1" si="7"/>
        <v/>
      </c>
      <c r="AN65" s="20" t="str" cm="1">
        <f t="array" aca="1" ref="AN65" ca="1">IF(AM65="","",IF(AM65&lt;&gt;AM64,1,IF(AN64=misLíneas-2,0,AN64+1)))</f>
        <v/>
      </c>
      <c r="AO65" s="20" t="str" cm="1">
        <f t="array" aca="1" ref="AO65" ca="1">IF(OR(AN65=0,AN65=""),"",INDEX(misCriticidades,AM65)&amp;"-"&amp;IFERROR(MATCH(AN65,miOrdenTarjeta,0),0))</f>
        <v/>
      </c>
      <c r="AP65" s="19" t="str">
        <f ca="1"/>
        <v/>
      </c>
      <c r="AQ65" s="20">
        <f t="shared" ca="1" si="18"/>
        <v>1</v>
      </c>
      <c r="AR65" s="20" t="str">
        <f t="shared" ca="1" si="8"/>
        <v/>
      </c>
      <c r="AS65" s="20" t="str" cm="1">
        <f t="array" aca="1" ref="AS65" ca="1">IF(AR65="","",IF(AR65&lt;&gt;AR64,1,IF(AS64=misLíneas-2,0,AS64+1)))</f>
        <v/>
      </c>
      <c r="AT65" s="20" t="str" cm="1">
        <f t="array" aca="1" ref="AT65" ca="1">IF(OR(AS65=0,AS65=""),"",INDEX(misCriticidades,AR65)&amp;"-"&amp;IFERROR(MATCH(AS65,miOrdenTarjeta,0),0))</f>
        <v/>
      </c>
      <c r="AU65" s="19" t="str">
        <f ca="1"/>
        <v/>
      </c>
      <c r="AV65" s="20">
        <f t="shared" ca="1" si="19"/>
        <v>1</v>
      </c>
      <c r="AW65" s="20" t="str">
        <f t="shared" ca="1" si="9"/>
        <v/>
      </c>
      <c r="AX65" s="20" t="str" cm="1">
        <f t="array" aca="1" ref="AX65" ca="1">IF(AW65="","",IF(AW65&lt;&gt;AW64,1,IF(AX64=misLíneas-2,0,AX64+1)))</f>
        <v/>
      </c>
      <c r="AY65" s="20" t="str" cm="1">
        <f t="array" aca="1" ref="AY65" ca="1">IF(OR(AX65=0,AX65=""),"",INDEX(misCriticidades,AW65)&amp;"-"&amp;IFERROR(MATCH(AX65,miOrdenTarjeta,0),0))</f>
        <v/>
      </c>
    </row>
    <row r="66" spans="2:51" x14ac:dyDescent="0.25">
      <c r="B66" s="19" t="str">
        <f ca="1"/>
        <v/>
      </c>
      <c r="C66" s="20">
        <f t="shared" ca="1" si="20"/>
        <v>1</v>
      </c>
      <c r="D66" s="20" t="str">
        <f t="shared" ca="1" si="21"/>
        <v/>
      </c>
      <c r="E66" s="20" t="str" cm="1">
        <f t="array" aca="1" ref="E66" ca="1">IF(D66="","",IF(D66&lt;&gt;D65,1,IF(E65=misLíneas-2,0,E65+1)))</f>
        <v/>
      </c>
      <c r="F66" s="20" t="str" cm="1">
        <f t="array" aca="1" ref="F66" ca="1">IF(OR(E66=0,E66=""),"",INDEX(misCriticidades,D66)&amp;"-"&amp;IFERROR(MATCH(E66,miOrdenTarjeta,0),0))</f>
        <v/>
      </c>
      <c r="G66" s="19" t="str">
        <f ca="1"/>
        <v/>
      </c>
      <c r="H66" s="20">
        <f t="shared" ca="1" si="11"/>
        <v>7</v>
      </c>
      <c r="I66" s="20" t="str">
        <f t="shared" ca="1" si="22"/>
        <v/>
      </c>
      <c r="J66" s="20" t="str" cm="1">
        <f t="array" aca="1" ref="J66" ca="1">IF(I66="","",IF(I66&lt;&gt;I65,1,IF(J65=misLíneas-2,0,J65+1)))</f>
        <v/>
      </c>
      <c r="K66" s="20" t="str" cm="1">
        <f t="array" aca="1" ref="K66" ca="1">IF(OR(J66=0,J66=""),"",INDEX(misCriticidades,I66)&amp;"-"&amp;IFERROR(MATCH(J66,miOrdenTarjeta,0),0))</f>
        <v/>
      </c>
      <c r="L66" s="19" t="str">
        <f ca="1"/>
        <v/>
      </c>
      <c r="M66" s="20">
        <f t="shared" ca="1" si="12"/>
        <v>1</v>
      </c>
      <c r="N66" s="20" t="str">
        <f t="shared" ca="1" si="23"/>
        <v/>
      </c>
      <c r="O66" s="20" t="str" cm="1">
        <f t="array" aca="1" ref="O66" ca="1">IF(N66="","",IF(N66&lt;&gt;N65,1,IF(O65=misLíneas-2,0,O65+1)))</f>
        <v/>
      </c>
      <c r="P66" s="20" t="str" cm="1">
        <f t="array" aca="1" ref="P66" ca="1">IF(OR(O66=0,O66=""),"",INDEX(misCriticidades,N66)&amp;"-"&amp;IFERROR(MATCH(O66,miOrdenTarjeta,0),0))</f>
        <v/>
      </c>
      <c r="Q66" s="19" t="str">
        <f ca="1"/>
        <v/>
      </c>
      <c r="R66" s="20">
        <f t="shared" ca="1" si="13"/>
        <v>7</v>
      </c>
      <c r="S66" s="20">
        <f t="shared" ca="1" si="24"/>
        <v>23</v>
      </c>
      <c r="T66" s="20" cm="1">
        <f t="array" aca="1" ref="T66" ca="1">IF(S66="","",IF(S66&lt;&gt;S65,1,IF(T65=misLíneas-2,0,T65+1)))</f>
        <v>4</v>
      </c>
      <c r="U66" s="20" t="str" cm="1">
        <f t="array" aca="1" ref="U66" ca="1">IF(OR(T66=0,T66=""),"",INDEX(misCriticidades,S66)&amp;"-"&amp;IFERROR(MATCH(T66,miOrdenTarjeta,0),0))</f>
        <v>3-4</v>
      </c>
      <c r="V66" s="19" t="str">
        <f ca="1"/>
        <v/>
      </c>
      <c r="W66" s="20">
        <f t="shared" ca="1" si="14"/>
        <v>1</v>
      </c>
      <c r="X66" s="20" t="str">
        <f t="shared" ca="1" si="25"/>
        <v/>
      </c>
      <c r="Y66" s="20" t="str" cm="1">
        <f t="array" aca="1" ref="Y66" ca="1">IF(X66="","",IF(X66&lt;&gt;X65,1,IF(Y65=misLíneas-2,0,Y65+1)))</f>
        <v/>
      </c>
      <c r="Z66" s="20" t="str" cm="1">
        <f t="array" aca="1" ref="Z66" ca="1">IF(OR(Y66=0,Y66=""),"",INDEX(misCriticidades,X66)&amp;"-"&amp;IFERROR(MATCH(Y66,miOrdenTarjeta,0),0))</f>
        <v/>
      </c>
      <c r="AA66" s="19" t="str">
        <f ca="1"/>
        <v/>
      </c>
      <c r="AB66" s="20">
        <f t="shared" ca="1" si="15"/>
        <v>1</v>
      </c>
      <c r="AC66" s="20" t="str">
        <f t="shared" ca="1" si="5"/>
        <v/>
      </c>
      <c r="AD66" s="20" t="str" cm="1">
        <f t="array" aca="1" ref="AD66" ca="1">IF(AC66="","",IF(AC66&lt;&gt;AC65,1,IF(AD65=misLíneas-2,0,AD65+1)))</f>
        <v/>
      </c>
      <c r="AE66" s="20" t="str" cm="1">
        <f t="array" aca="1" ref="AE66" ca="1">IF(OR(AD66=0,AD66=""),"",INDEX(misCriticidades,AC66)&amp;"-"&amp;IFERROR(MATCH(AD66,miOrdenTarjeta,0),0))</f>
        <v/>
      </c>
      <c r="AF66" s="19" t="str">
        <f ca="1"/>
        <v/>
      </c>
      <c r="AG66" s="20">
        <f t="shared" ca="1" si="16"/>
        <v>1</v>
      </c>
      <c r="AH66" s="20" t="str">
        <f t="shared" ca="1" si="6"/>
        <v/>
      </c>
      <c r="AI66" s="20" t="str" cm="1">
        <f t="array" aca="1" ref="AI66" ca="1">IF(AH66="","",IF(AH66&lt;&gt;AH65,1,IF(AI65=misLíneas-2,0,AI65+1)))</f>
        <v/>
      </c>
      <c r="AJ66" s="20" t="str" cm="1">
        <f t="array" aca="1" ref="AJ66" ca="1">IF(OR(AI66=0,AI66=""),"",INDEX(misCriticidades,AH66)&amp;"-"&amp;IFERROR(MATCH(AI66,miOrdenTarjeta,0),0))</f>
        <v/>
      </c>
      <c r="AK66" s="19" t="str">
        <f ca="1"/>
        <v/>
      </c>
      <c r="AL66" s="20">
        <f t="shared" ca="1" si="17"/>
        <v>1</v>
      </c>
      <c r="AM66" s="20" t="str">
        <f t="shared" ca="1" si="7"/>
        <v/>
      </c>
      <c r="AN66" s="20" t="str" cm="1">
        <f t="array" aca="1" ref="AN66" ca="1">IF(AM66="","",IF(AM66&lt;&gt;AM65,1,IF(AN65=misLíneas-2,0,AN65+1)))</f>
        <v/>
      </c>
      <c r="AO66" s="20" t="str" cm="1">
        <f t="array" aca="1" ref="AO66" ca="1">IF(OR(AN66=0,AN66=""),"",INDEX(misCriticidades,AM66)&amp;"-"&amp;IFERROR(MATCH(AN66,miOrdenTarjeta,0),0))</f>
        <v/>
      </c>
      <c r="AP66" s="19" t="str">
        <f ca="1"/>
        <v/>
      </c>
      <c r="AQ66" s="20">
        <f t="shared" ca="1" si="18"/>
        <v>1</v>
      </c>
      <c r="AR66" s="20" t="str">
        <f t="shared" ca="1" si="8"/>
        <v/>
      </c>
      <c r="AS66" s="20" t="str" cm="1">
        <f t="array" aca="1" ref="AS66" ca="1">IF(AR66="","",IF(AR66&lt;&gt;AR65,1,IF(AS65=misLíneas-2,0,AS65+1)))</f>
        <v/>
      </c>
      <c r="AT66" s="20" t="str" cm="1">
        <f t="array" aca="1" ref="AT66" ca="1">IF(OR(AS66=0,AS66=""),"",INDEX(misCriticidades,AR66)&amp;"-"&amp;IFERROR(MATCH(AS66,miOrdenTarjeta,0),0))</f>
        <v/>
      </c>
      <c r="AU66" s="19" t="str">
        <f ca="1"/>
        <v/>
      </c>
      <c r="AV66" s="20">
        <f t="shared" ca="1" si="19"/>
        <v>1</v>
      </c>
      <c r="AW66" s="20" t="str">
        <f t="shared" ca="1" si="9"/>
        <v/>
      </c>
      <c r="AX66" s="20" t="str" cm="1">
        <f t="array" aca="1" ref="AX66" ca="1">IF(AW66="","",IF(AW66&lt;&gt;AW65,1,IF(AX65=misLíneas-2,0,AX65+1)))</f>
        <v/>
      </c>
      <c r="AY66" s="20" t="str" cm="1">
        <f t="array" aca="1" ref="AY66" ca="1">IF(OR(AX66=0,AX66=""),"",INDEX(misCriticidades,AW66)&amp;"-"&amp;IFERROR(MATCH(AX66,miOrdenTarjeta,0),0))</f>
        <v/>
      </c>
    </row>
    <row r="67" spans="2:51" x14ac:dyDescent="0.25">
      <c r="B67" s="19" t="str">
        <f ca="1"/>
        <v/>
      </c>
      <c r="C67" s="20">
        <f t="shared" ca="1" si="20"/>
        <v>1</v>
      </c>
      <c r="D67" s="20" t="str">
        <f t="shared" ref="D67:D98" ca="1" si="26">IF(C67&gt;C66,IFERROR(IF(F$1="v",SMALL(B$2:B$101,C67),LARGE(B$2:B$101,C67)),""),D66)</f>
        <v/>
      </c>
      <c r="E67" s="20" t="str" cm="1">
        <f t="array" aca="1" ref="E67" ca="1">IF(D67="","",IF(D67&lt;&gt;D66,1,IF(E66=misLíneas-2,0,E66+1)))</f>
        <v/>
      </c>
      <c r="F67" s="20" t="str" cm="1">
        <f t="array" aca="1" ref="F67" ca="1">IF(OR(E67=0,E67=""),"",INDEX(misCriticidades,D67)&amp;"-"&amp;IFERROR(MATCH(E67,miOrdenTarjeta,0),0))</f>
        <v/>
      </c>
      <c r="G67" s="19" t="str">
        <f ca="1"/>
        <v/>
      </c>
      <c r="H67" s="20">
        <f t="shared" ca="1" si="11"/>
        <v>7</v>
      </c>
      <c r="I67" s="20" t="str">
        <f t="shared" ref="I67:I98" ca="1" si="27">IF(H67&gt;H66,IFERROR(IF(K$1="v",SMALL(G$2:G$101,H67),LARGE(G$2:G$101,H67)),""),I66)</f>
        <v/>
      </c>
      <c r="J67" s="20" t="str" cm="1">
        <f t="array" aca="1" ref="J67" ca="1">IF(I67="","",IF(I67&lt;&gt;I66,1,IF(J66=misLíneas-2,0,J66+1)))</f>
        <v/>
      </c>
      <c r="K67" s="20" t="str" cm="1">
        <f t="array" aca="1" ref="K67" ca="1">IF(OR(J67=0,J67=""),"",INDEX(misCriticidades,I67)&amp;"-"&amp;IFERROR(MATCH(J67,miOrdenTarjeta,0),0))</f>
        <v/>
      </c>
      <c r="L67" s="19" t="str">
        <f ca="1"/>
        <v/>
      </c>
      <c r="M67" s="20">
        <f t="shared" ca="1" si="12"/>
        <v>1</v>
      </c>
      <c r="N67" s="20" t="str">
        <f t="shared" ref="N67:N98" ca="1" si="28">IF(M67&gt;M66,IFERROR(IF(P$1="v",SMALL(L$2:L$101,M67),LARGE(L$2:L$101,M67)),""),N66)</f>
        <v/>
      </c>
      <c r="O67" s="20" t="str" cm="1">
        <f t="array" aca="1" ref="O67" ca="1">IF(N67="","",IF(N67&lt;&gt;N66,1,IF(O66=misLíneas-2,0,O66+1)))</f>
        <v/>
      </c>
      <c r="P67" s="20" t="str" cm="1">
        <f t="array" aca="1" ref="P67" ca="1">IF(OR(O67=0,O67=""),"",INDEX(misCriticidades,N67)&amp;"-"&amp;IFERROR(MATCH(O67,miOrdenTarjeta,0),0))</f>
        <v/>
      </c>
      <c r="Q67" s="19" t="str">
        <f ca="1"/>
        <v/>
      </c>
      <c r="R67" s="20">
        <f t="shared" ca="1" si="13"/>
        <v>7</v>
      </c>
      <c r="S67" s="20">
        <f t="shared" ref="S67:S98" ca="1" si="29">IF(R67&gt;R66,IFERROR(IF(U$1="v",SMALL(Q$2:Q$101,R67),LARGE(Q$2:Q$101,R67)),""),S66)</f>
        <v>23</v>
      </c>
      <c r="T67" s="20" cm="1">
        <f t="array" aca="1" ref="T67" ca="1">IF(S67="","",IF(S67&lt;&gt;S66,1,IF(T66=misLíneas-2,0,T66+1)))</f>
        <v>5</v>
      </c>
      <c r="U67" s="20" t="str" cm="1">
        <f t="array" aca="1" ref="U67" ca="1">IF(OR(T67=0,T67=""),"",INDEX(misCriticidades,S67)&amp;"-"&amp;IFERROR(MATCH(T67,miOrdenTarjeta,0),0))</f>
        <v>3-5</v>
      </c>
      <c r="V67" s="19" t="str">
        <f ca="1"/>
        <v/>
      </c>
      <c r="W67" s="20">
        <f t="shared" ca="1" si="14"/>
        <v>1</v>
      </c>
      <c r="X67" s="20" t="str">
        <f t="shared" ref="X67:X98" ca="1" si="30">IF(W67&gt;W66,IFERROR(IF(Z$1="v",SMALL(V$2:V$101,W67),LARGE(V$2:V$101,W67)),""),X66)</f>
        <v/>
      </c>
      <c r="Y67" s="20" t="str" cm="1">
        <f t="array" aca="1" ref="Y67" ca="1">IF(X67="","",IF(X67&lt;&gt;X66,1,IF(Y66=misLíneas-2,0,Y66+1)))</f>
        <v/>
      </c>
      <c r="Z67" s="20" t="str" cm="1">
        <f t="array" aca="1" ref="Z67" ca="1">IF(OR(Y67=0,Y67=""),"",INDEX(misCriticidades,X67)&amp;"-"&amp;IFERROR(MATCH(Y67,miOrdenTarjeta,0),0))</f>
        <v/>
      </c>
      <c r="AA67" s="19" t="str">
        <f ca="1"/>
        <v/>
      </c>
      <c r="AB67" s="20">
        <f t="shared" ca="1" si="15"/>
        <v>1</v>
      </c>
      <c r="AC67" s="20" t="str">
        <f t="shared" ref="AC67:AC130" ca="1" si="31">IF(AB67&gt;AB66,IFERROR(IF(AE$1="v",SMALL(AA$2:AA$101,AB67),LARGE(AA$2:AA$101,AB67)),""),AC66)</f>
        <v/>
      </c>
      <c r="AD67" s="20" t="str" cm="1">
        <f t="array" aca="1" ref="AD67" ca="1">IF(AC67="","",IF(AC67&lt;&gt;AC66,1,IF(AD66=misLíneas-2,0,AD66+1)))</f>
        <v/>
      </c>
      <c r="AE67" s="20" t="str" cm="1">
        <f t="array" aca="1" ref="AE67" ca="1">IF(OR(AD67=0,AD67=""),"",INDEX(misCriticidades,AC67)&amp;"-"&amp;IFERROR(MATCH(AD67,miOrdenTarjeta,0),0))</f>
        <v/>
      </c>
      <c r="AF67" s="19" t="str">
        <f ca="1"/>
        <v/>
      </c>
      <c r="AG67" s="20">
        <f t="shared" ca="1" si="16"/>
        <v>1</v>
      </c>
      <c r="AH67" s="20" t="str">
        <f t="shared" ref="AH67:AH130" ca="1" si="32">IF(AG67&gt;AG66,IFERROR(IF(AJ$1="v",SMALL(AF$2:AF$101,AG67),LARGE(AF$2:AF$101,AG67)),""),AH66)</f>
        <v/>
      </c>
      <c r="AI67" s="20" t="str" cm="1">
        <f t="array" aca="1" ref="AI67" ca="1">IF(AH67="","",IF(AH67&lt;&gt;AH66,1,IF(AI66=misLíneas-2,0,AI66+1)))</f>
        <v/>
      </c>
      <c r="AJ67" s="20" t="str" cm="1">
        <f t="array" aca="1" ref="AJ67" ca="1">IF(OR(AI67=0,AI67=""),"",INDEX(misCriticidades,AH67)&amp;"-"&amp;IFERROR(MATCH(AI67,miOrdenTarjeta,0),0))</f>
        <v/>
      </c>
      <c r="AK67" s="19" t="str">
        <f ca="1"/>
        <v/>
      </c>
      <c r="AL67" s="20">
        <f t="shared" ca="1" si="17"/>
        <v>1</v>
      </c>
      <c r="AM67" s="20" t="str">
        <f t="shared" ref="AM67:AM130" ca="1" si="33">IF(AL67&gt;AL66,IFERROR(IF(AO$1="v",SMALL(AK$2:AK$101,AL67),LARGE(AK$2:AK$101,AL67)),""),AM66)</f>
        <v/>
      </c>
      <c r="AN67" s="20" t="str" cm="1">
        <f t="array" aca="1" ref="AN67" ca="1">IF(AM67="","",IF(AM67&lt;&gt;AM66,1,IF(AN66=misLíneas-2,0,AN66+1)))</f>
        <v/>
      </c>
      <c r="AO67" s="20" t="str" cm="1">
        <f t="array" aca="1" ref="AO67" ca="1">IF(OR(AN67=0,AN67=""),"",INDEX(misCriticidades,AM67)&amp;"-"&amp;IFERROR(MATCH(AN67,miOrdenTarjeta,0),0))</f>
        <v/>
      </c>
      <c r="AP67" s="19" t="str">
        <f ca="1"/>
        <v/>
      </c>
      <c r="AQ67" s="20">
        <f t="shared" ca="1" si="18"/>
        <v>1</v>
      </c>
      <c r="AR67" s="20" t="str">
        <f t="shared" ref="AR67:AR130" ca="1" si="34">IF(AQ67&gt;AQ66,IFERROR(IF(AT$1="v",SMALL(AP$2:AP$101,AQ67),LARGE(AP$2:AP$101,AQ67)),""),AR66)</f>
        <v/>
      </c>
      <c r="AS67" s="20" t="str" cm="1">
        <f t="array" aca="1" ref="AS67" ca="1">IF(AR67="","",IF(AR67&lt;&gt;AR66,1,IF(AS66=misLíneas-2,0,AS66+1)))</f>
        <v/>
      </c>
      <c r="AT67" s="20" t="str" cm="1">
        <f t="array" aca="1" ref="AT67" ca="1">IF(OR(AS67=0,AS67=""),"",INDEX(misCriticidades,AR67)&amp;"-"&amp;IFERROR(MATCH(AS67,miOrdenTarjeta,0),0))</f>
        <v/>
      </c>
      <c r="AU67" s="19" t="str">
        <f ca="1"/>
        <v/>
      </c>
      <c r="AV67" s="20">
        <f t="shared" ca="1" si="19"/>
        <v>1</v>
      </c>
      <c r="AW67" s="20" t="str">
        <f t="shared" ref="AW67:AW130" ca="1" si="35">IF(AV67&gt;AV66,IFERROR(IF(AY$1="v",SMALL(AU$2:AU$101,AV67),LARGE(AU$2:AU$101,AV67)),""),AW66)</f>
        <v/>
      </c>
      <c r="AX67" s="20" t="str" cm="1">
        <f t="array" aca="1" ref="AX67" ca="1">IF(AW67="","",IF(AW67&lt;&gt;AW66,1,IF(AX66=misLíneas-2,0,AX66+1)))</f>
        <v/>
      </c>
      <c r="AY67" s="20" t="str" cm="1">
        <f t="array" aca="1" ref="AY67" ca="1">IF(OR(AX67=0,AX67=""),"",INDEX(misCriticidades,AW67)&amp;"-"&amp;IFERROR(MATCH(AX67,miOrdenTarjeta,0),0))</f>
        <v/>
      </c>
    </row>
    <row r="68" spans="2:51" x14ac:dyDescent="0.25">
      <c r="B68" s="19" t="str">
        <f ca="1"/>
        <v/>
      </c>
      <c r="C68" s="20">
        <f t="shared" ca="1" si="20"/>
        <v>1</v>
      </c>
      <c r="D68" s="20" t="str">
        <f t="shared" ca="1" si="26"/>
        <v/>
      </c>
      <c r="E68" s="20" t="str" cm="1">
        <f t="array" aca="1" ref="E68" ca="1">IF(D68="","",IF(D68&lt;&gt;D67,1,IF(E67=misLíneas-2,0,E67+1)))</f>
        <v/>
      </c>
      <c r="F68" s="20" t="str" cm="1">
        <f t="array" aca="1" ref="F68" ca="1">IF(OR(E68=0,E68=""),"",INDEX(misCriticidades,D68)&amp;"-"&amp;IFERROR(MATCH(E68,miOrdenTarjeta,0),0))</f>
        <v/>
      </c>
      <c r="G68" s="19" t="str">
        <f ca="1"/>
        <v/>
      </c>
      <c r="H68" s="20">
        <f t="shared" ref="H68:H131" ca="1" si="36">H67--(J67=0)</f>
        <v>7</v>
      </c>
      <c r="I68" s="20" t="str">
        <f t="shared" ca="1" si="27"/>
        <v/>
      </c>
      <c r="J68" s="20" t="str" cm="1">
        <f t="array" aca="1" ref="J68" ca="1">IF(I68="","",IF(I68&lt;&gt;I67,1,IF(J67=misLíneas-2,0,J67+1)))</f>
        <v/>
      </c>
      <c r="K68" s="20" t="str" cm="1">
        <f t="array" aca="1" ref="K68" ca="1">IF(OR(J68=0,J68=""),"",INDEX(misCriticidades,I68)&amp;"-"&amp;IFERROR(MATCH(J68,miOrdenTarjeta,0),0))</f>
        <v/>
      </c>
      <c r="L68" s="19" t="str">
        <f ca="1"/>
        <v/>
      </c>
      <c r="M68" s="20">
        <f t="shared" ref="M68:M131" ca="1" si="37">M67--(O67=0)</f>
        <v>1</v>
      </c>
      <c r="N68" s="20" t="str">
        <f t="shared" ca="1" si="28"/>
        <v/>
      </c>
      <c r="O68" s="20" t="str" cm="1">
        <f t="array" aca="1" ref="O68" ca="1">IF(N68="","",IF(N68&lt;&gt;N67,1,IF(O67=misLíneas-2,0,O67+1)))</f>
        <v/>
      </c>
      <c r="P68" s="20" t="str" cm="1">
        <f t="array" aca="1" ref="P68" ca="1">IF(OR(O68=0,O68=""),"",INDEX(misCriticidades,N68)&amp;"-"&amp;IFERROR(MATCH(O68,miOrdenTarjeta,0),0))</f>
        <v/>
      </c>
      <c r="Q68" s="19" t="str">
        <f ca="1"/>
        <v/>
      </c>
      <c r="R68" s="20">
        <f t="shared" ref="R68:R131" ca="1" si="38">R67--(T67=0)</f>
        <v>7</v>
      </c>
      <c r="S68" s="20">
        <f t="shared" ca="1" si="29"/>
        <v>23</v>
      </c>
      <c r="T68" s="20" cm="1">
        <f t="array" aca="1" ref="T68" ca="1">IF(S68="","",IF(S68&lt;&gt;S67,1,IF(T67=misLíneas-2,0,T67+1)))</f>
        <v>6</v>
      </c>
      <c r="U68" s="20" t="str" cm="1">
        <f t="array" aca="1" ref="U68" ca="1">IF(OR(T68=0,T68=""),"",INDEX(misCriticidades,S68)&amp;"-"&amp;IFERROR(MATCH(T68,miOrdenTarjeta,0),0))</f>
        <v>3-6</v>
      </c>
      <c r="V68" s="19" t="str">
        <f ca="1"/>
        <v/>
      </c>
      <c r="W68" s="20">
        <f t="shared" ref="W68:W131" ca="1" si="39">W67--(Y67=0)</f>
        <v>1</v>
      </c>
      <c r="X68" s="20" t="str">
        <f t="shared" ca="1" si="30"/>
        <v/>
      </c>
      <c r="Y68" s="20" t="str" cm="1">
        <f t="array" aca="1" ref="Y68" ca="1">IF(X68="","",IF(X68&lt;&gt;X67,1,IF(Y67=misLíneas-2,0,Y67+1)))</f>
        <v/>
      </c>
      <c r="Z68" s="20" t="str" cm="1">
        <f t="array" aca="1" ref="Z68" ca="1">IF(OR(Y68=0,Y68=""),"",INDEX(misCriticidades,X68)&amp;"-"&amp;IFERROR(MATCH(Y68,miOrdenTarjeta,0),0))</f>
        <v/>
      </c>
      <c r="AA68" s="19" t="str">
        <f ca="1"/>
        <v/>
      </c>
      <c r="AB68" s="20">
        <f t="shared" ref="AB68:AB131" ca="1" si="40">AB67--(AD67=0)</f>
        <v>1</v>
      </c>
      <c r="AC68" s="20" t="str">
        <f t="shared" ca="1" si="31"/>
        <v/>
      </c>
      <c r="AD68" s="20" t="str" cm="1">
        <f t="array" aca="1" ref="AD68" ca="1">IF(AC68="","",IF(AC68&lt;&gt;AC67,1,IF(AD67=misLíneas-2,0,AD67+1)))</f>
        <v/>
      </c>
      <c r="AE68" s="20" t="str" cm="1">
        <f t="array" aca="1" ref="AE68" ca="1">IF(OR(AD68=0,AD68=""),"",INDEX(misCriticidades,AC68)&amp;"-"&amp;IFERROR(MATCH(AD68,miOrdenTarjeta,0),0))</f>
        <v/>
      </c>
      <c r="AF68" s="19" t="str">
        <f ca="1"/>
        <v/>
      </c>
      <c r="AG68" s="20">
        <f t="shared" ref="AG68:AG131" ca="1" si="41">AG67--(AI67=0)</f>
        <v>1</v>
      </c>
      <c r="AH68" s="20" t="str">
        <f t="shared" ca="1" si="32"/>
        <v/>
      </c>
      <c r="AI68" s="20" t="str" cm="1">
        <f t="array" aca="1" ref="AI68" ca="1">IF(AH68="","",IF(AH68&lt;&gt;AH67,1,IF(AI67=misLíneas-2,0,AI67+1)))</f>
        <v/>
      </c>
      <c r="AJ68" s="20" t="str" cm="1">
        <f t="array" aca="1" ref="AJ68" ca="1">IF(OR(AI68=0,AI68=""),"",INDEX(misCriticidades,AH68)&amp;"-"&amp;IFERROR(MATCH(AI68,miOrdenTarjeta,0),0))</f>
        <v/>
      </c>
      <c r="AK68" s="19" t="str">
        <f ca="1"/>
        <v/>
      </c>
      <c r="AL68" s="20">
        <f t="shared" ref="AL68:AL131" ca="1" si="42">AL67--(AN67=0)</f>
        <v>1</v>
      </c>
      <c r="AM68" s="20" t="str">
        <f t="shared" ca="1" si="33"/>
        <v/>
      </c>
      <c r="AN68" s="20" t="str" cm="1">
        <f t="array" aca="1" ref="AN68" ca="1">IF(AM68="","",IF(AM68&lt;&gt;AM67,1,IF(AN67=misLíneas-2,0,AN67+1)))</f>
        <v/>
      </c>
      <c r="AO68" s="20" t="str" cm="1">
        <f t="array" aca="1" ref="AO68" ca="1">IF(OR(AN68=0,AN68=""),"",INDEX(misCriticidades,AM68)&amp;"-"&amp;IFERROR(MATCH(AN68,miOrdenTarjeta,0),0))</f>
        <v/>
      </c>
      <c r="AP68" s="19" t="str">
        <f ca="1"/>
        <v/>
      </c>
      <c r="AQ68" s="20">
        <f t="shared" ref="AQ68:AQ131" ca="1" si="43">AQ67--(AS67=0)</f>
        <v>1</v>
      </c>
      <c r="AR68" s="20" t="str">
        <f t="shared" ca="1" si="34"/>
        <v/>
      </c>
      <c r="AS68" s="20" t="str" cm="1">
        <f t="array" aca="1" ref="AS68" ca="1">IF(AR68="","",IF(AR68&lt;&gt;AR67,1,IF(AS67=misLíneas-2,0,AS67+1)))</f>
        <v/>
      </c>
      <c r="AT68" s="20" t="str" cm="1">
        <f t="array" aca="1" ref="AT68" ca="1">IF(OR(AS68=0,AS68=""),"",INDEX(misCriticidades,AR68)&amp;"-"&amp;IFERROR(MATCH(AS68,miOrdenTarjeta,0),0))</f>
        <v/>
      </c>
      <c r="AU68" s="19" t="str">
        <f ca="1"/>
        <v/>
      </c>
      <c r="AV68" s="20">
        <f t="shared" ref="AV68:AV131" ca="1" si="44">AV67--(AX67=0)</f>
        <v>1</v>
      </c>
      <c r="AW68" s="20" t="str">
        <f t="shared" ca="1" si="35"/>
        <v/>
      </c>
      <c r="AX68" s="20" t="str" cm="1">
        <f t="array" aca="1" ref="AX68" ca="1">IF(AW68="","",IF(AW68&lt;&gt;AW67,1,IF(AX67=misLíneas-2,0,AX67+1)))</f>
        <v/>
      </c>
      <c r="AY68" s="20" t="str" cm="1">
        <f t="array" aca="1" ref="AY68" ca="1">IF(OR(AX68=0,AX68=""),"",INDEX(misCriticidades,AW68)&amp;"-"&amp;IFERROR(MATCH(AX68,miOrdenTarjeta,0),0))</f>
        <v/>
      </c>
    </row>
    <row r="69" spans="2:51" x14ac:dyDescent="0.25">
      <c r="B69" s="19" t="str">
        <f ca="1"/>
        <v/>
      </c>
      <c r="C69" s="20">
        <f t="shared" ca="1" si="20"/>
        <v>1</v>
      </c>
      <c r="D69" s="20" t="str">
        <f t="shared" ca="1" si="26"/>
        <v/>
      </c>
      <c r="E69" s="20" t="str" cm="1">
        <f t="array" aca="1" ref="E69" ca="1">IF(D69="","",IF(D69&lt;&gt;D68,1,IF(E68=misLíneas-2,0,E68+1)))</f>
        <v/>
      </c>
      <c r="F69" s="20" t="str" cm="1">
        <f t="array" aca="1" ref="F69" ca="1">IF(OR(E69=0,E69=""),"",INDEX(misCriticidades,D69)&amp;"-"&amp;IFERROR(MATCH(E69,miOrdenTarjeta,0),0))</f>
        <v/>
      </c>
      <c r="G69" s="19" t="str">
        <f ca="1"/>
        <v/>
      </c>
      <c r="H69" s="20">
        <f t="shared" ca="1" si="36"/>
        <v>7</v>
      </c>
      <c r="I69" s="20" t="str">
        <f t="shared" ca="1" si="27"/>
        <v/>
      </c>
      <c r="J69" s="20" t="str" cm="1">
        <f t="array" aca="1" ref="J69" ca="1">IF(I69="","",IF(I69&lt;&gt;I68,1,IF(J68=misLíneas-2,0,J68+1)))</f>
        <v/>
      </c>
      <c r="K69" s="20" t="str" cm="1">
        <f t="array" aca="1" ref="K69" ca="1">IF(OR(J69=0,J69=""),"",INDEX(misCriticidades,I69)&amp;"-"&amp;IFERROR(MATCH(J69,miOrdenTarjeta,0),0))</f>
        <v/>
      </c>
      <c r="L69" s="19" t="str">
        <f ca="1"/>
        <v/>
      </c>
      <c r="M69" s="20">
        <f t="shared" ca="1" si="37"/>
        <v>1</v>
      </c>
      <c r="N69" s="20" t="str">
        <f t="shared" ca="1" si="28"/>
        <v/>
      </c>
      <c r="O69" s="20" t="str" cm="1">
        <f t="array" aca="1" ref="O69" ca="1">IF(N69="","",IF(N69&lt;&gt;N68,1,IF(O68=misLíneas-2,0,O68+1)))</f>
        <v/>
      </c>
      <c r="P69" s="20" t="str" cm="1">
        <f t="array" aca="1" ref="P69" ca="1">IF(OR(O69=0,O69=""),"",INDEX(misCriticidades,N69)&amp;"-"&amp;IFERROR(MATCH(O69,miOrdenTarjeta,0),0))</f>
        <v/>
      </c>
      <c r="Q69" s="19" t="str">
        <f ca="1"/>
        <v/>
      </c>
      <c r="R69" s="20">
        <f t="shared" ca="1" si="38"/>
        <v>7</v>
      </c>
      <c r="S69" s="20">
        <f t="shared" ca="1" si="29"/>
        <v>23</v>
      </c>
      <c r="T69" s="20" cm="1">
        <f t="array" aca="1" ref="T69" ca="1">IF(S69="","",IF(S69&lt;&gt;S68,1,IF(T68=misLíneas-2,0,T68+1)))</f>
        <v>7</v>
      </c>
      <c r="U69" s="20" t="str" cm="1">
        <f t="array" aca="1" ref="U69" ca="1">IF(OR(T69=0,T69=""),"",INDEX(misCriticidades,S69)&amp;"-"&amp;IFERROR(MATCH(T69,miOrdenTarjeta,0),0))</f>
        <v>3-7</v>
      </c>
      <c r="V69" s="19" t="str">
        <f ca="1"/>
        <v/>
      </c>
      <c r="W69" s="20">
        <f t="shared" ca="1" si="39"/>
        <v>1</v>
      </c>
      <c r="X69" s="20" t="str">
        <f t="shared" ca="1" si="30"/>
        <v/>
      </c>
      <c r="Y69" s="20" t="str" cm="1">
        <f t="array" aca="1" ref="Y69" ca="1">IF(X69="","",IF(X69&lt;&gt;X68,1,IF(Y68=misLíneas-2,0,Y68+1)))</f>
        <v/>
      </c>
      <c r="Z69" s="20" t="str" cm="1">
        <f t="array" aca="1" ref="Z69" ca="1">IF(OR(Y69=0,Y69=""),"",INDEX(misCriticidades,X69)&amp;"-"&amp;IFERROR(MATCH(Y69,miOrdenTarjeta,0),0))</f>
        <v/>
      </c>
      <c r="AA69" s="19" t="str">
        <f ca="1"/>
        <v/>
      </c>
      <c r="AB69" s="20">
        <f t="shared" ca="1" si="40"/>
        <v>1</v>
      </c>
      <c r="AC69" s="20" t="str">
        <f t="shared" ca="1" si="31"/>
        <v/>
      </c>
      <c r="AD69" s="20" t="str" cm="1">
        <f t="array" aca="1" ref="AD69" ca="1">IF(AC69="","",IF(AC69&lt;&gt;AC68,1,IF(AD68=misLíneas-2,0,AD68+1)))</f>
        <v/>
      </c>
      <c r="AE69" s="20" t="str" cm="1">
        <f t="array" aca="1" ref="AE69" ca="1">IF(OR(AD69=0,AD69=""),"",INDEX(misCriticidades,AC69)&amp;"-"&amp;IFERROR(MATCH(AD69,miOrdenTarjeta,0),0))</f>
        <v/>
      </c>
      <c r="AF69" s="19" t="str">
        <f ca="1"/>
        <v/>
      </c>
      <c r="AG69" s="20">
        <f t="shared" ca="1" si="41"/>
        <v>1</v>
      </c>
      <c r="AH69" s="20" t="str">
        <f t="shared" ca="1" si="32"/>
        <v/>
      </c>
      <c r="AI69" s="20" t="str" cm="1">
        <f t="array" aca="1" ref="AI69" ca="1">IF(AH69="","",IF(AH69&lt;&gt;AH68,1,IF(AI68=misLíneas-2,0,AI68+1)))</f>
        <v/>
      </c>
      <c r="AJ69" s="20" t="str" cm="1">
        <f t="array" aca="1" ref="AJ69" ca="1">IF(OR(AI69=0,AI69=""),"",INDEX(misCriticidades,AH69)&amp;"-"&amp;IFERROR(MATCH(AI69,miOrdenTarjeta,0),0))</f>
        <v/>
      </c>
      <c r="AK69" s="19" t="str">
        <f ca="1"/>
        <v/>
      </c>
      <c r="AL69" s="20">
        <f t="shared" ca="1" si="42"/>
        <v>1</v>
      </c>
      <c r="AM69" s="20" t="str">
        <f t="shared" ca="1" si="33"/>
        <v/>
      </c>
      <c r="AN69" s="20" t="str" cm="1">
        <f t="array" aca="1" ref="AN69" ca="1">IF(AM69="","",IF(AM69&lt;&gt;AM68,1,IF(AN68=misLíneas-2,0,AN68+1)))</f>
        <v/>
      </c>
      <c r="AO69" s="20" t="str" cm="1">
        <f t="array" aca="1" ref="AO69" ca="1">IF(OR(AN69=0,AN69=""),"",INDEX(misCriticidades,AM69)&amp;"-"&amp;IFERROR(MATCH(AN69,miOrdenTarjeta,0),0))</f>
        <v/>
      </c>
      <c r="AP69" s="19" t="str">
        <f ca="1"/>
        <v/>
      </c>
      <c r="AQ69" s="20">
        <f t="shared" ca="1" si="43"/>
        <v>1</v>
      </c>
      <c r="AR69" s="20" t="str">
        <f t="shared" ca="1" si="34"/>
        <v/>
      </c>
      <c r="AS69" s="20" t="str" cm="1">
        <f t="array" aca="1" ref="AS69" ca="1">IF(AR69="","",IF(AR69&lt;&gt;AR68,1,IF(AS68=misLíneas-2,0,AS68+1)))</f>
        <v/>
      </c>
      <c r="AT69" s="20" t="str" cm="1">
        <f t="array" aca="1" ref="AT69" ca="1">IF(OR(AS69=0,AS69=""),"",INDEX(misCriticidades,AR69)&amp;"-"&amp;IFERROR(MATCH(AS69,miOrdenTarjeta,0),0))</f>
        <v/>
      </c>
      <c r="AU69" s="19" t="str">
        <f ca="1"/>
        <v/>
      </c>
      <c r="AV69" s="20">
        <f t="shared" ca="1" si="44"/>
        <v>1</v>
      </c>
      <c r="AW69" s="20" t="str">
        <f t="shared" ca="1" si="35"/>
        <v/>
      </c>
      <c r="AX69" s="20" t="str" cm="1">
        <f t="array" aca="1" ref="AX69" ca="1">IF(AW69="","",IF(AW69&lt;&gt;AW68,1,IF(AX68=misLíneas-2,0,AX68+1)))</f>
        <v/>
      </c>
      <c r="AY69" s="20" t="str" cm="1">
        <f t="array" aca="1" ref="AY69" ca="1">IF(OR(AX69=0,AX69=""),"",INDEX(misCriticidades,AW69)&amp;"-"&amp;IFERROR(MATCH(AX69,miOrdenTarjeta,0),0))</f>
        <v/>
      </c>
    </row>
    <row r="70" spans="2:51" x14ac:dyDescent="0.25">
      <c r="B70" s="19" t="str">
        <f ca="1"/>
        <v/>
      </c>
      <c r="C70" s="20">
        <f t="shared" ca="1" si="20"/>
        <v>1</v>
      </c>
      <c r="D70" s="20" t="str">
        <f t="shared" ca="1" si="26"/>
        <v/>
      </c>
      <c r="E70" s="20" t="str" cm="1">
        <f t="array" aca="1" ref="E70" ca="1">IF(D70="","",IF(D70&lt;&gt;D69,1,IF(E69=misLíneas-2,0,E69+1)))</f>
        <v/>
      </c>
      <c r="F70" s="20" t="str" cm="1">
        <f t="array" aca="1" ref="F70" ca="1">IF(OR(E70=0,E70=""),"",INDEX(misCriticidades,D70)&amp;"-"&amp;IFERROR(MATCH(E70,miOrdenTarjeta,0),0))</f>
        <v/>
      </c>
      <c r="G70" s="19" t="str">
        <f ca="1"/>
        <v/>
      </c>
      <c r="H70" s="20">
        <f t="shared" ca="1" si="36"/>
        <v>7</v>
      </c>
      <c r="I70" s="20" t="str">
        <f t="shared" ca="1" si="27"/>
        <v/>
      </c>
      <c r="J70" s="20" t="str" cm="1">
        <f t="array" aca="1" ref="J70" ca="1">IF(I70="","",IF(I70&lt;&gt;I69,1,IF(J69=misLíneas-2,0,J69+1)))</f>
        <v/>
      </c>
      <c r="K70" s="20" t="str" cm="1">
        <f t="array" aca="1" ref="K70" ca="1">IF(OR(J70=0,J70=""),"",INDEX(misCriticidades,I70)&amp;"-"&amp;IFERROR(MATCH(J70,miOrdenTarjeta,0),0))</f>
        <v/>
      </c>
      <c r="L70" s="19" t="str">
        <f ca="1"/>
        <v/>
      </c>
      <c r="M70" s="20">
        <f t="shared" ca="1" si="37"/>
        <v>1</v>
      </c>
      <c r="N70" s="20" t="str">
        <f t="shared" ca="1" si="28"/>
        <v/>
      </c>
      <c r="O70" s="20" t="str" cm="1">
        <f t="array" aca="1" ref="O70" ca="1">IF(N70="","",IF(N70&lt;&gt;N69,1,IF(O69=misLíneas-2,0,O69+1)))</f>
        <v/>
      </c>
      <c r="P70" s="20" t="str" cm="1">
        <f t="array" aca="1" ref="P70" ca="1">IF(OR(O70=0,O70=""),"",INDEX(misCriticidades,N70)&amp;"-"&amp;IFERROR(MATCH(O70,miOrdenTarjeta,0),0))</f>
        <v/>
      </c>
      <c r="Q70" s="19" t="str">
        <f ca="1"/>
        <v/>
      </c>
      <c r="R70" s="20">
        <f t="shared" ca="1" si="38"/>
        <v>7</v>
      </c>
      <c r="S70" s="20">
        <f t="shared" ca="1" si="29"/>
        <v>23</v>
      </c>
      <c r="T70" s="20" cm="1">
        <f t="array" aca="1" ref="T70" ca="1">IF(S70="","",IF(S70&lt;&gt;S69,1,IF(T69=misLíneas-2,0,T69+1)))</f>
        <v>8</v>
      </c>
      <c r="U70" s="20" t="str" cm="1">
        <f t="array" aca="1" ref="U70" ca="1">IF(OR(T70=0,T70=""),"",INDEX(misCriticidades,S70)&amp;"-"&amp;IFERROR(MATCH(T70,miOrdenTarjeta,0),0))</f>
        <v>3-8</v>
      </c>
      <c r="V70" s="19" t="str">
        <f ca="1"/>
        <v/>
      </c>
      <c r="W70" s="20">
        <f t="shared" ca="1" si="39"/>
        <v>1</v>
      </c>
      <c r="X70" s="20" t="str">
        <f t="shared" ca="1" si="30"/>
        <v/>
      </c>
      <c r="Y70" s="20" t="str" cm="1">
        <f t="array" aca="1" ref="Y70" ca="1">IF(X70="","",IF(X70&lt;&gt;X69,1,IF(Y69=misLíneas-2,0,Y69+1)))</f>
        <v/>
      </c>
      <c r="Z70" s="20" t="str" cm="1">
        <f t="array" aca="1" ref="Z70" ca="1">IF(OR(Y70=0,Y70=""),"",INDEX(misCriticidades,X70)&amp;"-"&amp;IFERROR(MATCH(Y70,miOrdenTarjeta,0),0))</f>
        <v/>
      </c>
      <c r="AA70" s="19" t="str">
        <f ca="1"/>
        <v/>
      </c>
      <c r="AB70" s="20">
        <f t="shared" ca="1" si="40"/>
        <v>1</v>
      </c>
      <c r="AC70" s="20" t="str">
        <f t="shared" ca="1" si="31"/>
        <v/>
      </c>
      <c r="AD70" s="20" t="str" cm="1">
        <f t="array" aca="1" ref="AD70" ca="1">IF(AC70="","",IF(AC70&lt;&gt;AC69,1,IF(AD69=misLíneas-2,0,AD69+1)))</f>
        <v/>
      </c>
      <c r="AE70" s="20" t="str" cm="1">
        <f t="array" aca="1" ref="AE70" ca="1">IF(OR(AD70=0,AD70=""),"",INDEX(misCriticidades,AC70)&amp;"-"&amp;IFERROR(MATCH(AD70,miOrdenTarjeta,0),0))</f>
        <v/>
      </c>
      <c r="AF70" s="19" t="str">
        <f ca="1"/>
        <v/>
      </c>
      <c r="AG70" s="20">
        <f t="shared" ca="1" si="41"/>
        <v>1</v>
      </c>
      <c r="AH70" s="20" t="str">
        <f t="shared" ca="1" si="32"/>
        <v/>
      </c>
      <c r="AI70" s="20" t="str" cm="1">
        <f t="array" aca="1" ref="AI70" ca="1">IF(AH70="","",IF(AH70&lt;&gt;AH69,1,IF(AI69=misLíneas-2,0,AI69+1)))</f>
        <v/>
      </c>
      <c r="AJ70" s="20" t="str" cm="1">
        <f t="array" aca="1" ref="AJ70" ca="1">IF(OR(AI70=0,AI70=""),"",INDEX(misCriticidades,AH70)&amp;"-"&amp;IFERROR(MATCH(AI70,miOrdenTarjeta,0),0))</f>
        <v/>
      </c>
      <c r="AK70" s="19" t="str">
        <f ca="1"/>
        <v/>
      </c>
      <c r="AL70" s="20">
        <f t="shared" ca="1" si="42"/>
        <v>1</v>
      </c>
      <c r="AM70" s="20" t="str">
        <f t="shared" ca="1" si="33"/>
        <v/>
      </c>
      <c r="AN70" s="20" t="str" cm="1">
        <f t="array" aca="1" ref="AN70" ca="1">IF(AM70="","",IF(AM70&lt;&gt;AM69,1,IF(AN69=misLíneas-2,0,AN69+1)))</f>
        <v/>
      </c>
      <c r="AO70" s="20" t="str" cm="1">
        <f t="array" aca="1" ref="AO70" ca="1">IF(OR(AN70=0,AN70=""),"",INDEX(misCriticidades,AM70)&amp;"-"&amp;IFERROR(MATCH(AN70,miOrdenTarjeta,0),0))</f>
        <v/>
      </c>
      <c r="AP70" s="19" t="str">
        <f ca="1"/>
        <v/>
      </c>
      <c r="AQ70" s="20">
        <f t="shared" ca="1" si="43"/>
        <v>1</v>
      </c>
      <c r="AR70" s="20" t="str">
        <f t="shared" ca="1" si="34"/>
        <v/>
      </c>
      <c r="AS70" s="20" t="str" cm="1">
        <f t="array" aca="1" ref="AS70" ca="1">IF(AR70="","",IF(AR70&lt;&gt;AR69,1,IF(AS69=misLíneas-2,0,AS69+1)))</f>
        <v/>
      </c>
      <c r="AT70" s="20" t="str" cm="1">
        <f t="array" aca="1" ref="AT70" ca="1">IF(OR(AS70=0,AS70=""),"",INDEX(misCriticidades,AR70)&amp;"-"&amp;IFERROR(MATCH(AS70,miOrdenTarjeta,0),0))</f>
        <v/>
      </c>
      <c r="AU70" s="19" t="str">
        <f ca="1"/>
        <v/>
      </c>
      <c r="AV70" s="20">
        <f t="shared" ca="1" si="44"/>
        <v>1</v>
      </c>
      <c r="AW70" s="20" t="str">
        <f t="shared" ca="1" si="35"/>
        <v/>
      </c>
      <c r="AX70" s="20" t="str" cm="1">
        <f t="array" aca="1" ref="AX70" ca="1">IF(AW70="","",IF(AW70&lt;&gt;AW69,1,IF(AX69=misLíneas-2,0,AX69+1)))</f>
        <v/>
      </c>
      <c r="AY70" s="20" t="str" cm="1">
        <f t="array" aca="1" ref="AY70" ca="1">IF(OR(AX70=0,AX70=""),"",INDEX(misCriticidades,AW70)&amp;"-"&amp;IFERROR(MATCH(AX70,miOrdenTarjeta,0),0))</f>
        <v/>
      </c>
    </row>
    <row r="71" spans="2:51" x14ac:dyDescent="0.25">
      <c r="B71" s="19" t="str">
        <f ca="1"/>
        <v/>
      </c>
      <c r="C71" s="20">
        <f t="shared" ca="1" si="20"/>
        <v>1</v>
      </c>
      <c r="D71" s="20" t="str">
        <f t="shared" ca="1" si="26"/>
        <v/>
      </c>
      <c r="E71" s="20" t="str" cm="1">
        <f t="array" aca="1" ref="E71" ca="1">IF(D71="","",IF(D71&lt;&gt;D70,1,IF(E70=misLíneas-2,0,E70+1)))</f>
        <v/>
      </c>
      <c r="F71" s="20" t="str" cm="1">
        <f t="array" aca="1" ref="F71" ca="1">IF(OR(E71=0,E71=""),"",INDEX(misCriticidades,D71)&amp;"-"&amp;IFERROR(MATCH(E71,miOrdenTarjeta,0),0))</f>
        <v/>
      </c>
      <c r="G71" s="19" t="str">
        <f ca="1"/>
        <v/>
      </c>
      <c r="H71" s="20">
        <f t="shared" ca="1" si="36"/>
        <v>7</v>
      </c>
      <c r="I71" s="20" t="str">
        <f t="shared" ca="1" si="27"/>
        <v/>
      </c>
      <c r="J71" s="20" t="str" cm="1">
        <f t="array" aca="1" ref="J71" ca="1">IF(I71="","",IF(I71&lt;&gt;I70,1,IF(J70=misLíneas-2,0,J70+1)))</f>
        <v/>
      </c>
      <c r="K71" s="20" t="str" cm="1">
        <f t="array" aca="1" ref="K71" ca="1">IF(OR(J71=0,J71=""),"",INDEX(misCriticidades,I71)&amp;"-"&amp;IFERROR(MATCH(J71,miOrdenTarjeta,0),0))</f>
        <v/>
      </c>
      <c r="L71" s="19" t="str">
        <f ca="1"/>
        <v/>
      </c>
      <c r="M71" s="20">
        <f t="shared" ca="1" si="37"/>
        <v>1</v>
      </c>
      <c r="N71" s="20" t="str">
        <f t="shared" ca="1" si="28"/>
        <v/>
      </c>
      <c r="O71" s="20" t="str" cm="1">
        <f t="array" aca="1" ref="O71" ca="1">IF(N71="","",IF(N71&lt;&gt;N70,1,IF(O70=misLíneas-2,0,O70+1)))</f>
        <v/>
      </c>
      <c r="P71" s="20" t="str" cm="1">
        <f t="array" aca="1" ref="P71" ca="1">IF(OR(O71=0,O71=""),"",INDEX(misCriticidades,N71)&amp;"-"&amp;IFERROR(MATCH(O71,miOrdenTarjeta,0),0))</f>
        <v/>
      </c>
      <c r="Q71" s="19" t="str">
        <f ca="1"/>
        <v/>
      </c>
      <c r="R71" s="20">
        <f t="shared" ca="1" si="38"/>
        <v>7</v>
      </c>
      <c r="S71" s="20">
        <f t="shared" ca="1" si="29"/>
        <v>23</v>
      </c>
      <c r="T71" s="20" cm="1">
        <f t="array" aca="1" ref="T71" ca="1">IF(S71="","",IF(S71&lt;&gt;S70,1,IF(T70=misLíneas-2,0,T70+1)))</f>
        <v>9</v>
      </c>
      <c r="U71" s="20" t="str" cm="1">
        <f t="array" aca="1" ref="U71" ca="1">IF(OR(T71=0,T71=""),"",INDEX(misCriticidades,S71)&amp;"-"&amp;IFERROR(MATCH(T71,miOrdenTarjeta,0),0))</f>
        <v>3-0</v>
      </c>
      <c r="V71" s="19" t="str">
        <f ca="1"/>
        <v/>
      </c>
      <c r="W71" s="20">
        <f t="shared" ca="1" si="39"/>
        <v>1</v>
      </c>
      <c r="X71" s="20" t="str">
        <f t="shared" ca="1" si="30"/>
        <v/>
      </c>
      <c r="Y71" s="20" t="str" cm="1">
        <f t="array" aca="1" ref="Y71" ca="1">IF(X71="","",IF(X71&lt;&gt;X70,1,IF(Y70=misLíneas-2,0,Y70+1)))</f>
        <v/>
      </c>
      <c r="Z71" s="20" t="str" cm="1">
        <f t="array" aca="1" ref="Z71" ca="1">IF(OR(Y71=0,Y71=""),"",INDEX(misCriticidades,X71)&amp;"-"&amp;IFERROR(MATCH(Y71,miOrdenTarjeta,0),0))</f>
        <v/>
      </c>
      <c r="AA71" s="19" t="str">
        <f ca="1"/>
        <v/>
      </c>
      <c r="AB71" s="20">
        <f t="shared" ca="1" si="40"/>
        <v>1</v>
      </c>
      <c r="AC71" s="20" t="str">
        <f t="shared" ca="1" si="31"/>
        <v/>
      </c>
      <c r="AD71" s="20" t="str" cm="1">
        <f t="array" aca="1" ref="AD71" ca="1">IF(AC71="","",IF(AC71&lt;&gt;AC70,1,IF(AD70=misLíneas-2,0,AD70+1)))</f>
        <v/>
      </c>
      <c r="AE71" s="20" t="str" cm="1">
        <f t="array" aca="1" ref="AE71" ca="1">IF(OR(AD71=0,AD71=""),"",INDEX(misCriticidades,AC71)&amp;"-"&amp;IFERROR(MATCH(AD71,miOrdenTarjeta,0),0))</f>
        <v/>
      </c>
      <c r="AF71" s="19" t="str">
        <f ca="1"/>
        <v/>
      </c>
      <c r="AG71" s="20">
        <f t="shared" ca="1" si="41"/>
        <v>1</v>
      </c>
      <c r="AH71" s="20" t="str">
        <f t="shared" ca="1" si="32"/>
        <v/>
      </c>
      <c r="AI71" s="20" t="str" cm="1">
        <f t="array" aca="1" ref="AI71" ca="1">IF(AH71="","",IF(AH71&lt;&gt;AH70,1,IF(AI70=misLíneas-2,0,AI70+1)))</f>
        <v/>
      </c>
      <c r="AJ71" s="20" t="str" cm="1">
        <f t="array" aca="1" ref="AJ71" ca="1">IF(OR(AI71=0,AI71=""),"",INDEX(misCriticidades,AH71)&amp;"-"&amp;IFERROR(MATCH(AI71,miOrdenTarjeta,0),0))</f>
        <v/>
      </c>
      <c r="AK71" s="19" t="str">
        <f ca="1"/>
        <v/>
      </c>
      <c r="AL71" s="20">
        <f t="shared" ca="1" si="42"/>
        <v>1</v>
      </c>
      <c r="AM71" s="20" t="str">
        <f t="shared" ca="1" si="33"/>
        <v/>
      </c>
      <c r="AN71" s="20" t="str" cm="1">
        <f t="array" aca="1" ref="AN71" ca="1">IF(AM71="","",IF(AM71&lt;&gt;AM70,1,IF(AN70=misLíneas-2,0,AN70+1)))</f>
        <v/>
      </c>
      <c r="AO71" s="20" t="str" cm="1">
        <f t="array" aca="1" ref="AO71" ca="1">IF(OR(AN71=0,AN71=""),"",INDEX(misCriticidades,AM71)&amp;"-"&amp;IFERROR(MATCH(AN71,miOrdenTarjeta,0),0))</f>
        <v/>
      </c>
      <c r="AP71" s="19" t="str">
        <f ca="1"/>
        <v/>
      </c>
      <c r="AQ71" s="20">
        <f t="shared" ca="1" si="43"/>
        <v>1</v>
      </c>
      <c r="AR71" s="20" t="str">
        <f t="shared" ca="1" si="34"/>
        <v/>
      </c>
      <c r="AS71" s="20" t="str" cm="1">
        <f t="array" aca="1" ref="AS71" ca="1">IF(AR71="","",IF(AR71&lt;&gt;AR70,1,IF(AS70=misLíneas-2,0,AS70+1)))</f>
        <v/>
      </c>
      <c r="AT71" s="20" t="str" cm="1">
        <f t="array" aca="1" ref="AT71" ca="1">IF(OR(AS71=0,AS71=""),"",INDEX(misCriticidades,AR71)&amp;"-"&amp;IFERROR(MATCH(AS71,miOrdenTarjeta,0),0))</f>
        <v/>
      </c>
      <c r="AU71" s="19" t="str">
        <f ca="1"/>
        <v/>
      </c>
      <c r="AV71" s="20">
        <f t="shared" ca="1" si="44"/>
        <v>1</v>
      </c>
      <c r="AW71" s="20" t="str">
        <f t="shared" ca="1" si="35"/>
        <v/>
      </c>
      <c r="AX71" s="20" t="str" cm="1">
        <f t="array" aca="1" ref="AX71" ca="1">IF(AW71="","",IF(AW71&lt;&gt;AW70,1,IF(AX70=misLíneas-2,0,AX70+1)))</f>
        <v/>
      </c>
      <c r="AY71" s="20" t="str" cm="1">
        <f t="array" aca="1" ref="AY71" ca="1">IF(OR(AX71=0,AX71=""),"",INDEX(misCriticidades,AW71)&amp;"-"&amp;IFERROR(MATCH(AX71,miOrdenTarjeta,0),0))</f>
        <v/>
      </c>
    </row>
    <row r="72" spans="2:51" x14ac:dyDescent="0.25">
      <c r="B72" s="19" t="str">
        <f ca="1"/>
        <v/>
      </c>
      <c r="C72" s="20">
        <f t="shared" ca="1" si="20"/>
        <v>1</v>
      </c>
      <c r="D72" s="20" t="str">
        <f t="shared" ca="1" si="26"/>
        <v/>
      </c>
      <c r="E72" s="20" t="str" cm="1">
        <f t="array" aca="1" ref="E72" ca="1">IF(D72="","",IF(D72&lt;&gt;D71,1,IF(E71=misLíneas-2,0,E71+1)))</f>
        <v/>
      </c>
      <c r="F72" s="20" t="str" cm="1">
        <f t="array" aca="1" ref="F72" ca="1">IF(OR(E72=0,E72=""),"",INDEX(misCriticidades,D72)&amp;"-"&amp;IFERROR(MATCH(E72,miOrdenTarjeta,0),0))</f>
        <v/>
      </c>
      <c r="G72" s="19" t="str">
        <f ca="1"/>
        <v/>
      </c>
      <c r="H72" s="20">
        <f t="shared" ca="1" si="36"/>
        <v>7</v>
      </c>
      <c r="I72" s="20" t="str">
        <f t="shared" ca="1" si="27"/>
        <v/>
      </c>
      <c r="J72" s="20" t="str" cm="1">
        <f t="array" aca="1" ref="J72" ca="1">IF(I72="","",IF(I72&lt;&gt;I71,1,IF(J71=misLíneas-2,0,J71+1)))</f>
        <v/>
      </c>
      <c r="K72" s="20" t="str" cm="1">
        <f t="array" aca="1" ref="K72" ca="1">IF(OR(J72=0,J72=""),"",INDEX(misCriticidades,I72)&amp;"-"&amp;IFERROR(MATCH(J72,miOrdenTarjeta,0),0))</f>
        <v/>
      </c>
      <c r="L72" s="19" t="str">
        <f ca="1"/>
        <v/>
      </c>
      <c r="M72" s="20">
        <f t="shared" ca="1" si="37"/>
        <v>1</v>
      </c>
      <c r="N72" s="20" t="str">
        <f t="shared" ca="1" si="28"/>
        <v/>
      </c>
      <c r="O72" s="20" t="str" cm="1">
        <f t="array" aca="1" ref="O72" ca="1">IF(N72="","",IF(N72&lt;&gt;N71,1,IF(O71=misLíneas-2,0,O71+1)))</f>
        <v/>
      </c>
      <c r="P72" s="20" t="str" cm="1">
        <f t="array" aca="1" ref="P72" ca="1">IF(OR(O72=0,O72=""),"",INDEX(misCriticidades,N72)&amp;"-"&amp;IFERROR(MATCH(O72,miOrdenTarjeta,0),0))</f>
        <v/>
      </c>
      <c r="Q72" s="19" t="str">
        <f ca="1"/>
        <v/>
      </c>
      <c r="R72" s="20">
        <f t="shared" ca="1" si="38"/>
        <v>7</v>
      </c>
      <c r="S72" s="20">
        <f t="shared" ca="1" si="29"/>
        <v>23</v>
      </c>
      <c r="T72" s="20" cm="1">
        <f t="array" aca="1" ref="T72" ca="1">IF(S72="","",IF(S72&lt;&gt;S71,1,IF(T71=misLíneas-2,0,T71+1)))</f>
        <v>0</v>
      </c>
      <c r="U72" s="20" t="str" cm="1">
        <f t="array" aca="1" ref="U72" ca="1">IF(OR(T72=0,T72=""),"",INDEX(misCriticidades,S72)&amp;"-"&amp;IFERROR(MATCH(T72,miOrdenTarjeta,0),0))</f>
        <v/>
      </c>
      <c r="V72" s="19" t="str">
        <f ca="1"/>
        <v/>
      </c>
      <c r="W72" s="20">
        <f t="shared" ca="1" si="39"/>
        <v>1</v>
      </c>
      <c r="X72" s="20" t="str">
        <f t="shared" ca="1" si="30"/>
        <v/>
      </c>
      <c r="Y72" s="20" t="str" cm="1">
        <f t="array" aca="1" ref="Y72" ca="1">IF(X72="","",IF(X72&lt;&gt;X71,1,IF(Y71=misLíneas-2,0,Y71+1)))</f>
        <v/>
      </c>
      <c r="Z72" s="20" t="str" cm="1">
        <f t="array" aca="1" ref="Z72" ca="1">IF(OR(Y72=0,Y72=""),"",INDEX(misCriticidades,X72)&amp;"-"&amp;IFERROR(MATCH(Y72,miOrdenTarjeta,0),0))</f>
        <v/>
      </c>
      <c r="AA72" s="19" t="str">
        <f ca="1"/>
        <v/>
      </c>
      <c r="AB72" s="20">
        <f t="shared" ca="1" si="40"/>
        <v>1</v>
      </c>
      <c r="AC72" s="20" t="str">
        <f t="shared" ca="1" si="31"/>
        <v/>
      </c>
      <c r="AD72" s="20" t="str" cm="1">
        <f t="array" aca="1" ref="AD72" ca="1">IF(AC72="","",IF(AC72&lt;&gt;AC71,1,IF(AD71=misLíneas-2,0,AD71+1)))</f>
        <v/>
      </c>
      <c r="AE72" s="20" t="str" cm="1">
        <f t="array" aca="1" ref="AE72" ca="1">IF(OR(AD72=0,AD72=""),"",INDEX(misCriticidades,AC72)&amp;"-"&amp;IFERROR(MATCH(AD72,miOrdenTarjeta,0),0))</f>
        <v/>
      </c>
      <c r="AF72" s="19" t="str">
        <f ca="1"/>
        <v/>
      </c>
      <c r="AG72" s="20">
        <f t="shared" ca="1" si="41"/>
        <v>1</v>
      </c>
      <c r="AH72" s="20" t="str">
        <f t="shared" ca="1" si="32"/>
        <v/>
      </c>
      <c r="AI72" s="20" t="str" cm="1">
        <f t="array" aca="1" ref="AI72" ca="1">IF(AH72="","",IF(AH72&lt;&gt;AH71,1,IF(AI71=misLíneas-2,0,AI71+1)))</f>
        <v/>
      </c>
      <c r="AJ72" s="20" t="str" cm="1">
        <f t="array" aca="1" ref="AJ72" ca="1">IF(OR(AI72=0,AI72=""),"",INDEX(misCriticidades,AH72)&amp;"-"&amp;IFERROR(MATCH(AI72,miOrdenTarjeta,0),0))</f>
        <v/>
      </c>
      <c r="AK72" s="19" t="str">
        <f ca="1"/>
        <v/>
      </c>
      <c r="AL72" s="20">
        <f t="shared" ca="1" si="42"/>
        <v>1</v>
      </c>
      <c r="AM72" s="20" t="str">
        <f t="shared" ca="1" si="33"/>
        <v/>
      </c>
      <c r="AN72" s="20" t="str" cm="1">
        <f t="array" aca="1" ref="AN72" ca="1">IF(AM72="","",IF(AM72&lt;&gt;AM71,1,IF(AN71=misLíneas-2,0,AN71+1)))</f>
        <v/>
      </c>
      <c r="AO72" s="20" t="str" cm="1">
        <f t="array" aca="1" ref="AO72" ca="1">IF(OR(AN72=0,AN72=""),"",INDEX(misCriticidades,AM72)&amp;"-"&amp;IFERROR(MATCH(AN72,miOrdenTarjeta,0),0))</f>
        <v/>
      </c>
      <c r="AP72" s="19" t="str">
        <f ca="1"/>
        <v/>
      </c>
      <c r="AQ72" s="20">
        <f t="shared" ca="1" si="43"/>
        <v>1</v>
      </c>
      <c r="AR72" s="20" t="str">
        <f t="shared" ca="1" si="34"/>
        <v/>
      </c>
      <c r="AS72" s="20" t="str" cm="1">
        <f t="array" aca="1" ref="AS72" ca="1">IF(AR72="","",IF(AR72&lt;&gt;AR71,1,IF(AS71=misLíneas-2,0,AS71+1)))</f>
        <v/>
      </c>
      <c r="AT72" s="20" t="str" cm="1">
        <f t="array" aca="1" ref="AT72" ca="1">IF(OR(AS72=0,AS72=""),"",INDEX(misCriticidades,AR72)&amp;"-"&amp;IFERROR(MATCH(AS72,miOrdenTarjeta,0),0))</f>
        <v/>
      </c>
      <c r="AU72" s="19" t="str">
        <f ca="1"/>
        <v/>
      </c>
      <c r="AV72" s="20">
        <f t="shared" ca="1" si="44"/>
        <v>1</v>
      </c>
      <c r="AW72" s="20" t="str">
        <f t="shared" ca="1" si="35"/>
        <v/>
      </c>
      <c r="AX72" s="20" t="str" cm="1">
        <f t="array" aca="1" ref="AX72" ca="1">IF(AW72="","",IF(AW72&lt;&gt;AW71,1,IF(AX71=misLíneas-2,0,AX71+1)))</f>
        <v/>
      </c>
      <c r="AY72" s="20" t="str" cm="1">
        <f t="array" aca="1" ref="AY72" ca="1">IF(OR(AX72=0,AX72=""),"",INDEX(misCriticidades,AW72)&amp;"-"&amp;IFERROR(MATCH(AX72,miOrdenTarjeta,0),0))</f>
        <v/>
      </c>
    </row>
    <row r="73" spans="2:51" x14ac:dyDescent="0.25">
      <c r="B73" s="19" t="str">
        <f ca="1"/>
        <v/>
      </c>
      <c r="C73" s="20">
        <f t="shared" ca="1" si="20"/>
        <v>1</v>
      </c>
      <c r="D73" s="20" t="str">
        <f t="shared" ca="1" si="26"/>
        <v/>
      </c>
      <c r="E73" s="20" t="str" cm="1">
        <f t="array" aca="1" ref="E73" ca="1">IF(D73="","",IF(D73&lt;&gt;D72,1,IF(E72=misLíneas-2,0,E72+1)))</f>
        <v/>
      </c>
      <c r="F73" s="20" t="str" cm="1">
        <f t="array" aca="1" ref="F73" ca="1">IF(OR(E73=0,E73=""),"",INDEX(misCriticidades,D73)&amp;"-"&amp;IFERROR(MATCH(E73,miOrdenTarjeta,0),0))</f>
        <v/>
      </c>
      <c r="G73" s="19" t="str">
        <f ca="1"/>
        <v/>
      </c>
      <c r="H73" s="20">
        <f t="shared" ca="1" si="36"/>
        <v>7</v>
      </c>
      <c r="I73" s="20" t="str">
        <f t="shared" ca="1" si="27"/>
        <v/>
      </c>
      <c r="J73" s="20" t="str" cm="1">
        <f t="array" aca="1" ref="J73" ca="1">IF(I73="","",IF(I73&lt;&gt;I72,1,IF(J72=misLíneas-2,0,J72+1)))</f>
        <v/>
      </c>
      <c r="K73" s="20" t="str" cm="1">
        <f t="array" aca="1" ref="K73" ca="1">IF(OR(J73=0,J73=""),"",INDEX(misCriticidades,I73)&amp;"-"&amp;IFERROR(MATCH(J73,miOrdenTarjeta,0),0))</f>
        <v/>
      </c>
      <c r="L73" s="19" t="str">
        <f ca="1"/>
        <v/>
      </c>
      <c r="M73" s="20">
        <f t="shared" ca="1" si="37"/>
        <v>1</v>
      </c>
      <c r="N73" s="20" t="str">
        <f t="shared" ca="1" si="28"/>
        <v/>
      </c>
      <c r="O73" s="20" t="str" cm="1">
        <f t="array" aca="1" ref="O73" ca="1">IF(N73="","",IF(N73&lt;&gt;N72,1,IF(O72=misLíneas-2,0,O72+1)))</f>
        <v/>
      </c>
      <c r="P73" s="20" t="str" cm="1">
        <f t="array" aca="1" ref="P73" ca="1">IF(OR(O73=0,O73=""),"",INDEX(misCriticidades,N73)&amp;"-"&amp;IFERROR(MATCH(O73,miOrdenTarjeta,0),0))</f>
        <v/>
      </c>
      <c r="Q73" s="19" t="str">
        <f ca="1"/>
        <v/>
      </c>
      <c r="R73" s="20">
        <f t="shared" ca="1" si="38"/>
        <v>8</v>
      </c>
      <c r="S73" s="20">
        <f t="shared" ca="1" si="29"/>
        <v>22</v>
      </c>
      <c r="T73" s="20" cm="1">
        <f t="array" aca="1" ref="T73" ca="1">IF(S73="","",IF(S73&lt;&gt;S72,1,IF(T72=misLíneas-2,0,T72+1)))</f>
        <v>1</v>
      </c>
      <c r="U73" s="20" t="str" cm="1">
        <f t="array" aca="1" ref="U73" ca="1">IF(OR(T73=0,T73=""),"",INDEX(misCriticidades,S73)&amp;"-"&amp;IFERROR(MATCH(T73,miOrdenTarjeta,0),0))</f>
        <v>2-1</v>
      </c>
      <c r="V73" s="19" t="str">
        <f ca="1"/>
        <v/>
      </c>
      <c r="W73" s="20">
        <f t="shared" ca="1" si="39"/>
        <v>1</v>
      </c>
      <c r="X73" s="20" t="str">
        <f t="shared" ca="1" si="30"/>
        <v/>
      </c>
      <c r="Y73" s="20" t="str" cm="1">
        <f t="array" aca="1" ref="Y73" ca="1">IF(X73="","",IF(X73&lt;&gt;X72,1,IF(Y72=misLíneas-2,0,Y72+1)))</f>
        <v/>
      </c>
      <c r="Z73" s="20" t="str" cm="1">
        <f t="array" aca="1" ref="Z73" ca="1">IF(OR(Y73=0,Y73=""),"",INDEX(misCriticidades,X73)&amp;"-"&amp;IFERROR(MATCH(Y73,miOrdenTarjeta,0),0))</f>
        <v/>
      </c>
      <c r="AA73" s="19" t="str">
        <f ca="1"/>
        <v/>
      </c>
      <c r="AB73" s="20">
        <f t="shared" ca="1" si="40"/>
        <v>1</v>
      </c>
      <c r="AC73" s="20" t="str">
        <f t="shared" ca="1" si="31"/>
        <v/>
      </c>
      <c r="AD73" s="20" t="str" cm="1">
        <f t="array" aca="1" ref="AD73" ca="1">IF(AC73="","",IF(AC73&lt;&gt;AC72,1,IF(AD72=misLíneas-2,0,AD72+1)))</f>
        <v/>
      </c>
      <c r="AE73" s="20" t="str" cm="1">
        <f t="array" aca="1" ref="AE73" ca="1">IF(OR(AD73=0,AD73=""),"",INDEX(misCriticidades,AC73)&amp;"-"&amp;IFERROR(MATCH(AD73,miOrdenTarjeta,0),0))</f>
        <v/>
      </c>
      <c r="AF73" s="19" t="str">
        <f ca="1"/>
        <v/>
      </c>
      <c r="AG73" s="20">
        <f t="shared" ca="1" si="41"/>
        <v>1</v>
      </c>
      <c r="AH73" s="20" t="str">
        <f t="shared" ca="1" si="32"/>
        <v/>
      </c>
      <c r="AI73" s="20" t="str" cm="1">
        <f t="array" aca="1" ref="AI73" ca="1">IF(AH73="","",IF(AH73&lt;&gt;AH72,1,IF(AI72=misLíneas-2,0,AI72+1)))</f>
        <v/>
      </c>
      <c r="AJ73" s="20" t="str" cm="1">
        <f t="array" aca="1" ref="AJ73" ca="1">IF(OR(AI73=0,AI73=""),"",INDEX(misCriticidades,AH73)&amp;"-"&amp;IFERROR(MATCH(AI73,miOrdenTarjeta,0),0))</f>
        <v/>
      </c>
      <c r="AK73" s="19" t="str">
        <f ca="1"/>
        <v/>
      </c>
      <c r="AL73" s="20">
        <f t="shared" ca="1" si="42"/>
        <v>1</v>
      </c>
      <c r="AM73" s="20" t="str">
        <f t="shared" ca="1" si="33"/>
        <v/>
      </c>
      <c r="AN73" s="20" t="str" cm="1">
        <f t="array" aca="1" ref="AN73" ca="1">IF(AM73="","",IF(AM73&lt;&gt;AM72,1,IF(AN72=misLíneas-2,0,AN72+1)))</f>
        <v/>
      </c>
      <c r="AO73" s="20" t="str" cm="1">
        <f t="array" aca="1" ref="AO73" ca="1">IF(OR(AN73=0,AN73=""),"",INDEX(misCriticidades,AM73)&amp;"-"&amp;IFERROR(MATCH(AN73,miOrdenTarjeta,0),0))</f>
        <v/>
      </c>
      <c r="AP73" s="19" t="str">
        <f ca="1"/>
        <v/>
      </c>
      <c r="AQ73" s="20">
        <f t="shared" ca="1" si="43"/>
        <v>1</v>
      </c>
      <c r="AR73" s="20" t="str">
        <f t="shared" ca="1" si="34"/>
        <v/>
      </c>
      <c r="AS73" s="20" t="str" cm="1">
        <f t="array" aca="1" ref="AS73" ca="1">IF(AR73="","",IF(AR73&lt;&gt;AR72,1,IF(AS72=misLíneas-2,0,AS72+1)))</f>
        <v/>
      </c>
      <c r="AT73" s="20" t="str" cm="1">
        <f t="array" aca="1" ref="AT73" ca="1">IF(OR(AS73=0,AS73=""),"",INDEX(misCriticidades,AR73)&amp;"-"&amp;IFERROR(MATCH(AS73,miOrdenTarjeta,0),0))</f>
        <v/>
      </c>
      <c r="AU73" s="19" t="str">
        <f ca="1"/>
        <v/>
      </c>
      <c r="AV73" s="20">
        <f t="shared" ca="1" si="44"/>
        <v>1</v>
      </c>
      <c r="AW73" s="20" t="str">
        <f t="shared" ca="1" si="35"/>
        <v/>
      </c>
      <c r="AX73" s="20" t="str" cm="1">
        <f t="array" aca="1" ref="AX73" ca="1">IF(AW73="","",IF(AW73&lt;&gt;AW72,1,IF(AX72=misLíneas-2,0,AX72+1)))</f>
        <v/>
      </c>
      <c r="AY73" s="20" t="str" cm="1">
        <f t="array" aca="1" ref="AY73" ca="1">IF(OR(AX73=0,AX73=""),"",INDEX(misCriticidades,AW73)&amp;"-"&amp;IFERROR(MATCH(AX73,miOrdenTarjeta,0),0))</f>
        <v/>
      </c>
    </row>
    <row r="74" spans="2:51" x14ac:dyDescent="0.25">
      <c r="B74" s="19" t="str">
        <f ca="1"/>
        <v/>
      </c>
      <c r="C74" s="20">
        <f t="shared" ca="1" si="20"/>
        <v>1</v>
      </c>
      <c r="D74" s="20" t="str">
        <f t="shared" ca="1" si="26"/>
        <v/>
      </c>
      <c r="E74" s="20" t="str" cm="1">
        <f t="array" aca="1" ref="E74" ca="1">IF(D74="","",IF(D74&lt;&gt;D73,1,IF(E73=misLíneas-2,0,E73+1)))</f>
        <v/>
      </c>
      <c r="F74" s="20" t="str" cm="1">
        <f t="array" aca="1" ref="F74" ca="1">IF(OR(E74=0,E74=""),"",INDEX(misCriticidades,D74)&amp;"-"&amp;IFERROR(MATCH(E74,miOrdenTarjeta,0),0))</f>
        <v/>
      </c>
      <c r="G74" s="19" t="str">
        <f ca="1"/>
        <v/>
      </c>
      <c r="H74" s="20">
        <f t="shared" ca="1" si="36"/>
        <v>7</v>
      </c>
      <c r="I74" s="20" t="str">
        <f t="shared" ca="1" si="27"/>
        <v/>
      </c>
      <c r="J74" s="20" t="str" cm="1">
        <f t="array" aca="1" ref="J74" ca="1">IF(I74="","",IF(I74&lt;&gt;I73,1,IF(J73=misLíneas-2,0,J73+1)))</f>
        <v/>
      </c>
      <c r="K74" s="20" t="str" cm="1">
        <f t="array" aca="1" ref="K74" ca="1">IF(OR(J74=0,J74=""),"",INDEX(misCriticidades,I74)&amp;"-"&amp;IFERROR(MATCH(J74,miOrdenTarjeta,0),0))</f>
        <v/>
      </c>
      <c r="L74" s="19" t="str">
        <f ca="1"/>
        <v/>
      </c>
      <c r="M74" s="20">
        <f t="shared" ca="1" si="37"/>
        <v>1</v>
      </c>
      <c r="N74" s="20" t="str">
        <f t="shared" ca="1" si="28"/>
        <v/>
      </c>
      <c r="O74" s="20" t="str" cm="1">
        <f t="array" aca="1" ref="O74" ca="1">IF(N74="","",IF(N74&lt;&gt;N73,1,IF(O73=misLíneas-2,0,O73+1)))</f>
        <v/>
      </c>
      <c r="P74" s="20" t="str" cm="1">
        <f t="array" aca="1" ref="P74" ca="1">IF(OR(O74=0,O74=""),"",INDEX(misCriticidades,N74)&amp;"-"&amp;IFERROR(MATCH(O74,miOrdenTarjeta,0),0))</f>
        <v/>
      </c>
      <c r="Q74" s="19" t="str">
        <f ca="1"/>
        <v/>
      </c>
      <c r="R74" s="20">
        <f t="shared" ca="1" si="38"/>
        <v>8</v>
      </c>
      <c r="S74" s="20">
        <f t="shared" ca="1" si="29"/>
        <v>22</v>
      </c>
      <c r="T74" s="20" cm="1">
        <f t="array" aca="1" ref="T74" ca="1">IF(S74="","",IF(S74&lt;&gt;S73,1,IF(T73=misLíneas-2,0,T73+1)))</f>
        <v>2</v>
      </c>
      <c r="U74" s="20" t="str" cm="1">
        <f t="array" aca="1" ref="U74" ca="1">IF(OR(T74=0,T74=""),"",INDEX(misCriticidades,S74)&amp;"-"&amp;IFERROR(MATCH(T74,miOrdenTarjeta,0),0))</f>
        <v>2-2</v>
      </c>
      <c r="V74" s="19" t="str">
        <f ca="1"/>
        <v/>
      </c>
      <c r="W74" s="20">
        <f t="shared" ca="1" si="39"/>
        <v>1</v>
      </c>
      <c r="X74" s="20" t="str">
        <f t="shared" ca="1" si="30"/>
        <v/>
      </c>
      <c r="Y74" s="20" t="str" cm="1">
        <f t="array" aca="1" ref="Y74" ca="1">IF(X74="","",IF(X74&lt;&gt;X73,1,IF(Y73=misLíneas-2,0,Y73+1)))</f>
        <v/>
      </c>
      <c r="Z74" s="20" t="str" cm="1">
        <f t="array" aca="1" ref="Z74" ca="1">IF(OR(Y74=0,Y74=""),"",INDEX(misCriticidades,X74)&amp;"-"&amp;IFERROR(MATCH(Y74,miOrdenTarjeta,0),0))</f>
        <v/>
      </c>
      <c r="AA74" s="19" t="str">
        <f ca="1"/>
        <v/>
      </c>
      <c r="AB74" s="20">
        <f t="shared" ca="1" si="40"/>
        <v>1</v>
      </c>
      <c r="AC74" s="20" t="str">
        <f t="shared" ca="1" si="31"/>
        <v/>
      </c>
      <c r="AD74" s="20" t="str" cm="1">
        <f t="array" aca="1" ref="AD74" ca="1">IF(AC74="","",IF(AC74&lt;&gt;AC73,1,IF(AD73=misLíneas-2,0,AD73+1)))</f>
        <v/>
      </c>
      <c r="AE74" s="20" t="str" cm="1">
        <f t="array" aca="1" ref="AE74" ca="1">IF(OR(AD74=0,AD74=""),"",INDEX(misCriticidades,AC74)&amp;"-"&amp;IFERROR(MATCH(AD74,miOrdenTarjeta,0),0))</f>
        <v/>
      </c>
      <c r="AF74" s="19" t="str">
        <f ca="1"/>
        <v/>
      </c>
      <c r="AG74" s="20">
        <f t="shared" ca="1" si="41"/>
        <v>1</v>
      </c>
      <c r="AH74" s="20" t="str">
        <f t="shared" ca="1" si="32"/>
        <v/>
      </c>
      <c r="AI74" s="20" t="str" cm="1">
        <f t="array" aca="1" ref="AI74" ca="1">IF(AH74="","",IF(AH74&lt;&gt;AH73,1,IF(AI73=misLíneas-2,0,AI73+1)))</f>
        <v/>
      </c>
      <c r="AJ74" s="20" t="str" cm="1">
        <f t="array" aca="1" ref="AJ74" ca="1">IF(OR(AI74=0,AI74=""),"",INDEX(misCriticidades,AH74)&amp;"-"&amp;IFERROR(MATCH(AI74,miOrdenTarjeta,0),0))</f>
        <v/>
      </c>
      <c r="AK74" s="19" t="str">
        <f ca="1"/>
        <v/>
      </c>
      <c r="AL74" s="20">
        <f t="shared" ca="1" si="42"/>
        <v>1</v>
      </c>
      <c r="AM74" s="20" t="str">
        <f t="shared" ca="1" si="33"/>
        <v/>
      </c>
      <c r="AN74" s="20" t="str" cm="1">
        <f t="array" aca="1" ref="AN74" ca="1">IF(AM74="","",IF(AM74&lt;&gt;AM73,1,IF(AN73=misLíneas-2,0,AN73+1)))</f>
        <v/>
      </c>
      <c r="AO74" s="20" t="str" cm="1">
        <f t="array" aca="1" ref="AO74" ca="1">IF(OR(AN74=0,AN74=""),"",INDEX(misCriticidades,AM74)&amp;"-"&amp;IFERROR(MATCH(AN74,miOrdenTarjeta,0),0))</f>
        <v/>
      </c>
      <c r="AP74" s="19" t="str">
        <f ca="1"/>
        <v/>
      </c>
      <c r="AQ74" s="20">
        <f t="shared" ca="1" si="43"/>
        <v>1</v>
      </c>
      <c r="AR74" s="20" t="str">
        <f t="shared" ca="1" si="34"/>
        <v/>
      </c>
      <c r="AS74" s="20" t="str" cm="1">
        <f t="array" aca="1" ref="AS74" ca="1">IF(AR74="","",IF(AR74&lt;&gt;AR73,1,IF(AS73=misLíneas-2,0,AS73+1)))</f>
        <v/>
      </c>
      <c r="AT74" s="20" t="str" cm="1">
        <f t="array" aca="1" ref="AT74" ca="1">IF(OR(AS74=0,AS74=""),"",INDEX(misCriticidades,AR74)&amp;"-"&amp;IFERROR(MATCH(AS74,miOrdenTarjeta,0),0))</f>
        <v/>
      </c>
      <c r="AU74" s="19" t="str">
        <f ca="1"/>
        <v/>
      </c>
      <c r="AV74" s="20">
        <f t="shared" ca="1" si="44"/>
        <v>1</v>
      </c>
      <c r="AW74" s="20" t="str">
        <f t="shared" ca="1" si="35"/>
        <v/>
      </c>
      <c r="AX74" s="20" t="str" cm="1">
        <f t="array" aca="1" ref="AX74" ca="1">IF(AW74="","",IF(AW74&lt;&gt;AW73,1,IF(AX73=misLíneas-2,0,AX73+1)))</f>
        <v/>
      </c>
      <c r="AY74" s="20" t="str" cm="1">
        <f t="array" aca="1" ref="AY74" ca="1">IF(OR(AX74=0,AX74=""),"",INDEX(misCriticidades,AW74)&amp;"-"&amp;IFERROR(MATCH(AX74,miOrdenTarjeta,0),0))</f>
        <v/>
      </c>
    </row>
    <row r="75" spans="2:51" x14ac:dyDescent="0.25">
      <c r="B75" s="19" t="str">
        <f ca="1"/>
        <v/>
      </c>
      <c r="C75" s="20">
        <f t="shared" ref="C75:C138" ca="1" si="45">C74--(E74=0)</f>
        <v>1</v>
      </c>
      <c r="D75" s="20" t="str">
        <f t="shared" ca="1" si="26"/>
        <v/>
      </c>
      <c r="E75" s="20" t="str" cm="1">
        <f t="array" aca="1" ref="E75" ca="1">IF(D75="","",IF(D75&lt;&gt;D74,1,IF(E74=misLíneas-2,0,E74+1)))</f>
        <v/>
      </c>
      <c r="F75" s="20" t="str" cm="1">
        <f t="array" aca="1" ref="F75" ca="1">IF(OR(E75=0,E75=""),"",INDEX(misCriticidades,D75)&amp;"-"&amp;IFERROR(MATCH(E75,miOrdenTarjeta,0),0))</f>
        <v/>
      </c>
      <c r="G75" s="19" t="str">
        <f ca="1"/>
        <v/>
      </c>
      <c r="H75" s="20">
        <f t="shared" ca="1" si="36"/>
        <v>7</v>
      </c>
      <c r="I75" s="20" t="str">
        <f t="shared" ca="1" si="27"/>
        <v/>
      </c>
      <c r="J75" s="20" t="str" cm="1">
        <f t="array" aca="1" ref="J75" ca="1">IF(I75="","",IF(I75&lt;&gt;I74,1,IF(J74=misLíneas-2,0,J74+1)))</f>
        <v/>
      </c>
      <c r="K75" s="20" t="str" cm="1">
        <f t="array" aca="1" ref="K75" ca="1">IF(OR(J75=0,J75=""),"",INDEX(misCriticidades,I75)&amp;"-"&amp;IFERROR(MATCH(J75,miOrdenTarjeta,0),0))</f>
        <v/>
      </c>
      <c r="L75" s="19" t="str">
        <f ca="1"/>
        <v/>
      </c>
      <c r="M75" s="20">
        <f t="shared" ca="1" si="37"/>
        <v>1</v>
      </c>
      <c r="N75" s="20" t="str">
        <f t="shared" ca="1" si="28"/>
        <v/>
      </c>
      <c r="O75" s="20" t="str" cm="1">
        <f t="array" aca="1" ref="O75" ca="1">IF(N75="","",IF(N75&lt;&gt;N74,1,IF(O74=misLíneas-2,0,O74+1)))</f>
        <v/>
      </c>
      <c r="P75" s="20" t="str" cm="1">
        <f t="array" aca="1" ref="P75" ca="1">IF(OR(O75=0,O75=""),"",INDEX(misCriticidades,N75)&amp;"-"&amp;IFERROR(MATCH(O75,miOrdenTarjeta,0),0))</f>
        <v/>
      </c>
      <c r="Q75" s="19" t="str">
        <f ca="1"/>
        <v/>
      </c>
      <c r="R75" s="20">
        <f t="shared" ca="1" si="38"/>
        <v>8</v>
      </c>
      <c r="S75" s="20">
        <f t="shared" ca="1" si="29"/>
        <v>22</v>
      </c>
      <c r="T75" s="20" cm="1">
        <f t="array" aca="1" ref="T75" ca="1">IF(S75="","",IF(S75&lt;&gt;S74,1,IF(T74=misLíneas-2,0,T74+1)))</f>
        <v>3</v>
      </c>
      <c r="U75" s="20" t="str" cm="1">
        <f t="array" aca="1" ref="U75" ca="1">IF(OR(T75=0,T75=""),"",INDEX(misCriticidades,S75)&amp;"-"&amp;IFERROR(MATCH(T75,miOrdenTarjeta,0),0))</f>
        <v>2-3</v>
      </c>
      <c r="V75" s="19" t="str">
        <f ca="1"/>
        <v/>
      </c>
      <c r="W75" s="20">
        <f t="shared" ca="1" si="39"/>
        <v>1</v>
      </c>
      <c r="X75" s="20" t="str">
        <f t="shared" ca="1" si="30"/>
        <v/>
      </c>
      <c r="Y75" s="20" t="str" cm="1">
        <f t="array" aca="1" ref="Y75" ca="1">IF(X75="","",IF(X75&lt;&gt;X74,1,IF(Y74=misLíneas-2,0,Y74+1)))</f>
        <v/>
      </c>
      <c r="Z75" s="20" t="str" cm="1">
        <f t="array" aca="1" ref="Z75" ca="1">IF(OR(Y75=0,Y75=""),"",INDEX(misCriticidades,X75)&amp;"-"&amp;IFERROR(MATCH(Y75,miOrdenTarjeta,0),0))</f>
        <v/>
      </c>
      <c r="AA75" s="19" t="str">
        <f ca="1"/>
        <v/>
      </c>
      <c r="AB75" s="20">
        <f t="shared" ca="1" si="40"/>
        <v>1</v>
      </c>
      <c r="AC75" s="20" t="str">
        <f t="shared" ca="1" si="31"/>
        <v/>
      </c>
      <c r="AD75" s="20" t="str" cm="1">
        <f t="array" aca="1" ref="AD75" ca="1">IF(AC75="","",IF(AC75&lt;&gt;AC74,1,IF(AD74=misLíneas-2,0,AD74+1)))</f>
        <v/>
      </c>
      <c r="AE75" s="20" t="str" cm="1">
        <f t="array" aca="1" ref="AE75" ca="1">IF(OR(AD75=0,AD75=""),"",INDEX(misCriticidades,AC75)&amp;"-"&amp;IFERROR(MATCH(AD75,miOrdenTarjeta,0),0))</f>
        <v/>
      </c>
      <c r="AF75" s="19" t="str">
        <f ca="1"/>
        <v/>
      </c>
      <c r="AG75" s="20">
        <f t="shared" ca="1" si="41"/>
        <v>1</v>
      </c>
      <c r="AH75" s="20" t="str">
        <f t="shared" ca="1" si="32"/>
        <v/>
      </c>
      <c r="AI75" s="20" t="str" cm="1">
        <f t="array" aca="1" ref="AI75" ca="1">IF(AH75="","",IF(AH75&lt;&gt;AH74,1,IF(AI74=misLíneas-2,0,AI74+1)))</f>
        <v/>
      </c>
      <c r="AJ75" s="20" t="str" cm="1">
        <f t="array" aca="1" ref="AJ75" ca="1">IF(OR(AI75=0,AI75=""),"",INDEX(misCriticidades,AH75)&amp;"-"&amp;IFERROR(MATCH(AI75,miOrdenTarjeta,0),0))</f>
        <v/>
      </c>
      <c r="AK75" s="19" t="str">
        <f ca="1"/>
        <v/>
      </c>
      <c r="AL75" s="20">
        <f t="shared" ca="1" si="42"/>
        <v>1</v>
      </c>
      <c r="AM75" s="20" t="str">
        <f t="shared" ca="1" si="33"/>
        <v/>
      </c>
      <c r="AN75" s="20" t="str" cm="1">
        <f t="array" aca="1" ref="AN75" ca="1">IF(AM75="","",IF(AM75&lt;&gt;AM74,1,IF(AN74=misLíneas-2,0,AN74+1)))</f>
        <v/>
      </c>
      <c r="AO75" s="20" t="str" cm="1">
        <f t="array" aca="1" ref="AO75" ca="1">IF(OR(AN75=0,AN75=""),"",INDEX(misCriticidades,AM75)&amp;"-"&amp;IFERROR(MATCH(AN75,miOrdenTarjeta,0),0))</f>
        <v/>
      </c>
      <c r="AP75" s="19" t="str">
        <f ca="1"/>
        <v/>
      </c>
      <c r="AQ75" s="20">
        <f t="shared" ca="1" si="43"/>
        <v>1</v>
      </c>
      <c r="AR75" s="20" t="str">
        <f t="shared" ca="1" si="34"/>
        <v/>
      </c>
      <c r="AS75" s="20" t="str" cm="1">
        <f t="array" aca="1" ref="AS75" ca="1">IF(AR75="","",IF(AR75&lt;&gt;AR74,1,IF(AS74=misLíneas-2,0,AS74+1)))</f>
        <v/>
      </c>
      <c r="AT75" s="20" t="str" cm="1">
        <f t="array" aca="1" ref="AT75" ca="1">IF(OR(AS75=0,AS75=""),"",INDEX(misCriticidades,AR75)&amp;"-"&amp;IFERROR(MATCH(AS75,miOrdenTarjeta,0),0))</f>
        <v/>
      </c>
      <c r="AU75" s="19" t="str">
        <f ca="1"/>
        <v/>
      </c>
      <c r="AV75" s="20">
        <f t="shared" ca="1" si="44"/>
        <v>1</v>
      </c>
      <c r="AW75" s="20" t="str">
        <f t="shared" ca="1" si="35"/>
        <v/>
      </c>
      <c r="AX75" s="20" t="str" cm="1">
        <f t="array" aca="1" ref="AX75" ca="1">IF(AW75="","",IF(AW75&lt;&gt;AW74,1,IF(AX74=misLíneas-2,0,AX74+1)))</f>
        <v/>
      </c>
      <c r="AY75" s="20" t="str" cm="1">
        <f t="array" aca="1" ref="AY75" ca="1">IF(OR(AX75=0,AX75=""),"",INDEX(misCriticidades,AW75)&amp;"-"&amp;IFERROR(MATCH(AX75,miOrdenTarjeta,0),0))</f>
        <v/>
      </c>
    </row>
    <row r="76" spans="2:51" x14ac:dyDescent="0.25">
      <c r="B76" s="19" t="str">
        <f ca="1"/>
        <v/>
      </c>
      <c r="C76" s="20">
        <f t="shared" ca="1" si="45"/>
        <v>1</v>
      </c>
      <c r="D76" s="20" t="str">
        <f t="shared" ca="1" si="26"/>
        <v/>
      </c>
      <c r="E76" s="20" t="str" cm="1">
        <f t="array" aca="1" ref="E76" ca="1">IF(D76="","",IF(D76&lt;&gt;D75,1,IF(E75=misLíneas-2,0,E75+1)))</f>
        <v/>
      </c>
      <c r="F76" s="20" t="str" cm="1">
        <f t="array" aca="1" ref="F76" ca="1">IF(OR(E76=0,E76=""),"",INDEX(misCriticidades,D76)&amp;"-"&amp;IFERROR(MATCH(E76,miOrdenTarjeta,0),0))</f>
        <v/>
      </c>
      <c r="G76" s="19" t="str">
        <f ca="1"/>
        <v/>
      </c>
      <c r="H76" s="20">
        <f t="shared" ca="1" si="36"/>
        <v>7</v>
      </c>
      <c r="I76" s="20" t="str">
        <f t="shared" ca="1" si="27"/>
        <v/>
      </c>
      <c r="J76" s="20" t="str" cm="1">
        <f t="array" aca="1" ref="J76" ca="1">IF(I76="","",IF(I76&lt;&gt;I75,1,IF(J75=misLíneas-2,0,J75+1)))</f>
        <v/>
      </c>
      <c r="K76" s="20" t="str" cm="1">
        <f t="array" aca="1" ref="K76" ca="1">IF(OR(J76=0,J76=""),"",INDEX(misCriticidades,I76)&amp;"-"&amp;IFERROR(MATCH(J76,miOrdenTarjeta,0),0))</f>
        <v/>
      </c>
      <c r="L76" s="19" t="str">
        <f ca="1"/>
        <v/>
      </c>
      <c r="M76" s="20">
        <f t="shared" ca="1" si="37"/>
        <v>1</v>
      </c>
      <c r="N76" s="20" t="str">
        <f t="shared" ca="1" si="28"/>
        <v/>
      </c>
      <c r="O76" s="20" t="str" cm="1">
        <f t="array" aca="1" ref="O76" ca="1">IF(N76="","",IF(N76&lt;&gt;N75,1,IF(O75=misLíneas-2,0,O75+1)))</f>
        <v/>
      </c>
      <c r="P76" s="20" t="str" cm="1">
        <f t="array" aca="1" ref="P76" ca="1">IF(OR(O76=0,O76=""),"",INDEX(misCriticidades,N76)&amp;"-"&amp;IFERROR(MATCH(O76,miOrdenTarjeta,0),0))</f>
        <v/>
      </c>
      <c r="Q76" s="19" t="str">
        <f ca="1"/>
        <v/>
      </c>
      <c r="R76" s="20">
        <f t="shared" ca="1" si="38"/>
        <v>8</v>
      </c>
      <c r="S76" s="20">
        <f t="shared" ca="1" si="29"/>
        <v>22</v>
      </c>
      <c r="T76" s="20" cm="1">
        <f t="array" aca="1" ref="T76" ca="1">IF(S76="","",IF(S76&lt;&gt;S75,1,IF(T75=misLíneas-2,0,T75+1)))</f>
        <v>4</v>
      </c>
      <c r="U76" s="20" t="str" cm="1">
        <f t="array" aca="1" ref="U76" ca="1">IF(OR(T76=0,T76=""),"",INDEX(misCriticidades,S76)&amp;"-"&amp;IFERROR(MATCH(T76,miOrdenTarjeta,0),0))</f>
        <v>2-4</v>
      </c>
      <c r="V76" s="19" t="str">
        <f ca="1"/>
        <v/>
      </c>
      <c r="W76" s="20">
        <f t="shared" ca="1" si="39"/>
        <v>1</v>
      </c>
      <c r="X76" s="20" t="str">
        <f t="shared" ca="1" si="30"/>
        <v/>
      </c>
      <c r="Y76" s="20" t="str" cm="1">
        <f t="array" aca="1" ref="Y76" ca="1">IF(X76="","",IF(X76&lt;&gt;X75,1,IF(Y75=misLíneas-2,0,Y75+1)))</f>
        <v/>
      </c>
      <c r="Z76" s="20" t="str" cm="1">
        <f t="array" aca="1" ref="Z76" ca="1">IF(OR(Y76=0,Y76=""),"",INDEX(misCriticidades,X76)&amp;"-"&amp;IFERROR(MATCH(Y76,miOrdenTarjeta,0),0))</f>
        <v/>
      </c>
      <c r="AA76" s="19" t="str">
        <f ca="1"/>
        <v/>
      </c>
      <c r="AB76" s="20">
        <f t="shared" ca="1" si="40"/>
        <v>1</v>
      </c>
      <c r="AC76" s="20" t="str">
        <f t="shared" ca="1" si="31"/>
        <v/>
      </c>
      <c r="AD76" s="20" t="str" cm="1">
        <f t="array" aca="1" ref="AD76" ca="1">IF(AC76="","",IF(AC76&lt;&gt;AC75,1,IF(AD75=misLíneas-2,0,AD75+1)))</f>
        <v/>
      </c>
      <c r="AE76" s="20" t="str" cm="1">
        <f t="array" aca="1" ref="AE76" ca="1">IF(OR(AD76=0,AD76=""),"",INDEX(misCriticidades,AC76)&amp;"-"&amp;IFERROR(MATCH(AD76,miOrdenTarjeta,0),0))</f>
        <v/>
      </c>
      <c r="AF76" s="19" t="str">
        <f ca="1"/>
        <v/>
      </c>
      <c r="AG76" s="20">
        <f t="shared" ca="1" si="41"/>
        <v>1</v>
      </c>
      <c r="AH76" s="20" t="str">
        <f t="shared" ca="1" si="32"/>
        <v/>
      </c>
      <c r="AI76" s="20" t="str" cm="1">
        <f t="array" aca="1" ref="AI76" ca="1">IF(AH76="","",IF(AH76&lt;&gt;AH75,1,IF(AI75=misLíneas-2,0,AI75+1)))</f>
        <v/>
      </c>
      <c r="AJ76" s="20" t="str" cm="1">
        <f t="array" aca="1" ref="AJ76" ca="1">IF(OR(AI76=0,AI76=""),"",INDEX(misCriticidades,AH76)&amp;"-"&amp;IFERROR(MATCH(AI76,miOrdenTarjeta,0),0))</f>
        <v/>
      </c>
      <c r="AK76" s="19" t="str">
        <f ca="1"/>
        <v/>
      </c>
      <c r="AL76" s="20">
        <f t="shared" ca="1" si="42"/>
        <v>1</v>
      </c>
      <c r="AM76" s="20" t="str">
        <f t="shared" ca="1" si="33"/>
        <v/>
      </c>
      <c r="AN76" s="20" t="str" cm="1">
        <f t="array" aca="1" ref="AN76" ca="1">IF(AM76="","",IF(AM76&lt;&gt;AM75,1,IF(AN75=misLíneas-2,0,AN75+1)))</f>
        <v/>
      </c>
      <c r="AO76" s="20" t="str" cm="1">
        <f t="array" aca="1" ref="AO76" ca="1">IF(OR(AN76=0,AN76=""),"",INDEX(misCriticidades,AM76)&amp;"-"&amp;IFERROR(MATCH(AN76,miOrdenTarjeta,0),0))</f>
        <v/>
      </c>
      <c r="AP76" s="19" t="str">
        <f ca="1"/>
        <v/>
      </c>
      <c r="AQ76" s="20">
        <f t="shared" ca="1" si="43"/>
        <v>1</v>
      </c>
      <c r="AR76" s="20" t="str">
        <f t="shared" ca="1" si="34"/>
        <v/>
      </c>
      <c r="AS76" s="20" t="str" cm="1">
        <f t="array" aca="1" ref="AS76" ca="1">IF(AR76="","",IF(AR76&lt;&gt;AR75,1,IF(AS75=misLíneas-2,0,AS75+1)))</f>
        <v/>
      </c>
      <c r="AT76" s="20" t="str" cm="1">
        <f t="array" aca="1" ref="AT76" ca="1">IF(OR(AS76=0,AS76=""),"",INDEX(misCriticidades,AR76)&amp;"-"&amp;IFERROR(MATCH(AS76,miOrdenTarjeta,0),0))</f>
        <v/>
      </c>
      <c r="AU76" s="19" t="str">
        <f ca="1"/>
        <v/>
      </c>
      <c r="AV76" s="20">
        <f t="shared" ca="1" si="44"/>
        <v>1</v>
      </c>
      <c r="AW76" s="20" t="str">
        <f t="shared" ca="1" si="35"/>
        <v/>
      </c>
      <c r="AX76" s="20" t="str" cm="1">
        <f t="array" aca="1" ref="AX76" ca="1">IF(AW76="","",IF(AW76&lt;&gt;AW75,1,IF(AX75=misLíneas-2,0,AX75+1)))</f>
        <v/>
      </c>
      <c r="AY76" s="20" t="str" cm="1">
        <f t="array" aca="1" ref="AY76" ca="1">IF(OR(AX76=0,AX76=""),"",INDEX(misCriticidades,AW76)&amp;"-"&amp;IFERROR(MATCH(AX76,miOrdenTarjeta,0),0))</f>
        <v/>
      </c>
    </row>
    <row r="77" spans="2:51" x14ac:dyDescent="0.25">
      <c r="B77" s="19" t="str">
        <f ca="1"/>
        <v/>
      </c>
      <c r="C77" s="20">
        <f t="shared" ca="1" si="45"/>
        <v>1</v>
      </c>
      <c r="D77" s="20" t="str">
        <f t="shared" ca="1" si="26"/>
        <v/>
      </c>
      <c r="E77" s="20" t="str" cm="1">
        <f t="array" aca="1" ref="E77" ca="1">IF(D77="","",IF(D77&lt;&gt;D76,1,IF(E76=misLíneas-2,0,E76+1)))</f>
        <v/>
      </c>
      <c r="F77" s="20" t="str" cm="1">
        <f t="array" aca="1" ref="F77" ca="1">IF(OR(E77=0,E77=""),"",INDEX(misCriticidades,D77)&amp;"-"&amp;IFERROR(MATCH(E77,miOrdenTarjeta,0),0))</f>
        <v/>
      </c>
      <c r="G77" s="19" t="str">
        <f ca="1"/>
        <v/>
      </c>
      <c r="H77" s="20">
        <f t="shared" ca="1" si="36"/>
        <v>7</v>
      </c>
      <c r="I77" s="20" t="str">
        <f t="shared" ca="1" si="27"/>
        <v/>
      </c>
      <c r="J77" s="20" t="str" cm="1">
        <f t="array" aca="1" ref="J77" ca="1">IF(I77="","",IF(I77&lt;&gt;I76,1,IF(J76=misLíneas-2,0,J76+1)))</f>
        <v/>
      </c>
      <c r="K77" s="20" t="str" cm="1">
        <f t="array" aca="1" ref="K77" ca="1">IF(OR(J77=0,J77=""),"",INDEX(misCriticidades,I77)&amp;"-"&amp;IFERROR(MATCH(J77,miOrdenTarjeta,0),0))</f>
        <v/>
      </c>
      <c r="L77" s="19" t="str">
        <f ca="1"/>
        <v/>
      </c>
      <c r="M77" s="20">
        <f t="shared" ca="1" si="37"/>
        <v>1</v>
      </c>
      <c r="N77" s="20" t="str">
        <f t="shared" ca="1" si="28"/>
        <v/>
      </c>
      <c r="O77" s="20" t="str" cm="1">
        <f t="array" aca="1" ref="O77" ca="1">IF(N77="","",IF(N77&lt;&gt;N76,1,IF(O76=misLíneas-2,0,O76+1)))</f>
        <v/>
      </c>
      <c r="P77" s="20" t="str" cm="1">
        <f t="array" aca="1" ref="P77" ca="1">IF(OR(O77=0,O77=""),"",INDEX(misCriticidades,N77)&amp;"-"&amp;IFERROR(MATCH(O77,miOrdenTarjeta,0),0))</f>
        <v/>
      </c>
      <c r="Q77" s="19" t="str">
        <f ca="1"/>
        <v/>
      </c>
      <c r="R77" s="20">
        <f t="shared" ca="1" si="38"/>
        <v>8</v>
      </c>
      <c r="S77" s="20">
        <f t="shared" ca="1" si="29"/>
        <v>22</v>
      </c>
      <c r="T77" s="20" cm="1">
        <f t="array" aca="1" ref="T77" ca="1">IF(S77="","",IF(S77&lt;&gt;S76,1,IF(T76=misLíneas-2,0,T76+1)))</f>
        <v>5</v>
      </c>
      <c r="U77" s="20" t="str" cm="1">
        <f t="array" aca="1" ref="U77" ca="1">IF(OR(T77=0,T77=""),"",INDEX(misCriticidades,S77)&amp;"-"&amp;IFERROR(MATCH(T77,miOrdenTarjeta,0),0))</f>
        <v>2-5</v>
      </c>
      <c r="V77" s="19" t="str">
        <f ca="1"/>
        <v/>
      </c>
      <c r="W77" s="20">
        <f t="shared" ca="1" si="39"/>
        <v>1</v>
      </c>
      <c r="X77" s="20" t="str">
        <f t="shared" ca="1" si="30"/>
        <v/>
      </c>
      <c r="Y77" s="20" t="str" cm="1">
        <f t="array" aca="1" ref="Y77" ca="1">IF(X77="","",IF(X77&lt;&gt;X76,1,IF(Y76=misLíneas-2,0,Y76+1)))</f>
        <v/>
      </c>
      <c r="Z77" s="20" t="str" cm="1">
        <f t="array" aca="1" ref="Z77" ca="1">IF(OR(Y77=0,Y77=""),"",INDEX(misCriticidades,X77)&amp;"-"&amp;IFERROR(MATCH(Y77,miOrdenTarjeta,0),0))</f>
        <v/>
      </c>
      <c r="AA77" s="19" t="str">
        <f ca="1"/>
        <v/>
      </c>
      <c r="AB77" s="20">
        <f t="shared" ca="1" si="40"/>
        <v>1</v>
      </c>
      <c r="AC77" s="20" t="str">
        <f t="shared" ca="1" si="31"/>
        <v/>
      </c>
      <c r="AD77" s="20" t="str" cm="1">
        <f t="array" aca="1" ref="AD77" ca="1">IF(AC77="","",IF(AC77&lt;&gt;AC76,1,IF(AD76=misLíneas-2,0,AD76+1)))</f>
        <v/>
      </c>
      <c r="AE77" s="20" t="str" cm="1">
        <f t="array" aca="1" ref="AE77" ca="1">IF(OR(AD77=0,AD77=""),"",INDEX(misCriticidades,AC77)&amp;"-"&amp;IFERROR(MATCH(AD77,miOrdenTarjeta,0),0))</f>
        <v/>
      </c>
      <c r="AF77" s="19" t="str">
        <f ca="1"/>
        <v/>
      </c>
      <c r="AG77" s="20">
        <f t="shared" ca="1" si="41"/>
        <v>1</v>
      </c>
      <c r="AH77" s="20" t="str">
        <f t="shared" ca="1" si="32"/>
        <v/>
      </c>
      <c r="AI77" s="20" t="str" cm="1">
        <f t="array" aca="1" ref="AI77" ca="1">IF(AH77="","",IF(AH77&lt;&gt;AH76,1,IF(AI76=misLíneas-2,0,AI76+1)))</f>
        <v/>
      </c>
      <c r="AJ77" s="20" t="str" cm="1">
        <f t="array" aca="1" ref="AJ77" ca="1">IF(OR(AI77=0,AI77=""),"",INDEX(misCriticidades,AH77)&amp;"-"&amp;IFERROR(MATCH(AI77,miOrdenTarjeta,0),0))</f>
        <v/>
      </c>
      <c r="AK77" s="19" t="str">
        <f ca="1"/>
        <v/>
      </c>
      <c r="AL77" s="20">
        <f t="shared" ca="1" si="42"/>
        <v>1</v>
      </c>
      <c r="AM77" s="20" t="str">
        <f t="shared" ca="1" si="33"/>
        <v/>
      </c>
      <c r="AN77" s="20" t="str" cm="1">
        <f t="array" aca="1" ref="AN77" ca="1">IF(AM77="","",IF(AM77&lt;&gt;AM76,1,IF(AN76=misLíneas-2,0,AN76+1)))</f>
        <v/>
      </c>
      <c r="AO77" s="20" t="str" cm="1">
        <f t="array" aca="1" ref="AO77" ca="1">IF(OR(AN77=0,AN77=""),"",INDEX(misCriticidades,AM77)&amp;"-"&amp;IFERROR(MATCH(AN77,miOrdenTarjeta,0),0))</f>
        <v/>
      </c>
      <c r="AP77" s="19" t="str">
        <f ca="1"/>
        <v/>
      </c>
      <c r="AQ77" s="20">
        <f t="shared" ca="1" si="43"/>
        <v>1</v>
      </c>
      <c r="AR77" s="20" t="str">
        <f t="shared" ca="1" si="34"/>
        <v/>
      </c>
      <c r="AS77" s="20" t="str" cm="1">
        <f t="array" aca="1" ref="AS77" ca="1">IF(AR77="","",IF(AR77&lt;&gt;AR76,1,IF(AS76=misLíneas-2,0,AS76+1)))</f>
        <v/>
      </c>
      <c r="AT77" s="20" t="str" cm="1">
        <f t="array" aca="1" ref="AT77" ca="1">IF(OR(AS77=0,AS77=""),"",INDEX(misCriticidades,AR77)&amp;"-"&amp;IFERROR(MATCH(AS77,miOrdenTarjeta,0),0))</f>
        <v/>
      </c>
      <c r="AU77" s="19" t="str">
        <f ca="1"/>
        <v/>
      </c>
      <c r="AV77" s="20">
        <f t="shared" ca="1" si="44"/>
        <v>1</v>
      </c>
      <c r="AW77" s="20" t="str">
        <f t="shared" ca="1" si="35"/>
        <v/>
      </c>
      <c r="AX77" s="20" t="str" cm="1">
        <f t="array" aca="1" ref="AX77" ca="1">IF(AW77="","",IF(AW77&lt;&gt;AW76,1,IF(AX76=misLíneas-2,0,AX76+1)))</f>
        <v/>
      </c>
      <c r="AY77" s="20" t="str" cm="1">
        <f t="array" aca="1" ref="AY77" ca="1">IF(OR(AX77=0,AX77=""),"",INDEX(misCriticidades,AW77)&amp;"-"&amp;IFERROR(MATCH(AX77,miOrdenTarjeta,0),0))</f>
        <v/>
      </c>
    </row>
    <row r="78" spans="2:51" x14ac:dyDescent="0.25">
      <c r="B78" s="19" t="str">
        <f ca="1"/>
        <v/>
      </c>
      <c r="C78" s="20">
        <f t="shared" ca="1" si="45"/>
        <v>1</v>
      </c>
      <c r="D78" s="20" t="str">
        <f t="shared" ca="1" si="26"/>
        <v/>
      </c>
      <c r="E78" s="20" t="str" cm="1">
        <f t="array" aca="1" ref="E78" ca="1">IF(D78="","",IF(D78&lt;&gt;D77,1,IF(E77=misLíneas-2,0,E77+1)))</f>
        <v/>
      </c>
      <c r="F78" s="20" t="str" cm="1">
        <f t="array" aca="1" ref="F78" ca="1">IF(OR(E78=0,E78=""),"",INDEX(misCriticidades,D78)&amp;"-"&amp;IFERROR(MATCH(E78,miOrdenTarjeta,0),0))</f>
        <v/>
      </c>
      <c r="G78" s="19" t="str">
        <f ca="1"/>
        <v/>
      </c>
      <c r="H78" s="20">
        <f t="shared" ca="1" si="36"/>
        <v>7</v>
      </c>
      <c r="I78" s="20" t="str">
        <f t="shared" ca="1" si="27"/>
        <v/>
      </c>
      <c r="J78" s="20" t="str" cm="1">
        <f t="array" aca="1" ref="J78" ca="1">IF(I78="","",IF(I78&lt;&gt;I77,1,IF(J77=misLíneas-2,0,J77+1)))</f>
        <v/>
      </c>
      <c r="K78" s="20" t="str" cm="1">
        <f t="array" aca="1" ref="K78" ca="1">IF(OR(J78=0,J78=""),"",INDEX(misCriticidades,I78)&amp;"-"&amp;IFERROR(MATCH(J78,miOrdenTarjeta,0),0))</f>
        <v/>
      </c>
      <c r="L78" s="19" t="str">
        <f ca="1"/>
        <v/>
      </c>
      <c r="M78" s="20">
        <f t="shared" ca="1" si="37"/>
        <v>1</v>
      </c>
      <c r="N78" s="20" t="str">
        <f t="shared" ca="1" si="28"/>
        <v/>
      </c>
      <c r="O78" s="20" t="str" cm="1">
        <f t="array" aca="1" ref="O78" ca="1">IF(N78="","",IF(N78&lt;&gt;N77,1,IF(O77=misLíneas-2,0,O77+1)))</f>
        <v/>
      </c>
      <c r="P78" s="20" t="str" cm="1">
        <f t="array" aca="1" ref="P78" ca="1">IF(OR(O78=0,O78=""),"",INDEX(misCriticidades,N78)&amp;"-"&amp;IFERROR(MATCH(O78,miOrdenTarjeta,0),0))</f>
        <v/>
      </c>
      <c r="Q78" s="19" t="str">
        <f ca="1"/>
        <v/>
      </c>
      <c r="R78" s="20">
        <f t="shared" ca="1" si="38"/>
        <v>8</v>
      </c>
      <c r="S78" s="20">
        <f t="shared" ca="1" si="29"/>
        <v>22</v>
      </c>
      <c r="T78" s="20" cm="1">
        <f t="array" aca="1" ref="T78" ca="1">IF(S78="","",IF(S78&lt;&gt;S77,1,IF(T77=misLíneas-2,0,T77+1)))</f>
        <v>6</v>
      </c>
      <c r="U78" s="20" t="str" cm="1">
        <f t="array" aca="1" ref="U78" ca="1">IF(OR(T78=0,T78=""),"",INDEX(misCriticidades,S78)&amp;"-"&amp;IFERROR(MATCH(T78,miOrdenTarjeta,0),0))</f>
        <v>2-6</v>
      </c>
      <c r="V78" s="19" t="str">
        <f ca="1"/>
        <v/>
      </c>
      <c r="W78" s="20">
        <f t="shared" ca="1" si="39"/>
        <v>1</v>
      </c>
      <c r="X78" s="20" t="str">
        <f t="shared" ca="1" si="30"/>
        <v/>
      </c>
      <c r="Y78" s="20" t="str" cm="1">
        <f t="array" aca="1" ref="Y78" ca="1">IF(X78="","",IF(X78&lt;&gt;X77,1,IF(Y77=misLíneas-2,0,Y77+1)))</f>
        <v/>
      </c>
      <c r="Z78" s="20" t="str" cm="1">
        <f t="array" aca="1" ref="Z78" ca="1">IF(OR(Y78=0,Y78=""),"",INDEX(misCriticidades,X78)&amp;"-"&amp;IFERROR(MATCH(Y78,miOrdenTarjeta,0),0))</f>
        <v/>
      </c>
      <c r="AA78" s="19" t="str">
        <f ca="1"/>
        <v/>
      </c>
      <c r="AB78" s="20">
        <f t="shared" ca="1" si="40"/>
        <v>1</v>
      </c>
      <c r="AC78" s="20" t="str">
        <f t="shared" ca="1" si="31"/>
        <v/>
      </c>
      <c r="AD78" s="20" t="str" cm="1">
        <f t="array" aca="1" ref="AD78" ca="1">IF(AC78="","",IF(AC78&lt;&gt;AC77,1,IF(AD77=misLíneas-2,0,AD77+1)))</f>
        <v/>
      </c>
      <c r="AE78" s="20" t="str" cm="1">
        <f t="array" aca="1" ref="AE78" ca="1">IF(OR(AD78=0,AD78=""),"",INDEX(misCriticidades,AC78)&amp;"-"&amp;IFERROR(MATCH(AD78,miOrdenTarjeta,0),0))</f>
        <v/>
      </c>
      <c r="AF78" s="19" t="str">
        <f ca="1"/>
        <v/>
      </c>
      <c r="AG78" s="20">
        <f t="shared" ca="1" si="41"/>
        <v>1</v>
      </c>
      <c r="AH78" s="20" t="str">
        <f t="shared" ca="1" si="32"/>
        <v/>
      </c>
      <c r="AI78" s="20" t="str" cm="1">
        <f t="array" aca="1" ref="AI78" ca="1">IF(AH78="","",IF(AH78&lt;&gt;AH77,1,IF(AI77=misLíneas-2,0,AI77+1)))</f>
        <v/>
      </c>
      <c r="AJ78" s="20" t="str" cm="1">
        <f t="array" aca="1" ref="AJ78" ca="1">IF(OR(AI78=0,AI78=""),"",INDEX(misCriticidades,AH78)&amp;"-"&amp;IFERROR(MATCH(AI78,miOrdenTarjeta,0),0))</f>
        <v/>
      </c>
      <c r="AK78" s="19" t="str">
        <f ca="1"/>
        <v/>
      </c>
      <c r="AL78" s="20">
        <f t="shared" ca="1" si="42"/>
        <v>1</v>
      </c>
      <c r="AM78" s="20" t="str">
        <f t="shared" ca="1" si="33"/>
        <v/>
      </c>
      <c r="AN78" s="20" t="str" cm="1">
        <f t="array" aca="1" ref="AN78" ca="1">IF(AM78="","",IF(AM78&lt;&gt;AM77,1,IF(AN77=misLíneas-2,0,AN77+1)))</f>
        <v/>
      </c>
      <c r="AO78" s="20" t="str" cm="1">
        <f t="array" aca="1" ref="AO78" ca="1">IF(OR(AN78=0,AN78=""),"",INDEX(misCriticidades,AM78)&amp;"-"&amp;IFERROR(MATCH(AN78,miOrdenTarjeta,0),0))</f>
        <v/>
      </c>
      <c r="AP78" s="19" t="str">
        <f ca="1"/>
        <v/>
      </c>
      <c r="AQ78" s="20">
        <f t="shared" ca="1" si="43"/>
        <v>1</v>
      </c>
      <c r="AR78" s="20" t="str">
        <f t="shared" ca="1" si="34"/>
        <v/>
      </c>
      <c r="AS78" s="20" t="str" cm="1">
        <f t="array" aca="1" ref="AS78" ca="1">IF(AR78="","",IF(AR78&lt;&gt;AR77,1,IF(AS77=misLíneas-2,0,AS77+1)))</f>
        <v/>
      </c>
      <c r="AT78" s="20" t="str" cm="1">
        <f t="array" aca="1" ref="AT78" ca="1">IF(OR(AS78=0,AS78=""),"",INDEX(misCriticidades,AR78)&amp;"-"&amp;IFERROR(MATCH(AS78,miOrdenTarjeta,0),0))</f>
        <v/>
      </c>
      <c r="AU78" s="19" t="str">
        <f ca="1"/>
        <v/>
      </c>
      <c r="AV78" s="20">
        <f t="shared" ca="1" si="44"/>
        <v>1</v>
      </c>
      <c r="AW78" s="20" t="str">
        <f t="shared" ca="1" si="35"/>
        <v/>
      </c>
      <c r="AX78" s="20" t="str" cm="1">
        <f t="array" aca="1" ref="AX78" ca="1">IF(AW78="","",IF(AW78&lt;&gt;AW77,1,IF(AX77=misLíneas-2,0,AX77+1)))</f>
        <v/>
      </c>
      <c r="AY78" s="20" t="str" cm="1">
        <f t="array" aca="1" ref="AY78" ca="1">IF(OR(AX78=0,AX78=""),"",INDEX(misCriticidades,AW78)&amp;"-"&amp;IFERROR(MATCH(AX78,miOrdenTarjeta,0),0))</f>
        <v/>
      </c>
    </row>
    <row r="79" spans="2:51" x14ac:dyDescent="0.25">
      <c r="B79" s="19" t="str">
        <f ca="1"/>
        <v/>
      </c>
      <c r="C79" s="20">
        <f t="shared" ca="1" si="45"/>
        <v>1</v>
      </c>
      <c r="D79" s="20" t="str">
        <f t="shared" ca="1" si="26"/>
        <v/>
      </c>
      <c r="E79" s="20" t="str" cm="1">
        <f t="array" aca="1" ref="E79" ca="1">IF(D79="","",IF(D79&lt;&gt;D78,1,IF(E78=misLíneas-2,0,E78+1)))</f>
        <v/>
      </c>
      <c r="F79" s="20" t="str" cm="1">
        <f t="array" aca="1" ref="F79" ca="1">IF(OR(E79=0,E79=""),"",INDEX(misCriticidades,D79)&amp;"-"&amp;IFERROR(MATCH(E79,miOrdenTarjeta,0),0))</f>
        <v/>
      </c>
      <c r="G79" s="19" t="str">
        <f ca="1"/>
        <v/>
      </c>
      <c r="H79" s="20">
        <f t="shared" ca="1" si="36"/>
        <v>7</v>
      </c>
      <c r="I79" s="20" t="str">
        <f t="shared" ca="1" si="27"/>
        <v/>
      </c>
      <c r="J79" s="20" t="str" cm="1">
        <f t="array" aca="1" ref="J79" ca="1">IF(I79="","",IF(I79&lt;&gt;I78,1,IF(J78=misLíneas-2,0,J78+1)))</f>
        <v/>
      </c>
      <c r="K79" s="20" t="str" cm="1">
        <f t="array" aca="1" ref="K79" ca="1">IF(OR(J79=0,J79=""),"",INDEX(misCriticidades,I79)&amp;"-"&amp;IFERROR(MATCH(J79,miOrdenTarjeta,0),0))</f>
        <v/>
      </c>
      <c r="L79" s="19" t="str">
        <f ca="1"/>
        <v/>
      </c>
      <c r="M79" s="20">
        <f t="shared" ca="1" si="37"/>
        <v>1</v>
      </c>
      <c r="N79" s="20" t="str">
        <f t="shared" ca="1" si="28"/>
        <v/>
      </c>
      <c r="O79" s="20" t="str" cm="1">
        <f t="array" aca="1" ref="O79" ca="1">IF(N79="","",IF(N79&lt;&gt;N78,1,IF(O78=misLíneas-2,0,O78+1)))</f>
        <v/>
      </c>
      <c r="P79" s="20" t="str" cm="1">
        <f t="array" aca="1" ref="P79" ca="1">IF(OR(O79=0,O79=""),"",INDEX(misCriticidades,N79)&amp;"-"&amp;IFERROR(MATCH(O79,miOrdenTarjeta,0),0))</f>
        <v/>
      </c>
      <c r="Q79" s="19" t="str">
        <f ca="1"/>
        <v/>
      </c>
      <c r="R79" s="20">
        <f t="shared" ca="1" si="38"/>
        <v>8</v>
      </c>
      <c r="S79" s="20">
        <f t="shared" ca="1" si="29"/>
        <v>22</v>
      </c>
      <c r="T79" s="20" cm="1">
        <f t="array" aca="1" ref="T79" ca="1">IF(S79="","",IF(S79&lt;&gt;S78,1,IF(T78=misLíneas-2,0,T78+1)))</f>
        <v>7</v>
      </c>
      <c r="U79" s="20" t="str" cm="1">
        <f t="array" aca="1" ref="U79" ca="1">IF(OR(T79=0,T79=""),"",INDEX(misCriticidades,S79)&amp;"-"&amp;IFERROR(MATCH(T79,miOrdenTarjeta,0),0))</f>
        <v>2-7</v>
      </c>
      <c r="V79" s="19" t="str">
        <f ca="1"/>
        <v/>
      </c>
      <c r="W79" s="20">
        <f t="shared" ca="1" si="39"/>
        <v>1</v>
      </c>
      <c r="X79" s="20" t="str">
        <f t="shared" ca="1" si="30"/>
        <v/>
      </c>
      <c r="Y79" s="20" t="str" cm="1">
        <f t="array" aca="1" ref="Y79" ca="1">IF(X79="","",IF(X79&lt;&gt;X78,1,IF(Y78=misLíneas-2,0,Y78+1)))</f>
        <v/>
      </c>
      <c r="Z79" s="20" t="str" cm="1">
        <f t="array" aca="1" ref="Z79" ca="1">IF(OR(Y79=0,Y79=""),"",INDEX(misCriticidades,X79)&amp;"-"&amp;IFERROR(MATCH(Y79,miOrdenTarjeta,0),0))</f>
        <v/>
      </c>
      <c r="AA79" s="19" t="str">
        <f ca="1"/>
        <v/>
      </c>
      <c r="AB79" s="20">
        <f t="shared" ca="1" si="40"/>
        <v>1</v>
      </c>
      <c r="AC79" s="20" t="str">
        <f t="shared" ca="1" si="31"/>
        <v/>
      </c>
      <c r="AD79" s="20" t="str" cm="1">
        <f t="array" aca="1" ref="AD79" ca="1">IF(AC79="","",IF(AC79&lt;&gt;AC78,1,IF(AD78=misLíneas-2,0,AD78+1)))</f>
        <v/>
      </c>
      <c r="AE79" s="20" t="str" cm="1">
        <f t="array" aca="1" ref="AE79" ca="1">IF(OR(AD79=0,AD79=""),"",INDEX(misCriticidades,AC79)&amp;"-"&amp;IFERROR(MATCH(AD79,miOrdenTarjeta,0),0))</f>
        <v/>
      </c>
      <c r="AF79" s="19" t="str">
        <f ca="1"/>
        <v/>
      </c>
      <c r="AG79" s="20">
        <f t="shared" ca="1" si="41"/>
        <v>1</v>
      </c>
      <c r="AH79" s="20" t="str">
        <f t="shared" ca="1" si="32"/>
        <v/>
      </c>
      <c r="AI79" s="20" t="str" cm="1">
        <f t="array" aca="1" ref="AI79" ca="1">IF(AH79="","",IF(AH79&lt;&gt;AH78,1,IF(AI78=misLíneas-2,0,AI78+1)))</f>
        <v/>
      </c>
      <c r="AJ79" s="20" t="str" cm="1">
        <f t="array" aca="1" ref="AJ79" ca="1">IF(OR(AI79=0,AI79=""),"",INDEX(misCriticidades,AH79)&amp;"-"&amp;IFERROR(MATCH(AI79,miOrdenTarjeta,0),0))</f>
        <v/>
      </c>
      <c r="AK79" s="19" t="str">
        <f ca="1"/>
        <v/>
      </c>
      <c r="AL79" s="20">
        <f t="shared" ca="1" si="42"/>
        <v>1</v>
      </c>
      <c r="AM79" s="20" t="str">
        <f t="shared" ca="1" si="33"/>
        <v/>
      </c>
      <c r="AN79" s="20" t="str" cm="1">
        <f t="array" aca="1" ref="AN79" ca="1">IF(AM79="","",IF(AM79&lt;&gt;AM78,1,IF(AN78=misLíneas-2,0,AN78+1)))</f>
        <v/>
      </c>
      <c r="AO79" s="20" t="str" cm="1">
        <f t="array" aca="1" ref="AO79" ca="1">IF(OR(AN79=0,AN79=""),"",INDEX(misCriticidades,AM79)&amp;"-"&amp;IFERROR(MATCH(AN79,miOrdenTarjeta,0),0))</f>
        <v/>
      </c>
      <c r="AP79" s="19" t="str">
        <f ca="1"/>
        <v/>
      </c>
      <c r="AQ79" s="20">
        <f t="shared" ca="1" si="43"/>
        <v>1</v>
      </c>
      <c r="AR79" s="20" t="str">
        <f t="shared" ca="1" si="34"/>
        <v/>
      </c>
      <c r="AS79" s="20" t="str" cm="1">
        <f t="array" aca="1" ref="AS79" ca="1">IF(AR79="","",IF(AR79&lt;&gt;AR78,1,IF(AS78=misLíneas-2,0,AS78+1)))</f>
        <v/>
      </c>
      <c r="AT79" s="20" t="str" cm="1">
        <f t="array" aca="1" ref="AT79" ca="1">IF(OR(AS79=0,AS79=""),"",INDEX(misCriticidades,AR79)&amp;"-"&amp;IFERROR(MATCH(AS79,miOrdenTarjeta,0),0))</f>
        <v/>
      </c>
      <c r="AU79" s="19" t="str">
        <f ca="1"/>
        <v/>
      </c>
      <c r="AV79" s="20">
        <f t="shared" ca="1" si="44"/>
        <v>1</v>
      </c>
      <c r="AW79" s="20" t="str">
        <f t="shared" ca="1" si="35"/>
        <v/>
      </c>
      <c r="AX79" s="20" t="str" cm="1">
        <f t="array" aca="1" ref="AX79" ca="1">IF(AW79="","",IF(AW79&lt;&gt;AW78,1,IF(AX78=misLíneas-2,0,AX78+1)))</f>
        <v/>
      </c>
      <c r="AY79" s="20" t="str" cm="1">
        <f t="array" aca="1" ref="AY79" ca="1">IF(OR(AX79=0,AX79=""),"",INDEX(misCriticidades,AW79)&amp;"-"&amp;IFERROR(MATCH(AX79,miOrdenTarjeta,0),0))</f>
        <v/>
      </c>
    </row>
    <row r="80" spans="2:51" x14ac:dyDescent="0.25">
      <c r="B80" s="19" t="str">
        <f ca="1"/>
        <v/>
      </c>
      <c r="C80" s="20">
        <f t="shared" ca="1" si="45"/>
        <v>1</v>
      </c>
      <c r="D80" s="20" t="str">
        <f t="shared" ca="1" si="26"/>
        <v/>
      </c>
      <c r="E80" s="20" t="str" cm="1">
        <f t="array" aca="1" ref="E80" ca="1">IF(D80="","",IF(D80&lt;&gt;D79,1,IF(E79=misLíneas-2,0,E79+1)))</f>
        <v/>
      </c>
      <c r="F80" s="20" t="str" cm="1">
        <f t="array" aca="1" ref="F80" ca="1">IF(OR(E80=0,E80=""),"",INDEX(misCriticidades,D80)&amp;"-"&amp;IFERROR(MATCH(E80,miOrdenTarjeta,0),0))</f>
        <v/>
      </c>
      <c r="G80" s="19" t="str">
        <f ca="1"/>
        <v/>
      </c>
      <c r="H80" s="20">
        <f t="shared" ca="1" si="36"/>
        <v>7</v>
      </c>
      <c r="I80" s="20" t="str">
        <f t="shared" ca="1" si="27"/>
        <v/>
      </c>
      <c r="J80" s="20" t="str" cm="1">
        <f t="array" aca="1" ref="J80" ca="1">IF(I80="","",IF(I80&lt;&gt;I79,1,IF(J79=misLíneas-2,0,J79+1)))</f>
        <v/>
      </c>
      <c r="K80" s="20" t="str" cm="1">
        <f t="array" aca="1" ref="K80" ca="1">IF(OR(J80=0,J80=""),"",INDEX(misCriticidades,I80)&amp;"-"&amp;IFERROR(MATCH(J80,miOrdenTarjeta,0),0))</f>
        <v/>
      </c>
      <c r="L80" s="19" t="str">
        <f ca="1"/>
        <v/>
      </c>
      <c r="M80" s="20">
        <f t="shared" ca="1" si="37"/>
        <v>1</v>
      </c>
      <c r="N80" s="20" t="str">
        <f t="shared" ca="1" si="28"/>
        <v/>
      </c>
      <c r="O80" s="20" t="str" cm="1">
        <f t="array" aca="1" ref="O80" ca="1">IF(N80="","",IF(N80&lt;&gt;N79,1,IF(O79=misLíneas-2,0,O79+1)))</f>
        <v/>
      </c>
      <c r="P80" s="20" t="str" cm="1">
        <f t="array" aca="1" ref="P80" ca="1">IF(OR(O80=0,O80=""),"",INDEX(misCriticidades,N80)&amp;"-"&amp;IFERROR(MATCH(O80,miOrdenTarjeta,0),0))</f>
        <v/>
      </c>
      <c r="Q80" s="19" t="str">
        <f ca="1"/>
        <v/>
      </c>
      <c r="R80" s="20">
        <f t="shared" ca="1" si="38"/>
        <v>8</v>
      </c>
      <c r="S80" s="20">
        <f t="shared" ca="1" si="29"/>
        <v>22</v>
      </c>
      <c r="T80" s="20" cm="1">
        <f t="array" aca="1" ref="T80" ca="1">IF(S80="","",IF(S80&lt;&gt;S79,1,IF(T79=misLíneas-2,0,T79+1)))</f>
        <v>8</v>
      </c>
      <c r="U80" s="20" t="str" cm="1">
        <f t="array" aca="1" ref="U80" ca="1">IF(OR(T80=0,T80=""),"",INDEX(misCriticidades,S80)&amp;"-"&amp;IFERROR(MATCH(T80,miOrdenTarjeta,0),0))</f>
        <v>2-8</v>
      </c>
      <c r="V80" s="19" t="str">
        <f ca="1"/>
        <v/>
      </c>
      <c r="W80" s="20">
        <f t="shared" ca="1" si="39"/>
        <v>1</v>
      </c>
      <c r="X80" s="20" t="str">
        <f t="shared" ca="1" si="30"/>
        <v/>
      </c>
      <c r="Y80" s="20" t="str" cm="1">
        <f t="array" aca="1" ref="Y80" ca="1">IF(X80="","",IF(X80&lt;&gt;X79,1,IF(Y79=misLíneas-2,0,Y79+1)))</f>
        <v/>
      </c>
      <c r="Z80" s="20" t="str" cm="1">
        <f t="array" aca="1" ref="Z80" ca="1">IF(OR(Y80=0,Y80=""),"",INDEX(misCriticidades,X80)&amp;"-"&amp;IFERROR(MATCH(Y80,miOrdenTarjeta,0),0))</f>
        <v/>
      </c>
      <c r="AA80" s="19" t="str">
        <f ca="1"/>
        <v/>
      </c>
      <c r="AB80" s="20">
        <f t="shared" ca="1" si="40"/>
        <v>1</v>
      </c>
      <c r="AC80" s="20" t="str">
        <f t="shared" ca="1" si="31"/>
        <v/>
      </c>
      <c r="AD80" s="20" t="str" cm="1">
        <f t="array" aca="1" ref="AD80" ca="1">IF(AC80="","",IF(AC80&lt;&gt;AC79,1,IF(AD79=misLíneas-2,0,AD79+1)))</f>
        <v/>
      </c>
      <c r="AE80" s="20" t="str" cm="1">
        <f t="array" aca="1" ref="AE80" ca="1">IF(OR(AD80=0,AD80=""),"",INDEX(misCriticidades,AC80)&amp;"-"&amp;IFERROR(MATCH(AD80,miOrdenTarjeta,0),0))</f>
        <v/>
      </c>
      <c r="AF80" s="19" t="str">
        <f ca="1"/>
        <v/>
      </c>
      <c r="AG80" s="20">
        <f t="shared" ca="1" si="41"/>
        <v>1</v>
      </c>
      <c r="AH80" s="20" t="str">
        <f t="shared" ca="1" si="32"/>
        <v/>
      </c>
      <c r="AI80" s="20" t="str" cm="1">
        <f t="array" aca="1" ref="AI80" ca="1">IF(AH80="","",IF(AH80&lt;&gt;AH79,1,IF(AI79=misLíneas-2,0,AI79+1)))</f>
        <v/>
      </c>
      <c r="AJ80" s="20" t="str" cm="1">
        <f t="array" aca="1" ref="AJ80" ca="1">IF(OR(AI80=0,AI80=""),"",INDEX(misCriticidades,AH80)&amp;"-"&amp;IFERROR(MATCH(AI80,miOrdenTarjeta,0),0))</f>
        <v/>
      </c>
      <c r="AK80" s="19" t="str">
        <f ca="1"/>
        <v/>
      </c>
      <c r="AL80" s="20">
        <f t="shared" ca="1" si="42"/>
        <v>1</v>
      </c>
      <c r="AM80" s="20" t="str">
        <f t="shared" ca="1" si="33"/>
        <v/>
      </c>
      <c r="AN80" s="20" t="str" cm="1">
        <f t="array" aca="1" ref="AN80" ca="1">IF(AM80="","",IF(AM80&lt;&gt;AM79,1,IF(AN79=misLíneas-2,0,AN79+1)))</f>
        <v/>
      </c>
      <c r="AO80" s="20" t="str" cm="1">
        <f t="array" aca="1" ref="AO80" ca="1">IF(OR(AN80=0,AN80=""),"",INDEX(misCriticidades,AM80)&amp;"-"&amp;IFERROR(MATCH(AN80,miOrdenTarjeta,0),0))</f>
        <v/>
      </c>
      <c r="AP80" s="19" t="str">
        <f ca="1"/>
        <v/>
      </c>
      <c r="AQ80" s="20">
        <f t="shared" ca="1" si="43"/>
        <v>1</v>
      </c>
      <c r="AR80" s="20" t="str">
        <f t="shared" ca="1" si="34"/>
        <v/>
      </c>
      <c r="AS80" s="20" t="str" cm="1">
        <f t="array" aca="1" ref="AS80" ca="1">IF(AR80="","",IF(AR80&lt;&gt;AR79,1,IF(AS79=misLíneas-2,0,AS79+1)))</f>
        <v/>
      </c>
      <c r="AT80" s="20" t="str" cm="1">
        <f t="array" aca="1" ref="AT80" ca="1">IF(OR(AS80=0,AS80=""),"",INDEX(misCriticidades,AR80)&amp;"-"&amp;IFERROR(MATCH(AS80,miOrdenTarjeta,0),0))</f>
        <v/>
      </c>
      <c r="AU80" s="19" t="str">
        <f ca="1"/>
        <v/>
      </c>
      <c r="AV80" s="20">
        <f t="shared" ca="1" si="44"/>
        <v>1</v>
      </c>
      <c r="AW80" s="20" t="str">
        <f t="shared" ca="1" si="35"/>
        <v/>
      </c>
      <c r="AX80" s="20" t="str" cm="1">
        <f t="array" aca="1" ref="AX80" ca="1">IF(AW80="","",IF(AW80&lt;&gt;AW79,1,IF(AX79=misLíneas-2,0,AX79+1)))</f>
        <v/>
      </c>
      <c r="AY80" s="20" t="str" cm="1">
        <f t="array" aca="1" ref="AY80" ca="1">IF(OR(AX80=0,AX80=""),"",INDEX(misCriticidades,AW80)&amp;"-"&amp;IFERROR(MATCH(AX80,miOrdenTarjeta,0),0))</f>
        <v/>
      </c>
    </row>
    <row r="81" spans="2:51" x14ac:dyDescent="0.25">
      <c r="B81" s="19" t="str">
        <f ca="1"/>
        <v/>
      </c>
      <c r="C81" s="20">
        <f t="shared" ca="1" si="45"/>
        <v>1</v>
      </c>
      <c r="D81" s="20" t="str">
        <f t="shared" ca="1" si="26"/>
        <v/>
      </c>
      <c r="E81" s="20" t="str" cm="1">
        <f t="array" aca="1" ref="E81" ca="1">IF(D81="","",IF(D81&lt;&gt;D80,1,IF(E80=misLíneas-2,0,E80+1)))</f>
        <v/>
      </c>
      <c r="F81" s="20" t="str" cm="1">
        <f t="array" aca="1" ref="F81" ca="1">IF(OR(E81=0,E81=""),"",INDEX(misCriticidades,D81)&amp;"-"&amp;IFERROR(MATCH(E81,miOrdenTarjeta,0),0))</f>
        <v/>
      </c>
      <c r="G81" s="19" t="str">
        <f ca="1"/>
        <v/>
      </c>
      <c r="H81" s="20">
        <f t="shared" ca="1" si="36"/>
        <v>7</v>
      </c>
      <c r="I81" s="20" t="str">
        <f t="shared" ca="1" si="27"/>
        <v/>
      </c>
      <c r="J81" s="20" t="str" cm="1">
        <f t="array" aca="1" ref="J81" ca="1">IF(I81="","",IF(I81&lt;&gt;I80,1,IF(J80=misLíneas-2,0,J80+1)))</f>
        <v/>
      </c>
      <c r="K81" s="20" t="str" cm="1">
        <f t="array" aca="1" ref="K81" ca="1">IF(OR(J81=0,J81=""),"",INDEX(misCriticidades,I81)&amp;"-"&amp;IFERROR(MATCH(J81,miOrdenTarjeta,0),0))</f>
        <v/>
      </c>
      <c r="L81" s="19" t="str">
        <f ca="1"/>
        <v/>
      </c>
      <c r="M81" s="20">
        <f t="shared" ca="1" si="37"/>
        <v>1</v>
      </c>
      <c r="N81" s="20" t="str">
        <f t="shared" ca="1" si="28"/>
        <v/>
      </c>
      <c r="O81" s="20" t="str" cm="1">
        <f t="array" aca="1" ref="O81" ca="1">IF(N81="","",IF(N81&lt;&gt;N80,1,IF(O80=misLíneas-2,0,O80+1)))</f>
        <v/>
      </c>
      <c r="P81" s="20" t="str" cm="1">
        <f t="array" aca="1" ref="P81" ca="1">IF(OR(O81=0,O81=""),"",INDEX(misCriticidades,N81)&amp;"-"&amp;IFERROR(MATCH(O81,miOrdenTarjeta,0),0))</f>
        <v/>
      </c>
      <c r="Q81" s="19" t="str">
        <f ca="1"/>
        <v/>
      </c>
      <c r="R81" s="20">
        <f t="shared" ca="1" si="38"/>
        <v>8</v>
      </c>
      <c r="S81" s="20">
        <f t="shared" ca="1" si="29"/>
        <v>22</v>
      </c>
      <c r="T81" s="20" cm="1">
        <f t="array" aca="1" ref="T81" ca="1">IF(S81="","",IF(S81&lt;&gt;S80,1,IF(T80=misLíneas-2,0,T80+1)))</f>
        <v>9</v>
      </c>
      <c r="U81" s="20" t="str" cm="1">
        <f t="array" aca="1" ref="U81" ca="1">IF(OR(T81=0,T81=""),"",INDEX(misCriticidades,S81)&amp;"-"&amp;IFERROR(MATCH(T81,miOrdenTarjeta,0),0))</f>
        <v>2-0</v>
      </c>
      <c r="V81" s="19" t="str">
        <f ca="1"/>
        <v/>
      </c>
      <c r="W81" s="20">
        <f t="shared" ca="1" si="39"/>
        <v>1</v>
      </c>
      <c r="X81" s="20" t="str">
        <f t="shared" ca="1" si="30"/>
        <v/>
      </c>
      <c r="Y81" s="20" t="str" cm="1">
        <f t="array" aca="1" ref="Y81" ca="1">IF(X81="","",IF(X81&lt;&gt;X80,1,IF(Y80=misLíneas-2,0,Y80+1)))</f>
        <v/>
      </c>
      <c r="Z81" s="20" t="str" cm="1">
        <f t="array" aca="1" ref="Z81" ca="1">IF(OR(Y81=0,Y81=""),"",INDEX(misCriticidades,X81)&amp;"-"&amp;IFERROR(MATCH(Y81,miOrdenTarjeta,0),0))</f>
        <v/>
      </c>
      <c r="AA81" s="19" t="str">
        <f ca="1"/>
        <v/>
      </c>
      <c r="AB81" s="20">
        <f t="shared" ca="1" si="40"/>
        <v>1</v>
      </c>
      <c r="AC81" s="20" t="str">
        <f t="shared" ca="1" si="31"/>
        <v/>
      </c>
      <c r="AD81" s="20" t="str" cm="1">
        <f t="array" aca="1" ref="AD81" ca="1">IF(AC81="","",IF(AC81&lt;&gt;AC80,1,IF(AD80=misLíneas-2,0,AD80+1)))</f>
        <v/>
      </c>
      <c r="AE81" s="20" t="str" cm="1">
        <f t="array" aca="1" ref="AE81" ca="1">IF(OR(AD81=0,AD81=""),"",INDEX(misCriticidades,AC81)&amp;"-"&amp;IFERROR(MATCH(AD81,miOrdenTarjeta,0),0))</f>
        <v/>
      </c>
      <c r="AF81" s="19" t="str">
        <f ca="1"/>
        <v/>
      </c>
      <c r="AG81" s="20">
        <f t="shared" ca="1" si="41"/>
        <v>1</v>
      </c>
      <c r="AH81" s="20" t="str">
        <f t="shared" ca="1" si="32"/>
        <v/>
      </c>
      <c r="AI81" s="20" t="str" cm="1">
        <f t="array" aca="1" ref="AI81" ca="1">IF(AH81="","",IF(AH81&lt;&gt;AH80,1,IF(AI80=misLíneas-2,0,AI80+1)))</f>
        <v/>
      </c>
      <c r="AJ81" s="20" t="str" cm="1">
        <f t="array" aca="1" ref="AJ81" ca="1">IF(OR(AI81=0,AI81=""),"",INDEX(misCriticidades,AH81)&amp;"-"&amp;IFERROR(MATCH(AI81,miOrdenTarjeta,0),0))</f>
        <v/>
      </c>
      <c r="AK81" s="19" t="str">
        <f ca="1"/>
        <v/>
      </c>
      <c r="AL81" s="20">
        <f t="shared" ca="1" si="42"/>
        <v>1</v>
      </c>
      <c r="AM81" s="20" t="str">
        <f t="shared" ca="1" si="33"/>
        <v/>
      </c>
      <c r="AN81" s="20" t="str" cm="1">
        <f t="array" aca="1" ref="AN81" ca="1">IF(AM81="","",IF(AM81&lt;&gt;AM80,1,IF(AN80=misLíneas-2,0,AN80+1)))</f>
        <v/>
      </c>
      <c r="AO81" s="20" t="str" cm="1">
        <f t="array" aca="1" ref="AO81" ca="1">IF(OR(AN81=0,AN81=""),"",INDEX(misCriticidades,AM81)&amp;"-"&amp;IFERROR(MATCH(AN81,miOrdenTarjeta,0),0))</f>
        <v/>
      </c>
      <c r="AP81" s="19" t="str">
        <f ca="1"/>
        <v/>
      </c>
      <c r="AQ81" s="20">
        <f t="shared" ca="1" si="43"/>
        <v>1</v>
      </c>
      <c r="AR81" s="20" t="str">
        <f t="shared" ca="1" si="34"/>
        <v/>
      </c>
      <c r="AS81" s="20" t="str" cm="1">
        <f t="array" aca="1" ref="AS81" ca="1">IF(AR81="","",IF(AR81&lt;&gt;AR80,1,IF(AS80=misLíneas-2,0,AS80+1)))</f>
        <v/>
      </c>
      <c r="AT81" s="20" t="str" cm="1">
        <f t="array" aca="1" ref="AT81" ca="1">IF(OR(AS81=0,AS81=""),"",INDEX(misCriticidades,AR81)&amp;"-"&amp;IFERROR(MATCH(AS81,miOrdenTarjeta,0),0))</f>
        <v/>
      </c>
      <c r="AU81" s="19" t="str">
        <f ca="1"/>
        <v/>
      </c>
      <c r="AV81" s="20">
        <f t="shared" ca="1" si="44"/>
        <v>1</v>
      </c>
      <c r="AW81" s="20" t="str">
        <f t="shared" ca="1" si="35"/>
        <v/>
      </c>
      <c r="AX81" s="20" t="str" cm="1">
        <f t="array" aca="1" ref="AX81" ca="1">IF(AW81="","",IF(AW81&lt;&gt;AW80,1,IF(AX80=misLíneas-2,0,AX80+1)))</f>
        <v/>
      </c>
      <c r="AY81" s="20" t="str" cm="1">
        <f t="array" aca="1" ref="AY81" ca="1">IF(OR(AX81=0,AX81=""),"",INDEX(misCriticidades,AW81)&amp;"-"&amp;IFERROR(MATCH(AX81,miOrdenTarjeta,0),0))</f>
        <v/>
      </c>
    </row>
    <row r="82" spans="2:51" x14ac:dyDescent="0.25">
      <c r="B82" s="19" t="str">
        <f ca="1"/>
        <v/>
      </c>
      <c r="C82" s="20">
        <f t="shared" ca="1" si="45"/>
        <v>1</v>
      </c>
      <c r="D82" s="20" t="str">
        <f t="shared" ca="1" si="26"/>
        <v/>
      </c>
      <c r="E82" s="20" t="str" cm="1">
        <f t="array" aca="1" ref="E82" ca="1">IF(D82="","",IF(D82&lt;&gt;D81,1,IF(E81=misLíneas-2,0,E81+1)))</f>
        <v/>
      </c>
      <c r="F82" s="20" t="str" cm="1">
        <f t="array" aca="1" ref="F82" ca="1">IF(OR(E82=0,E82=""),"",INDEX(misCriticidades,D82)&amp;"-"&amp;IFERROR(MATCH(E82,miOrdenTarjeta,0),0))</f>
        <v/>
      </c>
      <c r="G82" s="19" t="str">
        <f ca="1"/>
        <v/>
      </c>
      <c r="H82" s="20">
        <f t="shared" ca="1" si="36"/>
        <v>7</v>
      </c>
      <c r="I82" s="20" t="str">
        <f t="shared" ca="1" si="27"/>
        <v/>
      </c>
      <c r="J82" s="20" t="str" cm="1">
        <f t="array" aca="1" ref="J82" ca="1">IF(I82="","",IF(I82&lt;&gt;I81,1,IF(J81=misLíneas-2,0,J81+1)))</f>
        <v/>
      </c>
      <c r="K82" s="20" t="str" cm="1">
        <f t="array" aca="1" ref="K82" ca="1">IF(OR(J82=0,J82=""),"",INDEX(misCriticidades,I82)&amp;"-"&amp;IFERROR(MATCH(J82,miOrdenTarjeta,0),0))</f>
        <v/>
      </c>
      <c r="L82" s="19" t="str">
        <f ca="1"/>
        <v/>
      </c>
      <c r="M82" s="20">
        <f t="shared" ca="1" si="37"/>
        <v>1</v>
      </c>
      <c r="N82" s="20" t="str">
        <f t="shared" ca="1" si="28"/>
        <v/>
      </c>
      <c r="O82" s="20" t="str" cm="1">
        <f t="array" aca="1" ref="O82" ca="1">IF(N82="","",IF(N82&lt;&gt;N81,1,IF(O81=misLíneas-2,0,O81+1)))</f>
        <v/>
      </c>
      <c r="P82" s="20" t="str" cm="1">
        <f t="array" aca="1" ref="P82" ca="1">IF(OR(O82=0,O82=""),"",INDEX(misCriticidades,N82)&amp;"-"&amp;IFERROR(MATCH(O82,miOrdenTarjeta,0),0))</f>
        <v/>
      </c>
      <c r="Q82" s="19" t="str">
        <f ca="1"/>
        <v/>
      </c>
      <c r="R82" s="20">
        <f t="shared" ca="1" si="38"/>
        <v>8</v>
      </c>
      <c r="S82" s="20">
        <f t="shared" ca="1" si="29"/>
        <v>22</v>
      </c>
      <c r="T82" s="20" cm="1">
        <f t="array" aca="1" ref="T82" ca="1">IF(S82="","",IF(S82&lt;&gt;S81,1,IF(T81=misLíneas-2,0,T81+1)))</f>
        <v>0</v>
      </c>
      <c r="U82" s="20" t="str" cm="1">
        <f t="array" aca="1" ref="U82" ca="1">IF(OR(T82=0,T82=""),"",INDEX(misCriticidades,S82)&amp;"-"&amp;IFERROR(MATCH(T82,miOrdenTarjeta,0),0))</f>
        <v/>
      </c>
      <c r="V82" s="19" t="str">
        <f ca="1"/>
        <v/>
      </c>
      <c r="W82" s="20">
        <f t="shared" ca="1" si="39"/>
        <v>1</v>
      </c>
      <c r="X82" s="20" t="str">
        <f t="shared" ca="1" si="30"/>
        <v/>
      </c>
      <c r="Y82" s="20" t="str" cm="1">
        <f t="array" aca="1" ref="Y82" ca="1">IF(X82="","",IF(X82&lt;&gt;X81,1,IF(Y81=misLíneas-2,0,Y81+1)))</f>
        <v/>
      </c>
      <c r="Z82" s="20" t="str" cm="1">
        <f t="array" aca="1" ref="Z82" ca="1">IF(OR(Y82=0,Y82=""),"",INDEX(misCriticidades,X82)&amp;"-"&amp;IFERROR(MATCH(Y82,miOrdenTarjeta,0),0))</f>
        <v/>
      </c>
      <c r="AA82" s="19" t="str">
        <f ca="1"/>
        <v/>
      </c>
      <c r="AB82" s="20">
        <f t="shared" ca="1" si="40"/>
        <v>1</v>
      </c>
      <c r="AC82" s="20" t="str">
        <f t="shared" ca="1" si="31"/>
        <v/>
      </c>
      <c r="AD82" s="20" t="str" cm="1">
        <f t="array" aca="1" ref="AD82" ca="1">IF(AC82="","",IF(AC82&lt;&gt;AC81,1,IF(AD81=misLíneas-2,0,AD81+1)))</f>
        <v/>
      </c>
      <c r="AE82" s="20" t="str" cm="1">
        <f t="array" aca="1" ref="AE82" ca="1">IF(OR(AD82=0,AD82=""),"",INDEX(misCriticidades,AC82)&amp;"-"&amp;IFERROR(MATCH(AD82,miOrdenTarjeta,0),0))</f>
        <v/>
      </c>
      <c r="AF82" s="19" t="str">
        <f ca="1"/>
        <v/>
      </c>
      <c r="AG82" s="20">
        <f t="shared" ca="1" si="41"/>
        <v>1</v>
      </c>
      <c r="AH82" s="20" t="str">
        <f t="shared" ca="1" si="32"/>
        <v/>
      </c>
      <c r="AI82" s="20" t="str" cm="1">
        <f t="array" aca="1" ref="AI82" ca="1">IF(AH82="","",IF(AH82&lt;&gt;AH81,1,IF(AI81=misLíneas-2,0,AI81+1)))</f>
        <v/>
      </c>
      <c r="AJ82" s="20" t="str" cm="1">
        <f t="array" aca="1" ref="AJ82" ca="1">IF(OR(AI82=0,AI82=""),"",INDEX(misCriticidades,AH82)&amp;"-"&amp;IFERROR(MATCH(AI82,miOrdenTarjeta,0),0))</f>
        <v/>
      </c>
      <c r="AK82" s="19" t="str">
        <f ca="1"/>
        <v/>
      </c>
      <c r="AL82" s="20">
        <f t="shared" ca="1" si="42"/>
        <v>1</v>
      </c>
      <c r="AM82" s="20" t="str">
        <f t="shared" ca="1" si="33"/>
        <v/>
      </c>
      <c r="AN82" s="20" t="str" cm="1">
        <f t="array" aca="1" ref="AN82" ca="1">IF(AM82="","",IF(AM82&lt;&gt;AM81,1,IF(AN81=misLíneas-2,0,AN81+1)))</f>
        <v/>
      </c>
      <c r="AO82" s="20" t="str" cm="1">
        <f t="array" aca="1" ref="AO82" ca="1">IF(OR(AN82=0,AN82=""),"",INDEX(misCriticidades,AM82)&amp;"-"&amp;IFERROR(MATCH(AN82,miOrdenTarjeta,0),0))</f>
        <v/>
      </c>
      <c r="AP82" s="19" t="str">
        <f ca="1"/>
        <v/>
      </c>
      <c r="AQ82" s="20">
        <f t="shared" ca="1" si="43"/>
        <v>1</v>
      </c>
      <c r="AR82" s="20" t="str">
        <f t="shared" ca="1" si="34"/>
        <v/>
      </c>
      <c r="AS82" s="20" t="str" cm="1">
        <f t="array" aca="1" ref="AS82" ca="1">IF(AR82="","",IF(AR82&lt;&gt;AR81,1,IF(AS81=misLíneas-2,0,AS81+1)))</f>
        <v/>
      </c>
      <c r="AT82" s="20" t="str" cm="1">
        <f t="array" aca="1" ref="AT82" ca="1">IF(OR(AS82=0,AS82=""),"",INDEX(misCriticidades,AR82)&amp;"-"&amp;IFERROR(MATCH(AS82,miOrdenTarjeta,0),0))</f>
        <v/>
      </c>
      <c r="AU82" s="19" t="str">
        <f ca="1"/>
        <v/>
      </c>
      <c r="AV82" s="20">
        <f t="shared" ca="1" si="44"/>
        <v>1</v>
      </c>
      <c r="AW82" s="20" t="str">
        <f t="shared" ca="1" si="35"/>
        <v/>
      </c>
      <c r="AX82" s="20" t="str" cm="1">
        <f t="array" aca="1" ref="AX82" ca="1">IF(AW82="","",IF(AW82&lt;&gt;AW81,1,IF(AX81=misLíneas-2,0,AX81+1)))</f>
        <v/>
      </c>
      <c r="AY82" s="20" t="str" cm="1">
        <f t="array" aca="1" ref="AY82" ca="1">IF(OR(AX82=0,AX82=""),"",INDEX(misCriticidades,AW82)&amp;"-"&amp;IFERROR(MATCH(AX82,miOrdenTarjeta,0),0))</f>
        <v/>
      </c>
    </row>
    <row r="83" spans="2:51" x14ac:dyDescent="0.25">
      <c r="B83" s="19" t="str">
        <f ca="1"/>
        <v/>
      </c>
      <c r="C83" s="20">
        <f t="shared" ca="1" si="45"/>
        <v>1</v>
      </c>
      <c r="D83" s="20" t="str">
        <f t="shared" ca="1" si="26"/>
        <v/>
      </c>
      <c r="E83" s="20" t="str" cm="1">
        <f t="array" aca="1" ref="E83" ca="1">IF(D83="","",IF(D83&lt;&gt;D82,1,IF(E82=misLíneas-2,0,E82+1)))</f>
        <v/>
      </c>
      <c r="F83" s="20" t="str" cm="1">
        <f t="array" aca="1" ref="F83" ca="1">IF(OR(E83=0,E83=""),"",INDEX(misCriticidades,D83)&amp;"-"&amp;IFERROR(MATCH(E83,miOrdenTarjeta,0),0))</f>
        <v/>
      </c>
      <c r="G83" s="19" t="str">
        <f ca="1"/>
        <v/>
      </c>
      <c r="H83" s="20">
        <f t="shared" ca="1" si="36"/>
        <v>7</v>
      </c>
      <c r="I83" s="20" t="str">
        <f t="shared" ca="1" si="27"/>
        <v/>
      </c>
      <c r="J83" s="20" t="str" cm="1">
        <f t="array" aca="1" ref="J83" ca="1">IF(I83="","",IF(I83&lt;&gt;I82,1,IF(J82=misLíneas-2,0,J82+1)))</f>
        <v/>
      </c>
      <c r="K83" s="20" t="str" cm="1">
        <f t="array" aca="1" ref="K83" ca="1">IF(OR(J83=0,J83=""),"",INDEX(misCriticidades,I83)&amp;"-"&amp;IFERROR(MATCH(J83,miOrdenTarjeta,0),0))</f>
        <v/>
      </c>
      <c r="L83" s="19" t="str">
        <f ca="1"/>
        <v/>
      </c>
      <c r="M83" s="20">
        <f t="shared" ca="1" si="37"/>
        <v>1</v>
      </c>
      <c r="N83" s="20" t="str">
        <f t="shared" ca="1" si="28"/>
        <v/>
      </c>
      <c r="O83" s="20" t="str" cm="1">
        <f t="array" aca="1" ref="O83" ca="1">IF(N83="","",IF(N83&lt;&gt;N82,1,IF(O82=misLíneas-2,0,O82+1)))</f>
        <v/>
      </c>
      <c r="P83" s="20" t="str" cm="1">
        <f t="array" aca="1" ref="P83" ca="1">IF(OR(O83=0,O83=""),"",INDEX(misCriticidades,N83)&amp;"-"&amp;IFERROR(MATCH(O83,miOrdenTarjeta,0),0))</f>
        <v/>
      </c>
      <c r="Q83" s="19" t="str">
        <f ca="1"/>
        <v/>
      </c>
      <c r="R83" s="20">
        <f t="shared" ca="1" si="38"/>
        <v>9</v>
      </c>
      <c r="S83" s="20">
        <f t="shared" ca="1" si="29"/>
        <v>21</v>
      </c>
      <c r="T83" s="20" cm="1">
        <f t="array" aca="1" ref="T83" ca="1">IF(S83="","",IF(S83&lt;&gt;S82,1,IF(T82=misLíneas-2,0,T82+1)))</f>
        <v>1</v>
      </c>
      <c r="U83" s="20" t="str" cm="1">
        <f t="array" aca="1" ref="U83" ca="1">IF(OR(T83=0,T83=""),"",INDEX(misCriticidades,S83)&amp;"-"&amp;IFERROR(MATCH(T83,miOrdenTarjeta,0),0))</f>
        <v>2-1</v>
      </c>
      <c r="V83" s="19" t="str">
        <f ca="1"/>
        <v/>
      </c>
      <c r="W83" s="20">
        <f t="shared" ca="1" si="39"/>
        <v>1</v>
      </c>
      <c r="X83" s="20" t="str">
        <f t="shared" ca="1" si="30"/>
        <v/>
      </c>
      <c r="Y83" s="20" t="str" cm="1">
        <f t="array" aca="1" ref="Y83" ca="1">IF(X83="","",IF(X83&lt;&gt;X82,1,IF(Y82=misLíneas-2,0,Y82+1)))</f>
        <v/>
      </c>
      <c r="Z83" s="20" t="str" cm="1">
        <f t="array" aca="1" ref="Z83" ca="1">IF(OR(Y83=0,Y83=""),"",INDEX(misCriticidades,X83)&amp;"-"&amp;IFERROR(MATCH(Y83,miOrdenTarjeta,0),0))</f>
        <v/>
      </c>
      <c r="AA83" s="19" t="str">
        <f ca="1"/>
        <v/>
      </c>
      <c r="AB83" s="20">
        <f t="shared" ca="1" si="40"/>
        <v>1</v>
      </c>
      <c r="AC83" s="20" t="str">
        <f t="shared" ca="1" si="31"/>
        <v/>
      </c>
      <c r="AD83" s="20" t="str" cm="1">
        <f t="array" aca="1" ref="AD83" ca="1">IF(AC83="","",IF(AC83&lt;&gt;AC82,1,IF(AD82=misLíneas-2,0,AD82+1)))</f>
        <v/>
      </c>
      <c r="AE83" s="20" t="str" cm="1">
        <f t="array" aca="1" ref="AE83" ca="1">IF(OR(AD83=0,AD83=""),"",INDEX(misCriticidades,AC83)&amp;"-"&amp;IFERROR(MATCH(AD83,miOrdenTarjeta,0),0))</f>
        <v/>
      </c>
      <c r="AF83" s="19" t="str">
        <f ca="1"/>
        <v/>
      </c>
      <c r="AG83" s="20">
        <f t="shared" ca="1" si="41"/>
        <v>1</v>
      </c>
      <c r="AH83" s="20" t="str">
        <f t="shared" ca="1" si="32"/>
        <v/>
      </c>
      <c r="AI83" s="20" t="str" cm="1">
        <f t="array" aca="1" ref="AI83" ca="1">IF(AH83="","",IF(AH83&lt;&gt;AH82,1,IF(AI82=misLíneas-2,0,AI82+1)))</f>
        <v/>
      </c>
      <c r="AJ83" s="20" t="str" cm="1">
        <f t="array" aca="1" ref="AJ83" ca="1">IF(OR(AI83=0,AI83=""),"",INDEX(misCriticidades,AH83)&amp;"-"&amp;IFERROR(MATCH(AI83,miOrdenTarjeta,0),0))</f>
        <v/>
      </c>
      <c r="AK83" s="19" t="str">
        <f ca="1"/>
        <v/>
      </c>
      <c r="AL83" s="20">
        <f t="shared" ca="1" si="42"/>
        <v>1</v>
      </c>
      <c r="AM83" s="20" t="str">
        <f t="shared" ca="1" si="33"/>
        <v/>
      </c>
      <c r="AN83" s="20" t="str" cm="1">
        <f t="array" aca="1" ref="AN83" ca="1">IF(AM83="","",IF(AM83&lt;&gt;AM82,1,IF(AN82=misLíneas-2,0,AN82+1)))</f>
        <v/>
      </c>
      <c r="AO83" s="20" t="str" cm="1">
        <f t="array" aca="1" ref="AO83" ca="1">IF(OR(AN83=0,AN83=""),"",INDEX(misCriticidades,AM83)&amp;"-"&amp;IFERROR(MATCH(AN83,miOrdenTarjeta,0),0))</f>
        <v/>
      </c>
      <c r="AP83" s="19" t="str">
        <f ca="1"/>
        <v/>
      </c>
      <c r="AQ83" s="20">
        <f t="shared" ca="1" si="43"/>
        <v>1</v>
      </c>
      <c r="AR83" s="20" t="str">
        <f t="shared" ca="1" si="34"/>
        <v/>
      </c>
      <c r="AS83" s="20" t="str" cm="1">
        <f t="array" aca="1" ref="AS83" ca="1">IF(AR83="","",IF(AR83&lt;&gt;AR82,1,IF(AS82=misLíneas-2,0,AS82+1)))</f>
        <v/>
      </c>
      <c r="AT83" s="20" t="str" cm="1">
        <f t="array" aca="1" ref="AT83" ca="1">IF(OR(AS83=0,AS83=""),"",INDEX(misCriticidades,AR83)&amp;"-"&amp;IFERROR(MATCH(AS83,miOrdenTarjeta,0),0))</f>
        <v/>
      </c>
      <c r="AU83" s="19" t="str">
        <f ca="1"/>
        <v/>
      </c>
      <c r="AV83" s="20">
        <f t="shared" ca="1" si="44"/>
        <v>1</v>
      </c>
      <c r="AW83" s="20" t="str">
        <f t="shared" ca="1" si="35"/>
        <v/>
      </c>
      <c r="AX83" s="20" t="str" cm="1">
        <f t="array" aca="1" ref="AX83" ca="1">IF(AW83="","",IF(AW83&lt;&gt;AW82,1,IF(AX82=misLíneas-2,0,AX82+1)))</f>
        <v/>
      </c>
      <c r="AY83" s="20" t="str" cm="1">
        <f t="array" aca="1" ref="AY83" ca="1">IF(OR(AX83=0,AX83=""),"",INDEX(misCriticidades,AW83)&amp;"-"&amp;IFERROR(MATCH(AX83,miOrdenTarjeta,0),0))</f>
        <v/>
      </c>
    </row>
    <row r="84" spans="2:51" x14ac:dyDescent="0.25">
      <c r="B84" s="19" t="str">
        <f ca="1"/>
        <v/>
      </c>
      <c r="C84" s="20">
        <f t="shared" ca="1" si="45"/>
        <v>1</v>
      </c>
      <c r="D84" s="20" t="str">
        <f t="shared" ca="1" si="26"/>
        <v/>
      </c>
      <c r="E84" s="20" t="str" cm="1">
        <f t="array" aca="1" ref="E84" ca="1">IF(D84="","",IF(D84&lt;&gt;D83,1,IF(E83=misLíneas-2,0,E83+1)))</f>
        <v/>
      </c>
      <c r="F84" s="20" t="str" cm="1">
        <f t="array" aca="1" ref="F84" ca="1">IF(OR(E84=0,E84=""),"",INDEX(misCriticidades,D84)&amp;"-"&amp;IFERROR(MATCH(E84,miOrdenTarjeta,0),0))</f>
        <v/>
      </c>
      <c r="G84" s="19" t="str">
        <f ca="1"/>
        <v/>
      </c>
      <c r="H84" s="20">
        <f t="shared" ca="1" si="36"/>
        <v>7</v>
      </c>
      <c r="I84" s="20" t="str">
        <f t="shared" ca="1" si="27"/>
        <v/>
      </c>
      <c r="J84" s="20" t="str" cm="1">
        <f t="array" aca="1" ref="J84" ca="1">IF(I84="","",IF(I84&lt;&gt;I83,1,IF(J83=misLíneas-2,0,J83+1)))</f>
        <v/>
      </c>
      <c r="K84" s="20" t="str" cm="1">
        <f t="array" aca="1" ref="K84" ca="1">IF(OR(J84=0,J84=""),"",INDEX(misCriticidades,I84)&amp;"-"&amp;IFERROR(MATCH(J84,miOrdenTarjeta,0),0))</f>
        <v/>
      </c>
      <c r="L84" s="19" t="str">
        <f ca="1"/>
        <v/>
      </c>
      <c r="M84" s="20">
        <f t="shared" ca="1" si="37"/>
        <v>1</v>
      </c>
      <c r="N84" s="20" t="str">
        <f t="shared" ca="1" si="28"/>
        <v/>
      </c>
      <c r="O84" s="20" t="str" cm="1">
        <f t="array" aca="1" ref="O84" ca="1">IF(N84="","",IF(N84&lt;&gt;N83,1,IF(O83=misLíneas-2,0,O83+1)))</f>
        <v/>
      </c>
      <c r="P84" s="20" t="str" cm="1">
        <f t="array" aca="1" ref="P84" ca="1">IF(OR(O84=0,O84=""),"",INDEX(misCriticidades,N84)&amp;"-"&amp;IFERROR(MATCH(O84,miOrdenTarjeta,0),0))</f>
        <v/>
      </c>
      <c r="Q84" s="19" t="str">
        <f ca="1"/>
        <v/>
      </c>
      <c r="R84" s="20">
        <f t="shared" ca="1" si="38"/>
        <v>9</v>
      </c>
      <c r="S84" s="20">
        <f t="shared" ca="1" si="29"/>
        <v>21</v>
      </c>
      <c r="T84" s="20" cm="1">
        <f t="array" aca="1" ref="T84" ca="1">IF(S84="","",IF(S84&lt;&gt;S83,1,IF(T83=misLíneas-2,0,T83+1)))</f>
        <v>2</v>
      </c>
      <c r="U84" s="20" t="str" cm="1">
        <f t="array" aca="1" ref="U84" ca="1">IF(OR(T84=0,T84=""),"",INDEX(misCriticidades,S84)&amp;"-"&amp;IFERROR(MATCH(T84,miOrdenTarjeta,0),0))</f>
        <v>2-2</v>
      </c>
      <c r="V84" s="19" t="str">
        <f ca="1"/>
        <v/>
      </c>
      <c r="W84" s="20">
        <f t="shared" ca="1" si="39"/>
        <v>1</v>
      </c>
      <c r="X84" s="20" t="str">
        <f t="shared" ca="1" si="30"/>
        <v/>
      </c>
      <c r="Y84" s="20" t="str" cm="1">
        <f t="array" aca="1" ref="Y84" ca="1">IF(X84="","",IF(X84&lt;&gt;X83,1,IF(Y83=misLíneas-2,0,Y83+1)))</f>
        <v/>
      </c>
      <c r="Z84" s="20" t="str" cm="1">
        <f t="array" aca="1" ref="Z84" ca="1">IF(OR(Y84=0,Y84=""),"",INDEX(misCriticidades,X84)&amp;"-"&amp;IFERROR(MATCH(Y84,miOrdenTarjeta,0),0))</f>
        <v/>
      </c>
      <c r="AA84" s="19" t="str">
        <f ca="1"/>
        <v/>
      </c>
      <c r="AB84" s="20">
        <f t="shared" ca="1" si="40"/>
        <v>1</v>
      </c>
      <c r="AC84" s="20" t="str">
        <f t="shared" ca="1" si="31"/>
        <v/>
      </c>
      <c r="AD84" s="20" t="str" cm="1">
        <f t="array" aca="1" ref="AD84" ca="1">IF(AC84="","",IF(AC84&lt;&gt;AC83,1,IF(AD83=misLíneas-2,0,AD83+1)))</f>
        <v/>
      </c>
      <c r="AE84" s="20" t="str" cm="1">
        <f t="array" aca="1" ref="AE84" ca="1">IF(OR(AD84=0,AD84=""),"",INDEX(misCriticidades,AC84)&amp;"-"&amp;IFERROR(MATCH(AD84,miOrdenTarjeta,0),0))</f>
        <v/>
      </c>
      <c r="AF84" s="19" t="str">
        <f ca="1"/>
        <v/>
      </c>
      <c r="AG84" s="20">
        <f t="shared" ca="1" si="41"/>
        <v>1</v>
      </c>
      <c r="AH84" s="20" t="str">
        <f t="shared" ca="1" si="32"/>
        <v/>
      </c>
      <c r="AI84" s="20" t="str" cm="1">
        <f t="array" aca="1" ref="AI84" ca="1">IF(AH84="","",IF(AH84&lt;&gt;AH83,1,IF(AI83=misLíneas-2,0,AI83+1)))</f>
        <v/>
      </c>
      <c r="AJ84" s="20" t="str" cm="1">
        <f t="array" aca="1" ref="AJ84" ca="1">IF(OR(AI84=0,AI84=""),"",INDEX(misCriticidades,AH84)&amp;"-"&amp;IFERROR(MATCH(AI84,miOrdenTarjeta,0),0))</f>
        <v/>
      </c>
      <c r="AK84" s="19" t="str">
        <f ca="1"/>
        <v/>
      </c>
      <c r="AL84" s="20">
        <f t="shared" ca="1" si="42"/>
        <v>1</v>
      </c>
      <c r="AM84" s="20" t="str">
        <f t="shared" ca="1" si="33"/>
        <v/>
      </c>
      <c r="AN84" s="20" t="str" cm="1">
        <f t="array" aca="1" ref="AN84" ca="1">IF(AM84="","",IF(AM84&lt;&gt;AM83,1,IF(AN83=misLíneas-2,0,AN83+1)))</f>
        <v/>
      </c>
      <c r="AO84" s="20" t="str" cm="1">
        <f t="array" aca="1" ref="AO84" ca="1">IF(OR(AN84=0,AN84=""),"",INDEX(misCriticidades,AM84)&amp;"-"&amp;IFERROR(MATCH(AN84,miOrdenTarjeta,0),0))</f>
        <v/>
      </c>
      <c r="AP84" s="19" t="str">
        <f ca="1"/>
        <v/>
      </c>
      <c r="AQ84" s="20">
        <f t="shared" ca="1" si="43"/>
        <v>1</v>
      </c>
      <c r="AR84" s="20" t="str">
        <f t="shared" ca="1" si="34"/>
        <v/>
      </c>
      <c r="AS84" s="20" t="str" cm="1">
        <f t="array" aca="1" ref="AS84" ca="1">IF(AR84="","",IF(AR84&lt;&gt;AR83,1,IF(AS83=misLíneas-2,0,AS83+1)))</f>
        <v/>
      </c>
      <c r="AT84" s="20" t="str" cm="1">
        <f t="array" aca="1" ref="AT84" ca="1">IF(OR(AS84=0,AS84=""),"",INDEX(misCriticidades,AR84)&amp;"-"&amp;IFERROR(MATCH(AS84,miOrdenTarjeta,0),0))</f>
        <v/>
      </c>
      <c r="AU84" s="19" t="str">
        <f ca="1"/>
        <v/>
      </c>
      <c r="AV84" s="20">
        <f t="shared" ca="1" si="44"/>
        <v>1</v>
      </c>
      <c r="AW84" s="20" t="str">
        <f t="shared" ca="1" si="35"/>
        <v/>
      </c>
      <c r="AX84" s="20" t="str" cm="1">
        <f t="array" aca="1" ref="AX84" ca="1">IF(AW84="","",IF(AW84&lt;&gt;AW83,1,IF(AX83=misLíneas-2,0,AX83+1)))</f>
        <v/>
      </c>
      <c r="AY84" s="20" t="str" cm="1">
        <f t="array" aca="1" ref="AY84" ca="1">IF(OR(AX84=0,AX84=""),"",INDEX(misCriticidades,AW84)&amp;"-"&amp;IFERROR(MATCH(AX84,miOrdenTarjeta,0),0))</f>
        <v/>
      </c>
    </row>
    <row r="85" spans="2:51" x14ac:dyDescent="0.25">
      <c r="B85" s="19" t="str">
        <f ca="1"/>
        <v/>
      </c>
      <c r="C85" s="20">
        <f t="shared" ca="1" si="45"/>
        <v>1</v>
      </c>
      <c r="D85" s="20" t="str">
        <f t="shared" ca="1" si="26"/>
        <v/>
      </c>
      <c r="E85" s="20" t="str" cm="1">
        <f t="array" aca="1" ref="E85" ca="1">IF(D85="","",IF(D85&lt;&gt;D84,1,IF(E84=misLíneas-2,0,E84+1)))</f>
        <v/>
      </c>
      <c r="F85" s="20" t="str" cm="1">
        <f t="array" aca="1" ref="F85" ca="1">IF(OR(E85=0,E85=""),"",INDEX(misCriticidades,D85)&amp;"-"&amp;IFERROR(MATCH(E85,miOrdenTarjeta,0),0))</f>
        <v/>
      </c>
      <c r="G85" s="19" t="str">
        <f ca="1"/>
        <v/>
      </c>
      <c r="H85" s="20">
        <f t="shared" ca="1" si="36"/>
        <v>7</v>
      </c>
      <c r="I85" s="20" t="str">
        <f t="shared" ca="1" si="27"/>
        <v/>
      </c>
      <c r="J85" s="20" t="str" cm="1">
        <f t="array" aca="1" ref="J85" ca="1">IF(I85="","",IF(I85&lt;&gt;I84,1,IF(J84=misLíneas-2,0,J84+1)))</f>
        <v/>
      </c>
      <c r="K85" s="20" t="str" cm="1">
        <f t="array" aca="1" ref="K85" ca="1">IF(OR(J85=0,J85=""),"",INDEX(misCriticidades,I85)&amp;"-"&amp;IFERROR(MATCH(J85,miOrdenTarjeta,0),0))</f>
        <v/>
      </c>
      <c r="L85" s="19" t="str">
        <f ca="1"/>
        <v/>
      </c>
      <c r="M85" s="20">
        <f t="shared" ca="1" si="37"/>
        <v>1</v>
      </c>
      <c r="N85" s="20" t="str">
        <f t="shared" ca="1" si="28"/>
        <v/>
      </c>
      <c r="O85" s="20" t="str" cm="1">
        <f t="array" aca="1" ref="O85" ca="1">IF(N85="","",IF(N85&lt;&gt;N84,1,IF(O84=misLíneas-2,0,O84+1)))</f>
        <v/>
      </c>
      <c r="P85" s="20" t="str" cm="1">
        <f t="array" aca="1" ref="P85" ca="1">IF(OR(O85=0,O85=""),"",INDEX(misCriticidades,N85)&amp;"-"&amp;IFERROR(MATCH(O85,miOrdenTarjeta,0),0))</f>
        <v/>
      </c>
      <c r="Q85" s="19" t="str">
        <f ca="1"/>
        <v/>
      </c>
      <c r="R85" s="20">
        <f t="shared" ca="1" si="38"/>
        <v>9</v>
      </c>
      <c r="S85" s="20">
        <f t="shared" ca="1" si="29"/>
        <v>21</v>
      </c>
      <c r="T85" s="20" cm="1">
        <f t="array" aca="1" ref="T85" ca="1">IF(S85="","",IF(S85&lt;&gt;S84,1,IF(T84=misLíneas-2,0,T84+1)))</f>
        <v>3</v>
      </c>
      <c r="U85" s="20" t="str" cm="1">
        <f t="array" aca="1" ref="U85" ca="1">IF(OR(T85=0,T85=""),"",INDEX(misCriticidades,S85)&amp;"-"&amp;IFERROR(MATCH(T85,miOrdenTarjeta,0),0))</f>
        <v>2-3</v>
      </c>
      <c r="V85" s="19" t="str">
        <f ca="1"/>
        <v/>
      </c>
      <c r="W85" s="20">
        <f t="shared" ca="1" si="39"/>
        <v>1</v>
      </c>
      <c r="X85" s="20" t="str">
        <f t="shared" ca="1" si="30"/>
        <v/>
      </c>
      <c r="Y85" s="20" t="str" cm="1">
        <f t="array" aca="1" ref="Y85" ca="1">IF(X85="","",IF(X85&lt;&gt;X84,1,IF(Y84=misLíneas-2,0,Y84+1)))</f>
        <v/>
      </c>
      <c r="Z85" s="20" t="str" cm="1">
        <f t="array" aca="1" ref="Z85" ca="1">IF(OR(Y85=0,Y85=""),"",INDEX(misCriticidades,X85)&amp;"-"&amp;IFERROR(MATCH(Y85,miOrdenTarjeta,0),0))</f>
        <v/>
      </c>
      <c r="AA85" s="19" t="str">
        <f ca="1"/>
        <v/>
      </c>
      <c r="AB85" s="20">
        <f t="shared" ca="1" si="40"/>
        <v>1</v>
      </c>
      <c r="AC85" s="20" t="str">
        <f t="shared" ca="1" si="31"/>
        <v/>
      </c>
      <c r="AD85" s="20" t="str" cm="1">
        <f t="array" aca="1" ref="AD85" ca="1">IF(AC85="","",IF(AC85&lt;&gt;AC84,1,IF(AD84=misLíneas-2,0,AD84+1)))</f>
        <v/>
      </c>
      <c r="AE85" s="20" t="str" cm="1">
        <f t="array" aca="1" ref="AE85" ca="1">IF(OR(AD85=0,AD85=""),"",INDEX(misCriticidades,AC85)&amp;"-"&amp;IFERROR(MATCH(AD85,miOrdenTarjeta,0),0))</f>
        <v/>
      </c>
      <c r="AF85" s="19" t="str">
        <f ca="1"/>
        <v/>
      </c>
      <c r="AG85" s="20">
        <f t="shared" ca="1" si="41"/>
        <v>1</v>
      </c>
      <c r="AH85" s="20" t="str">
        <f t="shared" ca="1" si="32"/>
        <v/>
      </c>
      <c r="AI85" s="20" t="str" cm="1">
        <f t="array" aca="1" ref="AI85" ca="1">IF(AH85="","",IF(AH85&lt;&gt;AH84,1,IF(AI84=misLíneas-2,0,AI84+1)))</f>
        <v/>
      </c>
      <c r="AJ85" s="20" t="str" cm="1">
        <f t="array" aca="1" ref="AJ85" ca="1">IF(OR(AI85=0,AI85=""),"",INDEX(misCriticidades,AH85)&amp;"-"&amp;IFERROR(MATCH(AI85,miOrdenTarjeta,0),0))</f>
        <v/>
      </c>
      <c r="AK85" s="19" t="str">
        <f ca="1"/>
        <v/>
      </c>
      <c r="AL85" s="20">
        <f t="shared" ca="1" si="42"/>
        <v>1</v>
      </c>
      <c r="AM85" s="20" t="str">
        <f t="shared" ca="1" si="33"/>
        <v/>
      </c>
      <c r="AN85" s="20" t="str" cm="1">
        <f t="array" aca="1" ref="AN85" ca="1">IF(AM85="","",IF(AM85&lt;&gt;AM84,1,IF(AN84=misLíneas-2,0,AN84+1)))</f>
        <v/>
      </c>
      <c r="AO85" s="20" t="str" cm="1">
        <f t="array" aca="1" ref="AO85" ca="1">IF(OR(AN85=0,AN85=""),"",INDEX(misCriticidades,AM85)&amp;"-"&amp;IFERROR(MATCH(AN85,miOrdenTarjeta,0),0))</f>
        <v/>
      </c>
      <c r="AP85" s="19" t="str">
        <f ca="1"/>
        <v/>
      </c>
      <c r="AQ85" s="20">
        <f t="shared" ca="1" si="43"/>
        <v>1</v>
      </c>
      <c r="AR85" s="20" t="str">
        <f t="shared" ca="1" si="34"/>
        <v/>
      </c>
      <c r="AS85" s="20" t="str" cm="1">
        <f t="array" aca="1" ref="AS85" ca="1">IF(AR85="","",IF(AR85&lt;&gt;AR84,1,IF(AS84=misLíneas-2,0,AS84+1)))</f>
        <v/>
      </c>
      <c r="AT85" s="20" t="str" cm="1">
        <f t="array" aca="1" ref="AT85" ca="1">IF(OR(AS85=0,AS85=""),"",INDEX(misCriticidades,AR85)&amp;"-"&amp;IFERROR(MATCH(AS85,miOrdenTarjeta,0),0))</f>
        <v/>
      </c>
      <c r="AU85" s="19" t="str">
        <f ca="1"/>
        <v/>
      </c>
      <c r="AV85" s="20">
        <f t="shared" ca="1" si="44"/>
        <v>1</v>
      </c>
      <c r="AW85" s="20" t="str">
        <f t="shared" ca="1" si="35"/>
        <v/>
      </c>
      <c r="AX85" s="20" t="str" cm="1">
        <f t="array" aca="1" ref="AX85" ca="1">IF(AW85="","",IF(AW85&lt;&gt;AW84,1,IF(AX84=misLíneas-2,0,AX84+1)))</f>
        <v/>
      </c>
      <c r="AY85" s="20" t="str" cm="1">
        <f t="array" aca="1" ref="AY85" ca="1">IF(OR(AX85=0,AX85=""),"",INDEX(misCriticidades,AW85)&amp;"-"&amp;IFERROR(MATCH(AX85,miOrdenTarjeta,0),0))</f>
        <v/>
      </c>
    </row>
    <row r="86" spans="2:51" x14ac:dyDescent="0.25">
      <c r="B86" s="19" t="str">
        <f ca="1"/>
        <v/>
      </c>
      <c r="C86" s="20">
        <f t="shared" ca="1" si="45"/>
        <v>1</v>
      </c>
      <c r="D86" s="20" t="str">
        <f t="shared" ca="1" si="26"/>
        <v/>
      </c>
      <c r="E86" s="20" t="str" cm="1">
        <f t="array" aca="1" ref="E86" ca="1">IF(D86="","",IF(D86&lt;&gt;D85,1,IF(E85=misLíneas-2,0,E85+1)))</f>
        <v/>
      </c>
      <c r="F86" s="20" t="str" cm="1">
        <f t="array" aca="1" ref="F86" ca="1">IF(OR(E86=0,E86=""),"",INDEX(misCriticidades,D86)&amp;"-"&amp;IFERROR(MATCH(E86,miOrdenTarjeta,0),0))</f>
        <v/>
      </c>
      <c r="G86" s="19" t="str">
        <f ca="1"/>
        <v/>
      </c>
      <c r="H86" s="20">
        <f t="shared" ca="1" si="36"/>
        <v>7</v>
      </c>
      <c r="I86" s="20" t="str">
        <f t="shared" ca="1" si="27"/>
        <v/>
      </c>
      <c r="J86" s="20" t="str" cm="1">
        <f t="array" aca="1" ref="J86" ca="1">IF(I86="","",IF(I86&lt;&gt;I85,1,IF(J85=misLíneas-2,0,J85+1)))</f>
        <v/>
      </c>
      <c r="K86" s="20" t="str" cm="1">
        <f t="array" aca="1" ref="K86" ca="1">IF(OR(J86=0,J86=""),"",INDEX(misCriticidades,I86)&amp;"-"&amp;IFERROR(MATCH(J86,miOrdenTarjeta,0),0))</f>
        <v/>
      </c>
      <c r="L86" s="19" t="str">
        <f ca="1"/>
        <v/>
      </c>
      <c r="M86" s="20">
        <f t="shared" ca="1" si="37"/>
        <v>1</v>
      </c>
      <c r="N86" s="20" t="str">
        <f t="shared" ca="1" si="28"/>
        <v/>
      </c>
      <c r="O86" s="20" t="str" cm="1">
        <f t="array" aca="1" ref="O86" ca="1">IF(N86="","",IF(N86&lt;&gt;N85,1,IF(O85=misLíneas-2,0,O85+1)))</f>
        <v/>
      </c>
      <c r="P86" s="20" t="str" cm="1">
        <f t="array" aca="1" ref="P86" ca="1">IF(OR(O86=0,O86=""),"",INDEX(misCriticidades,N86)&amp;"-"&amp;IFERROR(MATCH(O86,miOrdenTarjeta,0),0))</f>
        <v/>
      </c>
      <c r="Q86" s="19" t="str">
        <f ca="1"/>
        <v/>
      </c>
      <c r="R86" s="20">
        <f t="shared" ca="1" si="38"/>
        <v>9</v>
      </c>
      <c r="S86" s="20">
        <f t="shared" ca="1" si="29"/>
        <v>21</v>
      </c>
      <c r="T86" s="20" cm="1">
        <f t="array" aca="1" ref="T86" ca="1">IF(S86="","",IF(S86&lt;&gt;S85,1,IF(T85=misLíneas-2,0,T85+1)))</f>
        <v>4</v>
      </c>
      <c r="U86" s="20" t="str" cm="1">
        <f t="array" aca="1" ref="U86" ca="1">IF(OR(T86=0,T86=""),"",INDEX(misCriticidades,S86)&amp;"-"&amp;IFERROR(MATCH(T86,miOrdenTarjeta,0),0))</f>
        <v>2-4</v>
      </c>
      <c r="V86" s="19" t="str">
        <f ca="1"/>
        <v/>
      </c>
      <c r="W86" s="20">
        <f t="shared" ca="1" si="39"/>
        <v>1</v>
      </c>
      <c r="X86" s="20" t="str">
        <f t="shared" ca="1" si="30"/>
        <v/>
      </c>
      <c r="Y86" s="20" t="str" cm="1">
        <f t="array" aca="1" ref="Y86" ca="1">IF(X86="","",IF(X86&lt;&gt;X85,1,IF(Y85=misLíneas-2,0,Y85+1)))</f>
        <v/>
      </c>
      <c r="Z86" s="20" t="str" cm="1">
        <f t="array" aca="1" ref="Z86" ca="1">IF(OR(Y86=0,Y86=""),"",INDEX(misCriticidades,X86)&amp;"-"&amp;IFERROR(MATCH(Y86,miOrdenTarjeta,0),0))</f>
        <v/>
      </c>
      <c r="AA86" s="19" t="str">
        <f ca="1"/>
        <v/>
      </c>
      <c r="AB86" s="20">
        <f t="shared" ca="1" si="40"/>
        <v>1</v>
      </c>
      <c r="AC86" s="20" t="str">
        <f t="shared" ca="1" si="31"/>
        <v/>
      </c>
      <c r="AD86" s="20" t="str" cm="1">
        <f t="array" aca="1" ref="AD86" ca="1">IF(AC86="","",IF(AC86&lt;&gt;AC85,1,IF(AD85=misLíneas-2,0,AD85+1)))</f>
        <v/>
      </c>
      <c r="AE86" s="20" t="str" cm="1">
        <f t="array" aca="1" ref="AE86" ca="1">IF(OR(AD86=0,AD86=""),"",INDEX(misCriticidades,AC86)&amp;"-"&amp;IFERROR(MATCH(AD86,miOrdenTarjeta,0),0))</f>
        <v/>
      </c>
      <c r="AF86" s="19" t="str">
        <f ca="1"/>
        <v/>
      </c>
      <c r="AG86" s="20">
        <f t="shared" ca="1" si="41"/>
        <v>1</v>
      </c>
      <c r="AH86" s="20" t="str">
        <f t="shared" ca="1" si="32"/>
        <v/>
      </c>
      <c r="AI86" s="20" t="str" cm="1">
        <f t="array" aca="1" ref="AI86" ca="1">IF(AH86="","",IF(AH86&lt;&gt;AH85,1,IF(AI85=misLíneas-2,0,AI85+1)))</f>
        <v/>
      </c>
      <c r="AJ86" s="20" t="str" cm="1">
        <f t="array" aca="1" ref="AJ86" ca="1">IF(OR(AI86=0,AI86=""),"",INDEX(misCriticidades,AH86)&amp;"-"&amp;IFERROR(MATCH(AI86,miOrdenTarjeta,0),0))</f>
        <v/>
      </c>
      <c r="AK86" s="19" t="str">
        <f ca="1"/>
        <v/>
      </c>
      <c r="AL86" s="20">
        <f t="shared" ca="1" si="42"/>
        <v>1</v>
      </c>
      <c r="AM86" s="20" t="str">
        <f t="shared" ca="1" si="33"/>
        <v/>
      </c>
      <c r="AN86" s="20" t="str" cm="1">
        <f t="array" aca="1" ref="AN86" ca="1">IF(AM86="","",IF(AM86&lt;&gt;AM85,1,IF(AN85=misLíneas-2,0,AN85+1)))</f>
        <v/>
      </c>
      <c r="AO86" s="20" t="str" cm="1">
        <f t="array" aca="1" ref="AO86" ca="1">IF(OR(AN86=0,AN86=""),"",INDEX(misCriticidades,AM86)&amp;"-"&amp;IFERROR(MATCH(AN86,miOrdenTarjeta,0),0))</f>
        <v/>
      </c>
      <c r="AP86" s="19" t="str">
        <f ca="1"/>
        <v/>
      </c>
      <c r="AQ86" s="20">
        <f t="shared" ca="1" si="43"/>
        <v>1</v>
      </c>
      <c r="AR86" s="20" t="str">
        <f t="shared" ca="1" si="34"/>
        <v/>
      </c>
      <c r="AS86" s="20" t="str" cm="1">
        <f t="array" aca="1" ref="AS86" ca="1">IF(AR86="","",IF(AR86&lt;&gt;AR85,1,IF(AS85=misLíneas-2,0,AS85+1)))</f>
        <v/>
      </c>
      <c r="AT86" s="20" t="str" cm="1">
        <f t="array" aca="1" ref="AT86" ca="1">IF(OR(AS86=0,AS86=""),"",INDEX(misCriticidades,AR86)&amp;"-"&amp;IFERROR(MATCH(AS86,miOrdenTarjeta,0),0))</f>
        <v/>
      </c>
      <c r="AU86" s="19" t="str">
        <f ca="1"/>
        <v/>
      </c>
      <c r="AV86" s="20">
        <f t="shared" ca="1" si="44"/>
        <v>1</v>
      </c>
      <c r="AW86" s="20" t="str">
        <f t="shared" ca="1" si="35"/>
        <v/>
      </c>
      <c r="AX86" s="20" t="str" cm="1">
        <f t="array" aca="1" ref="AX86" ca="1">IF(AW86="","",IF(AW86&lt;&gt;AW85,1,IF(AX85=misLíneas-2,0,AX85+1)))</f>
        <v/>
      </c>
      <c r="AY86" s="20" t="str" cm="1">
        <f t="array" aca="1" ref="AY86" ca="1">IF(OR(AX86=0,AX86=""),"",INDEX(misCriticidades,AW86)&amp;"-"&amp;IFERROR(MATCH(AX86,miOrdenTarjeta,0),0))</f>
        <v/>
      </c>
    </row>
    <row r="87" spans="2:51" x14ac:dyDescent="0.25">
      <c r="B87" s="19" t="str">
        <f ca="1"/>
        <v/>
      </c>
      <c r="C87" s="20">
        <f t="shared" ca="1" si="45"/>
        <v>1</v>
      </c>
      <c r="D87" s="20" t="str">
        <f t="shared" ca="1" si="26"/>
        <v/>
      </c>
      <c r="E87" s="20" t="str" cm="1">
        <f t="array" aca="1" ref="E87" ca="1">IF(D87="","",IF(D87&lt;&gt;D86,1,IF(E86=misLíneas-2,0,E86+1)))</f>
        <v/>
      </c>
      <c r="F87" s="20" t="str" cm="1">
        <f t="array" aca="1" ref="F87" ca="1">IF(OR(E87=0,E87=""),"",INDEX(misCriticidades,D87)&amp;"-"&amp;IFERROR(MATCH(E87,miOrdenTarjeta,0),0))</f>
        <v/>
      </c>
      <c r="G87" s="19" t="str">
        <f ca="1"/>
        <v/>
      </c>
      <c r="H87" s="20">
        <f t="shared" ca="1" si="36"/>
        <v>7</v>
      </c>
      <c r="I87" s="20" t="str">
        <f t="shared" ca="1" si="27"/>
        <v/>
      </c>
      <c r="J87" s="20" t="str" cm="1">
        <f t="array" aca="1" ref="J87" ca="1">IF(I87="","",IF(I87&lt;&gt;I86,1,IF(J86=misLíneas-2,0,J86+1)))</f>
        <v/>
      </c>
      <c r="K87" s="20" t="str" cm="1">
        <f t="array" aca="1" ref="K87" ca="1">IF(OR(J87=0,J87=""),"",INDEX(misCriticidades,I87)&amp;"-"&amp;IFERROR(MATCH(J87,miOrdenTarjeta,0),0))</f>
        <v/>
      </c>
      <c r="L87" s="19" t="str">
        <f ca="1"/>
        <v/>
      </c>
      <c r="M87" s="20">
        <f t="shared" ca="1" si="37"/>
        <v>1</v>
      </c>
      <c r="N87" s="20" t="str">
        <f t="shared" ca="1" si="28"/>
        <v/>
      </c>
      <c r="O87" s="20" t="str" cm="1">
        <f t="array" aca="1" ref="O87" ca="1">IF(N87="","",IF(N87&lt;&gt;N86,1,IF(O86=misLíneas-2,0,O86+1)))</f>
        <v/>
      </c>
      <c r="P87" s="20" t="str" cm="1">
        <f t="array" aca="1" ref="P87" ca="1">IF(OR(O87=0,O87=""),"",INDEX(misCriticidades,N87)&amp;"-"&amp;IFERROR(MATCH(O87,miOrdenTarjeta,0),0))</f>
        <v/>
      </c>
      <c r="Q87" s="19" t="str">
        <f ca="1"/>
        <v/>
      </c>
      <c r="R87" s="20">
        <f t="shared" ca="1" si="38"/>
        <v>9</v>
      </c>
      <c r="S87" s="20">
        <f t="shared" ca="1" si="29"/>
        <v>21</v>
      </c>
      <c r="T87" s="20" cm="1">
        <f t="array" aca="1" ref="T87" ca="1">IF(S87="","",IF(S87&lt;&gt;S86,1,IF(T86=misLíneas-2,0,T86+1)))</f>
        <v>5</v>
      </c>
      <c r="U87" s="20" t="str" cm="1">
        <f t="array" aca="1" ref="U87" ca="1">IF(OR(T87=0,T87=""),"",INDEX(misCriticidades,S87)&amp;"-"&amp;IFERROR(MATCH(T87,miOrdenTarjeta,0),0))</f>
        <v>2-5</v>
      </c>
      <c r="V87" s="19" t="str">
        <f ca="1"/>
        <v/>
      </c>
      <c r="W87" s="20">
        <f t="shared" ca="1" si="39"/>
        <v>1</v>
      </c>
      <c r="X87" s="20" t="str">
        <f t="shared" ca="1" si="30"/>
        <v/>
      </c>
      <c r="Y87" s="20" t="str" cm="1">
        <f t="array" aca="1" ref="Y87" ca="1">IF(X87="","",IF(X87&lt;&gt;X86,1,IF(Y86=misLíneas-2,0,Y86+1)))</f>
        <v/>
      </c>
      <c r="Z87" s="20" t="str" cm="1">
        <f t="array" aca="1" ref="Z87" ca="1">IF(OR(Y87=0,Y87=""),"",INDEX(misCriticidades,X87)&amp;"-"&amp;IFERROR(MATCH(Y87,miOrdenTarjeta,0),0))</f>
        <v/>
      </c>
      <c r="AA87" s="19" t="str">
        <f ca="1"/>
        <v/>
      </c>
      <c r="AB87" s="20">
        <f t="shared" ca="1" si="40"/>
        <v>1</v>
      </c>
      <c r="AC87" s="20" t="str">
        <f t="shared" ca="1" si="31"/>
        <v/>
      </c>
      <c r="AD87" s="20" t="str" cm="1">
        <f t="array" aca="1" ref="AD87" ca="1">IF(AC87="","",IF(AC87&lt;&gt;AC86,1,IF(AD86=misLíneas-2,0,AD86+1)))</f>
        <v/>
      </c>
      <c r="AE87" s="20" t="str" cm="1">
        <f t="array" aca="1" ref="AE87" ca="1">IF(OR(AD87=0,AD87=""),"",INDEX(misCriticidades,AC87)&amp;"-"&amp;IFERROR(MATCH(AD87,miOrdenTarjeta,0),0))</f>
        <v/>
      </c>
      <c r="AF87" s="19" t="str">
        <f ca="1"/>
        <v/>
      </c>
      <c r="AG87" s="20">
        <f t="shared" ca="1" si="41"/>
        <v>1</v>
      </c>
      <c r="AH87" s="20" t="str">
        <f t="shared" ca="1" si="32"/>
        <v/>
      </c>
      <c r="AI87" s="20" t="str" cm="1">
        <f t="array" aca="1" ref="AI87" ca="1">IF(AH87="","",IF(AH87&lt;&gt;AH86,1,IF(AI86=misLíneas-2,0,AI86+1)))</f>
        <v/>
      </c>
      <c r="AJ87" s="20" t="str" cm="1">
        <f t="array" aca="1" ref="AJ87" ca="1">IF(OR(AI87=0,AI87=""),"",INDEX(misCriticidades,AH87)&amp;"-"&amp;IFERROR(MATCH(AI87,miOrdenTarjeta,0),0))</f>
        <v/>
      </c>
      <c r="AK87" s="19" t="str">
        <f ca="1"/>
        <v/>
      </c>
      <c r="AL87" s="20">
        <f t="shared" ca="1" si="42"/>
        <v>1</v>
      </c>
      <c r="AM87" s="20" t="str">
        <f t="shared" ca="1" si="33"/>
        <v/>
      </c>
      <c r="AN87" s="20" t="str" cm="1">
        <f t="array" aca="1" ref="AN87" ca="1">IF(AM87="","",IF(AM87&lt;&gt;AM86,1,IF(AN86=misLíneas-2,0,AN86+1)))</f>
        <v/>
      </c>
      <c r="AO87" s="20" t="str" cm="1">
        <f t="array" aca="1" ref="AO87" ca="1">IF(OR(AN87=0,AN87=""),"",INDEX(misCriticidades,AM87)&amp;"-"&amp;IFERROR(MATCH(AN87,miOrdenTarjeta,0),0))</f>
        <v/>
      </c>
      <c r="AP87" s="19" t="str">
        <f ca="1"/>
        <v/>
      </c>
      <c r="AQ87" s="20">
        <f t="shared" ca="1" si="43"/>
        <v>1</v>
      </c>
      <c r="AR87" s="20" t="str">
        <f t="shared" ca="1" si="34"/>
        <v/>
      </c>
      <c r="AS87" s="20" t="str" cm="1">
        <f t="array" aca="1" ref="AS87" ca="1">IF(AR87="","",IF(AR87&lt;&gt;AR86,1,IF(AS86=misLíneas-2,0,AS86+1)))</f>
        <v/>
      </c>
      <c r="AT87" s="20" t="str" cm="1">
        <f t="array" aca="1" ref="AT87" ca="1">IF(OR(AS87=0,AS87=""),"",INDEX(misCriticidades,AR87)&amp;"-"&amp;IFERROR(MATCH(AS87,miOrdenTarjeta,0),0))</f>
        <v/>
      </c>
      <c r="AU87" s="19" t="str">
        <f ca="1"/>
        <v/>
      </c>
      <c r="AV87" s="20">
        <f t="shared" ca="1" si="44"/>
        <v>1</v>
      </c>
      <c r="AW87" s="20" t="str">
        <f t="shared" ca="1" si="35"/>
        <v/>
      </c>
      <c r="AX87" s="20" t="str" cm="1">
        <f t="array" aca="1" ref="AX87" ca="1">IF(AW87="","",IF(AW87&lt;&gt;AW86,1,IF(AX86=misLíneas-2,0,AX86+1)))</f>
        <v/>
      </c>
      <c r="AY87" s="20" t="str" cm="1">
        <f t="array" aca="1" ref="AY87" ca="1">IF(OR(AX87=0,AX87=""),"",INDEX(misCriticidades,AW87)&amp;"-"&amp;IFERROR(MATCH(AX87,miOrdenTarjeta,0),0))</f>
        <v/>
      </c>
    </row>
    <row r="88" spans="2:51" x14ac:dyDescent="0.25">
      <c r="B88" s="19" t="str">
        <f ca="1"/>
        <v/>
      </c>
      <c r="C88" s="20">
        <f t="shared" ca="1" si="45"/>
        <v>1</v>
      </c>
      <c r="D88" s="20" t="str">
        <f t="shared" ca="1" si="26"/>
        <v/>
      </c>
      <c r="E88" s="20" t="str" cm="1">
        <f t="array" aca="1" ref="E88" ca="1">IF(D88="","",IF(D88&lt;&gt;D87,1,IF(E87=misLíneas-2,0,E87+1)))</f>
        <v/>
      </c>
      <c r="F88" s="20" t="str" cm="1">
        <f t="array" aca="1" ref="F88" ca="1">IF(OR(E88=0,E88=""),"",INDEX(misCriticidades,D88)&amp;"-"&amp;IFERROR(MATCH(E88,miOrdenTarjeta,0),0))</f>
        <v/>
      </c>
      <c r="G88" s="19" t="str">
        <f ca="1"/>
        <v/>
      </c>
      <c r="H88" s="20">
        <f t="shared" ca="1" si="36"/>
        <v>7</v>
      </c>
      <c r="I88" s="20" t="str">
        <f t="shared" ca="1" si="27"/>
        <v/>
      </c>
      <c r="J88" s="20" t="str" cm="1">
        <f t="array" aca="1" ref="J88" ca="1">IF(I88="","",IF(I88&lt;&gt;I87,1,IF(J87=misLíneas-2,0,J87+1)))</f>
        <v/>
      </c>
      <c r="K88" s="20" t="str" cm="1">
        <f t="array" aca="1" ref="K88" ca="1">IF(OR(J88=0,J88=""),"",INDEX(misCriticidades,I88)&amp;"-"&amp;IFERROR(MATCH(J88,miOrdenTarjeta,0),0))</f>
        <v/>
      </c>
      <c r="L88" s="19" t="str">
        <f ca="1"/>
        <v/>
      </c>
      <c r="M88" s="20">
        <f t="shared" ca="1" si="37"/>
        <v>1</v>
      </c>
      <c r="N88" s="20" t="str">
        <f t="shared" ca="1" si="28"/>
        <v/>
      </c>
      <c r="O88" s="20" t="str" cm="1">
        <f t="array" aca="1" ref="O88" ca="1">IF(N88="","",IF(N88&lt;&gt;N87,1,IF(O87=misLíneas-2,0,O87+1)))</f>
        <v/>
      </c>
      <c r="P88" s="20" t="str" cm="1">
        <f t="array" aca="1" ref="P88" ca="1">IF(OR(O88=0,O88=""),"",INDEX(misCriticidades,N88)&amp;"-"&amp;IFERROR(MATCH(O88,miOrdenTarjeta,0),0))</f>
        <v/>
      </c>
      <c r="Q88" s="19" t="str">
        <f ca="1"/>
        <v/>
      </c>
      <c r="R88" s="20">
        <f t="shared" ca="1" si="38"/>
        <v>9</v>
      </c>
      <c r="S88" s="20">
        <f t="shared" ca="1" si="29"/>
        <v>21</v>
      </c>
      <c r="T88" s="20" cm="1">
        <f t="array" aca="1" ref="T88" ca="1">IF(S88="","",IF(S88&lt;&gt;S87,1,IF(T87=misLíneas-2,0,T87+1)))</f>
        <v>6</v>
      </c>
      <c r="U88" s="20" t="str" cm="1">
        <f t="array" aca="1" ref="U88" ca="1">IF(OR(T88=0,T88=""),"",INDEX(misCriticidades,S88)&amp;"-"&amp;IFERROR(MATCH(T88,miOrdenTarjeta,0),0))</f>
        <v>2-6</v>
      </c>
      <c r="V88" s="19" t="str">
        <f ca="1"/>
        <v/>
      </c>
      <c r="W88" s="20">
        <f t="shared" ca="1" si="39"/>
        <v>1</v>
      </c>
      <c r="X88" s="20" t="str">
        <f t="shared" ca="1" si="30"/>
        <v/>
      </c>
      <c r="Y88" s="20" t="str" cm="1">
        <f t="array" aca="1" ref="Y88" ca="1">IF(X88="","",IF(X88&lt;&gt;X87,1,IF(Y87=misLíneas-2,0,Y87+1)))</f>
        <v/>
      </c>
      <c r="Z88" s="20" t="str" cm="1">
        <f t="array" aca="1" ref="Z88" ca="1">IF(OR(Y88=0,Y88=""),"",INDEX(misCriticidades,X88)&amp;"-"&amp;IFERROR(MATCH(Y88,miOrdenTarjeta,0),0))</f>
        <v/>
      </c>
      <c r="AA88" s="19" t="str">
        <f ca="1"/>
        <v/>
      </c>
      <c r="AB88" s="20">
        <f t="shared" ca="1" si="40"/>
        <v>1</v>
      </c>
      <c r="AC88" s="20" t="str">
        <f t="shared" ca="1" si="31"/>
        <v/>
      </c>
      <c r="AD88" s="20" t="str" cm="1">
        <f t="array" aca="1" ref="AD88" ca="1">IF(AC88="","",IF(AC88&lt;&gt;AC87,1,IF(AD87=misLíneas-2,0,AD87+1)))</f>
        <v/>
      </c>
      <c r="AE88" s="20" t="str" cm="1">
        <f t="array" aca="1" ref="AE88" ca="1">IF(OR(AD88=0,AD88=""),"",INDEX(misCriticidades,AC88)&amp;"-"&amp;IFERROR(MATCH(AD88,miOrdenTarjeta,0),0))</f>
        <v/>
      </c>
      <c r="AF88" s="19" t="str">
        <f ca="1"/>
        <v/>
      </c>
      <c r="AG88" s="20">
        <f t="shared" ca="1" si="41"/>
        <v>1</v>
      </c>
      <c r="AH88" s="20" t="str">
        <f t="shared" ca="1" si="32"/>
        <v/>
      </c>
      <c r="AI88" s="20" t="str" cm="1">
        <f t="array" aca="1" ref="AI88" ca="1">IF(AH88="","",IF(AH88&lt;&gt;AH87,1,IF(AI87=misLíneas-2,0,AI87+1)))</f>
        <v/>
      </c>
      <c r="AJ88" s="20" t="str" cm="1">
        <f t="array" aca="1" ref="AJ88" ca="1">IF(OR(AI88=0,AI88=""),"",INDEX(misCriticidades,AH88)&amp;"-"&amp;IFERROR(MATCH(AI88,miOrdenTarjeta,0),0))</f>
        <v/>
      </c>
      <c r="AK88" s="19" t="str">
        <f ca="1"/>
        <v/>
      </c>
      <c r="AL88" s="20">
        <f t="shared" ca="1" si="42"/>
        <v>1</v>
      </c>
      <c r="AM88" s="20" t="str">
        <f t="shared" ca="1" si="33"/>
        <v/>
      </c>
      <c r="AN88" s="20" t="str" cm="1">
        <f t="array" aca="1" ref="AN88" ca="1">IF(AM88="","",IF(AM88&lt;&gt;AM87,1,IF(AN87=misLíneas-2,0,AN87+1)))</f>
        <v/>
      </c>
      <c r="AO88" s="20" t="str" cm="1">
        <f t="array" aca="1" ref="AO88" ca="1">IF(OR(AN88=0,AN88=""),"",INDEX(misCriticidades,AM88)&amp;"-"&amp;IFERROR(MATCH(AN88,miOrdenTarjeta,0),0))</f>
        <v/>
      </c>
      <c r="AP88" s="19" t="str">
        <f ca="1"/>
        <v/>
      </c>
      <c r="AQ88" s="20">
        <f t="shared" ca="1" si="43"/>
        <v>1</v>
      </c>
      <c r="AR88" s="20" t="str">
        <f t="shared" ca="1" si="34"/>
        <v/>
      </c>
      <c r="AS88" s="20" t="str" cm="1">
        <f t="array" aca="1" ref="AS88" ca="1">IF(AR88="","",IF(AR88&lt;&gt;AR87,1,IF(AS87=misLíneas-2,0,AS87+1)))</f>
        <v/>
      </c>
      <c r="AT88" s="20" t="str" cm="1">
        <f t="array" aca="1" ref="AT88" ca="1">IF(OR(AS88=0,AS88=""),"",INDEX(misCriticidades,AR88)&amp;"-"&amp;IFERROR(MATCH(AS88,miOrdenTarjeta,0),0))</f>
        <v/>
      </c>
      <c r="AU88" s="19" t="str">
        <f ca="1"/>
        <v/>
      </c>
      <c r="AV88" s="20">
        <f t="shared" ca="1" si="44"/>
        <v>1</v>
      </c>
      <c r="AW88" s="20" t="str">
        <f t="shared" ca="1" si="35"/>
        <v/>
      </c>
      <c r="AX88" s="20" t="str" cm="1">
        <f t="array" aca="1" ref="AX88" ca="1">IF(AW88="","",IF(AW88&lt;&gt;AW87,1,IF(AX87=misLíneas-2,0,AX87+1)))</f>
        <v/>
      </c>
      <c r="AY88" s="20" t="str" cm="1">
        <f t="array" aca="1" ref="AY88" ca="1">IF(OR(AX88=0,AX88=""),"",INDEX(misCriticidades,AW88)&amp;"-"&amp;IFERROR(MATCH(AX88,miOrdenTarjeta,0),0))</f>
        <v/>
      </c>
    </row>
    <row r="89" spans="2:51" x14ac:dyDescent="0.25">
      <c r="B89" s="19" t="str">
        <f ca="1"/>
        <v/>
      </c>
      <c r="C89" s="20">
        <f t="shared" ca="1" si="45"/>
        <v>1</v>
      </c>
      <c r="D89" s="20" t="str">
        <f t="shared" ca="1" si="26"/>
        <v/>
      </c>
      <c r="E89" s="20" t="str" cm="1">
        <f t="array" aca="1" ref="E89" ca="1">IF(D89="","",IF(D89&lt;&gt;D88,1,IF(E88=misLíneas-2,0,E88+1)))</f>
        <v/>
      </c>
      <c r="F89" s="20" t="str" cm="1">
        <f t="array" aca="1" ref="F89" ca="1">IF(OR(E89=0,E89=""),"",INDEX(misCriticidades,D89)&amp;"-"&amp;IFERROR(MATCH(E89,miOrdenTarjeta,0),0))</f>
        <v/>
      </c>
      <c r="G89" s="19" t="str">
        <f ca="1"/>
        <v/>
      </c>
      <c r="H89" s="20">
        <f t="shared" ca="1" si="36"/>
        <v>7</v>
      </c>
      <c r="I89" s="20" t="str">
        <f t="shared" ca="1" si="27"/>
        <v/>
      </c>
      <c r="J89" s="20" t="str" cm="1">
        <f t="array" aca="1" ref="J89" ca="1">IF(I89="","",IF(I89&lt;&gt;I88,1,IF(J88=misLíneas-2,0,J88+1)))</f>
        <v/>
      </c>
      <c r="K89" s="20" t="str" cm="1">
        <f t="array" aca="1" ref="K89" ca="1">IF(OR(J89=0,J89=""),"",INDEX(misCriticidades,I89)&amp;"-"&amp;IFERROR(MATCH(J89,miOrdenTarjeta,0),0))</f>
        <v/>
      </c>
      <c r="L89" s="19" t="str">
        <f ca="1"/>
        <v/>
      </c>
      <c r="M89" s="20">
        <f t="shared" ca="1" si="37"/>
        <v>1</v>
      </c>
      <c r="N89" s="20" t="str">
        <f t="shared" ca="1" si="28"/>
        <v/>
      </c>
      <c r="O89" s="20" t="str" cm="1">
        <f t="array" aca="1" ref="O89" ca="1">IF(N89="","",IF(N89&lt;&gt;N88,1,IF(O88=misLíneas-2,0,O88+1)))</f>
        <v/>
      </c>
      <c r="P89" s="20" t="str" cm="1">
        <f t="array" aca="1" ref="P89" ca="1">IF(OR(O89=0,O89=""),"",INDEX(misCriticidades,N89)&amp;"-"&amp;IFERROR(MATCH(O89,miOrdenTarjeta,0),0))</f>
        <v/>
      </c>
      <c r="Q89" s="19" t="str">
        <f ca="1"/>
        <v/>
      </c>
      <c r="R89" s="20">
        <f t="shared" ca="1" si="38"/>
        <v>9</v>
      </c>
      <c r="S89" s="20">
        <f t="shared" ca="1" si="29"/>
        <v>21</v>
      </c>
      <c r="T89" s="20" cm="1">
        <f t="array" aca="1" ref="T89" ca="1">IF(S89="","",IF(S89&lt;&gt;S88,1,IF(T88=misLíneas-2,0,T88+1)))</f>
        <v>7</v>
      </c>
      <c r="U89" s="20" t="str" cm="1">
        <f t="array" aca="1" ref="U89" ca="1">IF(OR(T89=0,T89=""),"",INDEX(misCriticidades,S89)&amp;"-"&amp;IFERROR(MATCH(T89,miOrdenTarjeta,0),0))</f>
        <v>2-7</v>
      </c>
      <c r="V89" s="19" t="str">
        <f ca="1"/>
        <v/>
      </c>
      <c r="W89" s="20">
        <f t="shared" ca="1" si="39"/>
        <v>1</v>
      </c>
      <c r="X89" s="20" t="str">
        <f t="shared" ca="1" si="30"/>
        <v/>
      </c>
      <c r="Y89" s="20" t="str" cm="1">
        <f t="array" aca="1" ref="Y89" ca="1">IF(X89="","",IF(X89&lt;&gt;X88,1,IF(Y88=misLíneas-2,0,Y88+1)))</f>
        <v/>
      </c>
      <c r="Z89" s="20" t="str" cm="1">
        <f t="array" aca="1" ref="Z89" ca="1">IF(OR(Y89=0,Y89=""),"",INDEX(misCriticidades,X89)&amp;"-"&amp;IFERROR(MATCH(Y89,miOrdenTarjeta,0),0))</f>
        <v/>
      </c>
      <c r="AA89" s="19" t="str">
        <f ca="1"/>
        <v/>
      </c>
      <c r="AB89" s="20">
        <f t="shared" ca="1" si="40"/>
        <v>1</v>
      </c>
      <c r="AC89" s="20" t="str">
        <f t="shared" ca="1" si="31"/>
        <v/>
      </c>
      <c r="AD89" s="20" t="str" cm="1">
        <f t="array" aca="1" ref="AD89" ca="1">IF(AC89="","",IF(AC89&lt;&gt;AC88,1,IF(AD88=misLíneas-2,0,AD88+1)))</f>
        <v/>
      </c>
      <c r="AE89" s="20" t="str" cm="1">
        <f t="array" aca="1" ref="AE89" ca="1">IF(OR(AD89=0,AD89=""),"",INDEX(misCriticidades,AC89)&amp;"-"&amp;IFERROR(MATCH(AD89,miOrdenTarjeta,0),0))</f>
        <v/>
      </c>
      <c r="AF89" s="19" t="str">
        <f ca="1"/>
        <v/>
      </c>
      <c r="AG89" s="20">
        <f t="shared" ca="1" si="41"/>
        <v>1</v>
      </c>
      <c r="AH89" s="20" t="str">
        <f t="shared" ca="1" si="32"/>
        <v/>
      </c>
      <c r="AI89" s="20" t="str" cm="1">
        <f t="array" aca="1" ref="AI89" ca="1">IF(AH89="","",IF(AH89&lt;&gt;AH88,1,IF(AI88=misLíneas-2,0,AI88+1)))</f>
        <v/>
      </c>
      <c r="AJ89" s="20" t="str" cm="1">
        <f t="array" aca="1" ref="AJ89" ca="1">IF(OR(AI89=0,AI89=""),"",INDEX(misCriticidades,AH89)&amp;"-"&amp;IFERROR(MATCH(AI89,miOrdenTarjeta,0),0))</f>
        <v/>
      </c>
      <c r="AK89" s="19" t="str">
        <f ca="1"/>
        <v/>
      </c>
      <c r="AL89" s="20">
        <f t="shared" ca="1" si="42"/>
        <v>1</v>
      </c>
      <c r="AM89" s="20" t="str">
        <f t="shared" ca="1" si="33"/>
        <v/>
      </c>
      <c r="AN89" s="20" t="str" cm="1">
        <f t="array" aca="1" ref="AN89" ca="1">IF(AM89="","",IF(AM89&lt;&gt;AM88,1,IF(AN88=misLíneas-2,0,AN88+1)))</f>
        <v/>
      </c>
      <c r="AO89" s="20" t="str" cm="1">
        <f t="array" aca="1" ref="AO89" ca="1">IF(OR(AN89=0,AN89=""),"",INDEX(misCriticidades,AM89)&amp;"-"&amp;IFERROR(MATCH(AN89,miOrdenTarjeta,0),0))</f>
        <v/>
      </c>
      <c r="AP89" s="19" t="str">
        <f ca="1"/>
        <v/>
      </c>
      <c r="AQ89" s="20">
        <f t="shared" ca="1" si="43"/>
        <v>1</v>
      </c>
      <c r="AR89" s="20" t="str">
        <f t="shared" ca="1" si="34"/>
        <v/>
      </c>
      <c r="AS89" s="20" t="str" cm="1">
        <f t="array" aca="1" ref="AS89" ca="1">IF(AR89="","",IF(AR89&lt;&gt;AR88,1,IF(AS88=misLíneas-2,0,AS88+1)))</f>
        <v/>
      </c>
      <c r="AT89" s="20" t="str" cm="1">
        <f t="array" aca="1" ref="AT89" ca="1">IF(OR(AS89=0,AS89=""),"",INDEX(misCriticidades,AR89)&amp;"-"&amp;IFERROR(MATCH(AS89,miOrdenTarjeta,0),0))</f>
        <v/>
      </c>
      <c r="AU89" s="19" t="str">
        <f ca="1"/>
        <v/>
      </c>
      <c r="AV89" s="20">
        <f t="shared" ca="1" si="44"/>
        <v>1</v>
      </c>
      <c r="AW89" s="20" t="str">
        <f t="shared" ca="1" si="35"/>
        <v/>
      </c>
      <c r="AX89" s="20" t="str" cm="1">
        <f t="array" aca="1" ref="AX89" ca="1">IF(AW89="","",IF(AW89&lt;&gt;AW88,1,IF(AX88=misLíneas-2,0,AX88+1)))</f>
        <v/>
      </c>
      <c r="AY89" s="20" t="str" cm="1">
        <f t="array" aca="1" ref="AY89" ca="1">IF(OR(AX89=0,AX89=""),"",INDEX(misCriticidades,AW89)&amp;"-"&amp;IFERROR(MATCH(AX89,miOrdenTarjeta,0),0))</f>
        <v/>
      </c>
    </row>
    <row r="90" spans="2:51" x14ac:dyDescent="0.25">
      <c r="B90" s="19" t="str">
        <f ca="1"/>
        <v/>
      </c>
      <c r="C90" s="20">
        <f t="shared" ca="1" si="45"/>
        <v>1</v>
      </c>
      <c r="D90" s="20" t="str">
        <f t="shared" ca="1" si="26"/>
        <v/>
      </c>
      <c r="E90" s="20" t="str" cm="1">
        <f t="array" aca="1" ref="E90" ca="1">IF(D90="","",IF(D90&lt;&gt;D89,1,IF(E89=misLíneas-2,0,E89+1)))</f>
        <v/>
      </c>
      <c r="F90" s="20" t="str" cm="1">
        <f t="array" aca="1" ref="F90" ca="1">IF(OR(E90=0,E90=""),"",INDEX(misCriticidades,D90)&amp;"-"&amp;IFERROR(MATCH(E90,miOrdenTarjeta,0),0))</f>
        <v/>
      </c>
      <c r="G90" s="19" t="str">
        <f ca="1"/>
        <v/>
      </c>
      <c r="H90" s="20">
        <f t="shared" ca="1" si="36"/>
        <v>7</v>
      </c>
      <c r="I90" s="20" t="str">
        <f t="shared" ca="1" si="27"/>
        <v/>
      </c>
      <c r="J90" s="20" t="str" cm="1">
        <f t="array" aca="1" ref="J90" ca="1">IF(I90="","",IF(I90&lt;&gt;I89,1,IF(J89=misLíneas-2,0,J89+1)))</f>
        <v/>
      </c>
      <c r="K90" s="20" t="str" cm="1">
        <f t="array" aca="1" ref="K90" ca="1">IF(OR(J90=0,J90=""),"",INDEX(misCriticidades,I90)&amp;"-"&amp;IFERROR(MATCH(J90,miOrdenTarjeta,0),0))</f>
        <v/>
      </c>
      <c r="L90" s="19" t="str">
        <f ca="1"/>
        <v/>
      </c>
      <c r="M90" s="20">
        <f t="shared" ca="1" si="37"/>
        <v>1</v>
      </c>
      <c r="N90" s="20" t="str">
        <f t="shared" ca="1" si="28"/>
        <v/>
      </c>
      <c r="O90" s="20" t="str" cm="1">
        <f t="array" aca="1" ref="O90" ca="1">IF(N90="","",IF(N90&lt;&gt;N89,1,IF(O89=misLíneas-2,0,O89+1)))</f>
        <v/>
      </c>
      <c r="P90" s="20" t="str" cm="1">
        <f t="array" aca="1" ref="P90" ca="1">IF(OR(O90=0,O90=""),"",INDEX(misCriticidades,N90)&amp;"-"&amp;IFERROR(MATCH(O90,miOrdenTarjeta,0),0))</f>
        <v/>
      </c>
      <c r="Q90" s="19" t="str">
        <f ca="1"/>
        <v/>
      </c>
      <c r="R90" s="20">
        <f t="shared" ca="1" si="38"/>
        <v>9</v>
      </c>
      <c r="S90" s="20">
        <f t="shared" ca="1" si="29"/>
        <v>21</v>
      </c>
      <c r="T90" s="20" cm="1">
        <f t="array" aca="1" ref="T90" ca="1">IF(S90="","",IF(S90&lt;&gt;S89,1,IF(T89=misLíneas-2,0,T89+1)))</f>
        <v>8</v>
      </c>
      <c r="U90" s="20" t="str" cm="1">
        <f t="array" aca="1" ref="U90" ca="1">IF(OR(T90=0,T90=""),"",INDEX(misCriticidades,S90)&amp;"-"&amp;IFERROR(MATCH(T90,miOrdenTarjeta,0),0))</f>
        <v>2-8</v>
      </c>
      <c r="V90" s="19" t="str">
        <f ca="1"/>
        <v/>
      </c>
      <c r="W90" s="20">
        <f t="shared" ca="1" si="39"/>
        <v>1</v>
      </c>
      <c r="X90" s="20" t="str">
        <f t="shared" ca="1" si="30"/>
        <v/>
      </c>
      <c r="Y90" s="20" t="str" cm="1">
        <f t="array" aca="1" ref="Y90" ca="1">IF(X90="","",IF(X90&lt;&gt;X89,1,IF(Y89=misLíneas-2,0,Y89+1)))</f>
        <v/>
      </c>
      <c r="Z90" s="20" t="str" cm="1">
        <f t="array" aca="1" ref="Z90" ca="1">IF(OR(Y90=0,Y90=""),"",INDEX(misCriticidades,X90)&amp;"-"&amp;IFERROR(MATCH(Y90,miOrdenTarjeta,0),0))</f>
        <v/>
      </c>
      <c r="AA90" s="19" t="str">
        <f ca="1"/>
        <v/>
      </c>
      <c r="AB90" s="20">
        <f t="shared" ca="1" si="40"/>
        <v>1</v>
      </c>
      <c r="AC90" s="20" t="str">
        <f t="shared" ca="1" si="31"/>
        <v/>
      </c>
      <c r="AD90" s="20" t="str" cm="1">
        <f t="array" aca="1" ref="AD90" ca="1">IF(AC90="","",IF(AC90&lt;&gt;AC89,1,IF(AD89=misLíneas-2,0,AD89+1)))</f>
        <v/>
      </c>
      <c r="AE90" s="20" t="str" cm="1">
        <f t="array" aca="1" ref="AE90" ca="1">IF(OR(AD90=0,AD90=""),"",INDEX(misCriticidades,AC90)&amp;"-"&amp;IFERROR(MATCH(AD90,miOrdenTarjeta,0),0))</f>
        <v/>
      </c>
      <c r="AF90" s="19" t="str">
        <f ca="1"/>
        <v/>
      </c>
      <c r="AG90" s="20">
        <f t="shared" ca="1" si="41"/>
        <v>1</v>
      </c>
      <c r="AH90" s="20" t="str">
        <f t="shared" ca="1" si="32"/>
        <v/>
      </c>
      <c r="AI90" s="20" t="str" cm="1">
        <f t="array" aca="1" ref="AI90" ca="1">IF(AH90="","",IF(AH90&lt;&gt;AH89,1,IF(AI89=misLíneas-2,0,AI89+1)))</f>
        <v/>
      </c>
      <c r="AJ90" s="20" t="str" cm="1">
        <f t="array" aca="1" ref="AJ90" ca="1">IF(OR(AI90=0,AI90=""),"",INDEX(misCriticidades,AH90)&amp;"-"&amp;IFERROR(MATCH(AI90,miOrdenTarjeta,0),0))</f>
        <v/>
      </c>
      <c r="AK90" s="19" t="str">
        <f ca="1"/>
        <v/>
      </c>
      <c r="AL90" s="20">
        <f t="shared" ca="1" si="42"/>
        <v>1</v>
      </c>
      <c r="AM90" s="20" t="str">
        <f t="shared" ca="1" si="33"/>
        <v/>
      </c>
      <c r="AN90" s="20" t="str" cm="1">
        <f t="array" aca="1" ref="AN90" ca="1">IF(AM90="","",IF(AM90&lt;&gt;AM89,1,IF(AN89=misLíneas-2,0,AN89+1)))</f>
        <v/>
      </c>
      <c r="AO90" s="20" t="str" cm="1">
        <f t="array" aca="1" ref="AO90" ca="1">IF(OR(AN90=0,AN90=""),"",INDEX(misCriticidades,AM90)&amp;"-"&amp;IFERROR(MATCH(AN90,miOrdenTarjeta,0),0))</f>
        <v/>
      </c>
      <c r="AP90" s="19" t="str">
        <f ca="1"/>
        <v/>
      </c>
      <c r="AQ90" s="20">
        <f t="shared" ca="1" si="43"/>
        <v>1</v>
      </c>
      <c r="AR90" s="20" t="str">
        <f t="shared" ca="1" si="34"/>
        <v/>
      </c>
      <c r="AS90" s="20" t="str" cm="1">
        <f t="array" aca="1" ref="AS90" ca="1">IF(AR90="","",IF(AR90&lt;&gt;AR89,1,IF(AS89=misLíneas-2,0,AS89+1)))</f>
        <v/>
      </c>
      <c r="AT90" s="20" t="str" cm="1">
        <f t="array" aca="1" ref="AT90" ca="1">IF(OR(AS90=0,AS90=""),"",INDEX(misCriticidades,AR90)&amp;"-"&amp;IFERROR(MATCH(AS90,miOrdenTarjeta,0),0))</f>
        <v/>
      </c>
      <c r="AU90" s="19" t="str">
        <f ca="1"/>
        <v/>
      </c>
      <c r="AV90" s="20">
        <f t="shared" ca="1" si="44"/>
        <v>1</v>
      </c>
      <c r="AW90" s="20" t="str">
        <f t="shared" ca="1" si="35"/>
        <v/>
      </c>
      <c r="AX90" s="20" t="str" cm="1">
        <f t="array" aca="1" ref="AX90" ca="1">IF(AW90="","",IF(AW90&lt;&gt;AW89,1,IF(AX89=misLíneas-2,0,AX89+1)))</f>
        <v/>
      </c>
      <c r="AY90" s="20" t="str" cm="1">
        <f t="array" aca="1" ref="AY90" ca="1">IF(OR(AX90=0,AX90=""),"",INDEX(misCriticidades,AW90)&amp;"-"&amp;IFERROR(MATCH(AX90,miOrdenTarjeta,0),0))</f>
        <v/>
      </c>
    </row>
    <row r="91" spans="2:51" x14ac:dyDescent="0.25">
      <c r="B91" s="19" t="str">
        <f ca="1"/>
        <v/>
      </c>
      <c r="C91" s="20">
        <f t="shared" ca="1" si="45"/>
        <v>1</v>
      </c>
      <c r="D91" s="20" t="str">
        <f t="shared" ca="1" si="26"/>
        <v/>
      </c>
      <c r="E91" s="20" t="str" cm="1">
        <f t="array" aca="1" ref="E91" ca="1">IF(D91="","",IF(D91&lt;&gt;D90,1,IF(E90=misLíneas-2,0,E90+1)))</f>
        <v/>
      </c>
      <c r="F91" s="20" t="str" cm="1">
        <f t="array" aca="1" ref="F91" ca="1">IF(OR(E91=0,E91=""),"",INDEX(misCriticidades,D91)&amp;"-"&amp;IFERROR(MATCH(E91,miOrdenTarjeta,0),0))</f>
        <v/>
      </c>
      <c r="G91" s="19" t="str">
        <f ca="1"/>
        <v/>
      </c>
      <c r="H91" s="20">
        <f t="shared" ca="1" si="36"/>
        <v>7</v>
      </c>
      <c r="I91" s="20" t="str">
        <f t="shared" ca="1" si="27"/>
        <v/>
      </c>
      <c r="J91" s="20" t="str" cm="1">
        <f t="array" aca="1" ref="J91" ca="1">IF(I91="","",IF(I91&lt;&gt;I90,1,IF(J90=misLíneas-2,0,J90+1)))</f>
        <v/>
      </c>
      <c r="K91" s="20" t="str" cm="1">
        <f t="array" aca="1" ref="K91" ca="1">IF(OR(J91=0,J91=""),"",INDEX(misCriticidades,I91)&amp;"-"&amp;IFERROR(MATCH(J91,miOrdenTarjeta,0),0))</f>
        <v/>
      </c>
      <c r="L91" s="19" t="str">
        <f ca="1"/>
        <v/>
      </c>
      <c r="M91" s="20">
        <f t="shared" ca="1" si="37"/>
        <v>1</v>
      </c>
      <c r="N91" s="20" t="str">
        <f t="shared" ca="1" si="28"/>
        <v/>
      </c>
      <c r="O91" s="20" t="str" cm="1">
        <f t="array" aca="1" ref="O91" ca="1">IF(N91="","",IF(N91&lt;&gt;N90,1,IF(O90=misLíneas-2,0,O90+1)))</f>
        <v/>
      </c>
      <c r="P91" s="20" t="str" cm="1">
        <f t="array" aca="1" ref="P91" ca="1">IF(OR(O91=0,O91=""),"",INDEX(misCriticidades,N91)&amp;"-"&amp;IFERROR(MATCH(O91,miOrdenTarjeta,0),0))</f>
        <v/>
      </c>
      <c r="Q91" s="19" t="str">
        <f ca="1"/>
        <v/>
      </c>
      <c r="R91" s="20">
        <f t="shared" ca="1" si="38"/>
        <v>9</v>
      </c>
      <c r="S91" s="20">
        <f t="shared" ca="1" si="29"/>
        <v>21</v>
      </c>
      <c r="T91" s="20" cm="1">
        <f t="array" aca="1" ref="T91" ca="1">IF(S91="","",IF(S91&lt;&gt;S90,1,IF(T90=misLíneas-2,0,T90+1)))</f>
        <v>9</v>
      </c>
      <c r="U91" s="20" t="str" cm="1">
        <f t="array" aca="1" ref="U91" ca="1">IF(OR(T91=0,T91=""),"",INDEX(misCriticidades,S91)&amp;"-"&amp;IFERROR(MATCH(T91,miOrdenTarjeta,0),0))</f>
        <v>2-0</v>
      </c>
      <c r="V91" s="19" t="str">
        <f ca="1"/>
        <v/>
      </c>
      <c r="W91" s="20">
        <f t="shared" ca="1" si="39"/>
        <v>1</v>
      </c>
      <c r="X91" s="20" t="str">
        <f t="shared" ca="1" si="30"/>
        <v/>
      </c>
      <c r="Y91" s="20" t="str" cm="1">
        <f t="array" aca="1" ref="Y91" ca="1">IF(X91="","",IF(X91&lt;&gt;X90,1,IF(Y90=misLíneas-2,0,Y90+1)))</f>
        <v/>
      </c>
      <c r="Z91" s="20" t="str" cm="1">
        <f t="array" aca="1" ref="Z91" ca="1">IF(OR(Y91=0,Y91=""),"",INDEX(misCriticidades,X91)&amp;"-"&amp;IFERROR(MATCH(Y91,miOrdenTarjeta,0),0))</f>
        <v/>
      </c>
      <c r="AA91" s="19" t="str">
        <f ca="1"/>
        <v/>
      </c>
      <c r="AB91" s="20">
        <f t="shared" ca="1" si="40"/>
        <v>1</v>
      </c>
      <c r="AC91" s="20" t="str">
        <f t="shared" ca="1" si="31"/>
        <v/>
      </c>
      <c r="AD91" s="20" t="str" cm="1">
        <f t="array" aca="1" ref="AD91" ca="1">IF(AC91="","",IF(AC91&lt;&gt;AC90,1,IF(AD90=misLíneas-2,0,AD90+1)))</f>
        <v/>
      </c>
      <c r="AE91" s="20" t="str" cm="1">
        <f t="array" aca="1" ref="AE91" ca="1">IF(OR(AD91=0,AD91=""),"",INDEX(misCriticidades,AC91)&amp;"-"&amp;IFERROR(MATCH(AD91,miOrdenTarjeta,0),0))</f>
        <v/>
      </c>
      <c r="AF91" s="19" t="str">
        <f ca="1"/>
        <v/>
      </c>
      <c r="AG91" s="20">
        <f t="shared" ca="1" si="41"/>
        <v>1</v>
      </c>
      <c r="AH91" s="20" t="str">
        <f t="shared" ca="1" si="32"/>
        <v/>
      </c>
      <c r="AI91" s="20" t="str" cm="1">
        <f t="array" aca="1" ref="AI91" ca="1">IF(AH91="","",IF(AH91&lt;&gt;AH90,1,IF(AI90=misLíneas-2,0,AI90+1)))</f>
        <v/>
      </c>
      <c r="AJ91" s="20" t="str" cm="1">
        <f t="array" aca="1" ref="AJ91" ca="1">IF(OR(AI91=0,AI91=""),"",INDEX(misCriticidades,AH91)&amp;"-"&amp;IFERROR(MATCH(AI91,miOrdenTarjeta,0),0))</f>
        <v/>
      </c>
      <c r="AK91" s="19" t="str">
        <f ca="1"/>
        <v/>
      </c>
      <c r="AL91" s="20">
        <f t="shared" ca="1" si="42"/>
        <v>1</v>
      </c>
      <c r="AM91" s="20" t="str">
        <f t="shared" ca="1" si="33"/>
        <v/>
      </c>
      <c r="AN91" s="20" t="str" cm="1">
        <f t="array" aca="1" ref="AN91" ca="1">IF(AM91="","",IF(AM91&lt;&gt;AM90,1,IF(AN90=misLíneas-2,0,AN90+1)))</f>
        <v/>
      </c>
      <c r="AO91" s="20" t="str" cm="1">
        <f t="array" aca="1" ref="AO91" ca="1">IF(OR(AN91=0,AN91=""),"",INDEX(misCriticidades,AM91)&amp;"-"&amp;IFERROR(MATCH(AN91,miOrdenTarjeta,0),0))</f>
        <v/>
      </c>
      <c r="AP91" s="19" t="str">
        <f ca="1"/>
        <v/>
      </c>
      <c r="AQ91" s="20">
        <f t="shared" ca="1" si="43"/>
        <v>1</v>
      </c>
      <c r="AR91" s="20" t="str">
        <f t="shared" ca="1" si="34"/>
        <v/>
      </c>
      <c r="AS91" s="20" t="str" cm="1">
        <f t="array" aca="1" ref="AS91" ca="1">IF(AR91="","",IF(AR91&lt;&gt;AR90,1,IF(AS90=misLíneas-2,0,AS90+1)))</f>
        <v/>
      </c>
      <c r="AT91" s="20" t="str" cm="1">
        <f t="array" aca="1" ref="AT91" ca="1">IF(OR(AS91=0,AS91=""),"",INDEX(misCriticidades,AR91)&amp;"-"&amp;IFERROR(MATCH(AS91,miOrdenTarjeta,0),0))</f>
        <v/>
      </c>
      <c r="AU91" s="19" t="str">
        <f ca="1"/>
        <v/>
      </c>
      <c r="AV91" s="20">
        <f t="shared" ca="1" si="44"/>
        <v>1</v>
      </c>
      <c r="AW91" s="20" t="str">
        <f t="shared" ca="1" si="35"/>
        <v/>
      </c>
      <c r="AX91" s="20" t="str" cm="1">
        <f t="array" aca="1" ref="AX91" ca="1">IF(AW91="","",IF(AW91&lt;&gt;AW90,1,IF(AX90=misLíneas-2,0,AX90+1)))</f>
        <v/>
      </c>
      <c r="AY91" s="20" t="str" cm="1">
        <f t="array" aca="1" ref="AY91" ca="1">IF(OR(AX91=0,AX91=""),"",INDEX(misCriticidades,AW91)&amp;"-"&amp;IFERROR(MATCH(AX91,miOrdenTarjeta,0),0))</f>
        <v/>
      </c>
    </row>
    <row r="92" spans="2:51" x14ac:dyDescent="0.25">
      <c r="B92" s="19" t="str">
        <f ca="1"/>
        <v/>
      </c>
      <c r="C92" s="20">
        <f t="shared" ca="1" si="45"/>
        <v>1</v>
      </c>
      <c r="D92" s="20" t="str">
        <f t="shared" ca="1" si="26"/>
        <v/>
      </c>
      <c r="E92" s="20" t="str" cm="1">
        <f t="array" aca="1" ref="E92" ca="1">IF(D92="","",IF(D92&lt;&gt;D91,1,IF(E91=misLíneas-2,0,E91+1)))</f>
        <v/>
      </c>
      <c r="F92" s="20" t="str" cm="1">
        <f t="array" aca="1" ref="F92" ca="1">IF(OR(E92=0,E92=""),"",INDEX(misCriticidades,D92)&amp;"-"&amp;IFERROR(MATCH(E92,miOrdenTarjeta,0),0))</f>
        <v/>
      </c>
      <c r="G92" s="19" t="str">
        <f ca="1"/>
        <v/>
      </c>
      <c r="H92" s="20">
        <f t="shared" ca="1" si="36"/>
        <v>7</v>
      </c>
      <c r="I92" s="20" t="str">
        <f t="shared" ca="1" si="27"/>
        <v/>
      </c>
      <c r="J92" s="20" t="str" cm="1">
        <f t="array" aca="1" ref="J92" ca="1">IF(I92="","",IF(I92&lt;&gt;I91,1,IF(J91=misLíneas-2,0,J91+1)))</f>
        <v/>
      </c>
      <c r="K92" s="20" t="str" cm="1">
        <f t="array" aca="1" ref="K92" ca="1">IF(OR(J92=0,J92=""),"",INDEX(misCriticidades,I92)&amp;"-"&amp;IFERROR(MATCH(J92,miOrdenTarjeta,0),0))</f>
        <v/>
      </c>
      <c r="L92" s="19" t="str">
        <f ca="1"/>
        <v/>
      </c>
      <c r="M92" s="20">
        <f t="shared" ca="1" si="37"/>
        <v>1</v>
      </c>
      <c r="N92" s="20" t="str">
        <f t="shared" ca="1" si="28"/>
        <v/>
      </c>
      <c r="O92" s="20" t="str" cm="1">
        <f t="array" aca="1" ref="O92" ca="1">IF(N92="","",IF(N92&lt;&gt;N91,1,IF(O91=misLíneas-2,0,O91+1)))</f>
        <v/>
      </c>
      <c r="P92" s="20" t="str" cm="1">
        <f t="array" aca="1" ref="P92" ca="1">IF(OR(O92=0,O92=""),"",INDEX(misCriticidades,N92)&amp;"-"&amp;IFERROR(MATCH(O92,miOrdenTarjeta,0),0))</f>
        <v/>
      </c>
      <c r="Q92" s="19" t="str">
        <f ca="1"/>
        <v/>
      </c>
      <c r="R92" s="20">
        <f t="shared" ca="1" si="38"/>
        <v>9</v>
      </c>
      <c r="S92" s="20">
        <f t="shared" ca="1" si="29"/>
        <v>21</v>
      </c>
      <c r="T92" s="20" cm="1">
        <f t="array" aca="1" ref="T92" ca="1">IF(S92="","",IF(S92&lt;&gt;S91,1,IF(T91=misLíneas-2,0,T91+1)))</f>
        <v>0</v>
      </c>
      <c r="U92" s="20" t="str" cm="1">
        <f t="array" aca="1" ref="U92" ca="1">IF(OR(T92=0,T92=""),"",INDEX(misCriticidades,S92)&amp;"-"&amp;IFERROR(MATCH(T92,miOrdenTarjeta,0),0))</f>
        <v/>
      </c>
      <c r="V92" s="19" t="str">
        <f ca="1"/>
        <v/>
      </c>
      <c r="W92" s="20">
        <f t="shared" ca="1" si="39"/>
        <v>1</v>
      </c>
      <c r="X92" s="20" t="str">
        <f t="shared" ca="1" si="30"/>
        <v/>
      </c>
      <c r="Y92" s="20" t="str" cm="1">
        <f t="array" aca="1" ref="Y92" ca="1">IF(X92="","",IF(X92&lt;&gt;X91,1,IF(Y91=misLíneas-2,0,Y91+1)))</f>
        <v/>
      </c>
      <c r="Z92" s="20" t="str" cm="1">
        <f t="array" aca="1" ref="Z92" ca="1">IF(OR(Y92=0,Y92=""),"",INDEX(misCriticidades,X92)&amp;"-"&amp;IFERROR(MATCH(Y92,miOrdenTarjeta,0),0))</f>
        <v/>
      </c>
      <c r="AA92" s="19" t="str">
        <f ca="1"/>
        <v/>
      </c>
      <c r="AB92" s="20">
        <f t="shared" ca="1" si="40"/>
        <v>1</v>
      </c>
      <c r="AC92" s="20" t="str">
        <f t="shared" ca="1" si="31"/>
        <v/>
      </c>
      <c r="AD92" s="20" t="str" cm="1">
        <f t="array" aca="1" ref="AD92" ca="1">IF(AC92="","",IF(AC92&lt;&gt;AC91,1,IF(AD91=misLíneas-2,0,AD91+1)))</f>
        <v/>
      </c>
      <c r="AE92" s="20" t="str" cm="1">
        <f t="array" aca="1" ref="AE92" ca="1">IF(OR(AD92=0,AD92=""),"",INDEX(misCriticidades,AC92)&amp;"-"&amp;IFERROR(MATCH(AD92,miOrdenTarjeta,0),0))</f>
        <v/>
      </c>
      <c r="AF92" s="19" t="str">
        <f ca="1"/>
        <v/>
      </c>
      <c r="AG92" s="20">
        <f t="shared" ca="1" si="41"/>
        <v>1</v>
      </c>
      <c r="AH92" s="20" t="str">
        <f t="shared" ca="1" si="32"/>
        <v/>
      </c>
      <c r="AI92" s="20" t="str" cm="1">
        <f t="array" aca="1" ref="AI92" ca="1">IF(AH92="","",IF(AH92&lt;&gt;AH91,1,IF(AI91=misLíneas-2,0,AI91+1)))</f>
        <v/>
      </c>
      <c r="AJ92" s="20" t="str" cm="1">
        <f t="array" aca="1" ref="AJ92" ca="1">IF(OR(AI92=0,AI92=""),"",INDEX(misCriticidades,AH92)&amp;"-"&amp;IFERROR(MATCH(AI92,miOrdenTarjeta,0),0))</f>
        <v/>
      </c>
      <c r="AK92" s="19" t="str">
        <f ca="1"/>
        <v/>
      </c>
      <c r="AL92" s="20">
        <f t="shared" ca="1" si="42"/>
        <v>1</v>
      </c>
      <c r="AM92" s="20" t="str">
        <f t="shared" ca="1" si="33"/>
        <v/>
      </c>
      <c r="AN92" s="20" t="str" cm="1">
        <f t="array" aca="1" ref="AN92" ca="1">IF(AM92="","",IF(AM92&lt;&gt;AM91,1,IF(AN91=misLíneas-2,0,AN91+1)))</f>
        <v/>
      </c>
      <c r="AO92" s="20" t="str" cm="1">
        <f t="array" aca="1" ref="AO92" ca="1">IF(OR(AN92=0,AN92=""),"",INDEX(misCriticidades,AM92)&amp;"-"&amp;IFERROR(MATCH(AN92,miOrdenTarjeta,0),0))</f>
        <v/>
      </c>
      <c r="AP92" s="19" t="str">
        <f ca="1"/>
        <v/>
      </c>
      <c r="AQ92" s="20">
        <f t="shared" ca="1" si="43"/>
        <v>1</v>
      </c>
      <c r="AR92" s="20" t="str">
        <f t="shared" ca="1" si="34"/>
        <v/>
      </c>
      <c r="AS92" s="20" t="str" cm="1">
        <f t="array" aca="1" ref="AS92" ca="1">IF(AR92="","",IF(AR92&lt;&gt;AR91,1,IF(AS91=misLíneas-2,0,AS91+1)))</f>
        <v/>
      </c>
      <c r="AT92" s="20" t="str" cm="1">
        <f t="array" aca="1" ref="AT92" ca="1">IF(OR(AS92=0,AS92=""),"",INDEX(misCriticidades,AR92)&amp;"-"&amp;IFERROR(MATCH(AS92,miOrdenTarjeta,0),0))</f>
        <v/>
      </c>
      <c r="AU92" s="19" t="str">
        <f ca="1"/>
        <v/>
      </c>
      <c r="AV92" s="20">
        <f t="shared" ca="1" si="44"/>
        <v>1</v>
      </c>
      <c r="AW92" s="20" t="str">
        <f t="shared" ca="1" si="35"/>
        <v/>
      </c>
      <c r="AX92" s="20" t="str" cm="1">
        <f t="array" aca="1" ref="AX92" ca="1">IF(AW92="","",IF(AW92&lt;&gt;AW91,1,IF(AX91=misLíneas-2,0,AX91+1)))</f>
        <v/>
      </c>
      <c r="AY92" s="20" t="str" cm="1">
        <f t="array" aca="1" ref="AY92" ca="1">IF(OR(AX92=0,AX92=""),"",INDEX(misCriticidades,AW92)&amp;"-"&amp;IFERROR(MATCH(AX92,miOrdenTarjeta,0),0))</f>
        <v/>
      </c>
    </row>
    <row r="93" spans="2:51" x14ac:dyDescent="0.25">
      <c r="B93" s="19" t="str">
        <f ca="1"/>
        <v/>
      </c>
      <c r="C93" s="20">
        <f t="shared" ca="1" si="45"/>
        <v>1</v>
      </c>
      <c r="D93" s="20" t="str">
        <f t="shared" ca="1" si="26"/>
        <v/>
      </c>
      <c r="E93" s="20" t="str" cm="1">
        <f t="array" aca="1" ref="E93" ca="1">IF(D93="","",IF(D93&lt;&gt;D92,1,IF(E92=misLíneas-2,0,E92+1)))</f>
        <v/>
      </c>
      <c r="F93" s="20" t="str" cm="1">
        <f t="array" aca="1" ref="F93" ca="1">IF(OR(E93=0,E93=""),"",INDEX(misCriticidades,D93)&amp;"-"&amp;IFERROR(MATCH(E93,miOrdenTarjeta,0),0))</f>
        <v/>
      </c>
      <c r="G93" s="19" t="str">
        <f ca="1"/>
        <v/>
      </c>
      <c r="H93" s="20">
        <f t="shared" ca="1" si="36"/>
        <v>7</v>
      </c>
      <c r="I93" s="20" t="str">
        <f t="shared" ca="1" si="27"/>
        <v/>
      </c>
      <c r="J93" s="20" t="str" cm="1">
        <f t="array" aca="1" ref="J93" ca="1">IF(I93="","",IF(I93&lt;&gt;I92,1,IF(J92=misLíneas-2,0,J92+1)))</f>
        <v/>
      </c>
      <c r="K93" s="20" t="str" cm="1">
        <f t="array" aca="1" ref="K93" ca="1">IF(OR(J93=0,J93=""),"",INDEX(misCriticidades,I93)&amp;"-"&amp;IFERROR(MATCH(J93,miOrdenTarjeta,0),0))</f>
        <v/>
      </c>
      <c r="L93" s="19" t="str">
        <f ca="1"/>
        <v/>
      </c>
      <c r="M93" s="20">
        <f t="shared" ca="1" si="37"/>
        <v>1</v>
      </c>
      <c r="N93" s="20" t="str">
        <f t="shared" ca="1" si="28"/>
        <v/>
      </c>
      <c r="O93" s="20" t="str" cm="1">
        <f t="array" aca="1" ref="O93" ca="1">IF(N93="","",IF(N93&lt;&gt;N92,1,IF(O92=misLíneas-2,0,O92+1)))</f>
        <v/>
      </c>
      <c r="P93" s="20" t="str" cm="1">
        <f t="array" aca="1" ref="P93" ca="1">IF(OR(O93=0,O93=""),"",INDEX(misCriticidades,N93)&amp;"-"&amp;IFERROR(MATCH(O93,miOrdenTarjeta,0),0))</f>
        <v/>
      </c>
      <c r="Q93" s="19" t="str">
        <f ca="1"/>
        <v/>
      </c>
      <c r="R93" s="20">
        <f t="shared" ca="1" si="38"/>
        <v>10</v>
      </c>
      <c r="S93" s="20">
        <f t="shared" ca="1" si="29"/>
        <v>20</v>
      </c>
      <c r="T93" s="20" cm="1">
        <f t="array" aca="1" ref="T93" ca="1">IF(S93="","",IF(S93&lt;&gt;S92,1,IF(T92=misLíneas-2,0,T92+1)))</f>
        <v>1</v>
      </c>
      <c r="U93" s="20" t="str" cm="1">
        <f t="array" aca="1" ref="U93" ca="1">IF(OR(T93=0,T93=""),"",INDEX(misCriticidades,S93)&amp;"-"&amp;IFERROR(MATCH(T93,miOrdenTarjeta,0),0))</f>
        <v>2-1</v>
      </c>
      <c r="V93" s="19" t="str">
        <f ca="1"/>
        <v/>
      </c>
      <c r="W93" s="20">
        <f t="shared" ca="1" si="39"/>
        <v>1</v>
      </c>
      <c r="X93" s="20" t="str">
        <f t="shared" ca="1" si="30"/>
        <v/>
      </c>
      <c r="Y93" s="20" t="str" cm="1">
        <f t="array" aca="1" ref="Y93" ca="1">IF(X93="","",IF(X93&lt;&gt;X92,1,IF(Y92=misLíneas-2,0,Y92+1)))</f>
        <v/>
      </c>
      <c r="Z93" s="20" t="str" cm="1">
        <f t="array" aca="1" ref="Z93" ca="1">IF(OR(Y93=0,Y93=""),"",INDEX(misCriticidades,X93)&amp;"-"&amp;IFERROR(MATCH(Y93,miOrdenTarjeta,0),0))</f>
        <v/>
      </c>
      <c r="AA93" s="19" t="str">
        <f ca="1"/>
        <v/>
      </c>
      <c r="AB93" s="20">
        <f t="shared" ca="1" si="40"/>
        <v>1</v>
      </c>
      <c r="AC93" s="20" t="str">
        <f t="shared" ca="1" si="31"/>
        <v/>
      </c>
      <c r="AD93" s="20" t="str" cm="1">
        <f t="array" aca="1" ref="AD93" ca="1">IF(AC93="","",IF(AC93&lt;&gt;AC92,1,IF(AD92=misLíneas-2,0,AD92+1)))</f>
        <v/>
      </c>
      <c r="AE93" s="20" t="str" cm="1">
        <f t="array" aca="1" ref="AE93" ca="1">IF(OR(AD93=0,AD93=""),"",INDEX(misCriticidades,AC93)&amp;"-"&amp;IFERROR(MATCH(AD93,miOrdenTarjeta,0),0))</f>
        <v/>
      </c>
      <c r="AF93" s="19" t="str">
        <f ca="1"/>
        <v/>
      </c>
      <c r="AG93" s="20">
        <f t="shared" ca="1" si="41"/>
        <v>1</v>
      </c>
      <c r="AH93" s="20" t="str">
        <f t="shared" ca="1" si="32"/>
        <v/>
      </c>
      <c r="AI93" s="20" t="str" cm="1">
        <f t="array" aca="1" ref="AI93" ca="1">IF(AH93="","",IF(AH93&lt;&gt;AH92,1,IF(AI92=misLíneas-2,0,AI92+1)))</f>
        <v/>
      </c>
      <c r="AJ93" s="20" t="str" cm="1">
        <f t="array" aca="1" ref="AJ93" ca="1">IF(OR(AI93=0,AI93=""),"",INDEX(misCriticidades,AH93)&amp;"-"&amp;IFERROR(MATCH(AI93,miOrdenTarjeta,0),0))</f>
        <v/>
      </c>
      <c r="AK93" s="19" t="str">
        <f ca="1"/>
        <v/>
      </c>
      <c r="AL93" s="20">
        <f t="shared" ca="1" si="42"/>
        <v>1</v>
      </c>
      <c r="AM93" s="20" t="str">
        <f t="shared" ca="1" si="33"/>
        <v/>
      </c>
      <c r="AN93" s="20" t="str" cm="1">
        <f t="array" aca="1" ref="AN93" ca="1">IF(AM93="","",IF(AM93&lt;&gt;AM92,1,IF(AN92=misLíneas-2,0,AN92+1)))</f>
        <v/>
      </c>
      <c r="AO93" s="20" t="str" cm="1">
        <f t="array" aca="1" ref="AO93" ca="1">IF(OR(AN93=0,AN93=""),"",INDEX(misCriticidades,AM93)&amp;"-"&amp;IFERROR(MATCH(AN93,miOrdenTarjeta,0),0))</f>
        <v/>
      </c>
      <c r="AP93" s="19" t="str">
        <f ca="1"/>
        <v/>
      </c>
      <c r="AQ93" s="20">
        <f t="shared" ca="1" si="43"/>
        <v>1</v>
      </c>
      <c r="AR93" s="20" t="str">
        <f t="shared" ca="1" si="34"/>
        <v/>
      </c>
      <c r="AS93" s="20" t="str" cm="1">
        <f t="array" aca="1" ref="AS93" ca="1">IF(AR93="","",IF(AR93&lt;&gt;AR92,1,IF(AS92=misLíneas-2,0,AS92+1)))</f>
        <v/>
      </c>
      <c r="AT93" s="20" t="str" cm="1">
        <f t="array" aca="1" ref="AT93" ca="1">IF(OR(AS93=0,AS93=""),"",INDEX(misCriticidades,AR93)&amp;"-"&amp;IFERROR(MATCH(AS93,miOrdenTarjeta,0),0))</f>
        <v/>
      </c>
      <c r="AU93" s="19" t="str">
        <f ca="1"/>
        <v/>
      </c>
      <c r="AV93" s="20">
        <f t="shared" ca="1" si="44"/>
        <v>1</v>
      </c>
      <c r="AW93" s="20" t="str">
        <f t="shared" ca="1" si="35"/>
        <v/>
      </c>
      <c r="AX93" s="20" t="str" cm="1">
        <f t="array" aca="1" ref="AX93" ca="1">IF(AW93="","",IF(AW93&lt;&gt;AW92,1,IF(AX92=misLíneas-2,0,AX92+1)))</f>
        <v/>
      </c>
      <c r="AY93" s="20" t="str" cm="1">
        <f t="array" aca="1" ref="AY93" ca="1">IF(OR(AX93=0,AX93=""),"",INDEX(misCriticidades,AW93)&amp;"-"&amp;IFERROR(MATCH(AX93,miOrdenTarjeta,0),0))</f>
        <v/>
      </c>
    </row>
    <row r="94" spans="2:51" x14ac:dyDescent="0.25">
      <c r="B94" s="19" t="str">
        <f ca="1"/>
        <v/>
      </c>
      <c r="C94" s="20">
        <f t="shared" ca="1" si="45"/>
        <v>1</v>
      </c>
      <c r="D94" s="20" t="str">
        <f t="shared" ca="1" si="26"/>
        <v/>
      </c>
      <c r="E94" s="20" t="str" cm="1">
        <f t="array" aca="1" ref="E94" ca="1">IF(D94="","",IF(D94&lt;&gt;D93,1,IF(E93=misLíneas-2,0,E93+1)))</f>
        <v/>
      </c>
      <c r="F94" s="20" t="str" cm="1">
        <f t="array" aca="1" ref="F94" ca="1">IF(OR(E94=0,E94=""),"",INDEX(misCriticidades,D94)&amp;"-"&amp;IFERROR(MATCH(E94,miOrdenTarjeta,0),0))</f>
        <v/>
      </c>
      <c r="G94" s="19" t="str">
        <f ca="1"/>
        <v/>
      </c>
      <c r="H94" s="20">
        <f t="shared" ca="1" si="36"/>
        <v>7</v>
      </c>
      <c r="I94" s="20" t="str">
        <f t="shared" ca="1" si="27"/>
        <v/>
      </c>
      <c r="J94" s="20" t="str" cm="1">
        <f t="array" aca="1" ref="J94" ca="1">IF(I94="","",IF(I94&lt;&gt;I93,1,IF(J93=misLíneas-2,0,J93+1)))</f>
        <v/>
      </c>
      <c r="K94" s="20" t="str" cm="1">
        <f t="array" aca="1" ref="K94" ca="1">IF(OR(J94=0,J94=""),"",INDEX(misCriticidades,I94)&amp;"-"&amp;IFERROR(MATCH(J94,miOrdenTarjeta,0),0))</f>
        <v/>
      </c>
      <c r="L94" s="19" t="str">
        <f ca="1"/>
        <v/>
      </c>
      <c r="M94" s="20">
        <f t="shared" ca="1" si="37"/>
        <v>1</v>
      </c>
      <c r="N94" s="20" t="str">
        <f t="shared" ca="1" si="28"/>
        <v/>
      </c>
      <c r="O94" s="20" t="str" cm="1">
        <f t="array" aca="1" ref="O94" ca="1">IF(N94="","",IF(N94&lt;&gt;N93,1,IF(O93=misLíneas-2,0,O93+1)))</f>
        <v/>
      </c>
      <c r="P94" s="20" t="str" cm="1">
        <f t="array" aca="1" ref="P94" ca="1">IF(OR(O94=0,O94=""),"",INDEX(misCriticidades,N94)&amp;"-"&amp;IFERROR(MATCH(O94,miOrdenTarjeta,0),0))</f>
        <v/>
      </c>
      <c r="Q94" s="19" t="str">
        <f ca="1"/>
        <v/>
      </c>
      <c r="R94" s="20">
        <f t="shared" ca="1" si="38"/>
        <v>10</v>
      </c>
      <c r="S94" s="20">
        <f t="shared" ca="1" si="29"/>
        <v>20</v>
      </c>
      <c r="T94" s="20" cm="1">
        <f t="array" aca="1" ref="T94" ca="1">IF(S94="","",IF(S94&lt;&gt;S93,1,IF(T93=misLíneas-2,0,T93+1)))</f>
        <v>2</v>
      </c>
      <c r="U94" s="20" t="str" cm="1">
        <f t="array" aca="1" ref="U94" ca="1">IF(OR(T94=0,T94=""),"",INDEX(misCriticidades,S94)&amp;"-"&amp;IFERROR(MATCH(T94,miOrdenTarjeta,0),0))</f>
        <v>2-2</v>
      </c>
      <c r="V94" s="19" t="str">
        <f ca="1"/>
        <v/>
      </c>
      <c r="W94" s="20">
        <f t="shared" ca="1" si="39"/>
        <v>1</v>
      </c>
      <c r="X94" s="20" t="str">
        <f t="shared" ca="1" si="30"/>
        <v/>
      </c>
      <c r="Y94" s="20" t="str" cm="1">
        <f t="array" aca="1" ref="Y94" ca="1">IF(X94="","",IF(X94&lt;&gt;X93,1,IF(Y93=misLíneas-2,0,Y93+1)))</f>
        <v/>
      </c>
      <c r="Z94" s="20" t="str" cm="1">
        <f t="array" aca="1" ref="Z94" ca="1">IF(OR(Y94=0,Y94=""),"",INDEX(misCriticidades,X94)&amp;"-"&amp;IFERROR(MATCH(Y94,miOrdenTarjeta,0),0))</f>
        <v/>
      </c>
      <c r="AA94" s="19" t="str">
        <f ca="1"/>
        <v/>
      </c>
      <c r="AB94" s="20">
        <f t="shared" ca="1" si="40"/>
        <v>1</v>
      </c>
      <c r="AC94" s="20" t="str">
        <f t="shared" ca="1" si="31"/>
        <v/>
      </c>
      <c r="AD94" s="20" t="str" cm="1">
        <f t="array" aca="1" ref="AD94" ca="1">IF(AC94="","",IF(AC94&lt;&gt;AC93,1,IF(AD93=misLíneas-2,0,AD93+1)))</f>
        <v/>
      </c>
      <c r="AE94" s="20" t="str" cm="1">
        <f t="array" aca="1" ref="AE94" ca="1">IF(OR(AD94=0,AD94=""),"",INDEX(misCriticidades,AC94)&amp;"-"&amp;IFERROR(MATCH(AD94,miOrdenTarjeta,0),0))</f>
        <v/>
      </c>
      <c r="AF94" s="19" t="str">
        <f ca="1"/>
        <v/>
      </c>
      <c r="AG94" s="20">
        <f t="shared" ca="1" si="41"/>
        <v>1</v>
      </c>
      <c r="AH94" s="20" t="str">
        <f t="shared" ca="1" si="32"/>
        <v/>
      </c>
      <c r="AI94" s="20" t="str" cm="1">
        <f t="array" aca="1" ref="AI94" ca="1">IF(AH94="","",IF(AH94&lt;&gt;AH93,1,IF(AI93=misLíneas-2,0,AI93+1)))</f>
        <v/>
      </c>
      <c r="AJ94" s="20" t="str" cm="1">
        <f t="array" aca="1" ref="AJ94" ca="1">IF(OR(AI94=0,AI94=""),"",INDEX(misCriticidades,AH94)&amp;"-"&amp;IFERROR(MATCH(AI94,miOrdenTarjeta,0),0))</f>
        <v/>
      </c>
      <c r="AK94" s="19" t="str">
        <f ca="1"/>
        <v/>
      </c>
      <c r="AL94" s="20">
        <f t="shared" ca="1" si="42"/>
        <v>1</v>
      </c>
      <c r="AM94" s="20" t="str">
        <f t="shared" ca="1" si="33"/>
        <v/>
      </c>
      <c r="AN94" s="20" t="str" cm="1">
        <f t="array" aca="1" ref="AN94" ca="1">IF(AM94="","",IF(AM94&lt;&gt;AM93,1,IF(AN93=misLíneas-2,0,AN93+1)))</f>
        <v/>
      </c>
      <c r="AO94" s="20" t="str" cm="1">
        <f t="array" aca="1" ref="AO94" ca="1">IF(OR(AN94=0,AN94=""),"",INDEX(misCriticidades,AM94)&amp;"-"&amp;IFERROR(MATCH(AN94,miOrdenTarjeta,0),0))</f>
        <v/>
      </c>
      <c r="AP94" s="19" t="str">
        <f ca="1"/>
        <v/>
      </c>
      <c r="AQ94" s="20">
        <f t="shared" ca="1" si="43"/>
        <v>1</v>
      </c>
      <c r="AR94" s="20" t="str">
        <f t="shared" ca="1" si="34"/>
        <v/>
      </c>
      <c r="AS94" s="20" t="str" cm="1">
        <f t="array" aca="1" ref="AS94" ca="1">IF(AR94="","",IF(AR94&lt;&gt;AR93,1,IF(AS93=misLíneas-2,0,AS93+1)))</f>
        <v/>
      </c>
      <c r="AT94" s="20" t="str" cm="1">
        <f t="array" aca="1" ref="AT94" ca="1">IF(OR(AS94=0,AS94=""),"",INDEX(misCriticidades,AR94)&amp;"-"&amp;IFERROR(MATCH(AS94,miOrdenTarjeta,0),0))</f>
        <v/>
      </c>
      <c r="AU94" s="19" t="str">
        <f ca="1"/>
        <v/>
      </c>
      <c r="AV94" s="20">
        <f t="shared" ca="1" si="44"/>
        <v>1</v>
      </c>
      <c r="AW94" s="20" t="str">
        <f t="shared" ca="1" si="35"/>
        <v/>
      </c>
      <c r="AX94" s="20" t="str" cm="1">
        <f t="array" aca="1" ref="AX94" ca="1">IF(AW94="","",IF(AW94&lt;&gt;AW93,1,IF(AX93=misLíneas-2,0,AX93+1)))</f>
        <v/>
      </c>
      <c r="AY94" s="20" t="str" cm="1">
        <f t="array" aca="1" ref="AY94" ca="1">IF(OR(AX94=0,AX94=""),"",INDEX(misCriticidades,AW94)&amp;"-"&amp;IFERROR(MATCH(AX94,miOrdenTarjeta,0),0))</f>
        <v/>
      </c>
    </row>
    <row r="95" spans="2:51" x14ac:dyDescent="0.25">
      <c r="B95" s="19" t="str">
        <f ca="1"/>
        <v/>
      </c>
      <c r="C95" s="20">
        <f t="shared" ca="1" si="45"/>
        <v>1</v>
      </c>
      <c r="D95" s="20" t="str">
        <f t="shared" ca="1" si="26"/>
        <v/>
      </c>
      <c r="E95" s="20" t="str" cm="1">
        <f t="array" aca="1" ref="E95" ca="1">IF(D95="","",IF(D95&lt;&gt;D94,1,IF(E94=misLíneas-2,0,E94+1)))</f>
        <v/>
      </c>
      <c r="F95" s="20" t="str" cm="1">
        <f t="array" aca="1" ref="F95" ca="1">IF(OR(E95=0,E95=""),"",INDEX(misCriticidades,D95)&amp;"-"&amp;IFERROR(MATCH(E95,miOrdenTarjeta,0),0))</f>
        <v/>
      </c>
      <c r="G95" s="19" t="str">
        <f ca="1"/>
        <v/>
      </c>
      <c r="H95" s="20">
        <f t="shared" ca="1" si="36"/>
        <v>7</v>
      </c>
      <c r="I95" s="20" t="str">
        <f t="shared" ca="1" si="27"/>
        <v/>
      </c>
      <c r="J95" s="20" t="str" cm="1">
        <f t="array" aca="1" ref="J95" ca="1">IF(I95="","",IF(I95&lt;&gt;I94,1,IF(J94=misLíneas-2,0,J94+1)))</f>
        <v/>
      </c>
      <c r="K95" s="20" t="str" cm="1">
        <f t="array" aca="1" ref="K95" ca="1">IF(OR(J95=0,J95=""),"",INDEX(misCriticidades,I95)&amp;"-"&amp;IFERROR(MATCH(J95,miOrdenTarjeta,0),0))</f>
        <v/>
      </c>
      <c r="L95" s="19" t="str">
        <f ca="1"/>
        <v/>
      </c>
      <c r="M95" s="20">
        <f t="shared" ca="1" si="37"/>
        <v>1</v>
      </c>
      <c r="N95" s="20" t="str">
        <f t="shared" ca="1" si="28"/>
        <v/>
      </c>
      <c r="O95" s="20" t="str" cm="1">
        <f t="array" aca="1" ref="O95" ca="1">IF(N95="","",IF(N95&lt;&gt;N94,1,IF(O94=misLíneas-2,0,O94+1)))</f>
        <v/>
      </c>
      <c r="P95" s="20" t="str" cm="1">
        <f t="array" aca="1" ref="P95" ca="1">IF(OR(O95=0,O95=""),"",INDEX(misCriticidades,N95)&amp;"-"&amp;IFERROR(MATCH(O95,miOrdenTarjeta,0),0))</f>
        <v/>
      </c>
      <c r="Q95" s="19" t="str">
        <f ca="1"/>
        <v/>
      </c>
      <c r="R95" s="20">
        <f t="shared" ca="1" si="38"/>
        <v>10</v>
      </c>
      <c r="S95" s="20">
        <f t="shared" ca="1" si="29"/>
        <v>20</v>
      </c>
      <c r="T95" s="20" cm="1">
        <f t="array" aca="1" ref="T95" ca="1">IF(S95="","",IF(S95&lt;&gt;S94,1,IF(T94=misLíneas-2,0,T94+1)))</f>
        <v>3</v>
      </c>
      <c r="U95" s="20" t="str" cm="1">
        <f t="array" aca="1" ref="U95" ca="1">IF(OR(T95=0,T95=""),"",INDEX(misCriticidades,S95)&amp;"-"&amp;IFERROR(MATCH(T95,miOrdenTarjeta,0),0))</f>
        <v>2-3</v>
      </c>
      <c r="V95" s="19" t="str">
        <f ca="1"/>
        <v/>
      </c>
      <c r="W95" s="20">
        <f t="shared" ca="1" si="39"/>
        <v>1</v>
      </c>
      <c r="X95" s="20" t="str">
        <f t="shared" ca="1" si="30"/>
        <v/>
      </c>
      <c r="Y95" s="20" t="str" cm="1">
        <f t="array" aca="1" ref="Y95" ca="1">IF(X95="","",IF(X95&lt;&gt;X94,1,IF(Y94=misLíneas-2,0,Y94+1)))</f>
        <v/>
      </c>
      <c r="Z95" s="20" t="str" cm="1">
        <f t="array" aca="1" ref="Z95" ca="1">IF(OR(Y95=0,Y95=""),"",INDEX(misCriticidades,X95)&amp;"-"&amp;IFERROR(MATCH(Y95,miOrdenTarjeta,0),0))</f>
        <v/>
      </c>
      <c r="AA95" s="19" t="str">
        <f ca="1"/>
        <v/>
      </c>
      <c r="AB95" s="20">
        <f t="shared" ca="1" si="40"/>
        <v>1</v>
      </c>
      <c r="AC95" s="20" t="str">
        <f t="shared" ca="1" si="31"/>
        <v/>
      </c>
      <c r="AD95" s="20" t="str" cm="1">
        <f t="array" aca="1" ref="AD95" ca="1">IF(AC95="","",IF(AC95&lt;&gt;AC94,1,IF(AD94=misLíneas-2,0,AD94+1)))</f>
        <v/>
      </c>
      <c r="AE95" s="20" t="str" cm="1">
        <f t="array" aca="1" ref="AE95" ca="1">IF(OR(AD95=0,AD95=""),"",INDEX(misCriticidades,AC95)&amp;"-"&amp;IFERROR(MATCH(AD95,miOrdenTarjeta,0),0))</f>
        <v/>
      </c>
      <c r="AF95" s="19" t="str">
        <f ca="1"/>
        <v/>
      </c>
      <c r="AG95" s="20">
        <f t="shared" ca="1" si="41"/>
        <v>1</v>
      </c>
      <c r="AH95" s="20" t="str">
        <f t="shared" ca="1" si="32"/>
        <v/>
      </c>
      <c r="AI95" s="20" t="str" cm="1">
        <f t="array" aca="1" ref="AI95" ca="1">IF(AH95="","",IF(AH95&lt;&gt;AH94,1,IF(AI94=misLíneas-2,0,AI94+1)))</f>
        <v/>
      </c>
      <c r="AJ95" s="20" t="str" cm="1">
        <f t="array" aca="1" ref="AJ95" ca="1">IF(OR(AI95=0,AI95=""),"",INDEX(misCriticidades,AH95)&amp;"-"&amp;IFERROR(MATCH(AI95,miOrdenTarjeta,0),0))</f>
        <v/>
      </c>
      <c r="AK95" s="19" t="str">
        <f ca="1"/>
        <v/>
      </c>
      <c r="AL95" s="20">
        <f t="shared" ca="1" si="42"/>
        <v>1</v>
      </c>
      <c r="AM95" s="20" t="str">
        <f t="shared" ca="1" si="33"/>
        <v/>
      </c>
      <c r="AN95" s="20" t="str" cm="1">
        <f t="array" aca="1" ref="AN95" ca="1">IF(AM95="","",IF(AM95&lt;&gt;AM94,1,IF(AN94=misLíneas-2,0,AN94+1)))</f>
        <v/>
      </c>
      <c r="AO95" s="20" t="str" cm="1">
        <f t="array" aca="1" ref="AO95" ca="1">IF(OR(AN95=0,AN95=""),"",INDEX(misCriticidades,AM95)&amp;"-"&amp;IFERROR(MATCH(AN95,miOrdenTarjeta,0),0))</f>
        <v/>
      </c>
      <c r="AP95" s="19" t="str">
        <f ca="1"/>
        <v/>
      </c>
      <c r="AQ95" s="20">
        <f t="shared" ca="1" si="43"/>
        <v>1</v>
      </c>
      <c r="AR95" s="20" t="str">
        <f t="shared" ca="1" si="34"/>
        <v/>
      </c>
      <c r="AS95" s="20" t="str" cm="1">
        <f t="array" aca="1" ref="AS95" ca="1">IF(AR95="","",IF(AR95&lt;&gt;AR94,1,IF(AS94=misLíneas-2,0,AS94+1)))</f>
        <v/>
      </c>
      <c r="AT95" s="20" t="str" cm="1">
        <f t="array" aca="1" ref="AT95" ca="1">IF(OR(AS95=0,AS95=""),"",INDEX(misCriticidades,AR95)&amp;"-"&amp;IFERROR(MATCH(AS95,miOrdenTarjeta,0),0))</f>
        <v/>
      </c>
      <c r="AU95" s="19" t="str">
        <f ca="1"/>
        <v/>
      </c>
      <c r="AV95" s="20">
        <f t="shared" ca="1" si="44"/>
        <v>1</v>
      </c>
      <c r="AW95" s="20" t="str">
        <f t="shared" ca="1" si="35"/>
        <v/>
      </c>
      <c r="AX95" s="20" t="str" cm="1">
        <f t="array" aca="1" ref="AX95" ca="1">IF(AW95="","",IF(AW95&lt;&gt;AW94,1,IF(AX94=misLíneas-2,0,AX94+1)))</f>
        <v/>
      </c>
      <c r="AY95" s="20" t="str" cm="1">
        <f t="array" aca="1" ref="AY95" ca="1">IF(OR(AX95=0,AX95=""),"",INDEX(misCriticidades,AW95)&amp;"-"&amp;IFERROR(MATCH(AX95,miOrdenTarjeta,0),0))</f>
        <v/>
      </c>
    </row>
    <row r="96" spans="2:51" x14ac:dyDescent="0.25">
      <c r="B96" s="19" t="str">
        <f ca="1"/>
        <v/>
      </c>
      <c r="C96" s="20">
        <f t="shared" ca="1" si="45"/>
        <v>1</v>
      </c>
      <c r="D96" s="20" t="str">
        <f t="shared" ca="1" si="26"/>
        <v/>
      </c>
      <c r="E96" s="20" t="str" cm="1">
        <f t="array" aca="1" ref="E96" ca="1">IF(D96="","",IF(D96&lt;&gt;D95,1,IF(E95=misLíneas-2,0,E95+1)))</f>
        <v/>
      </c>
      <c r="F96" s="20" t="str" cm="1">
        <f t="array" aca="1" ref="F96" ca="1">IF(OR(E96=0,E96=""),"",INDEX(misCriticidades,D96)&amp;"-"&amp;IFERROR(MATCH(E96,miOrdenTarjeta,0),0))</f>
        <v/>
      </c>
      <c r="G96" s="19" t="str">
        <f ca="1"/>
        <v/>
      </c>
      <c r="H96" s="20">
        <f t="shared" ca="1" si="36"/>
        <v>7</v>
      </c>
      <c r="I96" s="20" t="str">
        <f t="shared" ca="1" si="27"/>
        <v/>
      </c>
      <c r="J96" s="20" t="str" cm="1">
        <f t="array" aca="1" ref="J96" ca="1">IF(I96="","",IF(I96&lt;&gt;I95,1,IF(J95=misLíneas-2,0,J95+1)))</f>
        <v/>
      </c>
      <c r="K96" s="20" t="str" cm="1">
        <f t="array" aca="1" ref="K96" ca="1">IF(OR(J96=0,J96=""),"",INDEX(misCriticidades,I96)&amp;"-"&amp;IFERROR(MATCH(J96,miOrdenTarjeta,0),0))</f>
        <v/>
      </c>
      <c r="L96" s="19" t="str">
        <f ca="1"/>
        <v/>
      </c>
      <c r="M96" s="20">
        <f t="shared" ca="1" si="37"/>
        <v>1</v>
      </c>
      <c r="N96" s="20" t="str">
        <f t="shared" ca="1" si="28"/>
        <v/>
      </c>
      <c r="O96" s="20" t="str" cm="1">
        <f t="array" aca="1" ref="O96" ca="1">IF(N96="","",IF(N96&lt;&gt;N95,1,IF(O95=misLíneas-2,0,O95+1)))</f>
        <v/>
      </c>
      <c r="P96" s="20" t="str" cm="1">
        <f t="array" aca="1" ref="P96" ca="1">IF(OR(O96=0,O96=""),"",INDEX(misCriticidades,N96)&amp;"-"&amp;IFERROR(MATCH(O96,miOrdenTarjeta,0),0))</f>
        <v/>
      </c>
      <c r="Q96" s="19" t="str">
        <f ca="1"/>
        <v/>
      </c>
      <c r="R96" s="20">
        <f t="shared" ca="1" si="38"/>
        <v>10</v>
      </c>
      <c r="S96" s="20">
        <f t="shared" ca="1" si="29"/>
        <v>20</v>
      </c>
      <c r="T96" s="20" cm="1">
        <f t="array" aca="1" ref="T96" ca="1">IF(S96="","",IF(S96&lt;&gt;S95,1,IF(T95=misLíneas-2,0,T95+1)))</f>
        <v>4</v>
      </c>
      <c r="U96" s="20" t="str" cm="1">
        <f t="array" aca="1" ref="U96" ca="1">IF(OR(T96=0,T96=""),"",INDEX(misCriticidades,S96)&amp;"-"&amp;IFERROR(MATCH(T96,miOrdenTarjeta,0),0))</f>
        <v>2-4</v>
      </c>
      <c r="V96" s="19" t="str">
        <f ca="1"/>
        <v/>
      </c>
      <c r="W96" s="20">
        <f t="shared" ca="1" si="39"/>
        <v>1</v>
      </c>
      <c r="X96" s="20" t="str">
        <f t="shared" ca="1" si="30"/>
        <v/>
      </c>
      <c r="Y96" s="20" t="str" cm="1">
        <f t="array" aca="1" ref="Y96" ca="1">IF(X96="","",IF(X96&lt;&gt;X95,1,IF(Y95=misLíneas-2,0,Y95+1)))</f>
        <v/>
      </c>
      <c r="Z96" s="20" t="str" cm="1">
        <f t="array" aca="1" ref="Z96" ca="1">IF(OR(Y96=0,Y96=""),"",INDEX(misCriticidades,X96)&amp;"-"&amp;IFERROR(MATCH(Y96,miOrdenTarjeta,0),0))</f>
        <v/>
      </c>
      <c r="AA96" s="19" t="str">
        <f ca="1"/>
        <v/>
      </c>
      <c r="AB96" s="20">
        <f t="shared" ca="1" si="40"/>
        <v>1</v>
      </c>
      <c r="AC96" s="20" t="str">
        <f t="shared" ca="1" si="31"/>
        <v/>
      </c>
      <c r="AD96" s="20" t="str" cm="1">
        <f t="array" aca="1" ref="AD96" ca="1">IF(AC96="","",IF(AC96&lt;&gt;AC95,1,IF(AD95=misLíneas-2,0,AD95+1)))</f>
        <v/>
      </c>
      <c r="AE96" s="20" t="str" cm="1">
        <f t="array" aca="1" ref="AE96" ca="1">IF(OR(AD96=0,AD96=""),"",INDEX(misCriticidades,AC96)&amp;"-"&amp;IFERROR(MATCH(AD96,miOrdenTarjeta,0),0))</f>
        <v/>
      </c>
      <c r="AF96" s="19" t="str">
        <f ca="1"/>
        <v/>
      </c>
      <c r="AG96" s="20">
        <f t="shared" ca="1" si="41"/>
        <v>1</v>
      </c>
      <c r="AH96" s="20" t="str">
        <f t="shared" ca="1" si="32"/>
        <v/>
      </c>
      <c r="AI96" s="20" t="str" cm="1">
        <f t="array" aca="1" ref="AI96" ca="1">IF(AH96="","",IF(AH96&lt;&gt;AH95,1,IF(AI95=misLíneas-2,0,AI95+1)))</f>
        <v/>
      </c>
      <c r="AJ96" s="20" t="str" cm="1">
        <f t="array" aca="1" ref="AJ96" ca="1">IF(OR(AI96=0,AI96=""),"",INDEX(misCriticidades,AH96)&amp;"-"&amp;IFERROR(MATCH(AI96,miOrdenTarjeta,0),0))</f>
        <v/>
      </c>
      <c r="AK96" s="19" t="str">
        <f ca="1"/>
        <v/>
      </c>
      <c r="AL96" s="20">
        <f t="shared" ca="1" si="42"/>
        <v>1</v>
      </c>
      <c r="AM96" s="20" t="str">
        <f t="shared" ca="1" si="33"/>
        <v/>
      </c>
      <c r="AN96" s="20" t="str" cm="1">
        <f t="array" aca="1" ref="AN96" ca="1">IF(AM96="","",IF(AM96&lt;&gt;AM95,1,IF(AN95=misLíneas-2,0,AN95+1)))</f>
        <v/>
      </c>
      <c r="AO96" s="20" t="str" cm="1">
        <f t="array" aca="1" ref="AO96" ca="1">IF(OR(AN96=0,AN96=""),"",INDEX(misCriticidades,AM96)&amp;"-"&amp;IFERROR(MATCH(AN96,miOrdenTarjeta,0),0))</f>
        <v/>
      </c>
      <c r="AP96" s="19" t="str">
        <f ca="1"/>
        <v/>
      </c>
      <c r="AQ96" s="20">
        <f t="shared" ca="1" si="43"/>
        <v>1</v>
      </c>
      <c r="AR96" s="20" t="str">
        <f t="shared" ca="1" si="34"/>
        <v/>
      </c>
      <c r="AS96" s="20" t="str" cm="1">
        <f t="array" aca="1" ref="AS96" ca="1">IF(AR96="","",IF(AR96&lt;&gt;AR95,1,IF(AS95=misLíneas-2,0,AS95+1)))</f>
        <v/>
      </c>
      <c r="AT96" s="20" t="str" cm="1">
        <f t="array" aca="1" ref="AT96" ca="1">IF(OR(AS96=0,AS96=""),"",INDEX(misCriticidades,AR96)&amp;"-"&amp;IFERROR(MATCH(AS96,miOrdenTarjeta,0),0))</f>
        <v/>
      </c>
      <c r="AU96" s="19" t="str">
        <f ca="1"/>
        <v/>
      </c>
      <c r="AV96" s="20">
        <f t="shared" ca="1" si="44"/>
        <v>1</v>
      </c>
      <c r="AW96" s="20" t="str">
        <f t="shared" ca="1" si="35"/>
        <v/>
      </c>
      <c r="AX96" s="20" t="str" cm="1">
        <f t="array" aca="1" ref="AX96" ca="1">IF(AW96="","",IF(AW96&lt;&gt;AW95,1,IF(AX95=misLíneas-2,0,AX95+1)))</f>
        <v/>
      </c>
      <c r="AY96" s="20" t="str" cm="1">
        <f t="array" aca="1" ref="AY96" ca="1">IF(OR(AX96=0,AX96=""),"",INDEX(misCriticidades,AW96)&amp;"-"&amp;IFERROR(MATCH(AX96,miOrdenTarjeta,0),0))</f>
        <v/>
      </c>
    </row>
    <row r="97" spans="2:51" x14ac:dyDescent="0.25">
      <c r="B97" s="19" t="str">
        <f ca="1"/>
        <v/>
      </c>
      <c r="C97" s="20">
        <f t="shared" ca="1" si="45"/>
        <v>1</v>
      </c>
      <c r="D97" s="20" t="str">
        <f t="shared" ca="1" si="26"/>
        <v/>
      </c>
      <c r="E97" s="20" t="str" cm="1">
        <f t="array" aca="1" ref="E97" ca="1">IF(D97="","",IF(D97&lt;&gt;D96,1,IF(E96=misLíneas-2,0,E96+1)))</f>
        <v/>
      </c>
      <c r="F97" s="20" t="str" cm="1">
        <f t="array" aca="1" ref="F97" ca="1">IF(OR(E97=0,E97=""),"",INDEX(misCriticidades,D97)&amp;"-"&amp;IFERROR(MATCH(E97,miOrdenTarjeta,0),0))</f>
        <v/>
      </c>
      <c r="G97" s="19" t="str">
        <f ca="1"/>
        <v/>
      </c>
      <c r="H97" s="20">
        <f t="shared" ca="1" si="36"/>
        <v>7</v>
      </c>
      <c r="I97" s="20" t="str">
        <f t="shared" ca="1" si="27"/>
        <v/>
      </c>
      <c r="J97" s="20" t="str" cm="1">
        <f t="array" aca="1" ref="J97" ca="1">IF(I97="","",IF(I97&lt;&gt;I96,1,IF(J96=misLíneas-2,0,J96+1)))</f>
        <v/>
      </c>
      <c r="K97" s="20" t="str" cm="1">
        <f t="array" aca="1" ref="K97" ca="1">IF(OR(J97=0,J97=""),"",INDEX(misCriticidades,I97)&amp;"-"&amp;IFERROR(MATCH(J97,miOrdenTarjeta,0),0))</f>
        <v/>
      </c>
      <c r="L97" s="19" t="str">
        <f ca="1"/>
        <v/>
      </c>
      <c r="M97" s="20">
        <f t="shared" ca="1" si="37"/>
        <v>1</v>
      </c>
      <c r="N97" s="20" t="str">
        <f t="shared" ca="1" si="28"/>
        <v/>
      </c>
      <c r="O97" s="20" t="str" cm="1">
        <f t="array" aca="1" ref="O97" ca="1">IF(N97="","",IF(N97&lt;&gt;N96,1,IF(O96=misLíneas-2,0,O96+1)))</f>
        <v/>
      </c>
      <c r="P97" s="20" t="str" cm="1">
        <f t="array" aca="1" ref="P97" ca="1">IF(OR(O97=0,O97=""),"",INDEX(misCriticidades,N97)&amp;"-"&amp;IFERROR(MATCH(O97,miOrdenTarjeta,0),0))</f>
        <v/>
      </c>
      <c r="Q97" s="19" t="str">
        <f ca="1"/>
        <v/>
      </c>
      <c r="R97" s="20">
        <f t="shared" ca="1" si="38"/>
        <v>10</v>
      </c>
      <c r="S97" s="20">
        <f t="shared" ca="1" si="29"/>
        <v>20</v>
      </c>
      <c r="T97" s="20" cm="1">
        <f t="array" aca="1" ref="T97" ca="1">IF(S97="","",IF(S97&lt;&gt;S96,1,IF(T96=misLíneas-2,0,T96+1)))</f>
        <v>5</v>
      </c>
      <c r="U97" s="20" t="str" cm="1">
        <f t="array" aca="1" ref="U97" ca="1">IF(OR(T97=0,T97=""),"",INDEX(misCriticidades,S97)&amp;"-"&amp;IFERROR(MATCH(T97,miOrdenTarjeta,0),0))</f>
        <v>2-5</v>
      </c>
      <c r="V97" s="19" t="str">
        <f ca="1"/>
        <v/>
      </c>
      <c r="W97" s="20">
        <f t="shared" ca="1" si="39"/>
        <v>1</v>
      </c>
      <c r="X97" s="20" t="str">
        <f t="shared" ca="1" si="30"/>
        <v/>
      </c>
      <c r="Y97" s="20" t="str" cm="1">
        <f t="array" aca="1" ref="Y97" ca="1">IF(X97="","",IF(X97&lt;&gt;X96,1,IF(Y96=misLíneas-2,0,Y96+1)))</f>
        <v/>
      </c>
      <c r="Z97" s="20" t="str" cm="1">
        <f t="array" aca="1" ref="Z97" ca="1">IF(OR(Y97=0,Y97=""),"",INDEX(misCriticidades,X97)&amp;"-"&amp;IFERROR(MATCH(Y97,miOrdenTarjeta,0),0))</f>
        <v/>
      </c>
      <c r="AA97" s="19" t="str">
        <f ca="1"/>
        <v/>
      </c>
      <c r="AB97" s="20">
        <f t="shared" ca="1" si="40"/>
        <v>1</v>
      </c>
      <c r="AC97" s="20" t="str">
        <f t="shared" ca="1" si="31"/>
        <v/>
      </c>
      <c r="AD97" s="20" t="str" cm="1">
        <f t="array" aca="1" ref="AD97" ca="1">IF(AC97="","",IF(AC97&lt;&gt;AC96,1,IF(AD96=misLíneas-2,0,AD96+1)))</f>
        <v/>
      </c>
      <c r="AE97" s="20" t="str" cm="1">
        <f t="array" aca="1" ref="AE97" ca="1">IF(OR(AD97=0,AD97=""),"",INDEX(misCriticidades,AC97)&amp;"-"&amp;IFERROR(MATCH(AD97,miOrdenTarjeta,0),0))</f>
        <v/>
      </c>
      <c r="AF97" s="19" t="str">
        <f ca="1"/>
        <v/>
      </c>
      <c r="AG97" s="20">
        <f t="shared" ca="1" si="41"/>
        <v>1</v>
      </c>
      <c r="AH97" s="20" t="str">
        <f t="shared" ca="1" si="32"/>
        <v/>
      </c>
      <c r="AI97" s="20" t="str" cm="1">
        <f t="array" aca="1" ref="AI97" ca="1">IF(AH97="","",IF(AH97&lt;&gt;AH96,1,IF(AI96=misLíneas-2,0,AI96+1)))</f>
        <v/>
      </c>
      <c r="AJ97" s="20" t="str" cm="1">
        <f t="array" aca="1" ref="AJ97" ca="1">IF(OR(AI97=0,AI97=""),"",INDEX(misCriticidades,AH97)&amp;"-"&amp;IFERROR(MATCH(AI97,miOrdenTarjeta,0),0))</f>
        <v/>
      </c>
      <c r="AK97" s="19" t="str">
        <f ca="1"/>
        <v/>
      </c>
      <c r="AL97" s="20">
        <f t="shared" ca="1" si="42"/>
        <v>1</v>
      </c>
      <c r="AM97" s="20" t="str">
        <f t="shared" ca="1" si="33"/>
        <v/>
      </c>
      <c r="AN97" s="20" t="str" cm="1">
        <f t="array" aca="1" ref="AN97" ca="1">IF(AM97="","",IF(AM97&lt;&gt;AM96,1,IF(AN96=misLíneas-2,0,AN96+1)))</f>
        <v/>
      </c>
      <c r="AO97" s="20" t="str" cm="1">
        <f t="array" aca="1" ref="AO97" ca="1">IF(OR(AN97=0,AN97=""),"",INDEX(misCriticidades,AM97)&amp;"-"&amp;IFERROR(MATCH(AN97,miOrdenTarjeta,0),0))</f>
        <v/>
      </c>
      <c r="AP97" s="19" t="str">
        <f ca="1"/>
        <v/>
      </c>
      <c r="AQ97" s="20">
        <f t="shared" ca="1" si="43"/>
        <v>1</v>
      </c>
      <c r="AR97" s="20" t="str">
        <f t="shared" ca="1" si="34"/>
        <v/>
      </c>
      <c r="AS97" s="20" t="str" cm="1">
        <f t="array" aca="1" ref="AS97" ca="1">IF(AR97="","",IF(AR97&lt;&gt;AR96,1,IF(AS96=misLíneas-2,0,AS96+1)))</f>
        <v/>
      </c>
      <c r="AT97" s="20" t="str" cm="1">
        <f t="array" aca="1" ref="AT97" ca="1">IF(OR(AS97=0,AS97=""),"",INDEX(misCriticidades,AR97)&amp;"-"&amp;IFERROR(MATCH(AS97,miOrdenTarjeta,0),0))</f>
        <v/>
      </c>
      <c r="AU97" s="19" t="str">
        <f ca="1"/>
        <v/>
      </c>
      <c r="AV97" s="20">
        <f t="shared" ca="1" si="44"/>
        <v>1</v>
      </c>
      <c r="AW97" s="20" t="str">
        <f t="shared" ca="1" si="35"/>
        <v/>
      </c>
      <c r="AX97" s="20" t="str" cm="1">
        <f t="array" aca="1" ref="AX97" ca="1">IF(AW97="","",IF(AW97&lt;&gt;AW96,1,IF(AX96=misLíneas-2,0,AX96+1)))</f>
        <v/>
      </c>
      <c r="AY97" s="20" t="str" cm="1">
        <f t="array" aca="1" ref="AY97" ca="1">IF(OR(AX97=0,AX97=""),"",INDEX(misCriticidades,AW97)&amp;"-"&amp;IFERROR(MATCH(AX97,miOrdenTarjeta,0),0))</f>
        <v/>
      </c>
    </row>
    <row r="98" spans="2:51" x14ac:dyDescent="0.25">
      <c r="B98" s="19" t="str">
        <f ca="1"/>
        <v/>
      </c>
      <c r="C98" s="20">
        <f t="shared" ca="1" si="45"/>
        <v>1</v>
      </c>
      <c r="D98" s="20" t="str">
        <f t="shared" ca="1" si="26"/>
        <v/>
      </c>
      <c r="E98" s="20" t="str" cm="1">
        <f t="array" aca="1" ref="E98" ca="1">IF(D98="","",IF(D98&lt;&gt;D97,1,IF(E97=misLíneas-2,0,E97+1)))</f>
        <v/>
      </c>
      <c r="F98" s="20" t="str" cm="1">
        <f t="array" aca="1" ref="F98" ca="1">IF(OR(E98=0,E98=""),"",INDEX(misCriticidades,D98)&amp;"-"&amp;IFERROR(MATCH(E98,miOrdenTarjeta,0),0))</f>
        <v/>
      </c>
      <c r="G98" s="19" t="str">
        <f ca="1"/>
        <v/>
      </c>
      <c r="H98" s="20">
        <f t="shared" ca="1" si="36"/>
        <v>7</v>
      </c>
      <c r="I98" s="20" t="str">
        <f t="shared" ca="1" si="27"/>
        <v/>
      </c>
      <c r="J98" s="20" t="str" cm="1">
        <f t="array" aca="1" ref="J98" ca="1">IF(I98="","",IF(I98&lt;&gt;I97,1,IF(J97=misLíneas-2,0,J97+1)))</f>
        <v/>
      </c>
      <c r="K98" s="20" t="str" cm="1">
        <f t="array" aca="1" ref="K98" ca="1">IF(OR(J98=0,J98=""),"",INDEX(misCriticidades,I98)&amp;"-"&amp;IFERROR(MATCH(J98,miOrdenTarjeta,0),0))</f>
        <v/>
      </c>
      <c r="L98" s="19" t="str">
        <f ca="1"/>
        <v/>
      </c>
      <c r="M98" s="20">
        <f t="shared" ca="1" si="37"/>
        <v>1</v>
      </c>
      <c r="N98" s="20" t="str">
        <f t="shared" ca="1" si="28"/>
        <v/>
      </c>
      <c r="O98" s="20" t="str" cm="1">
        <f t="array" aca="1" ref="O98" ca="1">IF(N98="","",IF(N98&lt;&gt;N97,1,IF(O97=misLíneas-2,0,O97+1)))</f>
        <v/>
      </c>
      <c r="P98" s="20" t="str" cm="1">
        <f t="array" aca="1" ref="P98" ca="1">IF(OR(O98=0,O98=""),"",INDEX(misCriticidades,N98)&amp;"-"&amp;IFERROR(MATCH(O98,miOrdenTarjeta,0),0))</f>
        <v/>
      </c>
      <c r="Q98" s="19" t="str">
        <f ca="1"/>
        <v/>
      </c>
      <c r="R98" s="20">
        <f t="shared" ca="1" si="38"/>
        <v>10</v>
      </c>
      <c r="S98" s="20">
        <f t="shared" ca="1" si="29"/>
        <v>20</v>
      </c>
      <c r="T98" s="20" cm="1">
        <f t="array" aca="1" ref="T98" ca="1">IF(S98="","",IF(S98&lt;&gt;S97,1,IF(T97=misLíneas-2,0,T97+1)))</f>
        <v>6</v>
      </c>
      <c r="U98" s="20" t="str" cm="1">
        <f t="array" aca="1" ref="U98" ca="1">IF(OR(T98=0,T98=""),"",INDEX(misCriticidades,S98)&amp;"-"&amp;IFERROR(MATCH(T98,miOrdenTarjeta,0),0))</f>
        <v>2-6</v>
      </c>
      <c r="V98" s="19" t="str">
        <f ca="1"/>
        <v/>
      </c>
      <c r="W98" s="20">
        <f t="shared" ca="1" si="39"/>
        <v>1</v>
      </c>
      <c r="X98" s="20" t="str">
        <f t="shared" ca="1" si="30"/>
        <v/>
      </c>
      <c r="Y98" s="20" t="str" cm="1">
        <f t="array" aca="1" ref="Y98" ca="1">IF(X98="","",IF(X98&lt;&gt;X97,1,IF(Y97=misLíneas-2,0,Y97+1)))</f>
        <v/>
      </c>
      <c r="Z98" s="20" t="str" cm="1">
        <f t="array" aca="1" ref="Z98" ca="1">IF(OR(Y98=0,Y98=""),"",INDEX(misCriticidades,X98)&amp;"-"&amp;IFERROR(MATCH(Y98,miOrdenTarjeta,0),0))</f>
        <v/>
      </c>
      <c r="AA98" s="19" t="str">
        <f ca="1"/>
        <v/>
      </c>
      <c r="AB98" s="20">
        <f t="shared" ca="1" si="40"/>
        <v>1</v>
      </c>
      <c r="AC98" s="20" t="str">
        <f t="shared" ca="1" si="31"/>
        <v/>
      </c>
      <c r="AD98" s="20" t="str" cm="1">
        <f t="array" aca="1" ref="AD98" ca="1">IF(AC98="","",IF(AC98&lt;&gt;AC97,1,IF(AD97=misLíneas-2,0,AD97+1)))</f>
        <v/>
      </c>
      <c r="AE98" s="20" t="str" cm="1">
        <f t="array" aca="1" ref="AE98" ca="1">IF(OR(AD98=0,AD98=""),"",INDEX(misCriticidades,AC98)&amp;"-"&amp;IFERROR(MATCH(AD98,miOrdenTarjeta,0),0))</f>
        <v/>
      </c>
      <c r="AF98" s="19" t="str">
        <f ca="1"/>
        <v/>
      </c>
      <c r="AG98" s="20">
        <f t="shared" ca="1" si="41"/>
        <v>1</v>
      </c>
      <c r="AH98" s="20" t="str">
        <f t="shared" ca="1" si="32"/>
        <v/>
      </c>
      <c r="AI98" s="20" t="str" cm="1">
        <f t="array" aca="1" ref="AI98" ca="1">IF(AH98="","",IF(AH98&lt;&gt;AH97,1,IF(AI97=misLíneas-2,0,AI97+1)))</f>
        <v/>
      </c>
      <c r="AJ98" s="20" t="str" cm="1">
        <f t="array" aca="1" ref="AJ98" ca="1">IF(OR(AI98=0,AI98=""),"",INDEX(misCriticidades,AH98)&amp;"-"&amp;IFERROR(MATCH(AI98,miOrdenTarjeta,0),0))</f>
        <v/>
      </c>
      <c r="AK98" s="19" t="str">
        <f ca="1"/>
        <v/>
      </c>
      <c r="AL98" s="20">
        <f t="shared" ca="1" si="42"/>
        <v>1</v>
      </c>
      <c r="AM98" s="20" t="str">
        <f t="shared" ca="1" si="33"/>
        <v/>
      </c>
      <c r="AN98" s="20" t="str" cm="1">
        <f t="array" aca="1" ref="AN98" ca="1">IF(AM98="","",IF(AM98&lt;&gt;AM97,1,IF(AN97=misLíneas-2,0,AN97+1)))</f>
        <v/>
      </c>
      <c r="AO98" s="20" t="str" cm="1">
        <f t="array" aca="1" ref="AO98" ca="1">IF(OR(AN98=0,AN98=""),"",INDEX(misCriticidades,AM98)&amp;"-"&amp;IFERROR(MATCH(AN98,miOrdenTarjeta,0),0))</f>
        <v/>
      </c>
      <c r="AP98" s="19" t="str">
        <f ca="1"/>
        <v/>
      </c>
      <c r="AQ98" s="20">
        <f t="shared" ca="1" si="43"/>
        <v>1</v>
      </c>
      <c r="AR98" s="20" t="str">
        <f t="shared" ca="1" si="34"/>
        <v/>
      </c>
      <c r="AS98" s="20" t="str" cm="1">
        <f t="array" aca="1" ref="AS98" ca="1">IF(AR98="","",IF(AR98&lt;&gt;AR97,1,IF(AS97=misLíneas-2,0,AS97+1)))</f>
        <v/>
      </c>
      <c r="AT98" s="20" t="str" cm="1">
        <f t="array" aca="1" ref="AT98" ca="1">IF(OR(AS98=0,AS98=""),"",INDEX(misCriticidades,AR98)&amp;"-"&amp;IFERROR(MATCH(AS98,miOrdenTarjeta,0),0))</f>
        <v/>
      </c>
      <c r="AU98" s="19" t="str">
        <f ca="1"/>
        <v/>
      </c>
      <c r="AV98" s="20">
        <f t="shared" ca="1" si="44"/>
        <v>1</v>
      </c>
      <c r="AW98" s="20" t="str">
        <f t="shared" ca="1" si="35"/>
        <v/>
      </c>
      <c r="AX98" s="20" t="str" cm="1">
        <f t="array" aca="1" ref="AX98" ca="1">IF(AW98="","",IF(AW98&lt;&gt;AW97,1,IF(AX97=misLíneas-2,0,AX97+1)))</f>
        <v/>
      </c>
      <c r="AY98" s="20" t="str" cm="1">
        <f t="array" aca="1" ref="AY98" ca="1">IF(OR(AX98=0,AX98=""),"",INDEX(misCriticidades,AW98)&amp;"-"&amp;IFERROR(MATCH(AX98,miOrdenTarjeta,0),0))</f>
        <v/>
      </c>
    </row>
    <row r="99" spans="2:51" x14ac:dyDescent="0.25">
      <c r="B99" s="19" t="str">
        <f ca="1"/>
        <v/>
      </c>
      <c r="C99" s="20">
        <f t="shared" ca="1" si="45"/>
        <v>1</v>
      </c>
      <c r="D99" s="20" t="str">
        <f t="shared" ref="D99:D130" ca="1" si="46">IF(C99&gt;C98,IFERROR(IF(F$1="v",SMALL(B$2:B$101,C99),LARGE(B$2:B$101,C99)),""),D98)</f>
        <v/>
      </c>
      <c r="E99" s="20" t="str" cm="1">
        <f t="array" aca="1" ref="E99" ca="1">IF(D99="","",IF(D99&lt;&gt;D98,1,IF(E98=misLíneas-2,0,E98+1)))</f>
        <v/>
      </c>
      <c r="F99" s="20" t="str" cm="1">
        <f t="array" aca="1" ref="F99" ca="1">IF(OR(E99=0,E99=""),"",INDEX(misCriticidades,D99)&amp;"-"&amp;IFERROR(MATCH(E99,miOrdenTarjeta,0),0))</f>
        <v/>
      </c>
      <c r="G99" s="19" t="str">
        <f ca="1"/>
        <v/>
      </c>
      <c r="H99" s="20">
        <f t="shared" ca="1" si="36"/>
        <v>7</v>
      </c>
      <c r="I99" s="20" t="str">
        <f t="shared" ref="I99:I130" ca="1" si="47">IF(H99&gt;H98,IFERROR(IF(K$1="v",SMALL(G$2:G$101,H99),LARGE(G$2:G$101,H99)),""),I98)</f>
        <v/>
      </c>
      <c r="J99" s="20" t="str" cm="1">
        <f t="array" aca="1" ref="J99" ca="1">IF(I99="","",IF(I99&lt;&gt;I98,1,IF(J98=misLíneas-2,0,J98+1)))</f>
        <v/>
      </c>
      <c r="K99" s="20" t="str" cm="1">
        <f t="array" aca="1" ref="K99" ca="1">IF(OR(J99=0,J99=""),"",INDEX(misCriticidades,I99)&amp;"-"&amp;IFERROR(MATCH(J99,miOrdenTarjeta,0),0))</f>
        <v/>
      </c>
      <c r="L99" s="19" t="str">
        <f ca="1"/>
        <v/>
      </c>
      <c r="M99" s="20">
        <f t="shared" ca="1" si="37"/>
        <v>1</v>
      </c>
      <c r="N99" s="20" t="str">
        <f t="shared" ref="N99:N130" ca="1" si="48">IF(M99&gt;M98,IFERROR(IF(P$1="v",SMALL(L$2:L$101,M99),LARGE(L$2:L$101,M99)),""),N98)</f>
        <v/>
      </c>
      <c r="O99" s="20" t="str" cm="1">
        <f t="array" aca="1" ref="O99" ca="1">IF(N99="","",IF(N99&lt;&gt;N98,1,IF(O98=misLíneas-2,0,O98+1)))</f>
        <v/>
      </c>
      <c r="P99" s="20" t="str" cm="1">
        <f t="array" aca="1" ref="P99" ca="1">IF(OR(O99=0,O99=""),"",INDEX(misCriticidades,N99)&amp;"-"&amp;IFERROR(MATCH(O99,miOrdenTarjeta,0),0))</f>
        <v/>
      </c>
      <c r="Q99" s="19" t="str">
        <f ca="1"/>
        <v/>
      </c>
      <c r="R99" s="20">
        <f t="shared" ca="1" si="38"/>
        <v>10</v>
      </c>
      <c r="S99" s="20">
        <f t="shared" ref="S99:S130" ca="1" si="49">IF(R99&gt;R98,IFERROR(IF(U$1="v",SMALL(Q$2:Q$101,R99),LARGE(Q$2:Q$101,R99)),""),S98)</f>
        <v>20</v>
      </c>
      <c r="T99" s="20" cm="1">
        <f t="array" aca="1" ref="T99" ca="1">IF(S99="","",IF(S99&lt;&gt;S98,1,IF(T98=misLíneas-2,0,T98+1)))</f>
        <v>7</v>
      </c>
      <c r="U99" s="20" t="str" cm="1">
        <f t="array" aca="1" ref="U99" ca="1">IF(OR(T99=0,T99=""),"",INDEX(misCriticidades,S99)&amp;"-"&amp;IFERROR(MATCH(T99,miOrdenTarjeta,0),0))</f>
        <v>2-7</v>
      </c>
      <c r="V99" s="19" t="str">
        <f ca="1"/>
        <v/>
      </c>
      <c r="W99" s="20">
        <f t="shared" ca="1" si="39"/>
        <v>1</v>
      </c>
      <c r="X99" s="20" t="str">
        <f t="shared" ref="X99:X130" ca="1" si="50">IF(W99&gt;W98,IFERROR(IF(Z$1="v",SMALL(V$2:V$101,W99),LARGE(V$2:V$101,W99)),""),X98)</f>
        <v/>
      </c>
      <c r="Y99" s="20" t="str" cm="1">
        <f t="array" aca="1" ref="Y99" ca="1">IF(X99="","",IF(X99&lt;&gt;X98,1,IF(Y98=misLíneas-2,0,Y98+1)))</f>
        <v/>
      </c>
      <c r="Z99" s="20" t="str" cm="1">
        <f t="array" aca="1" ref="Z99" ca="1">IF(OR(Y99=0,Y99=""),"",INDEX(misCriticidades,X99)&amp;"-"&amp;IFERROR(MATCH(Y99,miOrdenTarjeta,0),0))</f>
        <v/>
      </c>
      <c r="AA99" s="19" t="str">
        <f ca="1"/>
        <v/>
      </c>
      <c r="AB99" s="20">
        <f t="shared" ca="1" si="40"/>
        <v>1</v>
      </c>
      <c r="AC99" s="20" t="str">
        <f t="shared" ca="1" si="31"/>
        <v/>
      </c>
      <c r="AD99" s="20" t="str" cm="1">
        <f t="array" aca="1" ref="AD99" ca="1">IF(AC99="","",IF(AC99&lt;&gt;AC98,1,IF(AD98=misLíneas-2,0,AD98+1)))</f>
        <v/>
      </c>
      <c r="AE99" s="20" t="str" cm="1">
        <f t="array" aca="1" ref="AE99" ca="1">IF(OR(AD99=0,AD99=""),"",INDEX(misCriticidades,AC99)&amp;"-"&amp;IFERROR(MATCH(AD99,miOrdenTarjeta,0),0))</f>
        <v/>
      </c>
      <c r="AF99" s="19" t="str">
        <f ca="1"/>
        <v/>
      </c>
      <c r="AG99" s="20">
        <f t="shared" ca="1" si="41"/>
        <v>1</v>
      </c>
      <c r="AH99" s="20" t="str">
        <f t="shared" ca="1" si="32"/>
        <v/>
      </c>
      <c r="AI99" s="20" t="str" cm="1">
        <f t="array" aca="1" ref="AI99" ca="1">IF(AH99="","",IF(AH99&lt;&gt;AH98,1,IF(AI98=misLíneas-2,0,AI98+1)))</f>
        <v/>
      </c>
      <c r="AJ99" s="20" t="str" cm="1">
        <f t="array" aca="1" ref="AJ99" ca="1">IF(OR(AI99=0,AI99=""),"",INDEX(misCriticidades,AH99)&amp;"-"&amp;IFERROR(MATCH(AI99,miOrdenTarjeta,0),0))</f>
        <v/>
      </c>
      <c r="AK99" s="19" t="str">
        <f ca="1"/>
        <v/>
      </c>
      <c r="AL99" s="20">
        <f t="shared" ca="1" si="42"/>
        <v>1</v>
      </c>
      <c r="AM99" s="20" t="str">
        <f t="shared" ca="1" si="33"/>
        <v/>
      </c>
      <c r="AN99" s="20" t="str" cm="1">
        <f t="array" aca="1" ref="AN99" ca="1">IF(AM99="","",IF(AM99&lt;&gt;AM98,1,IF(AN98=misLíneas-2,0,AN98+1)))</f>
        <v/>
      </c>
      <c r="AO99" s="20" t="str" cm="1">
        <f t="array" aca="1" ref="AO99" ca="1">IF(OR(AN99=0,AN99=""),"",INDEX(misCriticidades,AM99)&amp;"-"&amp;IFERROR(MATCH(AN99,miOrdenTarjeta,0),0))</f>
        <v/>
      </c>
      <c r="AP99" s="19" t="str">
        <f ca="1"/>
        <v/>
      </c>
      <c r="AQ99" s="20">
        <f t="shared" ca="1" si="43"/>
        <v>1</v>
      </c>
      <c r="AR99" s="20" t="str">
        <f t="shared" ca="1" si="34"/>
        <v/>
      </c>
      <c r="AS99" s="20" t="str" cm="1">
        <f t="array" aca="1" ref="AS99" ca="1">IF(AR99="","",IF(AR99&lt;&gt;AR98,1,IF(AS98=misLíneas-2,0,AS98+1)))</f>
        <v/>
      </c>
      <c r="AT99" s="20" t="str" cm="1">
        <f t="array" aca="1" ref="AT99" ca="1">IF(OR(AS99=0,AS99=""),"",INDEX(misCriticidades,AR99)&amp;"-"&amp;IFERROR(MATCH(AS99,miOrdenTarjeta,0),0))</f>
        <v/>
      </c>
      <c r="AU99" s="19" t="str">
        <f ca="1"/>
        <v/>
      </c>
      <c r="AV99" s="20">
        <f t="shared" ca="1" si="44"/>
        <v>1</v>
      </c>
      <c r="AW99" s="20" t="str">
        <f t="shared" ca="1" si="35"/>
        <v/>
      </c>
      <c r="AX99" s="20" t="str" cm="1">
        <f t="array" aca="1" ref="AX99" ca="1">IF(AW99="","",IF(AW99&lt;&gt;AW98,1,IF(AX98=misLíneas-2,0,AX98+1)))</f>
        <v/>
      </c>
      <c r="AY99" s="20" t="str" cm="1">
        <f t="array" aca="1" ref="AY99" ca="1">IF(OR(AX99=0,AX99=""),"",INDEX(misCriticidades,AW99)&amp;"-"&amp;IFERROR(MATCH(AX99,miOrdenTarjeta,0),0))</f>
        <v/>
      </c>
    </row>
    <row r="100" spans="2:51" x14ac:dyDescent="0.25">
      <c r="B100" s="19" t="str">
        <f ca="1"/>
        <v/>
      </c>
      <c r="C100" s="20">
        <f t="shared" ca="1" si="45"/>
        <v>1</v>
      </c>
      <c r="D100" s="20" t="str">
        <f t="shared" ca="1" si="46"/>
        <v/>
      </c>
      <c r="E100" s="20" t="str" cm="1">
        <f t="array" aca="1" ref="E100" ca="1">IF(D100="","",IF(D100&lt;&gt;D99,1,IF(E99=misLíneas-2,0,E99+1)))</f>
        <v/>
      </c>
      <c r="F100" s="20" t="str" cm="1">
        <f t="array" aca="1" ref="F100" ca="1">IF(OR(E100=0,E100=""),"",INDEX(misCriticidades,D100)&amp;"-"&amp;IFERROR(MATCH(E100,miOrdenTarjeta,0),0))</f>
        <v/>
      </c>
      <c r="G100" s="19" t="str">
        <f ca="1"/>
        <v/>
      </c>
      <c r="H100" s="20">
        <f t="shared" ca="1" si="36"/>
        <v>7</v>
      </c>
      <c r="I100" s="20" t="str">
        <f t="shared" ca="1" si="47"/>
        <v/>
      </c>
      <c r="J100" s="20" t="str" cm="1">
        <f t="array" aca="1" ref="J100" ca="1">IF(I100="","",IF(I100&lt;&gt;I99,1,IF(J99=misLíneas-2,0,J99+1)))</f>
        <v/>
      </c>
      <c r="K100" s="20" t="str" cm="1">
        <f t="array" aca="1" ref="K100" ca="1">IF(OR(J100=0,J100=""),"",INDEX(misCriticidades,I100)&amp;"-"&amp;IFERROR(MATCH(J100,miOrdenTarjeta,0),0))</f>
        <v/>
      </c>
      <c r="L100" s="19" t="str">
        <f ca="1"/>
        <v/>
      </c>
      <c r="M100" s="20">
        <f t="shared" ca="1" si="37"/>
        <v>1</v>
      </c>
      <c r="N100" s="20" t="str">
        <f t="shared" ca="1" si="48"/>
        <v/>
      </c>
      <c r="O100" s="20" t="str" cm="1">
        <f t="array" aca="1" ref="O100" ca="1">IF(N100="","",IF(N100&lt;&gt;N99,1,IF(O99=misLíneas-2,0,O99+1)))</f>
        <v/>
      </c>
      <c r="P100" s="20" t="str" cm="1">
        <f t="array" aca="1" ref="P100" ca="1">IF(OR(O100=0,O100=""),"",INDEX(misCriticidades,N100)&amp;"-"&amp;IFERROR(MATCH(O100,miOrdenTarjeta,0),0))</f>
        <v/>
      </c>
      <c r="Q100" s="19" t="str">
        <f ca="1"/>
        <v/>
      </c>
      <c r="R100" s="20">
        <f t="shared" ca="1" si="38"/>
        <v>10</v>
      </c>
      <c r="S100" s="20">
        <f t="shared" ca="1" si="49"/>
        <v>20</v>
      </c>
      <c r="T100" s="20" cm="1">
        <f t="array" aca="1" ref="T100" ca="1">IF(S100="","",IF(S100&lt;&gt;S99,1,IF(T99=misLíneas-2,0,T99+1)))</f>
        <v>8</v>
      </c>
      <c r="U100" s="20" t="str" cm="1">
        <f t="array" aca="1" ref="U100" ca="1">IF(OR(T100=0,T100=""),"",INDEX(misCriticidades,S100)&amp;"-"&amp;IFERROR(MATCH(T100,miOrdenTarjeta,0),0))</f>
        <v>2-8</v>
      </c>
      <c r="V100" s="19" t="str">
        <f ca="1"/>
        <v/>
      </c>
      <c r="W100" s="20">
        <f t="shared" ca="1" si="39"/>
        <v>1</v>
      </c>
      <c r="X100" s="20" t="str">
        <f t="shared" ca="1" si="50"/>
        <v/>
      </c>
      <c r="Y100" s="20" t="str" cm="1">
        <f t="array" aca="1" ref="Y100" ca="1">IF(X100="","",IF(X100&lt;&gt;X99,1,IF(Y99=misLíneas-2,0,Y99+1)))</f>
        <v/>
      </c>
      <c r="Z100" s="20" t="str" cm="1">
        <f t="array" aca="1" ref="Z100" ca="1">IF(OR(Y100=0,Y100=""),"",INDEX(misCriticidades,X100)&amp;"-"&amp;IFERROR(MATCH(Y100,miOrdenTarjeta,0),0))</f>
        <v/>
      </c>
      <c r="AA100" s="19" t="str">
        <f ca="1"/>
        <v/>
      </c>
      <c r="AB100" s="20">
        <f t="shared" ca="1" si="40"/>
        <v>1</v>
      </c>
      <c r="AC100" s="20" t="str">
        <f t="shared" ca="1" si="31"/>
        <v/>
      </c>
      <c r="AD100" s="20" t="str" cm="1">
        <f t="array" aca="1" ref="AD100" ca="1">IF(AC100="","",IF(AC100&lt;&gt;AC99,1,IF(AD99=misLíneas-2,0,AD99+1)))</f>
        <v/>
      </c>
      <c r="AE100" s="20" t="str" cm="1">
        <f t="array" aca="1" ref="AE100" ca="1">IF(OR(AD100=0,AD100=""),"",INDEX(misCriticidades,AC100)&amp;"-"&amp;IFERROR(MATCH(AD100,miOrdenTarjeta,0),0))</f>
        <v/>
      </c>
      <c r="AF100" s="19" t="str">
        <f ca="1"/>
        <v/>
      </c>
      <c r="AG100" s="20">
        <f t="shared" ca="1" si="41"/>
        <v>1</v>
      </c>
      <c r="AH100" s="20" t="str">
        <f t="shared" ca="1" si="32"/>
        <v/>
      </c>
      <c r="AI100" s="20" t="str" cm="1">
        <f t="array" aca="1" ref="AI100" ca="1">IF(AH100="","",IF(AH100&lt;&gt;AH99,1,IF(AI99=misLíneas-2,0,AI99+1)))</f>
        <v/>
      </c>
      <c r="AJ100" s="20" t="str" cm="1">
        <f t="array" aca="1" ref="AJ100" ca="1">IF(OR(AI100=0,AI100=""),"",INDEX(misCriticidades,AH100)&amp;"-"&amp;IFERROR(MATCH(AI100,miOrdenTarjeta,0),0))</f>
        <v/>
      </c>
      <c r="AK100" s="19" t="str">
        <f ca="1"/>
        <v/>
      </c>
      <c r="AL100" s="20">
        <f t="shared" ca="1" si="42"/>
        <v>1</v>
      </c>
      <c r="AM100" s="20" t="str">
        <f t="shared" ca="1" si="33"/>
        <v/>
      </c>
      <c r="AN100" s="20" t="str" cm="1">
        <f t="array" aca="1" ref="AN100" ca="1">IF(AM100="","",IF(AM100&lt;&gt;AM99,1,IF(AN99=misLíneas-2,0,AN99+1)))</f>
        <v/>
      </c>
      <c r="AO100" s="20" t="str" cm="1">
        <f t="array" aca="1" ref="AO100" ca="1">IF(OR(AN100=0,AN100=""),"",INDEX(misCriticidades,AM100)&amp;"-"&amp;IFERROR(MATCH(AN100,miOrdenTarjeta,0),0))</f>
        <v/>
      </c>
      <c r="AP100" s="19" t="str">
        <f ca="1"/>
        <v/>
      </c>
      <c r="AQ100" s="20">
        <f t="shared" ca="1" si="43"/>
        <v>1</v>
      </c>
      <c r="AR100" s="20" t="str">
        <f t="shared" ca="1" si="34"/>
        <v/>
      </c>
      <c r="AS100" s="20" t="str" cm="1">
        <f t="array" aca="1" ref="AS100" ca="1">IF(AR100="","",IF(AR100&lt;&gt;AR99,1,IF(AS99=misLíneas-2,0,AS99+1)))</f>
        <v/>
      </c>
      <c r="AT100" s="20" t="str" cm="1">
        <f t="array" aca="1" ref="AT100" ca="1">IF(OR(AS100=0,AS100=""),"",INDEX(misCriticidades,AR100)&amp;"-"&amp;IFERROR(MATCH(AS100,miOrdenTarjeta,0),0))</f>
        <v/>
      </c>
      <c r="AU100" s="19" t="str">
        <f ca="1"/>
        <v/>
      </c>
      <c r="AV100" s="20">
        <f t="shared" ca="1" si="44"/>
        <v>1</v>
      </c>
      <c r="AW100" s="20" t="str">
        <f t="shared" ca="1" si="35"/>
        <v/>
      </c>
      <c r="AX100" s="20" t="str" cm="1">
        <f t="array" aca="1" ref="AX100" ca="1">IF(AW100="","",IF(AW100&lt;&gt;AW99,1,IF(AX99=misLíneas-2,0,AX99+1)))</f>
        <v/>
      </c>
      <c r="AY100" s="20" t="str" cm="1">
        <f t="array" aca="1" ref="AY100" ca="1">IF(OR(AX100=0,AX100=""),"",INDEX(misCriticidades,AW100)&amp;"-"&amp;IFERROR(MATCH(AX100,miOrdenTarjeta,0),0))</f>
        <v/>
      </c>
    </row>
    <row r="101" spans="2:51" x14ac:dyDescent="0.25">
      <c r="B101" s="19" t="str">
        <f ca="1"/>
        <v/>
      </c>
      <c r="C101" s="20">
        <f t="shared" ca="1" si="45"/>
        <v>1</v>
      </c>
      <c r="D101" s="20" t="str">
        <f t="shared" ca="1" si="46"/>
        <v/>
      </c>
      <c r="E101" s="20" t="str" cm="1">
        <f t="array" aca="1" ref="E101" ca="1">IF(D101="","",IF(D101&lt;&gt;D100,1,IF(E100=misLíneas-2,0,E100+1)))</f>
        <v/>
      </c>
      <c r="F101" s="20" t="str" cm="1">
        <f t="array" aca="1" ref="F101" ca="1">IF(OR(E101=0,E101=""),"",INDEX(misCriticidades,D101)&amp;"-"&amp;IFERROR(MATCH(E101,miOrdenTarjeta,0),0))</f>
        <v/>
      </c>
      <c r="G101" s="19" t="str">
        <f ca="1"/>
        <v/>
      </c>
      <c r="H101" s="20">
        <f t="shared" ca="1" si="36"/>
        <v>7</v>
      </c>
      <c r="I101" s="20" t="str">
        <f t="shared" ca="1" si="47"/>
        <v/>
      </c>
      <c r="J101" s="20" t="str" cm="1">
        <f t="array" aca="1" ref="J101" ca="1">IF(I101="","",IF(I101&lt;&gt;I100,1,IF(J100=misLíneas-2,0,J100+1)))</f>
        <v/>
      </c>
      <c r="K101" s="20" t="str" cm="1">
        <f t="array" aca="1" ref="K101" ca="1">IF(OR(J101=0,J101=""),"",INDEX(misCriticidades,I101)&amp;"-"&amp;IFERROR(MATCH(J101,miOrdenTarjeta,0),0))</f>
        <v/>
      </c>
      <c r="L101" s="19" t="str">
        <f ca="1"/>
        <v/>
      </c>
      <c r="M101" s="20">
        <f t="shared" ca="1" si="37"/>
        <v>1</v>
      </c>
      <c r="N101" s="20" t="str">
        <f t="shared" ca="1" si="48"/>
        <v/>
      </c>
      <c r="O101" s="20" t="str" cm="1">
        <f t="array" aca="1" ref="O101" ca="1">IF(N101="","",IF(N101&lt;&gt;N100,1,IF(O100=misLíneas-2,0,O100+1)))</f>
        <v/>
      </c>
      <c r="P101" s="20" t="str" cm="1">
        <f t="array" aca="1" ref="P101" ca="1">IF(OR(O101=0,O101=""),"",INDEX(misCriticidades,N101)&amp;"-"&amp;IFERROR(MATCH(O101,miOrdenTarjeta,0),0))</f>
        <v/>
      </c>
      <c r="Q101" s="19" t="str">
        <f ca="1"/>
        <v/>
      </c>
      <c r="R101" s="20">
        <f t="shared" ca="1" si="38"/>
        <v>10</v>
      </c>
      <c r="S101" s="20">
        <f t="shared" ca="1" si="49"/>
        <v>20</v>
      </c>
      <c r="T101" s="20" cm="1">
        <f t="array" aca="1" ref="T101" ca="1">IF(S101="","",IF(S101&lt;&gt;S100,1,IF(T100=misLíneas-2,0,T100+1)))</f>
        <v>9</v>
      </c>
      <c r="U101" s="20" t="str" cm="1">
        <f t="array" aca="1" ref="U101" ca="1">IF(OR(T101=0,T101=""),"",INDEX(misCriticidades,S101)&amp;"-"&amp;IFERROR(MATCH(T101,miOrdenTarjeta,0),0))</f>
        <v>2-0</v>
      </c>
      <c r="V101" s="19" t="str">
        <f ca="1"/>
        <v/>
      </c>
      <c r="W101" s="20">
        <f t="shared" ca="1" si="39"/>
        <v>1</v>
      </c>
      <c r="X101" s="20" t="str">
        <f t="shared" ca="1" si="50"/>
        <v/>
      </c>
      <c r="Y101" s="20" t="str" cm="1">
        <f t="array" aca="1" ref="Y101" ca="1">IF(X101="","",IF(X101&lt;&gt;X100,1,IF(Y100=misLíneas-2,0,Y100+1)))</f>
        <v/>
      </c>
      <c r="Z101" s="20" t="str" cm="1">
        <f t="array" aca="1" ref="Z101" ca="1">IF(OR(Y101=0,Y101=""),"",INDEX(misCriticidades,X101)&amp;"-"&amp;IFERROR(MATCH(Y101,miOrdenTarjeta,0),0))</f>
        <v/>
      </c>
      <c r="AA101" s="19" t="str">
        <f ca="1"/>
        <v/>
      </c>
      <c r="AB101" s="20">
        <f t="shared" ca="1" si="40"/>
        <v>1</v>
      </c>
      <c r="AC101" s="20" t="str">
        <f t="shared" ca="1" si="31"/>
        <v/>
      </c>
      <c r="AD101" s="20" t="str" cm="1">
        <f t="array" aca="1" ref="AD101" ca="1">IF(AC101="","",IF(AC101&lt;&gt;AC100,1,IF(AD100=misLíneas-2,0,AD100+1)))</f>
        <v/>
      </c>
      <c r="AE101" s="20" t="str" cm="1">
        <f t="array" aca="1" ref="AE101" ca="1">IF(OR(AD101=0,AD101=""),"",INDEX(misCriticidades,AC101)&amp;"-"&amp;IFERROR(MATCH(AD101,miOrdenTarjeta,0),0))</f>
        <v/>
      </c>
      <c r="AF101" s="19" t="str">
        <f ca="1"/>
        <v/>
      </c>
      <c r="AG101" s="20">
        <f t="shared" ca="1" si="41"/>
        <v>1</v>
      </c>
      <c r="AH101" s="20" t="str">
        <f t="shared" ca="1" si="32"/>
        <v/>
      </c>
      <c r="AI101" s="20" t="str" cm="1">
        <f t="array" aca="1" ref="AI101" ca="1">IF(AH101="","",IF(AH101&lt;&gt;AH100,1,IF(AI100=misLíneas-2,0,AI100+1)))</f>
        <v/>
      </c>
      <c r="AJ101" s="20" t="str" cm="1">
        <f t="array" aca="1" ref="AJ101" ca="1">IF(OR(AI101=0,AI101=""),"",INDEX(misCriticidades,AH101)&amp;"-"&amp;IFERROR(MATCH(AI101,miOrdenTarjeta,0),0))</f>
        <v/>
      </c>
      <c r="AK101" s="19" t="str">
        <f ca="1"/>
        <v/>
      </c>
      <c r="AL101" s="20">
        <f t="shared" ca="1" si="42"/>
        <v>1</v>
      </c>
      <c r="AM101" s="20" t="str">
        <f t="shared" ca="1" si="33"/>
        <v/>
      </c>
      <c r="AN101" s="20" t="str" cm="1">
        <f t="array" aca="1" ref="AN101" ca="1">IF(AM101="","",IF(AM101&lt;&gt;AM100,1,IF(AN100=misLíneas-2,0,AN100+1)))</f>
        <v/>
      </c>
      <c r="AO101" s="20" t="str" cm="1">
        <f t="array" aca="1" ref="AO101" ca="1">IF(OR(AN101=0,AN101=""),"",INDEX(misCriticidades,AM101)&amp;"-"&amp;IFERROR(MATCH(AN101,miOrdenTarjeta,0),0))</f>
        <v/>
      </c>
      <c r="AP101" s="19" t="str">
        <f ca="1"/>
        <v/>
      </c>
      <c r="AQ101" s="20">
        <f t="shared" ca="1" si="43"/>
        <v>1</v>
      </c>
      <c r="AR101" s="20" t="str">
        <f t="shared" ca="1" si="34"/>
        <v/>
      </c>
      <c r="AS101" s="20" t="str" cm="1">
        <f t="array" aca="1" ref="AS101" ca="1">IF(AR101="","",IF(AR101&lt;&gt;AR100,1,IF(AS100=misLíneas-2,0,AS100+1)))</f>
        <v/>
      </c>
      <c r="AT101" s="20" t="str" cm="1">
        <f t="array" aca="1" ref="AT101" ca="1">IF(OR(AS101=0,AS101=""),"",INDEX(misCriticidades,AR101)&amp;"-"&amp;IFERROR(MATCH(AS101,miOrdenTarjeta,0),0))</f>
        <v/>
      </c>
      <c r="AU101" s="19" t="str">
        <f ca="1"/>
        <v/>
      </c>
      <c r="AV101" s="20">
        <f t="shared" ca="1" si="44"/>
        <v>1</v>
      </c>
      <c r="AW101" s="20" t="str">
        <f t="shared" ca="1" si="35"/>
        <v/>
      </c>
      <c r="AX101" s="20" t="str" cm="1">
        <f t="array" aca="1" ref="AX101" ca="1">IF(AW101="","",IF(AW101&lt;&gt;AW100,1,IF(AX100=misLíneas-2,0,AX100+1)))</f>
        <v/>
      </c>
      <c r="AY101" s="20" t="str" cm="1">
        <f t="array" aca="1" ref="AY101" ca="1">IF(OR(AX101=0,AX101=""),"",INDEX(misCriticidades,AW101)&amp;"-"&amp;IFERROR(MATCH(AX101,miOrdenTarjeta,0),0))</f>
        <v/>
      </c>
    </row>
    <row r="102" spans="2:51" x14ac:dyDescent="0.25">
      <c r="C102" s="20">
        <f t="shared" ca="1" si="45"/>
        <v>1</v>
      </c>
      <c r="D102" s="20" t="str">
        <f t="shared" ca="1" si="46"/>
        <v/>
      </c>
      <c r="E102" s="20" t="str" cm="1">
        <f t="array" aca="1" ref="E102" ca="1">IF(D102="","",IF(D102&lt;&gt;D101,1,IF(E101=misLíneas-2,0,E101+1)))</f>
        <v/>
      </c>
      <c r="F102" s="20" t="str" cm="1">
        <f t="array" aca="1" ref="F102" ca="1">IF(OR(E102=0,E102=""),"",INDEX(misCriticidades,D102)&amp;"-"&amp;IFERROR(MATCH(E102,miOrdenTarjeta,0),0))</f>
        <v/>
      </c>
      <c r="H102" s="20">
        <f t="shared" ca="1" si="36"/>
        <v>7</v>
      </c>
      <c r="I102" s="20" t="str">
        <f t="shared" ca="1" si="47"/>
        <v/>
      </c>
      <c r="J102" s="20" t="str" cm="1">
        <f t="array" aca="1" ref="J102" ca="1">IF(I102="","",IF(I102&lt;&gt;I101,1,IF(J101=misLíneas-2,0,J101+1)))</f>
        <v/>
      </c>
      <c r="K102" s="20" t="str" cm="1">
        <f t="array" aca="1" ref="K102" ca="1">IF(OR(J102=0,J102=""),"",INDEX(misCriticidades,I102)&amp;"-"&amp;IFERROR(MATCH(J102,miOrdenTarjeta,0),0))</f>
        <v/>
      </c>
      <c r="M102" s="20">
        <f t="shared" ca="1" si="37"/>
        <v>1</v>
      </c>
      <c r="N102" s="20" t="str">
        <f t="shared" ca="1" si="48"/>
        <v/>
      </c>
      <c r="O102" s="20" t="str" cm="1">
        <f t="array" aca="1" ref="O102" ca="1">IF(N102="","",IF(N102&lt;&gt;N101,1,IF(O101=misLíneas-2,0,O101+1)))</f>
        <v/>
      </c>
      <c r="P102" s="20" t="str" cm="1">
        <f t="array" aca="1" ref="P102" ca="1">IF(OR(O102=0,O102=""),"",INDEX(misCriticidades,N102)&amp;"-"&amp;IFERROR(MATCH(O102,miOrdenTarjeta,0),0))</f>
        <v/>
      </c>
      <c r="R102" s="20">
        <f t="shared" ca="1" si="38"/>
        <v>10</v>
      </c>
      <c r="S102" s="20">
        <f t="shared" ca="1" si="49"/>
        <v>20</v>
      </c>
      <c r="T102" s="20" cm="1">
        <f t="array" aca="1" ref="T102" ca="1">IF(S102="","",IF(S102&lt;&gt;S101,1,IF(T101=misLíneas-2,0,T101+1)))</f>
        <v>0</v>
      </c>
      <c r="U102" s="20" t="str" cm="1">
        <f t="array" aca="1" ref="U102" ca="1">IF(OR(T102=0,T102=""),"",INDEX(misCriticidades,S102)&amp;"-"&amp;IFERROR(MATCH(T102,miOrdenTarjeta,0),0))</f>
        <v/>
      </c>
      <c r="W102" s="20">
        <f t="shared" ca="1" si="39"/>
        <v>1</v>
      </c>
      <c r="X102" s="20" t="str">
        <f t="shared" ca="1" si="50"/>
        <v/>
      </c>
      <c r="Y102" s="20" t="str" cm="1">
        <f t="array" aca="1" ref="Y102" ca="1">IF(X102="","",IF(X102&lt;&gt;X101,1,IF(Y101=misLíneas-2,0,Y101+1)))</f>
        <v/>
      </c>
      <c r="Z102" s="20" t="str" cm="1">
        <f t="array" aca="1" ref="Z102" ca="1">IF(OR(Y102=0,Y102=""),"",INDEX(misCriticidades,X102)&amp;"-"&amp;IFERROR(MATCH(Y102,miOrdenTarjeta,0),0))</f>
        <v/>
      </c>
      <c r="AB102" s="20">
        <f t="shared" ca="1" si="40"/>
        <v>1</v>
      </c>
      <c r="AC102" s="20" t="str">
        <f t="shared" ca="1" si="31"/>
        <v/>
      </c>
      <c r="AD102" s="20" t="str" cm="1">
        <f t="array" aca="1" ref="AD102" ca="1">IF(AC102="","",IF(AC102&lt;&gt;AC101,1,IF(AD101=misLíneas-2,0,AD101+1)))</f>
        <v/>
      </c>
      <c r="AE102" s="20" t="str" cm="1">
        <f t="array" aca="1" ref="AE102" ca="1">IF(OR(AD102=0,AD102=""),"",INDEX(misCriticidades,AC102)&amp;"-"&amp;IFERROR(MATCH(AD102,miOrdenTarjeta,0),0))</f>
        <v/>
      </c>
      <c r="AG102" s="20">
        <f t="shared" ca="1" si="41"/>
        <v>1</v>
      </c>
      <c r="AH102" s="20" t="str">
        <f t="shared" ca="1" si="32"/>
        <v/>
      </c>
      <c r="AI102" s="20" t="str" cm="1">
        <f t="array" aca="1" ref="AI102" ca="1">IF(AH102="","",IF(AH102&lt;&gt;AH101,1,IF(AI101=misLíneas-2,0,AI101+1)))</f>
        <v/>
      </c>
      <c r="AJ102" s="20" t="str" cm="1">
        <f t="array" aca="1" ref="AJ102" ca="1">IF(OR(AI102=0,AI102=""),"",INDEX(misCriticidades,AH102)&amp;"-"&amp;IFERROR(MATCH(AI102,miOrdenTarjeta,0),0))</f>
        <v/>
      </c>
      <c r="AL102" s="20">
        <f t="shared" ca="1" si="42"/>
        <v>1</v>
      </c>
      <c r="AM102" s="20" t="str">
        <f t="shared" ca="1" si="33"/>
        <v/>
      </c>
      <c r="AN102" s="20" t="str" cm="1">
        <f t="array" aca="1" ref="AN102" ca="1">IF(AM102="","",IF(AM102&lt;&gt;AM101,1,IF(AN101=misLíneas-2,0,AN101+1)))</f>
        <v/>
      </c>
      <c r="AO102" s="20" t="str" cm="1">
        <f t="array" aca="1" ref="AO102" ca="1">IF(OR(AN102=0,AN102=""),"",INDEX(misCriticidades,AM102)&amp;"-"&amp;IFERROR(MATCH(AN102,miOrdenTarjeta,0),0))</f>
        <v/>
      </c>
      <c r="AQ102" s="20">
        <f t="shared" ca="1" si="43"/>
        <v>1</v>
      </c>
      <c r="AR102" s="20" t="str">
        <f t="shared" ca="1" si="34"/>
        <v/>
      </c>
      <c r="AS102" s="20" t="str" cm="1">
        <f t="array" aca="1" ref="AS102" ca="1">IF(AR102="","",IF(AR102&lt;&gt;AR101,1,IF(AS101=misLíneas-2,0,AS101+1)))</f>
        <v/>
      </c>
      <c r="AT102" s="20" t="str" cm="1">
        <f t="array" aca="1" ref="AT102" ca="1">IF(OR(AS102=0,AS102=""),"",INDEX(misCriticidades,AR102)&amp;"-"&amp;IFERROR(MATCH(AS102,miOrdenTarjeta,0),0))</f>
        <v/>
      </c>
      <c r="AV102" s="20">
        <f t="shared" ca="1" si="44"/>
        <v>1</v>
      </c>
      <c r="AW102" s="20" t="str">
        <f t="shared" ca="1" si="35"/>
        <v/>
      </c>
      <c r="AX102" s="20" t="str" cm="1">
        <f t="array" aca="1" ref="AX102" ca="1">IF(AW102="","",IF(AW102&lt;&gt;AW101,1,IF(AX101=misLíneas-2,0,AX101+1)))</f>
        <v/>
      </c>
      <c r="AY102" s="20" t="str" cm="1">
        <f t="array" aca="1" ref="AY102" ca="1">IF(OR(AX102=0,AX102=""),"",INDEX(misCriticidades,AW102)&amp;"-"&amp;IFERROR(MATCH(AX102,miOrdenTarjeta,0),0))</f>
        <v/>
      </c>
    </row>
    <row r="103" spans="2:51" x14ac:dyDescent="0.25">
      <c r="C103" s="20">
        <f t="shared" ca="1" si="45"/>
        <v>1</v>
      </c>
      <c r="D103" s="20" t="str">
        <f t="shared" ca="1" si="46"/>
        <v/>
      </c>
      <c r="E103" s="20" t="str" cm="1">
        <f t="array" aca="1" ref="E103" ca="1">IF(D103="","",IF(D103&lt;&gt;D102,1,IF(E102=misLíneas-2,0,E102+1)))</f>
        <v/>
      </c>
      <c r="F103" s="20" t="str" cm="1">
        <f t="array" aca="1" ref="F103" ca="1">IF(OR(E103=0,E103=""),"",INDEX(misCriticidades,D103)&amp;"-"&amp;IFERROR(MATCH(E103,miOrdenTarjeta,0),0))</f>
        <v/>
      </c>
      <c r="H103" s="20">
        <f t="shared" ca="1" si="36"/>
        <v>7</v>
      </c>
      <c r="I103" s="20" t="str">
        <f t="shared" ca="1" si="47"/>
        <v/>
      </c>
      <c r="J103" s="20" t="str" cm="1">
        <f t="array" aca="1" ref="J103" ca="1">IF(I103="","",IF(I103&lt;&gt;I102,1,IF(J102=misLíneas-2,0,J102+1)))</f>
        <v/>
      </c>
      <c r="K103" s="20" t="str" cm="1">
        <f t="array" aca="1" ref="K103" ca="1">IF(OR(J103=0,J103=""),"",INDEX(misCriticidades,I103)&amp;"-"&amp;IFERROR(MATCH(J103,miOrdenTarjeta,0),0))</f>
        <v/>
      </c>
      <c r="M103" s="20">
        <f t="shared" ca="1" si="37"/>
        <v>1</v>
      </c>
      <c r="N103" s="20" t="str">
        <f t="shared" ca="1" si="48"/>
        <v/>
      </c>
      <c r="O103" s="20" t="str" cm="1">
        <f t="array" aca="1" ref="O103" ca="1">IF(N103="","",IF(N103&lt;&gt;N102,1,IF(O102=misLíneas-2,0,O102+1)))</f>
        <v/>
      </c>
      <c r="P103" s="20" t="str" cm="1">
        <f t="array" aca="1" ref="P103" ca="1">IF(OR(O103=0,O103=""),"",INDEX(misCriticidades,N103)&amp;"-"&amp;IFERROR(MATCH(O103,miOrdenTarjeta,0),0))</f>
        <v/>
      </c>
      <c r="R103" s="20">
        <f t="shared" ca="1" si="38"/>
        <v>11</v>
      </c>
      <c r="S103" s="20">
        <f t="shared" ca="1" si="49"/>
        <v>19</v>
      </c>
      <c r="T103" s="20" cm="1">
        <f t="array" aca="1" ref="T103" ca="1">IF(S103="","",IF(S103&lt;&gt;S102,1,IF(T102=misLíneas-2,0,T102+1)))</f>
        <v>1</v>
      </c>
      <c r="U103" s="20" t="str" cm="1">
        <f t="array" aca="1" ref="U103" ca="1">IF(OR(T103=0,T103=""),"",INDEX(misCriticidades,S103)&amp;"-"&amp;IFERROR(MATCH(T103,miOrdenTarjeta,0),0))</f>
        <v>2-1</v>
      </c>
      <c r="W103" s="20">
        <f t="shared" ca="1" si="39"/>
        <v>1</v>
      </c>
      <c r="X103" s="20" t="str">
        <f t="shared" ca="1" si="50"/>
        <v/>
      </c>
      <c r="Y103" s="20" t="str" cm="1">
        <f t="array" aca="1" ref="Y103" ca="1">IF(X103="","",IF(X103&lt;&gt;X102,1,IF(Y102=misLíneas-2,0,Y102+1)))</f>
        <v/>
      </c>
      <c r="Z103" s="20" t="str" cm="1">
        <f t="array" aca="1" ref="Z103" ca="1">IF(OR(Y103=0,Y103=""),"",INDEX(misCriticidades,X103)&amp;"-"&amp;IFERROR(MATCH(Y103,miOrdenTarjeta,0),0))</f>
        <v/>
      </c>
      <c r="AB103" s="20">
        <f t="shared" ca="1" si="40"/>
        <v>1</v>
      </c>
      <c r="AC103" s="20" t="str">
        <f t="shared" ca="1" si="31"/>
        <v/>
      </c>
      <c r="AD103" s="20" t="str" cm="1">
        <f t="array" aca="1" ref="AD103" ca="1">IF(AC103="","",IF(AC103&lt;&gt;AC102,1,IF(AD102=misLíneas-2,0,AD102+1)))</f>
        <v/>
      </c>
      <c r="AE103" s="20" t="str" cm="1">
        <f t="array" aca="1" ref="AE103" ca="1">IF(OR(AD103=0,AD103=""),"",INDEX(misCriticidades,AC103)&amp;"-"&amp;IFERROR(MATCH(AD103,miOrdenTarjeta,0),0))</f>
        <v/>
      </c>
      <c r="AG103" s="20">
        <f t="shared" ca="1" si="41"/>
        <v>1</v>
      </c>
      <c r="AH103" s="20" t="str">
        <f t="shared" ca="1" si="32"/>
        <v/>
      </c>
      <c r="AI103" s="20" t="str" cm="1">
        <f t="array" aca="1" ref="AI103" ca="1">IF(AH103="","",IF(AH103&lt;&gt;AH102,1,IF(AI102=misLíneas-2,0,AI102+1)))</f>
        <v/>
      </c>
      <c r="AJ103" s="20" t="str" cm="1">
        <f t="array" aca="1" ref="AJ103" ca="1">IF(OR(AI103=0,AI103=""),"",INDEX(misCriticidades,AH103)&amp;"-"&amp;IFERROR(MATCH(AI103,miOrdenTarjeta,0),0))</f>
        <v/>
      </c>
      <c r="AL103" s="20">
        <f t="shared" ca="1" si="42"/>
        <v>1</v>
      </c>
      <c r="AM103" s="20" t="str">
        <f t="shared" ca="1" si="33"/>
        <v/>
      </c>
      <c r="AN103" s="20" t="str" cm="1">
        <f t="array" aca="1" ref="AN103" ca="1">IF(AM103="","",IF(AM103&lt;&gt;AM102,1,IF(AN102=misLíneas-2,0,AN102+1)))</f>
        <v/>
      </c>
      <c r="AO103" s="20" t="str" cm="1">
        <f t="array" aca="1" ref="AO103" ca="1">IF(OR(AN103=0,AN103=""),"",INDEX(misCriticidades,AM103)&amp;"-"&amp;IFERROR(MATCH(AN103,miOrdenTarjeta,0),0))</f>
        <v/>
      </c>
      <c r="AQ103" s="20">
        <f t="shared" ca="1" si="43"/>
        <v>1</v>
      </c>
      <c r="AR103" s="20" t="str">
        <f t="shared" ca="1" si="34"/>
        <v/>
      </c>
      <c r="AS103" s="20" t="str" cm="1">
        <f t="array" aca="1" ref="AS103" ca="1">IF(AR103="","",IF(AR103&lt;&gt;AR102,1,IF(AS102=misLíneas-2,0,AS102+1)))</f>
        <v/>
      </c>
      <c r="AT103" s="20" t="str" cm="1">
        <f t="array" aca="1" ref="AT103" ca="1">IF(OR(AS103=0,AS103=""),"",INDEX(misCriticidades,AR103)&amp;"-"&amp;IFERROR(MATCH(AS103,miOrdenTarjeta,0),0))</f>
        <v/>
      </c>
      <c r="AV103" s="20">
        <f t="shared" ca="1" si="44"/>
        <v>1</v>
      </c>
      <c r="AW103" s="20" t="str">
        <f t="shared" ca="1" si="35"/>
        <v/>
      </c>
      <c r="AX103" s="20" t="str" cm="1">
        <f t="array" aca="1" ref="AX103" ca="1">IF(AW103="","",IF(AW103&lt;&gt;AW102,1,IF(AX102=misLíneas-2,0,AX102+1)))</f>
        <v/>
      </c>
      <c r="AY103" s="20" t="str" cm="1">
        <f t="array" aca="1" ref="AY103" ca="1">IF(OR(AX103=0,AX103=""),"",INDEX(misCriticidades,AW103)&amp;"-"&amp;IFERROR(MATCH(AX103,miOrdenTarjeta,0),0))</f>
        <v/>
      </c>
    </row>
    <row r="104" spans="2:51" x14ac:dyDescent="0.25">
      <c r="C104" s="20">
        <f t="shared" ca="1" si="45"/>
        <v>1</v>
      </c>
      <c r="D104" s="20" t="str">
        <f t="shared" ca="1" si="46"/>
        <v/>
      </c>
      <c r="E104" s="20" t="str" cm="1">
        <f t="array" aca="1" ref="E104" ca="1">IF(D104="","",IF(D104&lt;&gt;D103,1,IF(E103=misLíneas-2,0,E103+1)))</f>
        <v/>
      </c>
      <c r="F104" s="20" t="str" cm="1">
        <f t="array" aca="1" ref="F104" ca="1">IF(OR(E104=0,E104=""),"",INDEX(misCriticidades,D104)&amp;"-"&amp;IFERROR(MATCH(E104,miOrdenTarjeta,0),0))</f>
        <v/>
      </c>
      <c r="H104" s="20">
        <f t="shared" ca="1" si="36"/>
        <v>7</v>
      </c>
      <c r="I104" s="20" t="str">
        <f t="shared" ca="1" si="47"/>
        <v/>
      </c>
      <c r="J104" s="20" t="str" cm="1">
        <f t="array" aca="1" ref="J104" ca="1">IF(I104="","",IF(I104&lt;&gt;I103,1,IF(J103=misLíneas-2,0,J103+1)))</f>
        <v/>
      </c>
      <c r="K104" s="20" t="str" cm="1">
        <f t="array" aca="1" ref="K104" ca="1">IF(OR(J104=0,J104=""),"",INDEX(misCriticidades,I104)&amp;"-"&amp;IFERROR(MATCH(J104,miOrdenTarjeta,0),0))</f>
        <v/>
      </c>
      <c r="M104" s="20">
        <f t="shared" ca="1" si="37"/>
        <v>1</v>
      </c>
      <c r="N104" s="20" t="str">
        <f t="shared" ca="1" si="48"/>
        <v/>
      </c>
      <c r="O104" s="20" t="str" cm="1">
        <f t="array" aca="1" ref="O104" ca="1">IF(N104="","",IF(N104&lt;&gt;N103,1,IF(O103=misLíneas-2,0,O103+1)))</f>
        <v/>
      </c>
      <c r="P104" s="20" t="str" cm="1">
        <f t="array" aca="1" ref="P104" ca="1">IF(OR(O104=0,O104=""),"",INDEX(misCriticidades,N104)&amp;"-"&amp;IFERROR(MATCH(O104,miOrdenTarjeta,0),0))</f>
        <v/>
      </c>
      <c r="R104" s="20">
        <f t="shared" ca="1" si="38"/>
        <v>11</v>
      </c>
      <c r="S104" s="20">
        <f t="shared" ca="1" si="49"/>
        <v>19</v>
      </c>
      <c r="T104" s="20" cm="1">
        <f t="array" aca="1" ref="T104" ca="1">IF(S104="","",IF(S104&lt;&gt;S103,1,IF(T103=misLíneas-2,0,T103+1)))</f>
        <v>2</v>
      </c>
      <c r="U104" s="20" t="str" cm="1">
        <f t="array" aca="1" ref="U104" ca="1">IF(OR(T104=0,T104=""),"",INDEX(misCriticidades,S104)&amp;"-"&amp;IFERROR(MATCH(T104,miOrdenTarjeta,0),0))</f>
        <v>2-2</v>
      </c>
      <c r="W104" s="20">
        <f t="shared" ca="1" si="39"/>
        <v>1</v>
      </c>
      <c r="X104" s="20" t="str">
        <f t="shared" ca="1" si="50"/>
        <v/>
      </c>
      <c r="Y104" s="20" t="str" cm="1">
        <f t="array" aca="1" ref="Y104" ca="1">IF(X104="","",IF(X104&lt;&gt;X103,1,IF(Y103=misLíneas-2,0,Y103+1)))</f>
        <v/>
      </c>
      <c r="Z104" s="20" t="str" cm="1">
        <f t="array" aca="1" ref="Z104" ca="1">IF(OR(Y104=0,Y104=""),"",INDEX(misCriticidades,X104)&amp;"-"&amp;IFERROR(MATCH(Y104,miOrdenTarjeta,0),0))</f>
        <v/>
      </c>
      <c r="AB104" s="20">
        <f t="shared" ca="1" si="40"/>
        <v>1</v>
      </c>
      <c r="AC104" s="20" t="str">
        <f t="shared" ca="1" si="31"/>
        <v/>
      </c>
      <c r="AD104" s="20" t="str" cm="1">
        <f t="array" aca="1" ref="AD104" ca="1">IF(AC104="","",IF(AC104&lt;&gt;AC103,1,IF(AD103=misLíneas-2,0,AD103+1)))</f>
        <v/>
      </c>
      <c r="AE104" s="20" t="str" cm="1">
        <f t="array" aca="1" ref="AE104" ca="1">IF(OR(AD104=0,AD104=""),"",INDEX(misCriticidades,AC104)&amp;"-"&amp;IFERROR(MATCH(AD104,miOrdenTarjeta,0),0))</f>
        <v/>
      </c>
      <c r="AG104" s="20">
        <f t="shared" ca="1" si="41"/>
        <v>1</v>
      </c>
      <c r="AH104" s="20" t="str">
        <f t="shared" ca="1" si="32"/>
        <v/>
      </c>
      <c r="AI104" s="20" t="str" cm="1">
        <f t="array" aca="1" ref="AI104" ca="1">IF(AH104="","",IF(AH104&lt;&gt;AH103,1,IF(AI103=misLíneas-2,0,AI103+1)))</f>
        <v/>
      </c>
      <c r="AJ104" s="20" t="str" cm="1">
        <f t="array" aca="1" ref="AJ104" ca="1">IF(OR(AI104=0,AI104=""),"",INDEX(misCriticidades,AH104)&amp;"-"&amp;IFERROR(MATCH(AI104,miOrdenTarjeta,0),0))</f>
        <v/>
      </c>
      <c r="AL104" s="20">
        <f t="shared" ca="1" si="42"/>
        <v>1</v>
      </c>
      <c r="AM104" s="20" t="str">
        <f t="shared" ca="1" si="33"/>
        <v/>
      </c>
      <c r="AN104" s="20" t="str" cm="1">
        <f t="array" aca="1" ref="AN104" ca="1">IF(AM104="","",IF(AM104&lt;&gt;AM103,1,IF(AN103=misLíneas-2,0,AN103+1)))</f>
        <v/>
      </c>
      <c r="AO104" s="20" t="str" cm="1">
        <f t="array" aca="1" ref="AO104" ca="1">IF(OR(AN104=0,AN104=""),"",INDEX(misCriticidades,AM104)&amp;"-"&amp;IFERROR(MATCH(AN104,miOrdenTarjeta,0),0))</f>
        <v/>
      </c>
      <c r="AQ104" s="20">
        <f t="shared" ca="1" si="43"/>
        <v>1</v>
      </c>
      <c r="AR104" s="20" t="str">
        <f t="shared" ca="1" si="34"/>
        <v/>
      </c>
      <c r="AS104" s="20" t="str" cm="1">
        <f t="array" aca="1" ref="AS104" ca="1">IF(AR104="","",IF(AR104&lt;&gt;AR103,1,IF(AS103=misLíneas-2,0,AS103+1)))</f>
        <v/>
      </c>
      <c r="AT104" s="20" t="str" cm="1">
        <f t="array" aca="1" ref="AT104" ca="1">IF(OR(AS104=0,AS104=""),"",INDEX(misCriticidades,AR104)&amp;"-"&amp;IFERROR(MATCH(AS104,miOrdenTarjeta,0),0))</f>
        <v/>
      </c>
      <c r="AV104" s="20">
        <f t="shared" ca="1" si="44"/>
        <v>1</v>
      </c>
      <c r="AW104" s="20" t="str">
        <f t="shared" ca="1" si="35"/>
        <v/>
      </c>
      <c r="AX104" s="20" t="str" cm="1">
        <f t="array" aca="1" ref="AX104" ca="1">IF(AW104="","",IF(AW104&lt;&gt;AW103,1,IF(AX103=misLíneas-2,0,AX103+1)))</f>
        <v/>
      </c>
      <c r="AY104" s="20" t="str" cm="1">
        <f t="array" aca="1" ref="AY104" ca="1">IF(OR(AX104=0,AX104=""),"",INDEX(misCriticidades,AW104)&amp;"-"&amp;IFERROR(MATCH(AX104,miOrdenTarjeta,0),0))</f>
        <v/>
      </c>
    </row>
    <row r="105" spans="2:51" x14ac:dyDescent="0.25">
      <c r="C105" s="20">
        <f t="shared" ca="1" si="45"/>
        <v>1</v>
      </c>
      <c r="D105" s="20" t="str">
        <f t="shared" ca="1" si="46"/>
        <v/>
      </c>
      <c r="E105" s="20" t="str" cm="1">
        <f t="array" aca="1" ref="E105" ca="1">IF(D105="","",IF(D105&lt;&gt;D104,1,IF(E104=misLíneas-2,0,E104+1)))</f>
        <v/>
      </c>
      <c r="F105" s="20" t="str" cm="1">
        <f t="array" aca="1" ref="F105" ca="1">IF(OR(E105=0,E105=""),"",INDEX(misCriticidades,D105)&amp;"-"&amp;IFERROR(MATCH(E105,miOrdenTarjeta,0),0))</f>
        <v/>
      </c>
      <c r="H105" s="20">
        <f t="shared" ca="1" si="36"/>
        <v>7</v>
      </c>
      <c r="I105" s="20" t="str">
        <f t="shared" ca="1" si="47"/>
        <v/>
      </c>
      <c r="J105" s="20" t="str" cm="1">
        <f t="array" aca="1" ref="J105" ca="1">IF(I105="","",IF(I105&lt;&gt;I104,1,IF(J104=misLíneas-2,0,J104+1)))</f>
        <v/>
      </c>
      <c r="K105" s="20" t="str" cm="1">
        <f t="array" aca="1" ref="K105" ca="1">IF(OR(J105=0,J105=""),"",INDEX(misCriticidades,I105)&amp;"-"&amp;IFERROR(MATCH(J105,miOrdenTarjeta,0),0))</f>
        <v/>
      </c>
      <c r="M105" s="20">
        <f t="shared" ca="1" si="37"/>
        <v>1</v>
      </c>
      <c r="N105" s="20" t="str">
        <f t="shared" ca="1" si="48"/>
        <v/>
      </c>
      <c r="O105" s="20" t="str" cm="1">
        <f t="array" aca="1" ref="O105" ca="1">IF(N105="","",IF(N105&lt;&gt;N104,1,IF(O104=misLíneas-2,0,O104+1)))</f>
        <v/>
      </c>
      <c r="P105" s="20" t="str" cm="1">
        <f t="array" aca="1" ref="P105" ca="1">IF(OR(O105=0,O105=""),"",INDEX(misCriticidades,N105)&amp;"-"&amp;IFERROR(MATCH(O105,miOrdenTarjeta,0),0))</f>
        <v/>
      </c>
      <c r="R105" s="20">
        <f t="shared" ca="1" si="38"/>
        <v>11</v>
      </c>
      <c r="S105" s="20">
        <f t="shared" ca="1" si="49"/>
        <v>19</v>
      </c>
      <c r="T105" s="20" cm="1">
        <f t="array" aca="1" ref="T105" ca="1">IF(S105="","",IF(S105&lt;&gt;S104,1,IF(T104=misLíneas-2,0,T104+1)))</f>
        <v>3</v>
      </c>
      <c r="U105" s="20" t="str" cm="1">
        <f t="array" aca="1" ref="U105" ca="1">IF(OR(T105=0,T105=""),"",INDEX(misCriticidades,S105)&amp;"-"&amp;IFERROR(MATCH(T105,miOrdenTarjeta,0),0))</f>
        <v>2-3</v>
      </c>
      <c r="W105" s="20">
        <f t="shared" ca="1" si="39"/>
        <v>1</v>
      </c>
      <c r="X105" s="20" t="str">
        <f t="shared" ca="1" si="50"/>
        <v/>
      </c>
      <c r="Y105" s="20" t="str" cm="1">
        <f t="array" aca="1" ref="Y105" ca="1">IF(X105="","",IF(X105&lt;&gt;X104,1,IF(Y104=misLíneas-2,0,Y104+1)))</f>
        <v/>
      </c>
      <c r="Z105" s="20" t="str" cm="1">
        <f t="array" aca="1" ref="Z105" ca="1">IF(OR(Y105=0,Y105=""),"",INDEX(misCriticidades,X105)&amp;"-"&amp;IFERROR(MATCH(Y105,miOrdenTarjeta,0),0))</f>
        <v/>
      </c>
      <c r="AB105" s="20">
        <f t="shared" ca="1" si="40"/>
        <v>1</v>
      </c>
      <c r="AC105" s="20" t="str">
        <f t="shared" ca="1" si="31"/>
        <v/>
      </c>
      <c r="AD105" s="20" t="str" cm="1">
        <f t="array" aca="1" ref="AD105" ca="1">IF(AC105="","",IF(AC105&lt;&gt;AC104,1,IF(AD104=misLíneas-2,0,AD104+1)))</f>
        <v/>
      </c>
      <c r="AE105" s="20" t="str" cm="1">
        <f t="array" aca="1" ref="AE105" ca="1">IF(OR(AD105=0,AD105=""),"",INDEX(misCriticidades,AC105)&amp;"-"&amp;IFERROR(MATCH(AD105,miOrdenTarjeta,0),0))</f>
        <v/>
      </c>
      <c r="AG105" s="20">
        <f t="shared" ca="1" si="41"/>
        <v>1</v>
      </c>
      <c r="AH105" s="20" t="str">
        <f t="shared" ca="1" si="32"/>
        <v/>
      </c>
      <c r="AI105" s="20" t="str" cm="1">
        <f t="array" aca="1" ref="AI105" ca="1">IF(AH105="","",IF(AH105&lt;&gt;AH104,1,IF(AI104=misLíneas-2,0,AI104+1)))</f>
        <v/>
      </c>
      <c r="AJ105" s="20" t="str" cm="1">
        <f t="array" aca="1" ref="AJ105" ca="1">IF(OR(AI105=0,AI105=""),"",INDEX(misCriticidades,AH105)&amp;"-"&amp;IFERROR(MATCH(AI105,miOrdenTarjeta,0),0))</f>
        <v/>
      </c>
      <c r="AL105" s="20">
        <f t="shared" ca="1" si="42"/>
        <v>1</v>
      </c>
      <c r="AM105" s="20" t="str">
        <f t="shared" ca="1" si="33"/>
        <v/>
      </c>
      <c r="AN105" s="20" t="str" cm="1">
        <f t="array" aca="1" ref="AN105" ca="1">IF(AM105="","",IF(AM105&lt;&gt;AM104,1,IF(AN104=misLíneas-2,0,AN104+1)))</f>
        <v/>
      </c>
      <c r="AO105" s="20" t="str" cm="1">
        <f t="array" aca="1" ref="AO105" ca="1">IF(OR(AN105=0,AN105=""),"",INDEX(misCriticidades,AM105)&amp;"-"&amp;IFERROR(MATCH(AN105,miOrdenTarjeta,0),0))</f>
        <v/>
      </c>
      <c r="AQ105" s="20">
        <f t="shared" ca="1" si="43"/>
        <v>1</v>
      </c>
      <c r="AR105" s="20" t="str">
        <f t="shared" ca="1" si="34"/>
        <v/>
      </c>
      <c r="AS105" s="20" t="str" cm="1">
        <f t="array" aca="1" ref="AS105" ca="1">IF(AR105="","",IF(AR105&lt;&gt;AR104,1,IF(AS104=misLíneas-2,0,AS104+1)))</f>
        <v/>
      </c>
      <c r="AT105" s="20" t="str" cm="1">
        <f t="array" aca="1" ref="AT105" ca="1">IF(OR(AS105=0,AS105=""),"",INDEX(misCriticidades,AR105)&amp;"-"&amp;IFERROR(MATCH(AS105,miOrdenTarjeta,0),0))</f>
        <v/>
      </c>
      <c r="AV105" s="20">
        <f t="shared" ca="1" si="44"/>
        <v>1</v>
      </c>
      <c r="AW105" s="20" t="str">
        <f t="shared" ca="1" si="35"/>
        <v/>
      </c>
      <c r="AX105" s="20" t="str" cm="1">
        <f t="array" aca="1" ref="AX105" ca="1">IF(AW105="","",IF(AW105&lt;&gt;AW104,1,IF(AX104=misLíneas-2,0,AX104+1)))</f>
        <v/>
      </c>
      <c r="AY105" s="20" t="str" cm="1">
        <f t="array" aca="1" ref="AY105" ca="1">IF(OR(AX105=0,AX105=""),"",INDEX(misCriticidades,AW105)&amp;"-"&amp;IFERROR(MATCH(AX105,miOrdenTarjeta,0),0))</f>
        <v/>
      </c>
    </row>
    <row r="106" spans="2:51" x14ac:dyDescent="0.25">
      <c r="C106" s="20">
        <f t="shared" ca="1" si="45"/>
        <v>1</v>
      </c>
      <c r="D106" s="20" t="str">
        <f t="shared" ca="1" si="46"/>
        <v/>
      </c>
      <c r="E106" s="20" t="str" cm="1">
        <f t="array" aca="1" ref="E106" ca="1">IF(D106="","",IF(D106&lt;&gt;D105,1,IF(E105=misLíneas-2,0,E105+1)))</f>
        <v/>
      </c>
      <c r="F106" s="20" t="str" cm="1">
        <f t="array" aca="1" ref="F106" ca="1">IF(OR(E106=0,E106=""),"",INDEX(misCriticidades,D106)&amp;"-"&amp;IFERROR(MATCH(E106,miOrdenTarjeta,0),0))</f>
        <v/>
      </c>
      <c r="H106" s="20">
        <f t="shared" ca="1" si="36"/>
        <v>7</v>
      </c>
      <c r="I106" s="20" t="str">
        <f t="shared" ca="1" si="47"/>
        <v/>
      </c>
      <c r="J106" s="20" t="str" cm="1">
        <f t="array" aca="1" ref="J106" ca="1">IF(I106="","",IF(I106&lt;&gt;I105,1,IF(J105=misLíneas-2,0,J105+1)))</f>
        <v/>
      </c>
      <c r="K106" s="20" t="str" cm="1">
        <f t="array" aca="1" ref="K106" ca="1">IF(OR(J106=0,J106=""),"",INDEX(misCriticidades,I106)&amp;"-"&amp;IFERROR(MATCH(J106,miOrdenTarjeta,0),0))</f>
        <v/>
      </c>
      <c r="M106" s="20">
        <f t="shared" ca="1" si="37"/>
        <v>1</v>
      </c>
      <c r="N106" s="20" t="str">
        <f t="shared" ca="1" si="48"/>
        <v/>
      </c>
      <c r="O106" s="20" t="str" cm="1">
        <f t="array" aca="1" ref="O106" ca="1">IF(N106="","",IF(N106&lt;&gt;N105,1,IF(O105=misLíneas-2,0,O105+1)))</f>
        <v/>
      </c>
      <c r="P106" s="20" t="str" cm="1">
        <f t="array" aca="1" ref="P106" ca="1">IF(OR(O106=0,O106=""),"",INDEX(misCriticidades,N106)&amp;"-"&amp;IFERROR(MATCH(O106,miOrdenTarjeta,0),0))</f>
        <v/>
      </c>
      <c r="R106" s="20">
        <f t="shared" ca="1" si="38"/>
        <v>11</v>
      </c>
      <c r="S106" s="20">
        <f t="shared" ca="1" si="49"/>
        <v>19</v>
      </c>
      <c r="T106" s="20" cm="1">
        <f t="array" aca="1" ref="T106" ca="1">IF(S106="","",IF(S106&lt;&gt;S105,1,IF(T105=misLíneas-2,0,T105+1)))</f>
        <v>4</v>
      </c>
      <c r="U106" s="20" t="str" cm="1">
        <f t="array" aca="1" ref="U106" ca="1">IF(OR(T106=0,T106=""),"",INDEX(misCriticidades,S106)&amp;"-"&amp;IFERROR(MATCH(T106,miOrdenTarjeta,0),0))</f>
        <v>2-4</v>
      </c>
      <c r="W106" s="20">
        <f t="shared" ca="1" si="39"/>
        <v>1</v>
      </c>
      <c r="X106" s="20" t="str">
        <f t="shared" ca="1" si="50"/>
        <v/>
      </c>
      <c r="Y106" s="20" t="str" cm="1">
        <f t="array" aca="1" ref="Y106" ca="1">IF(X106="","",IF(X106&lt;&gt;X105,1,IF(Y105=misLíneas-2,0,Y105+1)))</f>
        <v/>
      </c>
      <c r="Z106" s="20" t="str" cm="1">
        <f t="array" aca="1" ref="Z106" ca="1">IF(OR(Y106=0,Y106=""),"",INDEX(misCriticidades,X106)&amp;"-"&amp;IFERROR(MATCH(Y106,miOrdenTarjeta,0),0))</f>
        <v/>
      </c>
      <c r="AB106" s="20">
        <f t="shared" ca="1" si="40"/>
        <v>1</v>
      </c>
      <c r="AC106" s="20" t="str">
        <f t="shared" ca="1" si="31"/>
        <v/>
      </c>
      <c r="AD106" s="20" t="str" cm="1">
        <f t="array" aca="1" ref="AD106" ca="1">IF(AC106="","",IF(AC106&lt;&gt;AC105,1,IF(AD105=misLíneas-2,0,AD105+1)))</f>
        <v/>
      </c>
      <c r="AE106" s="20" t="str" cm="1">
        <f t="array" aca="1" ref="AE106" ca="1">IF(OR(AD106=0,AD106=""),"",INDEX(misCriticidades,AC106)&amp;"-"&amp;IFERROR(MATCH(AD106,miOrdenTarjeta,0),0))</f>
        <v/>
      </c>
      <c r="AG106" s="20">
        <f t="shared" ca="1" si="41"/>
        <v>1</v>
      </c>
      <c r="AH106" s="20" t="str">
        <f t="shared" ca="1" si="32"/>
        <v/>
      </c>
      <c r="AI106" s="20" t="str" cm="1">
        <f t="array" aca="1" ref="AI106" ca="1">IF(AH106="","",IF(AH106&lt;&gt;AH105,1,IF(AI105=misLíneas-2,0,AI105+1)))</f>
        <v/>
      </c>
      <c r="AJ106" s="20" t="str" cm="1">
        <f t="array" aca="1" ref="AJ106" ca="1">IF(OR(AI106=0,AI106=""),"",INDEX(misCriticidades,AH106)&amp;"-"&amp;IFERROR(MATCH(AI106,miOrdenTarjeta,0),0))</f>
        <v/>
      </c>
      <c r="AL106" s="20">
        <f t="shared" ca="1" si="42"/>
        <v>1</v>
      </c>
      <c r="AM106" s="20" t="str">
        <f t="shared" ca="1" si="33"/>
        <v/>
      </c>
      <c r="AN106" s="20" t="str" cm="1">
        <f t="array" aca="1" ref="AN106" ca="1">IF(AM106="","",IF(AM106&lt;&gt;AM105,1,IF(AN105=misLíneas-2,0,AN105+1)))</f>
        <v/>
      </c>
      <c r="AO106" s="20" t="str" cm="1">
        <f t="array" aca="1" ref="AO106" ca="1">IF(OR(AN106=0,AN106=""),"",INDEX(misCriticidades,AM106)&amp;"-"&amp;IFERROR(MATCH(AN106,miOrdenTarjeta,0),0))</f>
        <v/>
      </c>
      <c r="AQ106" s="20">
        <f t="shared" ca="1" si="43"/>
        <v>1</v>
      </c>
      <c r="AR106" s="20" t="str">
        <f t="shared" ca="1" si="34"/>
        <v/>
      </c>
      <c r="AS106" s="20" t="str" cm="1">
        <f t="array" aca="1" ref="AS106" ca="1">IF(AR106="","",IF(AR106&lt;&gt;AR105,1,IF(AS105=misLíneas-2,0,AS105+1)))</f>
        <v/>
      </c>
      <c r="AT106" s="20" t="str" cm="1">
        <f t="array" aca="1" ref="AT106" ca="1">IF(OR(AS106=0,AS106=""),"",INDEX(misCriticidades,AR106)&amp;"-"&amp;IFERROR(MATCH(AS106,miOrdenTarjeta,0),0))</f>
        <v/>
      </c>
      <c r="AV106" s="20">
        <f t="shared" ca="1" si="44"/>
        <v>1</v>
      </c>
      <c r="AW106" s="20" t="str">
        <f t="shared" ca="1" si="35"/>
        <v/>
      </c>
      <c r="AX106" s="20" t="str" cm="1">
        <f t="array" aca="1" ref="AX106" ca="1">IF(AW106="","",IF(AW106&lt;&gt;AW105,1,IF(AX105=misLíneas-2,0,AX105+1)))</f>
        <v/>
      </c>
      <c r="AY106" s="20" t="str" cm="1">
        <f t="array" aca="1" ref="AY106" ca="1">IF(OR(AX106=0,AX106=""),"",INDEX(misCriticidades,AW106)&amp;"-"&amp;IFERROR(MATCH(AX106,miOrdenTarjeta,0),0))</f>
        <v/>
      </c>
    </row>
    <row r="107" spans="2:51" x14ac:dyDescent="0.25">
      <c r="C107" s="20">
        <f t="shared" ca="1" si="45"/>
        <v>1</v>
      </c>
      <c r="D107" s="20" t="str">
        <f t="shared" ca="1" si="46"/>
        <v/>
      </c>
      <c r="E107" s="20" t="str" cm="1">
        <f t="array" aca="1" ref="E107" ca="1">IF(D107="","",IF(D107&lt;&gt;D106,1,IF(E106=misLíneas-2,0,E106+1)))</f>
        <v/>
      </c>
      <c r="F107" s="20" t="str" cm="1">
        <f t="array" aca="1" ref="F107" ca="1">IF(OR(E107=0,E107=""),"",INDEX(misCriticidades,D107)&amp;"-"&amp;IFERROR(MATCH(E107,miOrdenTarjeta,0),0))</f>
        <v/>
      </c>
      <c r="H107" s="20">
        <f t="shared" ca="1" si="36"/>
        <v>7</v>
      </c>
      <c r="I107" s="20" t="str">
        <f t="shared" ca="1" si="47"/>
        <v/>
      </c>
      <c r="J107" s="20" t="str" cm="1">
        <f t="array" aca="1" ref="J107" ca="1">IF(I107="","",IF(I107&lt;&gt;I106,1,IF(J106=misLíneas-2,0,J106+1)))</f>
        <v/>
      </c>
      <c r="K107" s="20" t="str" cm="1">
        <f t="array" aca="1" ref="K107" ca="1">IF(OR(J107=0,J107=""),"",INDEX(misCriticidades,I107)&amp;"-"&amp;IFERROR(MATCH(J107,miOrdenTarjeta,0),0))</f>
        <v/>
      </c>
      <c r="M107" s="20">
        <f t="shared" ca="1" si="37"/>
        <v>1</v>
      </c>
      <c r="N107" s="20" t="str">
        <f t="shared" ca="1" si="48"/>
        <v/>
      </c>
      <c r="O107" s="20" t="str" cm="1">
        <f t="array" aca="1" ref="O107" ca="1">IF(N107="","",IF(N107&lt;&gt;N106,1,IF(O106=misLíneas-2,0,O106+1)))</f>
        <v/>
      </c>
      <c r="P107" s="20" t="str" cm="1">
        <f t="array" aca="1" ref="P107" ca="1">IF(OR(O107=0,O107=""),"",INDEX(misCriticidades,N107)&amp;"-"&amp;IFERROR(MATCH(O107,miOrdenTarjeta,0),0))</f>
        <v/>
      </c>
      <c r="R107" s="20">
        <f t="shared" ca="1" si="38"/>
        <v>11</v>
      </c>
      <c r="S107" s="20">
        <f t="shared" ca="1" si="49"/>
        <v>19</v>
      </c>
      <c r="T107" s="20" cm="1">
        <f t="array" aca="1" ref="T107" ca="1">IF(S107="","",IF(S107&lt;&gt;S106,1,IF(T106=misLíneas-2,0,T106+1)))</f>
        <v>5</v>
      </c>
      <c r="U107" s="20" t="str" cm="1">
        <f t="array" aca="1" ref="U107" ca="1">IF(OR(T107=0,T107=""),"",INDEX(misCriticidades,S107)&amp;"-"&amp;IFERROR(MATCH(T107,miOrdenTarjeta,0),0))</f>
        <v>2-5</v>
      </c>
      <c r="W107" s="20">
        <f t="shared" ca="1" si="39"/>
        <v>1</v>
      </c>
      <c r="X107" s="20" t="str">
        <f t="shared" ca="1" si="50"/>
        <v/>
      </c>
      <c r="Y107" s="20" t="str" cm="1">
        <f t="array" aca="1" ref="Y107" ca="1">IF(X107="","",IF(X107&lt;&gt;X106,1,IF(Y106=misLíneas-2,0,Y106+1)))</f>
        <v/>
      </c>
      <c r="Z107" s="20" t="str" cm="1">
        <f t="array" aca="1" ref="Z107" ca="1">IF(OR(Y107=0,Y107=""),"",INDEX(misCriticidades,X107)&amp;"-"&amp;IFERROR(MATCH(Y107,miOrdenTarjeta,0),0))</f>
        <v/>
      </c>
      <c r="AB107" s="20">
        <f t="shared" ca="1" si="40"/>
        <v>1</v>
      </c>
      <c r="AC107" s="20" t="str">
        <f t="shared" ca="1" si="31"/>
        <v/>
      </c>
      <c r="AD107" s="20" t="str" cm="1">
        <f t="array" aca="1" ref="AD107" ca="1">IF(AC107="","",IF(AC107&lt;&gt;AC106,1,IF(AD106=misLíneas-2,0,AD106+1)))</f>
        <v/>
      </c>
      <c r="AE107" s="20" t="str" cm="1">
        <f t="array" aca="1" ref="AE107" ca="1">IF(OR(AD107=0,AD107=""),"",INDEX(misCriticidades,AC107)&amp;"-"&amp;IFERROR(MATCH(AD107,miOrdenTarjeta,0),0))</f>
        <v/>
      </c>
      <c r="AG107" s="20">
        <f t="shared" ca="1" si="41"/>
        <v>1</v>
      </c>
      <c r="AH107" s="20" t="str">
        <f t="shared" ca="1" si="32"/>
        <v/>
      </c>
      <c r="AI107" s="20" t="str" cm="1">
        <f t="array" aca="1" ref="AI107" ca="1">IF(AH107="","",IF(AH107&lt;&gt;AH106,1,IF(AI106=misLíneas-2,0,AI106+1)))</f>
        <v/>
      </c>
      <c r="AJ107" s="20" t="str" cm="1">
        <f t="array" aca="1" ref="AJ107" ca="1">IF(OR(AI107=0,AI107=""),"",INDEX(misCriticidades,AH107)&amp;"-"&amp;IFERROR(MATCH(AI107,miOrdenTarjeta,0),0))</f>
        <v/>
      </c>
      <c r="AL107" s="20">
        <f t="shared" ca="1" si="42"/>
        <v>1</v>
      </c>
      <c r="AM107" s="20" t="str">
        <f t="shared" ca="1" si="33"/>
        <v/>
      </c>
      <c r="AN107" s="20" t="str" cm="1">
        <f t="array" aca="1" ref="AN107" ca="1">IF(AM107="","",IF(AM107&lt;&gt;AM106,1,IF(AN106=misLíneas-2,0,AN106+1)))</f>
        <v/>
      </c>
      <c r="AO107" s="20" t="str" cm="1">
        <f t="array" aca="1" ref="AO107" ca="1">IF(OR(AN107=0,AN107=""),"",INDEX(misCriticidades,AM107)&amp;"-"&amp;IFERROR(MATCH(AN107,miOrdenTarjeta,0),0))</f>
        <v/>
      </c>
      <c r="AQ107" s="20">
        <f t="shared" ca="1" si="43"/>
        <v>1</v>
      </c>
      <c r="AR107" s="20" t="str">
        <f t="shared" ca="1" si="34"/>
        <v/>
      </c>
      <c r="AS107" s="20" t="str" cm="1">
        <f t="array" aca="1" ref="AS107" ca="1">IF(AR107="","",IF(AR107&lt;&gt;AR106,1,IF(AS106=misLíneas-2,0,AS106+1)))</f>
        <v/>
      </c>
      <c r="AT107" s="20" t="str" cm="1">
        <f t="array" aca="1" ref="AT107" ca="1">IF(OR(AS107=0,AS107=""),"",INDEX(misCriticidades,AR107)&amp;"-"&amp;IFERROR(MATCH(AS107,miOrdenTarjeta,0),0))</f>
        <v/>
      </c>
      <c r="AV107" s="20">
        <f t="shared" ca="1" si="44"/>
        <v>1</v>
      </c>
      <c r="AW107" s="20" t="str">
        <f t="shared" ca="1" si="35"/>
        <v/>
      </c>
      <c r="AX107" s="20" t="str" cm="1">
        <f t="array" aca="1" ref="AX107" ca="1">IF(AW107="","",IF(AW107&lt;&gt;AW106,1,IF(AX106=misLíneas-2,0,AX106+1)))</f>
        <v/>
      </c>
      <c r="AY107" s="20" t="str" cm="1">
        <f t="array" aca="1" ref="AY107" ca="1">IF(OR(AX107=0,AX107=""),"",INDEX(misCriticidades,AW107)&amp;"-"&amp;IFERROR(MATCH(AX107,miOrdenTarjeta,0),0))</f>
        <v/>
      </c>
    </row>
    <row r="108" spans="2:51" x14ac:dyDescent="0.25">
      <c r="C108" s="20">
        <f t="shared" ca="1" si="45"/>
        <v>1</v>
      </c>
      <c r="D108" s="20" t="str">
        <f t="shared" ca="1" si="46"/>
        <v/>
      </c>
      <c r="E108" s="20" t="str" cm="1">
        <f t="array" aca="1" ref="E108" ca="1">IF(D108="","",IF(D108&lt;&gt;D107,1,IF(E107=misLíneas-2,0,E107+1)))</f>
        <v/>
      </c>
      <c r="F108" s="20" t="str" cm="1">
        <f t="array" aca="1" ref="F108" ca="1">IF(OR(E108=0,E108=""),"",INDEX(misCriticidades,D108)&amp;"-"&amp;IFERROR(MATCH(E108,miOrdenTarjeta,0),0))</f>
        <v/>
      </c>
      <c r="H108" s="20">
        <f t="shared" ca="1" si="36"/>
        <v>7</v>
      </c>
      <c r="I108" s="20" t="str">
        <f t="shared" ca="1" si="47"/>
        <v/>
      </c>
      <c r="J108" s="20" t="str" cm="1">
        <f t="array" aca="1" ref="J108" ca="1">IF(I108="","",IF(I108&lt;&gt;I107,1,IF(J107=misLíneas-2,0,J107+1)))</f>
        <v/>
      </c>
      <c r="K108" s="20" t="str" cm="1">
        <f t="array" aca="1" ref="K108" ca="1">IF(OR(J108=0,J108=""),"",INDEX(misCriticidades,I108)&amp;"-"&amp;IFERROR(MATCH(J108,miOrdenTarjeta,0),0))</f>
        <v/>
      </c>
      <c r="M108" s="20">
        <f t="shared" ca="1" si="37"/>
        <v>1</v>
      </c>
      <c r="N108" s="20" t="str">
        <f t="shared" ca="1" si="48"/>
        <v/>
      </c>
      <c r="O108" s="20" t="str" cm="1">
        <f t="array" aca="1" ref="O108" ca="1">IF(N108="","",IF(N108&lt;&gt;N107,1,IF(O107=misLíneas-2,0,O107+1)))</f>
        <v/>
      </c>
      <c r="P108" s="20" t="str" cm="1">
        <f t="array" aca="1" ref="P108" ca="1">IF(OR(O108=0,O108=""),"",INDEX(misCriticidades,N108)&amp;"-"&amp;IFERROR(MATCH(O108,miOrdenTarjeta,0),0))</f>
        <v/>
      </c>
      <c r="R108" s="20">
        <f t="shared" ca="1" si="38"/>
        <v>11</v>
      </c>
      <c r="S108" s="20">
        <f t="shared" ca="1" si="49"/>
        <v>19</v>
      </c>
      <c r="T108" s="20" cm="1">
        <f t="array" aca="1" ref="T108" ca="1">IF(S108="","",IF(S108&lt;&gt;S107,1,IF(T107=misLíneas-2,0,T107+1)))</f>
        <v>6</v>
      </c>
      <c r="U108" s="20" t="str" cm="1">
        <f t="array" aca="1" ref="U108" ca="1">IF(OR(T108=0,T108=""),"",INDEX(misCriticidades,S108)&amp;"-"&amp;IFERROR(MATCH(T108,miOrdenTarjeta,0),0))</f>
        <v>2-6</v>
      </c>
      <c r="W108" s="20">
        <f t="shared" ca="1" si="39"/>
        <v>1</v>
      </c>
      <c r="X108" s="20" t="str">
        <f t="shared" ca="1" si="50"/>
        <v/>
      </c>
      <c r="Y108" s="20" t="str" cm="1">
        <f t="array" aca="1" ref="Y108" ca="1">IF(X108="","",IF(X108&lt;&gt;X107,1,IF(Y107=misLíneas-2,0,Y107+1)))</f>
        <v/>
      </c>
      <c r="Z108" s="20" t="str" cm="1">
        <f t="array" aca="1" ref="Z108" ca="1">IF(OR(Y108=0,Y108=""),"",INDEX(misCriticidades,X108)&amp;"-"&amp;IFERROR(MATCH(Y108,miOrdenTarjeta,0),0))</f>
        <v/>
      </c>
      <c r="AB108" s="20">
        <f t="shared" ca="1" si="40"/>
        <v>1</v>
      </c>
      <c r="AC108" s="20" t="str">
        <f t="shared" ca="1" si="31"/>
        <v/>
      </c>
      <c r="AD108" s="20" t="str" cm="1">
        <f t="array" aca="1" ref="AD108" ca="1">IF(AC108="","",IF(AC108&lt;&gt;AC107,1,IF(AD107=misLíneas-2,0,AD107+1)))</f>
        <v/>
      </c>
      <c r="AE108" s="20" t="str" cm="1">
        <f t="array" aca="1" ref="AE108" ca="1">IF(OR(AD108=0,AD108=""),"",INDEX(misCriticidades,AC108)&amp;"-"&amp;IFERROR(MATCH(AD108,miOrdenTarjeta,0),0))</f>
        <v/>
      </c>
      <c r="AG108" s="20">
        <f t="shared" ca="1" si="41"/>
        <v>1</v>
      </c>
      <c r="AH108" s="20" t="str">
        <f t="shared" ca="1" si="32"/>
        <v/>
      </c>
      <c r="AI108" s="20" t="str" cm="1">
        <f t="array" aca="1" ref="AI108" ca="1">IF(AH108="","",IF(AH108&lt;&gt;AH107,1,IF(AI107=misLíneas-2,0,AI107+1)))</f>
        <v/>
      </c>
      <c r="AJ108" s="20" t="str" cm="1">
        <f t="array" aca="1" ref="AJ108" ca="1">IF(OR(AI108=0,AI108=""),"",INDEX(misCriticidades,AH108)&amp;"-"&amp;IFERROR(MATCH(AI108,miOrdenTarjeta,0),0))</f>
        <v/>
      </c>
      <c r="AL108" s="20">
        <f t="shared" ca="1" si="42"/>
        <v>1</v>
      </c>
      <c r="AM108" s="20" t="str">
        <f t="shared" ca="1" si="33"/>
        <v/>
      </c>
      <c r="AN108" s="20" t="str" cm="1">
        <f t="array" aca="1" ref="AN108" ca="1">IF(AM108="","",IF(AM108&lt;&gt;AM107,1,IF(AN107=misLíneas-2,0,AN107+1)))</f>
        <v/>
      </c>
      <c r="AO108" s="20" t="str" cm="1">
        <f t="array" aca="1" ref="AO108" ca="1">IF(OR(AN108=0,AN108=""),"",INDEX(misCriticidades,AM108)&amp;"-"&amp;IFERROR(MATCH(AN108,miOrdenTarjeta,0),0))</f>
        <v/>
      </c>
      <c r="AQ108" s="20">
        <f t="shared" ca="1" si="43"/>
        <v>1</v>
      </c>
      <c r="AR108" s="20" t="str">
        <f t="shared" ca="1" si="34"/>
        <v/>
      </c>
      <c r="AS108" s="20" t="str" cm="1">
        <f t="array" aca="1" ref="AS108" ca="1">IF(AR108="","",IF(AR108&lt;&gt;AR107,1,IF(AS107=misLíneas-2,0,AS107+1)))</f>
        <v/>
      </c>
      <c r="AT108" s="20" t="str" cm="1">
        <f t="array" aca="1" ref="AT108" ca="1">IF(OR(AS108=0,AS108=""),"",INDEX(misCriticidades,AR108)&amp;"-"&amp;IFERROR(MATCH(AS108,miOrdenTarjeta,0),0))</f>
        <v/>
      </c>
      <c r="AV108" s="20">
        <f t="shared" ca="1" si="44"/>
        <v>1</v>
      </c>
      <c r="AW108" s="20" t="str">
        <f t="shared" ca="1" si="35"/>
        <v/>
      </c>
      <c r="AX108" s="20" t="str" cm="1">
        <f t="array" aca="1" ref="AX108" ca="1">IF(AW108="","",IF(AW108&lt;&gt;AW107,1,IF(AX107=misLíneas-2,0,AX107+1)))</f>
        <v/>
      </c>
      <c r="AY108" s="20" t="str" cm="1">
        <f t="array" aca="1" ref="AY108" ca="1">IF(OR(AX108=0,AX108=""),"",INDEX(misCriticidades,AW108)&amp;"-"&amp;IFERROR(MATCH(AX108,miOrdenTarjeta,0),0))</f>
        <v/>
      </c>
    </row>
    <row r="109" spans="2:51" x14ac:dyDescent="0.25">
      <c r="C109" s="20">
        <f t="shared" ca="1" si="45"/>
        <v>1</v>
      </c>
      <c r="D109" s="20" t="str">
        <f t="shared" ca="1" si="46"/>
        <v/>
      </c>
      <c r="E109" s="20" t="str" cm="1">
        <f t="array" aca="1" ref="E109" ca="1">IF(D109="","",IF(D109&lt;&gt;D108,1,IF(E108=misLíneas-2,0,E108+1)))</f>
        <v/>
      </c>
      <c r="F109" s="20" t="str" cm="1">
        <f t="array" aca="1" ref="F109" ca="1">IF(OR(E109=0,E109=""),"",INDEX(misCriticidades,D109)&amp;"-"&amp;IFERROR(MATCH(E109,miOrdenTarjeta,0),0))</f>
        <v/>
      </c>
      <c r="H109" s="20">
        <f t="shared" ca="1" si="36"/>
        <v>7</v>
      </c>
      <c r="I109" s="20" t="str">
        <f t="shared" ca="1" si="47"/>
        <v/>
      </c>
      <c r="J109" s="20" t="str" cm="1">
        <f t="array" aca="1" ref="J109" ca="1">IF(I109="","",IF(I109&lt;&gt;I108,1,IF(J108=misLíneas-2,0,J108+1)))</f>
        <v/>
      </c>
      <c r="K109" s="20" t="str" cm="1">
        <f t="array" aca="1" ref="K109" ca="1">IF(OR(J109=0,J109=""),"",INDEX(misCriticidades,I109)&amp;"-"&amp;IFERROR(MATCH(J109,miOrdenTarjeta,0),0))</f>
        <v/>
      </c>
      <c r="M109" s="20">
        <f t="shared" ca="1" si="37"/>
        <v>1</v>
      </c>
      <c r="N109" s="20" t="str">
        <f t="shared" ca="1" si="48"/>
        <v/>
      </c>
      <c r="O109" s="20" t="str" cm="1">
        <f t="array" aca="1" ref="O109" ca="1">IF(N109="","",IF(N109&lt;&gt;N108,1,IF(O108=misLíneas-2,0,O108+1)))</f>
        <v/>
      </c>
      <c r="P109" s="20" t="str" cm="1">
        <f t="array" aca="1" ref="P109" ca="1">IF(OR(O109=0,O109=""),"",INDEX(misCriticidades,N109)&amp;"-"&amp;IFERROR(MATCH(O109,miOrdenTarjeta,0),0))</f>
        <v/>
      </c>
      <c r="R109" s="20">
        <f t="shared" ca="1" si="38"/>
        <v>11</v>
      </c>
      <c r="S109" s="20">
        <f t="shared" ca="1" si="49"/>
        <v>19</v>
      </c>
      <c r="T109" s="20" cm="1">
        <f t="array" aca="1" ref="T109" ca="1">IF(S109="","",IF(S109&lt;&gt;S108,1,IF(T108=misLíneas-2,0,T108+1)))</f>
        <v>7</v>
      </c>
      <c r="U109" s="20" t="str" cm="1">
        <f t="array" aca="1" ref="U109" ca="1">IF(OR(T109=0,T109=""),"",INDEX(misCriticidades,S109)&amp;"-"&amp;IFERROR(MATCH(T109,miOrdenTarjeta,0),0))</f>
        <v>2-7</v>
      </c>
      <c r="W109" s="20">
        <f t="shared" ca="1" si="39"/>
        <v>1</v>
      </c>
      <c r="X109" s="20" t="str">
        <f t="shared" ca="1" si="50"/>
        <v/>
      </c>
      <c r="Y109" s="20" t="str" cm="1">
        <f t="array" aca="1" ref="Y109" ca="1">IF(X109="","",IF(X109&lt;&gt;X108,1,IF(Y108=misLíneas-2,0,Y108+1)))</f>
        <v/>
      </c>
      <c r="Z109" s="20" t="str" cm="1">
        <f t="array" aca="1" ref="Z109" ca="1">IF(OR(Y109=0,Y109=""),"",INDEX(misCriticidades,X109)&amp;"-"&amp;IFERROR(MATCH(Y109,miOrdenTarjeta,0),0))</f>
        <v/>
      </c>
      <c r="AB109" s="20">
        <f t="shared" ca="1" si="40"/>
        <v>1</v>
      </c>
      <c r="AC109" s="20" t="str">
        <f t="shared" ca="1" si="31"/>
        <v/>
      </c>
      <c r="AD109" s="20" t="str" cm="1">
        <f t="array" aca="1" ref="AD109" ca="1">IF(AC109="","",IF(AC109&lt;&gt;AC108,1,IF(AD108=misLíneas-2,0,AD108+1)))</f>
        <v/>
      </c>
      <c r="AE109" s="20" t="str" cm="1">
        <f t="array" aca="1" ref="AE109" ca="1">IF(OR(AD109=0,AD109=""),"",INDEX(misCriticidades,AC109)&amp;"-"&amp;IFERROR(MATCH(AD109,miOrdenTarjeta,0),0))</f>
        <v/>
      </c>
      <c r="AG109" s="20">
        <f t="shared" ca="1" si="41"/>
        <v>1</v>
      </c>
      <c r="AH109" s="20" t="str">
        <f t="shared" ca="1" si="32"/>
        <v/>
      </c>
      <c r="AI109" s="20" t="str" cm="1">
        <f t="array" aca="1" ref="AI109" ca="1">IF(AH109="","",IF(AH109&lt;&gt;AH108,1,IF(AI108=misLíneas-2,0,AI108+1)))</f>
        <v/>
      </c>
      <c r="AJ109" s="20" t="str" cm="1">
        <f t="array" aca="1" ref="AJ109" ca="1">IF(OR(AI109=0,AI109=""),"",INDEX(misCriticidades,AH109)&amp;"-"&amp;IFERROR(MATCH(AI109,miOrdenTarjeta,0),0))</f>
        <v/>
      </c>
      <c r="AL109" s="20">
        <f t="shared" ca="1" si="42"/>
        <v>1</v>
      </c>
      <c r="AM109" s="20" t="str">
        <f t="shared" ca="1" si="33"/>
        <v/>
      </c>
      <c r="AN109" s="20" t="str" cm="1">
        <f t="array" aca="1" ref="AN109" ca="1">IF(AM109="","",IF(AM109&lt;&gt;AM108,1,IF(AN108=misLíneas-2,0,AN108+1)))</f>
        <v/>
      </c>
      <c r="AO109" s="20" t="str" cm="1">
        <f t="array" aca="1" ref="AO109" ca="1">IF(OR(AN109=0,AN109=""),"",INDEX(misCriticidades,AM109)&amp;"-"&amp;IFERROR(MATCH(AN109,miOrdenTarjeta,0),0))</f>
        <v/>
      </c>
      <c r="AQ109" s="20">
        <f t="shared" ca="1" si="43"/>
        <v>1</v>
      </c>
      <c r="AR109" s="20" t="str">
        <f t="shared" ca="1" si="34"/>
        <v/>
      </c>
      <c r="AS109" s="20" t="str" cm="1">
        <f t="array" aca="1" ref="AS109" ca="1">IF(AR109="","",IF(AR109&lt;&gt;AR108,1,IF(AS108=misLíneas-2,0,AS108+1)))</f>
        <v/>
      </c>
      <c r="AT109" s="20" t="str" cm="1">
        <f t="array" aca="1" ref="AT109" ca="1">IF(OR(AS109=0,AS109=""),"",INDEX(misCriticidades,AR109)&amp;"-"&amp;IFERROR(MATCH(AS109,miOrdenTarjeta,0),0))</f>
        <v/>
      </c>
      <c r="AV109" s="20">
        <f t="shared" ca="1" si="44"/>
        <v>1</v>
      </c>
      <c r="AW109" s="20" t="str">
        <f t="shared" ca="1" si="35"/>
        <v/>
      </c>
      <c r="AX109" s="20" t="str" cm="1">
        <f t="array" aca="1" ref="AX109" ca="1">IF(AW109="","",IF(AW109&lt;&gt;AW108,1,IF(AX108=misLíneas-2,0,AX108+1)))</f>
        <v/>
      </c>
      <c r="AY109" s="20" t="str" cm="1">
        <f t="array" aca="1" ref="AY109" ca="1">IF(OR(AX109=0,AX109=""),"",INDEX(misCriticidades,AW109)&amp;"-"&amp;IFERROR(MATCH(AX109,miOrdenTarjeta,0),0))</f>
        <v/>
      </c>
    </row>
    <row r="110" spans="2:51" x14ac:dyDescent="0.25">
      <c r="C110" s="20">
        <f t="shared" ca="1" si="45"/>
        <v>1</v>
      </c>
      <c r="D110" s="20" t="str">
        <f t="shared" ca="1" si="46"/>
        <v/>
      </c>
      <c r="E110" s="20" t="str" cm="1">
        <f t="array" aca="1" ref="E110" ca="1">IF(D110="","",IF(D110&lt;&gt;D109,1,IF(E109=misLíneas-2,0,E109+1)))</f>
        <v/>
      </c>
      <c r="F110" s="20" t="str" cm="1">
        <f t="array" aca="1" ref="F110" ca="1">IF(OR(E110=0,E110=""),"",INDEX(misCriticidades,D110)&amp;"-"&amp;IFERROR(MATCH(E110,miOrdenTarjeta,0),0))</f>
        <v/>
      </c>
      <c r="H110" s="20">
        <f t="shared" ca="1" si="36"/>
        <v>7</v>
      </c>
      <c r="I110" s="20" t="str">
        <f t="shared" ca="1" si="47"/>
        <v/>
      </c>
      <c r="J110" s="20" t="str" cm="1">
        <f t="array" aca="1" ref="J110" ca="1">IF(I110="","",IF(I110&lt;&gt;I109,1,IF(J109=misLíneas-2,0,J109+1)))</f>
        <v/>
      </c>
      <c r="K110" s="20" t="str" cm="1">
        <f t="array" aca="1" ref="K110" ca="1">IF(OR(J110=0,J110=""),"",INDEX(misCriticidades,I110)&amp;"-"&amp;IFERROR(MATCH(J110,miOrdenTarjeta,0),0))</f>
        <v/>
      </c>
      <c r="M110" s="20">
        <f t="shared" ca="1" si="37"/>
        <v>1</v>
      </c>
      <c r="N110" s="20" t="str">
        <f t="shared" ca="1" si="48"/>
        <v/>
      </c>
      <c r="O110" s="20" t="str" cm="1">
        <f t="array" aca="1" ref="O110" ca="1">IF(N110="","",IF(N110&lt;&gt;N109,1,IF(O109=misLíneas-2,0,O109+1)))</f>
        <v/>
      </c>
      <c r="P110" s="20" t="str" cm="1">
        <f t="array" aca="1" ref="P110" ca="1">IF(OR(O110=0,O110=""),"",INDEX(misCriticidades,N110)&amp;"-"&amp;IFERROR(MATCH(O110,miOrdenTarjeta,0),0))</f>
        <v/>
      </c>
      <c r="R110" s="20">
        <f t="shared" ca="1" si="38"/>
        <v>11</v>
      </c>
      <c r="S110" s="20">
        <f t="shared" ca="1" si="49"/>
        <v>19</v>
      </c>
      <c r="T110" s="20" cm="1">
        <f t="array" aca="1" ref="T110" ca="1">IF(S110="","",IF(S110&lt;&gt;S109,1,IF(T109=misLíneas-2,0,T109+1)))</f>
        <v>8</v>
      </c>
      <c r="U110" s="20" t="str" cm="1">
        <f t="array" aca="1" ref="U110" ca="1">IF(OR(T110=0,T110=""),"",INDEX(misCriticidades,S110)&amp;"-"&amp;IFERROR(MATCH(T110,miOrdenTarjeta,0),0))</f>
        <v>2-8</v>
      </c>
      <c r="W110" s="20">
        <f t="shared" ca="1" si="39"/>
        <v>1</v>
      </c>
      <c r="X110" s="20" t="str">
        <f t="shared" ca="1" si="50"/>
        <v/>
      </c>
      <c r="Y110" s="20" t="str" cm="1">
        <f t="array" aca="1" ref="Y110" ca="1">IF(X110="","",IF(X110&lt;&gt;X109,1,IF(Y109=misLíneas-2,0,Y109+1)))</f>
        <v/>
      </c>
      <c r="Z110" s="20" t="str" cm="1">
        <f t="array" aca="1" ref="Z110" ca="1">IF(OR(Y110=0,Y110=""),"",INDEX(misCriticidades,X110)&amp;"-"&amp;IFERROR(MATCH(Y110,miOrdenTarjeta,0),0))</f>
        <v/>
      </c>
      <c r="AB110" s="20">
        <f t="shared" ca="1" si="40"/>
        <v>1</v>
      </c>
      <c r="AC110" s="20" t="str">
        <f t="shared" ca="1" si="31"/>
        <v/>
      </c>
      <c r="AD110" s="20" t="str" cm="1">
        <f t="array" aca="1" ref="AD110" ca="1">IF(AC110="","",IF(AC110&lt;&gt;AC109,1,IF(AD109=misLíneas-2,0,AD109+1)))</f>
        <v/>
      </c>
      <c r="AE110" s="20" t="str" cm="1">
        <f t="array" aca="1" ref="AE110" ca="1">IF(OR(AD110=0,AD110=""),"",INDEX(misCriticidades,AC110)&amp;"-"&amp;IFERROR(MATCH(AD110,miOrdenTarjeta,0),0))</f>
        <v/>
      </c>
      <c r="AG110" s="20">
        <f t="shared" ca="1" si="41"/>
        <v>1</v>
      </c>
      <c r="AH110" s="20" t="str">
        <f t="shared" ca="1" si="32"/>
        <v/>
      </c>
      <c r="AI110" s="20" t="str" cm="1">
        <f t="array" aca="1" ref="AI110" ca="1">IF(AH110="","",IF(AH110&lt;&gt;AH109,1,IF(AI109=misLíneas-2,0,AI109+1)))</f>
        <v/>
      </c>
      <c r="AJ110" s="20" t="str" cm="1">
        <f t="array" aca="1" ref="AJ110" ca="1">IF(OR(AI110=0,AI110=""),"",INDEX(misCriticidades,AH110)&amp;"-"&amp;IFERROR(MATCH(AI110,miOrdenTarjeta,0),0))</f>
        <v/>
      </c>
      <c r="AL110" s="20">
        <f t="shared" ca="1" si="42"/>
        <v>1</v>
      </c>
      <c r="AM110" s="20" t="str">
        <f t="shared" ca="1" si="33"/>
        <v/>
      </c>
      <c r="AN110" s="20" t="str" cm="1">
        <f t="array" aca="1" ref="AN110" ca="1">IF(AM110="","",IF(AM110&lt;&gt;AM109,1,IF(AN109=misLíneas-2,0,AN109+1)))</f>
        <v/>
      </c>
      <c r="AO110" s="20" t="str" cm="1">
        <f t="array" aca="1" ref="AO110" ca="1">IF(OR(AN110=0,AN110=""),"",INDEX(misCriticidades,AM110)&amp;"-"&amp;IFERROR(MATCH(AN110,miOrdenTarjeta,0),0))</f>
        <v/>
      </c>
      <c r="AQ110" s="20">
        <f t="shared" ca="1" si="43"/>
        <v>1</v>
      </c>
      <c r="AR110" s="20" t="str">
        <f t="shared" ca="1" si="34"/>
        <v/>
      </c>
      <c r="AS110" s="20" t="str" cm="1">
        <f t="array" aca="1" ref="AS110" ca="1">IF(AR110="","",IF(AR110&lt;&gt;AR109,1,IF(AS109=misLíneas-2,0,AS109+1)))</f>
        <v/>
      </c>
      <c r="AT110" s="20" t="str" cm="1">
        <f t="array" aca="1" ref="AT110" ca="1">IF(OR(AS110=0,AS110=""),"",INDEX(misCriticidades,AR110)&amp;"-"&amp;IFERROR(MATCH(AS110,miOrdenTarjeta,0),0))</f>
        <v/>
      </c>
      <c r="AV110" s="20">
        <f t="shared" ca="1" si="44"/>
        <v>1</v>
      </c>
      <c r="AW110" s="20" t="str">
        <f t="shared" ca="1" si="35"/>
        <v/>
      </c>
      <c r="AX110" s="20" t="str" cm="1">
        <f t="array" aca="1" ref="AX110" ca="1">IF(AW110="","",IF(AW110&lt;&gt;AW109,1,IF(AX109=misLíneas-2,0,AX109+1)))</f>
        <v/>
      </c>
      <c r="AY110" s="20" t="str" cm="1">
        <f t="array" aca="1" ref="AY110" ca="1">IF(OR(AX110=0,AX110=""),"",INDEX(misCriticidades,AW110)&amp;"-"&amp;IFERROR(MATCH(AX110,miOrdenTarjeta,0),0))</f>
        <v/>
      </c>
    </row>
    <row r="111" spans="2:51" x14ac:dyDescent="0.25">
      <c r="C111" s="20">
        <f t="shared" ca="1" si="45"/>
        <v>1</v>
      </c>
      <c r="D111" s="20" t="str">
        <f t="shared" ca="1" si="46"/>
        <v/>
      </c>
      <c r="E111" s="20" t="str" cm="1">
        <f t="array" aca="1" ref="E111" ca="1">IF(D111="","",IF(D111&lt;&gt;D110,1,IF(E110=misLíneas-2,0,E110+1)))</f>
        <v/>
      </c>
      <c r="F111" s="20" t="str" cm="1">
        <f t="array" aca="1" ref="F111" ca="1">IF(OR(E111=0,E111=""),"",INDEX(misCriticidades,D111)&amp;"-"&amp;IFERROR(MATCH(E111,miOrdenTarjeta,0),0))</f>
        <v/>
      </c>
      <c r="H111" s="20">
        <f t="shared" ca="1" si="36"/>
        <v>7</v>
      </c>
      <c r="I111" s="20" t="str">
        <f t="shared" ca="1" si="47"/>
        <v/>
      </c>
      <c r="J111" s="20" t="str" cm="1">
        <f t="array" aca="1" ref="J111" ca="1">IF(I111="","",IF(I111&lt;&gt;I110,1,IF(J110=misLíneas-2,0,J110+1)))</f>
        <v/>
      </c>
      <c r="K111" s="20" t="str" cm="1">
        <f t="array" aca="1" ref="K111" ca="1">IF(OR(J111=0,J111=""),"",INDEX(misCriticidades,I111)&amp;"-"&amp;IFERROR(MATCH(J111,miOrdenTarjeta,0),0))</f>
        <v/>
      </c>
      <c r="M111" s="20">
        <f t="shared" ca="1" si="37"/>
        <v>1</v>
      </c>
      <c r="N111" s="20" t="str">
        <f t="shared" ca="1" si="48"/>
        <v/>
      </c>
      <c r="O111" s="20" t="str" cm="1">
        <f t="array" aca="1" ref="O111" ca="1">IF(N111="","",IF(N111&lt;&gt;N110,1,IF(O110=misLíneas-2,0,O110+1)))</f>
        <v/>
      </c>
      <c r="P111" s="20" t="str" cm="1">
        <f t="array" aca="1" ref="P111" ca="1">IF(OR(O111=0,O111=""),"",INDEX(misCriticidades,N111)&amp;"-"&amp;IFERROR(MATCH(O111,miOrdenTarjeta,0),0))</f>
        <v/>
      </c>
      <c r="R111" s="20">
        <f t="shared" ca="1" si="38"/>
        <v>11</v>
      </c>
      <c r="S111" s="20">
        <f t="shared" ca="1" si="49"/>
        <v>19</v>
      </c>
      <c r="T111" s="20" cm="1">
        <f t="array" aca="1" ref="T111" ca="1">IF(S111="","",IF(S111&lt;&gt;S110,1,IF(T110=misLíneas-2,0,T110+1)))</f>
        <v>9</v>
      </c>
      <c r="U111" s="20" t="str" cm="1">
        <f t="array" aca="1" ref="U111" ca="1">IF(OR(T111=0,T111=""),"",INDEX(misCriticidades,S111)&amp;"-"&amp;IFERROR(MATCH(T111,miOrdenTarjeta,0),0))</f>
        <v>2-0</v>
      </c>
      <c r="W111" s="20">
        <f t="shared" ca="1" si="39"/>
        <v>1</v>
      </c>
      <c r="X111" s="20" t="str">
        <f t="shared" ca="1" si="50"/>
        <v/>
      </c>
      <c r="Y111" s="20" t="str" cm="1">
        <f t="array" aca="1" ref="Y111" ca="1">IF(X111="","",IF(X111&lt;&gt;X110,1,IF(Y110=misLíneas-2,0,Y110+1)))</f>
        <v/>
      </c>
      <c r="Z111" s="20" t="str" cm="1">
        <f t="array" aca="1" ref="Z111" ca="1">IF(OR(Y111=0,Y111=""),"",INDEX(misCriticidades,X111)&amp;"-"&amp;IFERROR(MATCH(Y111,miOrdenTarjeta,0),0))</f>
        <v/>
      </c>
      <c r="AB111" s="20">
        <f t="shared" ca="1" si="40"/>
        <v>1</v>
      </c>
      <c r="AC111" s="20" t="str">
        <f t="shared" ca="1" si="31"/>
        <v/>
      </c>
      <c r="AD111" s="20" t="str" cm="1">
        <f t="array" aca="1" ref="AD111" ca="1">IF(AC111="","",IF(AC111&lt;&gt;AC110,1,IF(AD110=misLíneas-2,0,AD110+1)))</f>
        <v/>
      </c>
      <c r="AE111" s="20" t="str" cm="1">
        <f t="array" aca="1" ref="AE111" ca="1">IF(OR(AD111=0,AD111=""),"",INDEX(misCriticidades,AC111)&amp;"-"&amp;IFERROR(MATCH(AD111,miOrdenTarjeta,0),0))</f>
        <v/>
      </c>
      <c r="AG111" s="20">
        <f t="shared" ca="1" si="41"/>
        <v>1</v>
      </c>
      <c r="AH111" s="20" t="str">
        <f t="shared" ca="1" si="32"/>
        <v/>
      </c>
      <c r="AI111" s="20" t="str" cm="1">
        <f t="array" aca="1" ref="AI111" ca="1">IF(AH111="","",IF(AH111&lt;&gt;AH110,1,IF(AI110=misLíneas-2,0,AI110+1)))</f>
        <v/>
      </c>
      <c r="AJ111" s="20" t="str" cm="1">
        <f t="array" aca="1" ref="AJ111" ca="1">IF(OR(AI111=0,AI111=""),"",INDEX(misCriticidades,AH111)&amp;"-"&amp;IFERROR(MATCH(AI111,miOrdenTarjeta,0),0))</f>
        <v/>
      </c>
      <c r="AL111" s="20">
        <f t="shared" ca="1" si="42"/>
        <v>1</v>
      </c>
      <c r="AM111" s="20" t="str">
        <f t="shared" ca="1" si="33"/>
        <v/>
      </c>
      <c r="AN111" s="20" t="str" cm="1">
        <f t="array" aca="1" ref="AN111" ca="1">IF(AM111="","",IF(AM111&lt;&gt;AM110,1,IF(AN110=misLíneas-2,0,AN110+1)))</f>
        <v/>
      </c>
      <c r="AO111" s="20" t="str" cm="1">
        <f t="array" aca="1" ref="AO111" ca="1">IF(OR(AN111=0,AN111=""),"",INDEX(misCriticidades,AM111)&amp;"-"&amp;IFERROR(MATCH(AN111,miOrdenTarjeta,0),0))</f>
        <v/>
      </c>
      <c r="AQ111" s="20">
        <f t="shared" ca="1" si="43"/>
        <v>1</v>
      </c>
      <c r="AR111" s="20" t="str">
        <f t="shared" ca="1" si="34"/>
        <v/>
      </c>
      <c r="AS111" s="20" t="str" cm="1">
        <f t="array" aca="1" ref="AS111" ca="1">IF(AR111="","",IF(AR111&lt;&gt;AR110,1,IF(AS110=misLíneas-2,0,AS110+1)))</f>
        <v/>
      </c>
      <c r="AT111" s="20" t="str" cm="1">
        <f t="array" aca="1" ref="AT111" ca="1">IF(OR(AS111=0,AS111=""),"",INDEX(misCriticidades,AR111)&amp;"-"&amp;IFERROR(MATCH(AS111,miOrdenTarjeta,0),0))</f>
        <v/>
      </c>
      <c r="AV111" s="20">
        <f t="shared" ca="1" si="44"/>
        <v>1</v>
      </c>
      <c r="AW111" s="20" t="str">
        <f t="shared" ca="1" si="35"/>
        <v/>
      </c>
      <c r="AX111" s="20" t="str" cm="1">
        <f t="array" aca="1" ref="AX111" ca="1">IF(AW111="","",IF(AW111&lt;&gt;AW110,1,IF(AX110=misLíneas-2,0,AX110+1)))</f>
        <v/>
      </c>
      <c r="AY111" s="20" t="str" cm="1">
        <f t="array" aca="1" ref="AY111" ca="1">IF(OR(AX111=0,AX111=""),"",INDEX(misCriticidades,AW111)&amp;"-"&amp;IFERROR(MATCH(AX111,miOrdenTarjeta,0),0))</f>
        <v/>
      </c>
    </row>
    <row r="112" spans="2:51" x14ac:dyDescent="0.25">
      <c r="C112" s="20">
        <f t="shared" ca="1" si="45"/>
        <v>1</v>
      </c>
      <c r="D112" s="20" t="str">
        <f t="shared" ca="1" si="46"/>
        <v/>
      </c>
      <c r="E112" s="20" t="str" cm="1">
        <f t="array" aca="1" ref="E112" ca="1">IF(D112="","",IF(D112&lt;&gt;D111,1,IF(E111=misLíneas-2,0,E111+1)))</f>
        <v/>
      </c>
      <c r="F112" s="20" t="str" cm="1">
        <f t="array" aca="1" ref="F112" ca="1">IF(OR(E112=0,E112=""),"",INDEX(misCriticidades,D112)&amp;"-"&amp;IFERROR(MATCH(E112,miOrdenTarjeta,0),0))</f>
        <v/>
      </c>
      <c r="H112" s="20">
        <f t="shared" ca="1" si="36"/>
        <v>7</v>
      </c>
      <c r="I112" s="20" t="str">
        <f t="shared" ca="1" si="47"/>
        <v/>
      </c>
      <c r="J112" s="20" t="str" cm="1">
        <f t="array" aca="1" ref="J112" ca="1">IF(I112="","",IF(I112&lt;&gt;I111,1,IF(J111=misLíneas-2,0,J111+1)))</f>
        <v/>
      </c>
      <c r="K112" s="20" t="str" cm="1">
        <f t="array" aca="1" ref="K112" ca="1">IF(OR(J112=0,J112=""),"",INDEX(misCriticidades,I112)&amp;"-"&amp;IFERROR(MATCH(J112,miOrdenTarjeta,0),0))</f>
        <v/>
      </c>
      <c r="M112" s="20">
        <f t="shared" ca="1" si="37"/>
        <v>1</v>
      </c>
      <c r="N112" s="20" t="str">
        <f t="shared" ca="1" si="48"/>
        <v/>
      </c>
      <c r="O112" s="20" t="str" cm="1">
        <f t="array" aca="1" ref="O112" ca="1">IF(N112="","",IF(N112&lt;&gt;N111,1,IF(O111=misLíneas-2,0,O111+1)))</f>
        <v/>
      </c>
      <c r="P112" s="20" t="str" cm="1">
        <f t="array" aca="1" ref="P112" ca="1">IF(OR(O112=0,O112=""),"",INDEX(misCriticidades,N112)&amp;"-"&amp;IFERROR(MATCH(O112,miOrdenTarjeta,0),0))</f>
        <v/>
      </c>
      <c r="R112" s="20">
        <f t="shared" ca="1" si="38"/>
        <v>11</v>
      </c>
      <c r="S112" s="20">
        <f t="shared" ca="1" si="49"/>
        <v>19</v>
      </c>
      <c r="T112" s="20" cm="1">
        <f t="array" aca="1" ref="T112" ca="1">IF(S112="","",IF(S112&lt;&gt;S111,1,IF(T111=misLíneas-2,0,T111+1)))</f>
        <v>0</v>
      </c>
      <c r="U112" s="20" t="str" cm="1">
        <f t="array" aca="1" ref="U112" ca="1">IF(OR(T112=0,T112=""),"",INDEX(misCriticidades,S112)&amp;"-"&amp;IFERROR(MATCH(T112,miOrdenTarjeta,0),0))</f>
        <v/>
      </c>
      <c r="W112" s="20">
        <f t="shared" ca="1" si="39"/>
        <v>1</v>
      </c>
      <c r="X112" s="20" t="str">
        <f t="shared" ca="1" si="50"/>
        <v/>
      </c>
      <c r="Y112" s="20" t="str" cm="1">
        <f t="array" aca="1" ref="Y112" ca="1">IF(X112="","",IF(X112&lt;&gt;X111,1,IF(Y111=misLíneas-2,0,Y111+1)))</f>
        <v/>
      </c>
      <c r="Z112" s="20" t="str" cm="1">
        <f t="array" aca="1" ref="Z112" ca="1">IF(OR(Y112=0,Y112=""),"",INDEX(misCriticidades,X112)&amp;"-"&amp;IFERROR(MATCH(Y112,miOrdenTarjeta,0),0))</f>
        <v/>
      </c>
      <c r="AB112" s="20">
        <f t="shared" ca="1" si="40"/>
        <v>1</v>
      </c>
      <c r="AC112" s="20" t="str">
        <f t="shared" ca="1" si="31"/>
        <v/>
      </c>
      <c r="AD112" s="20" t="str" cm="1">
        <f t="array" aca="1" ref="AD112" ca="1">IF(AC112="","",IF(AC112&lt;&gt;AC111,1,IF(AD111=misLíneas-2,0,AD111+1)))</f>
        <v/>
      </c>
      <c r="AE112" s="20" t="str" cm="1">
        <f t="array" aca="1" ref="AE112" ca="1">IF(OR(AD112=0,AD112=""),"",INDEX(misCriticidades,AC112)&amp;"-"&amp;IFERROR(MATCH(AD112,miOrdenTarjeta,0),0))</f>
        <v/>
      </c>
      <c r="AG112" s="20">
        <f t="shared" ca="1" si="41"/>
        <v>1</v>
      </c>
      <c r="AH112" s="20" t="str">
        <f t="shared" ca="1" si="32"/>
        <v/>
      </c>
      <c r="AI112" s="20" t="str" cm="1">
        <f t="array" aca="1" ref="AI112" ca="1">IF(AH112="","",IF(AH112&lt;&gt;AH111,1,IF(AI111=misLíneas-2,0,AI111+1)))</f>
        <v/>
      </c>
      <c r="AJ112" s="20" t="str" cm="1">
        <f t="array" aca="1" ref="AJ112" ca="1">IF(OR(AI112=0,AI112=""),"",INDEX(misCriticidades,AH112)&amp;"-"&amp;IFERROR(MATCH(AI112,miOrdenTarjeta,0),0))</f>
        <v/>
      </c>
      <c r="AL112" s="20">
        <f t="shared" ca="1" si="42"/>
        <v>1</v>
      </c>
      <c r="AM112" s="20" t="str">
        <f t="shared" ca="1" si="33"/>
        <v/>
      </c>
      <c r="AN112" s="20" t="str" cm="1">
        <f t="array" aca="1" ref="AN112" ca="1">IF(AM112="","",IF(AM112&lt;&gt;AM111,1,IF(AN111=misLíneas-2,0,AN111+1)))</f>
        <v/>
      </c>
      <c r="AO112" s="20" t="str" cm="1">
        <f t="array" aca="1" ref="AO112" ca="1">IF(OR(AN112=0,AN112=""),"",INDEX(misCriticidades,AM112)&amp;"-"&amp;IFERROR(MATCH(AN112,miOrdenTarjeta,0),0))</f>
        <v/>
      </c>
      <c r="AQ112" s="20">
        <f t="shared" ca="1" si="43"/>
        <v>1</v>
      </c>
      <c r="AR112" s="20" t="str">
        <f t="shared" ca="1" si="34"/>
        <v/>
      </c>
      <c r="AS112" s="20" t="str" cm="1">
        <f t="array" aca="1" ref="AS112" ca="1">IF(AR112="","",IF(AR112&lt;&gt;AR111,1,IF(AS111=misLíneas-2,0,AS111+1)))</f>
        <v/>
      </c>
      <c r="AT112" s="20" t="str" cm="1">
        <f t="array" aca="1" ref="AT112" ca="1">IF(OR(AS112=0,AS112=""),"",INDEX(misCriticidades,AR112)&amp;"-"&amp;IFERROR(MATCH(AS112,miOrdenTarjeta,0),0))</f>
        <v/>
      </c>
      <c r="AV112" s="20">
        <f t="shared" ca="1" si="44"/>
        <v>1</v>
      </c>
      <c r="AW112" s="20" t="str">
        <f t="shared" ca="1" si="35"/>
        <v/>
      </c>
      <c r="AX112" s="20" t="str" cm="1">
        <f t="array" aca="1" ref="AX112" ca="1">IF(AW112="","",IF(AW112&lt;&gt;AW111,1,IF(AX111=misLíneas-2,0,AX111+1)))</f>
        <v/>
      </c>
      <c r="AY112" s="20" t="str" cm="1">
        <f t="array" aca="1" ref="AY112" ca="1">IF(OR(AX112=0,AX112=""),"",INDEX(misCriticidades,AW112)&amp;"-"&amp;IFERROR(MATCH(AX112,miOrdenTarjeta,0),0))</f>
        <v/>
      </c>
    </row>
    <row r="113" spans="3:51" x14ac:dyDescent="0.25">
      <c r="C113" s="20">
        <f t="shared" ca="1" si="45"/>
        <v>1</v>
      </c>
      <c r="D113" s="20" t="str">
        <f t="shared" ca="1" si="46"/>
        <v/>
      </c>
      <c r="E113" s="20" t="str" cm="1">
        <f t="array" aca="1" ref="E113" ca="1">IF(D113="","",IF(D113&lt;&gt;D112,1,IF(E112=misLíneas-2,0,E112+1)))</f>
        <v/>
      </c>
      <c r="F113" s="20" t="str" cm="1">
        <f t="array" aca="1" ref="F113" ca="1">IF(OR(E113=0,E113=""),"",INDEX(misCriticidades,D113)&amp;"-"&amp;IFERROR(MATCH(E113,miOrdenTarjeta,0),0))</f>
        <v/>
      </c>
      <c r="H113" s="20">
        <f t="shared" ca="1" si="36"/>
        <v>7</v>
      </c>
      <c r="I113" s="20" t="str">
        <f t="shared" ca="1" si="47"/>
        <v/>
      </c>
      <c r="J113" s="20" t="str" cm="1">
        <f t="array" aca="1" ref="J113" ca="1">IF(I113="","",IF(I113&lt;&gt;I112,1,IF(J112=misLíneas-2,0,J112+1)))</f>
        <v/>
      </c>
      <c r="K113" s="20" t="str" cm="1">
        <f t="array" aca="1" ref="K113" ca="1">IF(OR(J113=0,J113=""),"",INDEX(misCriticidades,I113)&amp;"-"&amp;IFERROR(MATCH(J113,miOrdenTarjeta,0),0))</f>
        <v/>
      </c>
      <c r="M113" s="20">
        <f t="shared" ca="1" si="37"/>
        <v>1</v>
      </c>
      <c r="N113" s="20" t="str">
        <f t="shared" ca="1" si="48"/>
        <v/>
      </c>
      <c r="O113" s="20" t="str" cm="1">
        <f t="array" aca="1" ref="O113" ca="1">IF(N113="","",IF(N113&lt;&gt;N112,1,IF(O112=misLíneas-2,0,O112+1)))</f>
        <v/>
      </c>
      <c r="P113" s="20" t="str" cm="1">
        <f t="array" aca="1" ref="P113" ca="1">IF(OR(O113=0,O113=""),"",INDEX(misCriticidades,N113)&amp;"-"&amp;IFERROR(MATCH(O113,miOrdenTarjeta,0),0))</f>
        <v/>
      </c>
      <c r="R113" s="20">
        <f t="shared" ca="1" si="38"/>
        <v>12</v>
      </c>
      <c r="S113" s="20">
        <f t="shared" ca="1" si="49"/>
        <v>18</v>
      </c>
      <c r="T113" s="20" cm="1">
        <f t="array" aca="1" ref="T113" ca="1">IF(S113="","",IF(S113&lt;&gt;S112,1,IF(T112=misLíneas-2,0,T112+1)))</f>
        <v>1</v>
      </c>
      <c r="U113" s="20" t="str" cm="1">
        <f t="array" aca="1" ref="U113" ca="1">IF(OR(T113=0,T113=""),"",INDEX(misCriticidades,S113)&amp;"-"&amp;IFERROR(MATCH(T113,miOrdenTarjeta,0),0))</f>
        <v>2-1</v>
      </c>
      <c r="W113" s="20">
        <f t="shared" ca="1" si="39"/>
        <v>1</v>
      </c>
      <c r="X113" s="20" t="str">
        <f t="shared" ca="1" si="50"/>
        <v/>
      </c>
      <c r="Y113" s="20" t="str" cm="1">
        <f t="array" aca="1" ref="Y113" ca="1">IF(X113="","",IF(X113&lt;&gt;X112,1,IF(Y112=misLíneas-2,0,Y112+1)))</f>
        <v/>
      </c>
      <c r="Z113" s="20" t="str" cm="1">
        <f t="array" aca="1" ref="Z113" ca="1">IF(OR(Y113=0,Y113=""),"",INDEX(misCriticidades,X113)&amp;"-"&amp;IFERROR(MATCH(Y113,miOrdenTarjeta,0),0))</f>
        <v/>
      </c>
      <c r="AB113" s="20">
        <f t="shared" ca="1" si="40"/>
        <v>1</v>
      </c>
      <c r="AC113" s="20" t="str">
        <f t="shared" ca="1" si="31"/>
        <v/>
      </c>
      <c r="AD113" s="20" t="str" cm="1">
        <f t="array" aca="1" ref="AD113" ca="1">IF(AC113="","",IF(AC113&lt;&gt;AC112,1,IF(AD112=misLíneas-2,0,AD112+1)))</f>
        <v/>
      </c>
      <c r="AE113" s="20" t="str" cm="1">
        <f t="array" aca="1" ref="AE113" ca="1">IF(OR(AD113=0,AD113=""),"",INDEX(misCriticidades,AC113)&amp;"-"&amp;IFERROR(MATCH(AD113,miOrdenTarjeta,0),0))</f>
        <v/>
      </c>
      <c r="AG113" s="20">
        <f t="shared" ca="1" si="41"/>
        <v>1</v>
      </c>
      <c r="AH113" s="20" t="str">
        <f t="shared" ca="1" si="32"/>
        <v/>
      </c>
      <c r="AI113" s="20" t="str" cm="1">
        <f t="array" aca="1" ref="AI113" ca="1">IF(AH113="","",IF(AH113&lt;&gt;AH112,1,IF(AI112=misLíneas-2,0,AI112+1)))</f>
        <v/>
      </c>
      <c r="AJ113" s="20" t="str" cm="1">
        <f t="array" aca="1" ref="AJ113" ca="1">IF(OR(AI113=0,AI113=""),"",INDEX(misCriticidades,AH113)&amp;"-"&amp;IFERROR(MATCH(AI113,miOrdenTarjeta,0),0))</f>
        <v/>
      </c>
      <c r="AL113" s="20">
        <f t="shared" ca="1" si="42"/>
        <v>1</v>
      </c>
      <c r="AM113" s="20" t="str">
        <f t="shared" ca="1" si="33"/>
        <v/>
      </c>
      <c r="AN113" s="20" t="str" cm="1">
        <f t="array" aca="1" ref="AN113" ca="1">IF(AM113="","",IF(AM113&lt;&gt;AM112,1,IF(AN112=misLíneas-2,0,AN112+1)))</f>
        <v/>
      </c>
      <c r="AO113" s="20" t="str" cm="1">
        <f t="array" aca="1" ref="AO113" ca="1">IF(OR(AN113=0,AN113=""),"",INDEX(misCriticidades,AM113)&amp;"-"&amp;IFERROR(MATCH(AN113,miOrdenTarjeta,0),0))</f>
        <v/>
      </c>
      <c r="AQ113" s="20">
        <f t="shared" ca="1" si="43"/>
        <v>1</v>
      </c>
      <c r="AR113" s="20" t="str">
        <f t="shared" ca="1" si="34"/>
        <v/>
      </c>
      <c r="AS113" s="20" t="str" cm="1">
        <f t="array" aca="1" ref="AS113" ca="1">IF(AR113="","",IF(AR113&lt;&gt;AR112,1,IF(AS112=misLíneas-2,0,AS112+1)))</f>
        <v/>
      </c>
      <c r="AT113" s="20" t="str" cm="1">
        <f t="array" aca="1" ref="AT113" ca="1">IF(OR(AS113=0,AS113=""),"",INDEX(misCriticidades,AR113)&amp;"-"&amp;IFERROR(MATCH(AS113,miOrdenTarjeta,0),0))</f>
        <v/>
      </c>
      <c r="AV113" s="20">
        <f t="shared" ca="1" si="44"/>
        <v>1</v>
      </c>
      <c r="AW113" s="20" t="str">
        <f t="shared" ca="1" si="35"/>
        <v/>
      </c>
      <c r="AX113" s="20" t="str" cm="1">
        <f t="array" aca="1" ref="AX113" ca="1">IF(AW113="","",IF(AW113&lt;&gt;AW112,1,IF(AX112=misLíneas-2,0,AX112+1)))</f>
        <v/>
      </c>
      <c r="AY113" s="20" t="str" cm="1">
        <f t="array" aca="1" ref="AY113" ca="1">IF(OR(AX113=0,AX113=""),"",INDEX(misCriticidades,AW113)&amp;"-"&amp;IFERROR(MATCH(AX113,miOrdenTarjeta,0),0))</f>
        <v/>
      </c>
    </row>
    <row r="114" spans="3:51" x14ac:dyDescent="0.25">
      <c r="C114" s="20">
        <f t="shared" ca="1" si="45"/>
        <v>1</v>
      </c>
      <c r="D114" s="20" t="str">
        <f t="shared" ca="1" si="46"/>
        <v/>
      </c>
      <c r="E114" s="20" t="str" cm="1">
        <f t="array" aca="1" ref="E114" ca="1">IF(D114="","",IF(D114&lt;&gt;D113,1,IF(E113=misLíneas-2,0,E113+1)))</f>
        <v/>
      </c>
      <c r="F114" s="20" t="str" cm="1">
        <f t="array" aca="1" ref="F114" ca="1">IF(OR(E114=0,E114=""),"",INDEX(misCriticidades,D114)&amp;"-"&amp;IFERROR(MATCH(E114,miOrdenTarjeta,0),0))</f>
        <v/>
      </c>
      <c r="H114" s="20">
        <f t="shared" ca="1" si="36"/>
        <v>7</v>
      </c>
      <c r="I114" s="20" t="str">
        <f t="shared" ca="1" si="47"/>
        <v/>
      </c>
      <c r="J114" s="20" t="str" cm="1">
        <f t="array" aca="1" ref="J114" ca="1">IF(I114="","",IF(I114&lt;&gt;I113,1,IF(J113=misLíneas-2,0,J113+1)))</f>
        <v/>
      </c>
      <c r="K114" s="20" t="str" cm="1">
        <f t="array" aca="1" ref="K114" ca="1">IF(OR(J114=0,J114=""),"",INDEX(misCriticidades,I114)&amp;"-"&amp;IFERROR(MATCH(J114,miOrdenTarjeta,0),0))</f>
        <v/>
      </c>
      <c r="M114" s="20">
        <f t="shared" ca="1" si="37"/>
        <v>1</v>
      </c>
      <c r="N114" s="20" t="str">
        <f t="shared" ca="1" si="48"/>
        <v/>
      </c>
      <c r="O114" s="20" t="str" cm="1">
        <f t="array" aca="1" ref="O114" ca="1">IF(N114="","",IF(N114&lt;&gt;N113,1,IF(O113=misLíneas-2,0,O113+1)))</f>
        <v/>
      </c>
      <c r="P114" s="20" t="str" cm="1">
        <f t="array" aca="1" ref="P114" ca="1">IF(OR(O114=0,O114=""),"",INDEX(misCriticidades,N114)&amp;"-"&amp;IFERROR(MATCH(O114,miOrdenTarjeta,0),0))</f>
        <v/>
      </c>
      <c r="R114" s="20">
        <f t="shared" ca="1" si="38"/>
        <v>12</v>
      </c>
      <c r="S114" s="20">
        <f t="shared" ca="1" si="49"/>
        <v>18</v>
      </c>
      <c r="T114" s="20" cm="1">
        <f t="array" aca="1" ref="T114" ca="1">IF(S114="","",IF(S114&lt;&gt;S113,1,IF(T113=misLíneas-2,0,T113+1)))</f>
        <v>2</v>
      </c>
      <c r="U114" s="20" t="str" cm="1">
        <f t="array" aca="1" ref="U114" ca="1">IF(OR(T114=0,T114=""),"",INDEX(misCriticidades,S114)&amp;"-"&amp;IFERROR(MATCH(T114,miOrdenTarjeta,0),0))</f>
        <v>2-2</v>
      </c>
      <c r="W114" s="20">
        <f t="shared" ca="1" si="39"/>
        <v>1</v>
      </c>
      <c r="X114" s="20" t="str">
        <f t="shared" ca="1" si="50"/>
        <v/>
      </c>
      <c r="Y114" s="20" t="str" cm="1">
        <f t="array" aca="1" ref="Y114" ca="1">IF(X114="","",IF(X114&lt;&gt;X113,1,IF(Y113=misLíneas-2,0,Y113+1)))</f>
        <v/>
      </c>
      <c r="Z114" s="20" t="str" cm="1">
        <f t="array" aca="1" ref="Z114" ca="1">IF(OR(Y114=0,Y114=""),"",INDEX(misCriticidades,X114)&amp;"-"&amp;IFERROR(MATCH(Y114,miOrdenTarjeta,0),0))</f>
        <v/>
      </c>
      <c r="AB114" s="20">
        <f t="shared" ca="1" si="40"/>
        <v>1</v>
      </c>
      <c r="AC114" s="20" t="str">
        <f t="shared" ca="1" si="31"/>
        <v/>
      </c>
      <c r="AD114" s="20" t="str" cm="1">
        <f t="array" aca="1" ref="AD114" ca="1">IF(AC114="","",IF(AC114&lt;&gt;AC113,1,IF(AD113=misLíneas-2,0,AD113+1)))</f>
        <v/>
      </c>
      <c r="AE114" s="20" t="str" cm="1">
        <f t="array" aca="1" ref="AE114" ca="1">IF(OR(AD114=0,AD114=""),"",INDEX(misCriticidades,AC114)&amp;"-"&amp;IFERROR(MATCH(AD114,miOrdenTarjeta,0),0))</f>
        <v/>
      </c>
      <c r="AG114" s="20">
        <f t="shared" ca="1" si="41"/>
        <v>1</v>
      </c>
      <c r="AH114" s="20" t="str">
        <f t="shared" ca="1" si="32"/>
        <v/>
      </c>
      <c r="AI114" s="20" t="str" cm="1">
        <f t="array" aca="1" ref="AI114" ca="1">IF(AH114="","",IF(AH114&lt;&gt;AH113,1,IF(AI113=misLíneas-2,0,AI113+1)))</f>
        <v/>
      </c>
      <c r="AJ114" s="20" t="str" cm="1">
        <f t="array" aca="1" ref="AJ114" ca="1">IF(OR(AI114=0,AI114=""),"",INDEX(misCriticidades,AH114)&amp;"-"&amp;IFERROR(MATCH(AI114,miOrdenTarjeta,0),0))</f>
        <v/>
      </c>
      <c r="AL114" s="20">
        <f t="shared" ca="1" si="42"/>
        <v>1</v>
      </c>
      <c r="AM114" s="20" t="str">
        <f t="shared" ca="1" si="33"/>
        <v/>
      </c>
      <c r="AN114" s="20" t="str" cm="1">
        <f t="array" aca="1" ref="AN114" ca="1">IF(AM114="","",IF(AM114&lt;&gt;AM113,1,IF(AN113=misLíneas-2,0,AN113+1)))</f>
        <v/>
      </c>
      <c r="AO114" s="20" t="str" cm="1">
        <f t="array" aca="1" ref="AO114" ca="1">IF(OR(AN114=0,AN114=""),"",INDEX(misCriticidades,AM114)&amp;"-"&amp;IFERROR(MATCH(AN114,miOrdenTarjeta,0),0))</f>
        <v/>
      </c>
      <c r="AQ114" s="20">
        <f t="shared" ca="1" si="43"/>
        <v>1</v>
      </c>
      <c r="AR114" s="20" t="str">
        <f t="shared" ca="1" si="34"/>
        <v/>
      </c>
      <c r="AS114" s="20" t="str" cm="1">
        <f t="array" aca="1" ref="AS114" ca="1">IF(AR114="","",IF(AR114&lt;&gt;AR113,1,IF(AS113=misLíneas-2,0,AS113+1)))</f>
        <v/>
      </c>
      <c r="AT114" s="20" t="str" cm="1">
        <f t="array" aca="1" ref="AT114" ca="1">IF(OR(AS114=0,AS114=""),"",INDEX(misCriticidades,AR114)&amp;"-"&amp;IFERROR(MATCH(AS114,miOrdenTarjeta,0),0))</f>
        <v/>
      </c>
      <c r="AV114" s="20">
        <f t="shared" ca="1" si="44"/>
        <v>1</v>
      </c>
      <c r="AW114" s="20" t="str">
        <f t="shared" ca="1" si="35"/>
        <v/>
      </c>
      <c r="AX114" s="20" t="str" cm="1">
        <f t="array" aca="1" ref="AX114" ca="1">IF(AW114="","",IF(AW114&lt;&gt;AW113,1,IF(AX113=misLíneas-2,0,AX113+1)))</f>
        <v/>
      </c>
      <c r="AY114" s="20" t="str" cm="1">
        <f t="array" aca="1" ref="AY114" ca="1">IF(OR(AX114=0,AX114=""),"",INDEX(misCriticidades,AW114)&amp;"-"&amp;IFERROR(MATCH(AX114,miOrdenTarjeta,0),0))</f>
        <v/>
      </c>
    </row>
    <row r="115" spans="3:51" x14ac:dyDescent="0.25">
      <c r="C115" s="20">
        <f t="shared" ca="1" si="45"/>
        <v>1</v>
      </c>
      <c r="D115" s="20" t="str">
        <f t="shared" ca="1" si="46"/>
        <v/>
      </c>
      <c r="E115" s="20" t="str" cm="1">
        <f t="array" aca="1" ref="E115" ca="1">IF(D115="","",IF(D115&lt;&gt;D114,1,IF(E114=misLíneas-2,0,E114+1)))</f>
        <v/>
      </c>
      <c r="F115" s="20" t="str" cm="1">
        <f t="array" aca="1" ref="F115" ca="1">IF(OR(E115=0,E115=""),"",INDEX(misCriticidades,D115)&amp;"-"&amp;IFERROR(MATCH(E115,miOrdenTarjeta,0),0))</f>
        <v/>
      </c>
      <c r="H115" s="20">
        <f t="shared" ca="1" si="36"/>
        <v>7</v>
      </c>
      <c r="I115" s="20" t="str">
        <f t="shared" ca="1" si="47"/>
        <v/>
      </c>
      <c r="J115" s="20" t="str" cm="1">
        <f t="array" aca="1" ref="J115" ca="1">IF(I115="","",IF(I115&lt;&gt;I114,1,IF(J114=misLíneas-2,0,J114+1)))</f>
        <v/>
      </c>
      <c r="K115" s="20" t="str" cm="1">
        <f t="array" aca="1" ref="K115" ca="1">IF(OR(J115=0,J115=""),"",INDEX(misCriticidades,I115)&amp;"-"&amp;IFERROR(MATCH(J115,miOrdenTarjeta,0),0))</f>
        <v/>
      </c>
      <c r="M115" s="20">
        <f t="shared" ca="1" si="37"/>
        <v>1</v>
      </c>
      <c r="N115" s="20" t="str">
        <f t="shared" ca="1" si="48"/>
        <v/>
      </c>
      <c r="O115" s="20" t="str" cm="1">
        <f t="array" aca="1" ref="O115" ca="1">IF(N115="","",IF(N115&lt;&gt;N114,1,IF(O114=misLíneas-2,0,O114+1)))</f>
        <v/>
      </c>
      <c r="P115" s="20" t="str" cm="1">
        <f t="array" aca="1" ref="P115" ca="1">IF(OR(O115=0,O115=""),"",INDEX(misCriticidades,N115)&amp;"-"&amp;IFERROR(MATCH(O115,miOrdenTarjeta,0),0))</f>
        <v/>
      </c>
      <c r="R115" s="20">
        <f t="shared" ca="1" si="38"/>
        <v>12</v>
      </c>
      <c r="S115" s="20">
        <f t="shared" ca="1" si="49"/>
        <v>18</v>
      </c>
      <c r="T115" s="20" cm="1">
        <f t="array" aca="1" ref="T115" ca="1">IF(S115="","",IF(S115&lt;&gt;S114,1,IF(T114=misLíneas-2,0,T114+1)))</f>
        <v>3</v>
      </c>
      <c r="U115" s="20" t="str" cm="1">
        <f t="array" aca="1" ref="U115" ca="1">IF(OR(T115=0,T115=""),"",INDEX(misCriticidades,S115)&amp;"-"&amp;IFERROR(MATCH(T115,miOrdenTarjeta,0),0))</f>
        <v>2-3</v>
      </c>
      <c r="W115" s="20">
        <f t="shared" ca="1" si="39"/>
        <v>1</v>
      </c>
      <c r="X115" s="20" t="str">
        <f t="shared" ca="1" si="50"/>
        <v/>
      </c>
      <c r="Y115" s="20" t="str" cm="1">
        <f t="array" aca="1" ref="Y115" ca="1">IF(X115="","",IF(X115&lt;&gt;X114,1,IF(Y114=misLíneas-2,0,Y114+1)))</f>
        <v/>
      </c>
      <c r="Z115" s="20" t="str" cm="1">
        <f t="array" aca="1" ref="Z115" ca="1">IF(OR(Y115=0,Y115=""),"",INDEX(misCriticidades,X115)&amp;"-"&amp;IFERROR(MATCH(Y115,miOrdenTarjeta,0),0))</f>
        <v/>
      </c>
      <c r="AB115" s="20">
        <f t="shared" ca="1" si="40"/>
        <v>1</v>
      </c>
      <c r="AC115" s="20" t="str">
        <f t="shared" ca="1" si="31"/>
        <v/>
      </c>
      <c r="AD115" s="20" t="str" cm="1">
        <f t="array" aca="1" ref="AD115" ca="1">IF(AC115="","",IF(AC115&lt;&gt;AC114,1,IF(AD114=misLíneas-2,0,AD114+1)))</f>
        <v/>
      </c>
      <c r="AE115" s="20" t="str" cm="1">
        <f t="array" aca="1" ref="AE115" ca="1">IF(OR(AD115=0,AD115=""),"",INDEX(misCriticidades,AC115)&amp;"-"&amp;IFERROR(MATCH(AD115,miOrdenTarjeta,0),0))</f>
        <v/>
      </c>
      <c r="AG115" s="20">
        <f t="shared" ca="1" si="41"/>
        <v>1</v>
      </c>
      <c r="AH115" s="20" t="str">
        <f t="shared" ca="1" si="32"/>
        <v/>
      </c>
      <c r="AI115" s="20" t="str" cm="1">
        <f t="array" aca="1" ref="AI115" ca="1">IF(AH115="","",IF(AH115&lt;&gt;AH114,1,IF(AI114=misLíneas-2,0,AI114+1)))</f>
        <v/>
      </c>
      <c r="AJ115" s="20" t="str" cm="1">
        <f t="array" aca="1" ref="AJ115" ca="1">IF(OR(AI115=0,AI115=""),"",INDEX(misCriticidades,AH115)&amp;"-"&amp;IFERROR(MATCH(AI115,miOrdenTarjeta,0),0))</f>
        <v/>
      </c>
      <c r="AL115" s="20">
        <f t="shared" ca="1" si="42"/>
        <v>1</v>
      </c>
      <c r="AM115" s="20" t="str">
        <f t="shared" ca="1" si="33"/>
        <v/>
      </c>
      <c r="AN115" s="20" t="str" cm="1">
        <f t="array" aca="1" ref="AN115" ca="1">IF(AM115="","",IF(AM115&lt;&gt;AM114,1,IF(AN114=misLíneas-2,0,AN114+1)))</f>
        <v/>
      </c>
      <c r="AO115" s="20" t="str" cm="1">
        <f t="array" aca="1" ref="AO115" ca="1">IF(OR(AN115=0,AN115=""),"",INDEX(misCriticidades,AM115)&amp;"-"&amp;IFERROR(MATCH(AN115,miOrdenTarjeta,0),0))</f>
        <v/>
      </c>
      <c r="AQ115" s="20">
        <f t="shared" ca="1" si="43"/>
        <v>1</v>
      </c>
      <c r="AR115" s="20" t="str">
        <f t="shared" ca="1" si="34"/>
        <v/>
      </c>
      <c r="AS115" s="20" t="str" cm="1">
        <f t="array" aca="1" ref="AS115" ca="1">IF(AR115="","",IF(AR115&lt;&gt;AR114,1,IF(AS114=misLíneas-2,0,AS114+1)))</f>
        <v/>
      </c>
      <c r="AT115" s="20" t="str" cm="1">
        <f t="array" aca="1" ref="AT115" ca="1">IF(OR(AS115=0,AS115=""),"",INDEX(misCriticidades,AR115)&amp;"-"&amp;IFERROR(MATCH(AS115,miOrdenTarjeta,0),0))</f>
        <v/>
      </c>
      <c r="AV115" s="20">
        <f t="shared" ca="1" si="44"/>
        <v>1</v>
      </c>
      <c r="AW115" s="20" t="str">
        <f t="shared" ca="1" si="35"/>
        <v/>
      </c>
      <c r="AX115" s="20" t="str" cm="1">
        <f t="array" aca="1" ref="AX115" ca="1">IF(AW115="","",IF(AW115&lt;&gt;AW114,1,IF(AX114=misLíneas-2,0,AX114+1)))</f>
        <v/>
      </c>
      <c r="AY115" s="20" t="str" cm="1">
        <f t="array" aca="1" ref="AY115" ca="1">IF(OR(AX115=0,AX115=""),"",INDEX(misCriticidades,AW115)&amp;"-"&amp;IFERROR(MATCH(AX115,miOrdenTarjeta,0),0))</f>
        <v/>
      </c>
    </row>
    <row r="116" spans="3:51" x14ac:dyDescent="0.25">
      <c r="C116" s="20">
        <f t="shared" ca="1" si="45"/>
        <v>1</v>
      </c>
      <c r="D116" s="20" t="str">
        <f t="shared" ca="1" si="46"/>
        <v/>
      </c>
      <c r="E116" s="20" t="str" cm="1">
        <f t="array" aca="1" ref="E116" ca="1">IF(D116="","",IF(D116&lt;&gt;D115,1,IF(E115=misLíneas-2,0,E115+1)))</f>
        <v/>
      </c>
      <c r="F116" s="20" t="str" cm="1">
        <f t="array" aca="1" ref="F116" ca="1">IF(OR(E116=0,E116=""),"",INDEX(misCriticidades,D116)&amp;"-"&amp;IFERROR(MATCH(E116,miOrdenTarjeta,0),0))</f>
        <v/>
      </c>
      <c r="H116" s="20">
        <f t="shared" ca="1" si="36"/>
        <v>7</v>
      </c>
      <c r="I116" s="20" t="str">
        <f t="shared" ca="1" si="47"/>
        <v/>
      </c>
      <c r="J116" s="20" t="str" cm="1">
        <f t="array" aca="1" ref="J116" ca="1">IF(I116="","",IF(I116&lt;&gt;I115,1,IF(J115=misLíneas-2,0,J115+1)))</f>
        <v/>
      </c>
      <c r="K116" s="20" t="str" cm="1">
        <f t="array" aca="1" ref="K116" ca="1">IF(OR(J116=0,J116=""),"",INDEX(misCriticidades,I116)&amp;"-"&amp;IFERROR(MATCH(J116,miOrdenTarjeta,0),0))</f>
        <v/>
      </c>
      <c r="M116" s="20">
        <f t="shared" ca="1" si="37"/>
        <v>1</v>
      </c>
      <c r="N116" s="20" t="str">
        <f t="shared" ca="1" si="48"/>
        <v/>
      </c>
      <c r="O116" s="20" t="str" cm="1">
        <f t="array" aca="1" ref="O116" ca="1">IF(N116="","",IF(N116&lt;&gt;N115,1,IF(O115=misLíneas-2,0,O115+1)))</f>
        <v/>
      </c>
      <c r="P116" s="20" t="str" cm="1">
        <f t="array" aca="1" ref="P116" ca="1">IF(OR(O116=0,O116=""),"",INDEX(misCriticidades,N116)&amp;"-"&amp;IFERROR(MATCH(O116,miOrdenTarjeta,0),0))</f>
        <v/>
      </c>
      <c r="R116" s="20">
        <f t="shared" ca="1" si="38"/>
        <v>12</v>
      </c>
      <c r="S116" s="20">
        <f t="shared" ca="1" si="49"/>
        <v>18</v>
      </c>
      <c r="T116" s="20" cm="1">
        <f t="array" aca="1" ref="T116" ca="1">IF(S116="","",IF(S116&lt;&gt;S115,1,IF(T115=misLíneas-2,0,T115+1)))</f>
        <v>4</v>
      </c>
      <c r="U116" s="20" t="str" cm="1">
        <f t="array" aca="1" ref="U116" ca="1">IF(OR(T116=0,T116=""),"",INDEX(misCriticidades,S116)&amp;"-"&amp;IFERROR(MATCH(T116,miOrdenTarjeta,0),0))</f>
        <v>2-4</v>
      </c>
      <c r="W116" s="20">
        <f t="shared" ca="1" si="39"/>
        <v>1</v>
      </c>
      <c r="X116" s="20" t="str">
        <f t="shared" ca="1" si="50"/>
        <v/>
      </c>
      <c r="Y116" s="20" t="str" cm="1">
        <f t="array" aca="1" ref="Y116" ca="1">IF(X116="","",IF(X116&lt;&gt;X115,1,IF(Y115=misLíneas-2,0,Y115+1)))</f>
        <v/>
      </c>
      <c r="Z116" s="20" t="str" cm="1">
        <f t="array" aca="1" ref="Z116" ca="1">IF(OR(Y116=0,Y116=""),"",INDEX(misCriticidades,X116)&amp;"-"&amp;IFERROR(MATCH(Y116,miOrdenTarjeta,0),0))</f>
        <v/>
      </c>
      <c r="AB116" s="20">
        <f t="shared" ca="1" si="40"/>
        <v>1</v>
      </c>
      <c r="AC116" s="20" t="str">
        <f t="shared" ca="1" si="31"/>
        <v/>
      </c>
      <c r="AD116" s="20" t="str" cm="1">
        <f t="array" aca="1" ref="AD116" ca="1">IF(AC116="","",IF(AC116&lt;&gt;AC115,1,IF(AD115=misLíneas-2,0,AD115+1)))</f>
        <v/>
      </c>
      <c r="AE116" s="20" t="str" cm="1">
        <f t="array" aca="1" ref="AE116" ca="1">IF(OR(AD116=0,AD116=""),"",INDEX(misCriticidades,AC116)&amp;"-"&amp;IFERROR(MATCH(AD116,miOrdenTarjeta,0),0))</f>
        <v/>
      </c>
      <c r="AG116" s="20">
        <f t="shared" ca="1" si="41"/>
        <v>1</v>
      </c>
      <c r="AH116" s="20" t="str">
        <f t="shared" ca="1" si="32"/>
        <v/>
      </c>
      <c r="AI116" s="20" t="str" cm="1">
        <f t="array" aca="1" ref="AI116" ca="1">IF(AH116="","",IF(AH116&lt;&gt;AH115,1,IF(AI115=misLíneas-2,0,AI115+1)))</f>
        <v/>
      </c>
      <c r="AJ116" s="20" t="str" cm="1">
        <f t="array" aca="1" ref="AJ116" ca="1">IF(OR(AI116=0,AI116=""),"",INDEX(misCriticidades,AH116)&amp;"-"&amp;IFERROR(MATCH(AI116,miOrdenTarjeta,0),0))</f>
        <v/>
      </c>
      <c r="AL116" s="20">
        <f t="shared" ca="1" si="42"/>
        <v>1</v>
      </c>
      <c r="AM116" s="20" t="str">
        <f t="shared" ca="1" si="33"/>
        <v/>
      </c>
      <c r="AN116" s="20" t="str" cm="1">
        <f t="array" aca="1" ref="AN116" ca="1">IF(AM116="","",IF(AM116&lt;&gt;AM115,1,IF(AN115=misLíneas-2,0,AN115+1)))</f>
        <v/>
      </c>
      <c r="AO116" s="20" t="str" cm="1">
        <f t="array" aca="1" ref="AO116" ca="1">IF(OR(AN116=0,AN116=""),"",INDEX(misCriticidades,AM116)&amp;"-"&amp;IFERROR(MATCH(AN116,miOrdenTarjeta,0),0))</f>
        <v/>
      </c>
      <c r="AQ116" s="20">
        <f t="shared" ca="1" si="43"/>
        <v>1</v>
      </c>
      <c r="AR116" s="20" t="str">
        <f t="shared" ca="1" si="34"/>
        <v/>
      </c>
      <c r="AS116" s="20" t="str" cm="1">
        <f t="array" aca="1" ref="AS116" ca="1">IF(AR116="","",IF(AR116&lt;&gt;AR115,1,IF(AS115=misLíneas-2,0,AS115+1)))</f>
        <v/>
      </c>
      <c r="AT116" s="20" t="str" cm="1">
        <f t="array" aca="1" ref="AT116" ca="1">IF(OR(AS116=0,AS116=""),"",INDEX(misCriticidades,AR116)&amp;"-"&amp;IFERROR(MATCH(AS116,miOrdenTarjeta,0),0))</f>
        <v/>
      </c>
      <c r="AV116" s="20">
        <f t="shared" ca="1" si="44"/>
        <v>1</v>
      </c>
      <c r="AW116" s="20" t="str">
        <f t="shared" ca="1" si="35"/>
        <v/>
      </c>
      <c r="AX116" s="20" t="str" cm="1">
        <f t="array" aca="1" ref="AX116" ca="1">IF(AW116="","",IF(AW116&lt;&gt;AW115,1,IF(AX115=misLíneas-2,0,AX115+1)))</f>
        <v/>
      </c>
      <c r="AY116" s="20" t="str" cm="1">
        <f t="array" aca="1" ref="AY116" ca="1">IF(OR(AX116=0,AX116=""),"",INDEX(misCriticidades,AW116)&amp;"-"&amp;IFERROR(MATCH(AX116,miOrdenTarjeta,0),0))</f>
        <v/>
      </c>
    </row>
    <row r="117" spans="3:51" x14ac:dyDescent="0.25">
      <c r="C117" s="20">
        <f t="shared" ca="1" si="45"/>
        <v>1</v>
      </c>
      <c r="D117" s="20" t="str">
        <f t="shared" ca="1" si="46"/>
        <v/>
      </c>
      <c r="E117" s="20" t="str" cm="1">
        <f t="array" aca="1" ref="E117" ca="1">IF(D117="","",IF(D117&lt;&gt;D116,1,IF(E116=misLíneas-2,0,E116+1)))</f>
        <v/>
      </c>
      <c r="F117" s="20" t="str" cm="1">
        <f t="array" aca="1" ref="F117" ca="1">IF(OR(E117=0,E117=""),"",INDEX(misCriticidades,D117)&amp;"-"&amp;IFERROR(MATCH(E117,miOrdenTarjeta,0),0))</f>
        <v/>
      </c>
      <c r="H117" s="20">
        <f t="shared" ca="1" si="36"/>
        <v>7</v>
      </c>
      <c r="I117" s="20" t="str">
        <f t="shared" ca="1" si="47"/>
        <v/>
      </c>
      <c r="J117" s="20" t="str" cm="1">
        <f t="array" aca="1" ref="J117" ca="1">IF(I117="","",IF(I117&lt;&gt;I116,1,IF(J116=misLíneas-2,0,J116+1)))</f>
        <v/>
      </c>
      <c r="K117" s="20" t="str" cm="1">
        <f t="array" aca="1" ref="K117" ca="1">IF(OR(J117=0,J117=""),"",INDEX(misCriticidades,I117)&amp;"-"&amp;IFERROR(MATCH(J117,miOrdenTarjeta,0),0))</f>
        <v/>
      </c>
      <c r="M117" s="20">
        <f t="shared" ca="1" si="37"/>
        <v>1</v>
      </c>
      <c r="N117" s="20" t="str">
        <f t="shared" ca="1" si="48"/>
        <v/>
      </c>
      <c r="O117" s="20" t="str" cm="1">
        <f t="array" aca="1" ref="O117" ca="1">IF(N117="","",IF(N117&lt;&gt;N116,1,IF(O116=misLíneas-2,0,O116+1)))</f>
        <v/>
      </c>
      <c r="P117" s="20" t="str" cm="1">
        <f t="array" aca="1" ref="P117" ca="1">IF(OR(O117=0,O117=""),"",INDEX(misCriticidades,N117)&amp;"-"&amp;IFERROR(MATCH(O117,miOrdenTarjeta,0),0))</f>
        <v/>
      </c>
      <c r="R117" s="20">
        <f t="shared" ca="1" si="38"/>
        <v>12</v>
      </c>
      <c r="S117" s="20">
        <f t="shared" ca="1" si="49"/>
        <v>18</v>
      </c>
      <c r="T117" s="20" cm="1">
        <f t="array" aca="1" ref="T117" ca="1">IF(S117="","",IF(S117&lt;&gt;S116,1,IF(T116=misLíneas-2,0,T116+1)))</f>
        <v>5</v>
      </c>
      <c r="U117" s="20" t="str" cm="1">
        <f t="array" aca="1" ref="U117" ca="1">IF(OR(T117=0,T117=""),"",INDEX(misCriticidades,S117)&amp;"-"&amp;IFERROR(MATCH(T117,miOrdenTarjeta,0),0))</f>
        <v>2-5</v>
      </c>
      <c r="W117" s="20">
        <f t="shared" ca="1" si="39"/>
        <v>1</v>
      </c>
      <c r="X117" s="20" t="str">
        <f t="shared" ca="1" si="50"/>
        <v/>
      </c>
      <c r="Y117" s="20" t="str" cm="1">
        <f t="array" aca="1" ref="Y117" ca="1">IF(X117="","",IF(X117&lt;&gt;X116,1,IF(Y116=misLíneas-2,0,Y116+1)))</f>
        <v/>
      </c>
      <c r="Z117" s="20" t="str" cm="1">
        <f t="array" aca="1" ref="Z117" ca="1">IF(OR(Y117=0,Y117=""),"",INDEX(misCriticidades,X117)&amp;"-"&amp;IFERROR(MATCH(Y117,miOrdenTarjeta,0),0))</f>
        <v/>
      </c>
      <c r="AB117" s="20">
        <f t="shared" ca="1" si="40"/>
        <v>1</v>
      </c>
      <c r="AC117" s="20" t="str">
        <f t="shared" ca="1" si="31"/>
        <v/>
      </c>
      <c r="AD117" s="20" t="str" cm="1">
        <f t="array" aca="1" ref="AD117" ca="1">IF(AC117="","",IF(AC117&lt;&gt;AC116,1,IF(AD116=misLíneas-2,0,AD116+1)))</f>
        <v/>
      </c>
      <c r="AE117" s="20" t="str" cm="1">
        <f t="array" aca="1" ref="AE117" ca="1">IF(OR(AD117=0,AD117=""),"",INDEX(misCriticidades,AC117)&amp;"-"&amp;IFERROR(MATCH(AD117,miOrdenTarjeta,0),0))</f>
        <v/>
      </c>
      <c r="AG117" s="20">
        <f t="shared" ca="1" si="41"/>
        <v>1</v>
      </c>
      <c r="AH117" s="20" t="str">
        <f t="shared" ca="1" si="32"/>
        <v/>
      </c>
      <c r="AI117" s="20" t="str" cm="1">
        <f t="array" aca="1" ref="AI117" ca="1">IF(AH117="","",IF(AH117&lt;&gt;AH116,1,IF(AI116=misLíneas-2,0,AI116+1)))</f>
        <v/>
      </c>
      <c r="AJ117" s="20" t="str" cm="1">
        <f t="array" aca="1" ref="AJ117" ca="1">IF(OR(AI117=0,AI117=""),"",INDEX(misCriticidades,AH117)&amp;"-"&amp;IFERROR(MATCH(AI117,miOrdenTarjeta,0),0))</f>
        <v/>
      </c>
      <c r="AL117" s="20">
        <f t="shared" ca="1" si="42"/>
        <v>1</v>
      </c>
      <c r="AM117" s="20" t="str">
        <f t="shared" ca="1" si="33"/>
        <v/>
      </c>
      <c r="AN117" s="20" t="str" cm="1">
        <f t="array" aca="1" ref="AN117" ca="1">IF(AM117="","",IF(AM117&lt;&gt;AM116,1,IF(AN116=misLíneas-2,0,AN116+1)))</f>
        <v/>
      </c>
      <c r="AO117" s="20" t="str" cm="1">
        <f t="array" aca="1" ref="AO117" ca="1">IF(OR(AN117=0,AN117=""),"",INDEX(misCriticidades,AM117)&amp;"-"&amp;IFERROR(MATCH(AN117,miOrdenTarjeta,0),0))</f>
        <v/>
      </c>
      <c r="AQ117" s="20">
        <f t="shared" ca="1" si="43"/>
        <v>1</v>
      </c>
      <c r="AR117" s="20" t="str">
        <f t="shared" ca="1" si="34"/>
        <v/>
      </c>
      <c r="AS117" s="20" t="str" cm="1">
        <f t="array" aca="1" ref="AS117" ca="1">IF(AR117="","",IF(AR117&lt;&gt;AR116,1,IF(AS116=misLíneas-2,0,AS116+1)))</f>
        <v/>
      </c>
      <c r="AT117" s="20" t="str" cm="1">
        <f t="array" aca="1" ref="AT117" ca="1">IF(OR(AS117=0,AS117=""),"",INDEX(misCriticidades,AR117)&amp;"-"&amp;IFERROR(MATCH(AS117,miOrdenTarjeta,0),0))</f>
        <v/>
      </c>
      <c r="AV117" s="20">
        <f t="shared" ca="1" si="44"/>
        <v>1</v>
      </c>
      <c r="AW117" s="20" t="str">
        <f t="shared" ca="1" si="35"/>
        <v/>
      </c>
      <c r="AX117" s="20" t="str" cm="1">
        <f t="array" aca="1" ref="AX117" ca="1">IF(AW117="","",IF(AW117&lt;&gt;AW116,1,IF(AX116=misLíneas-2,0,AX116+1)))</f>
        <v/>
      </c>
      <c r="AY117" s="20" t="str" cm="1">
        <f t="array" aca="1" ref="AY117" ca="1">IF(OR(AX117=0,AX117=""),"",INDEX(misCriticidades,AW117)&amp;"-"&amp;IFERROR(MATCH(AX117,miOrdenTarjeta,0),0))</f>
        <v/>
      </c>
    </row>
    <row r="118" spans="3:51" x14ac:dyDescent="0.25">
      <c r="C118" s="20">
        <f t="shared" ca="1" si="45"/>
        <v>1</v>
      </c>
      <c r="D118" s="20" t="str">
        <f t="shared" ca="1" si="46"/>
        <v/>
      </c>
      <c r="E118" s="20" t="str" cm="1">
        <f t="array" aca="1" ref="E118" ca="1">IF(D118="","",IF(D118&lt;&gt;D117,1,IF(E117=misLíneas-2,0,E117+1)))</f>
        <v/>
      </c>
      <c r="F118" s="20" t="str" cm="1">
        <f t="array" aca="1" ref="F118" ca="1">IF(OR(E118=0,E118=""),"",INDEX(misCriticidades,D118)&amp;"-"&amp;IFERROR(MATCH(E118,miOrdenTarjeta,0),0))</f>
        <v/>
      </c>
      <c r="H118" s="20">
        <f t="shared" ca="1" si="36"/>
        <v>7</v>
      </c>
      <c r="I118" s="20" t="str">
        <f t="shared" ca="1" si="47"/>
        <v/>
      </c>
      <c r="J118" s="20" t="str" cm="1">
        <f t="array" aca="1" ref="J118" ca="1">IF(I118="","",IF(I118&lt;&gt;I117,1,IF(J117=misLíneas-2,0,J117+1)))</f>
        <v/>
      </c>
      <c r="K118" s="20" t="str" cm="1">
        <f t="array" aca="1" ref="K118" ca="1">IF(OR(J118=0,J118=""),"",INDEX(misCriticidades,I118)&amp;"-"&amp;IFERROR(MATCH(J118,miOrdenTarjeta,0),0))</f>
        <v/>
      </c>
      <c r="M118" s="20">
        <f t="shared" ca="1" si="37"/>
        <v>1</v>
      </c>
      <c r="N118" s="20" t="str">
        <f t="shared" ca="1" si="48"/>
        <v/>
      </c>
      <c r="O118" s="20" t="str" cm="1">
        <f t="array" aca="1" ref="O118" ca="1">IF(N118="","",IF(N118&lt;&gt;N117,1,IF(O117=misLíneas-2,0,O117+1)))</f>
        <v/>
      </c>
      <c r="P118" s="20" t="str" cm="1">
        <f t="array" aca="1" ref="P118" ca="1">IF(OR(O118=0,O118=""),"",INDEX(misCriticidades,N118)&amp;"-"&amp;IFERROR(MATCH(O118,miOrdenTarjeta,0),0))</f>
        <v/>
      </c>
      <c r="R118" s="20">
        <f t="shared" ca="1" si="38"/>
        <v>12</v>
      </c>
      <c r="S118" s="20">
        <f t="shared" ca="1" si="49"/>
        <v>18</v>
      </c>
      <c r="T118" s="20" cm="1">
        <f t="array" aca="1" ref="T118" ca="1">IF(S118="","",IF(S118&lt;&gt;S117,1,IF(T117=misLíneas-2,0,T117+1)))</f>
        <v>6</v>
      </c>
      <c r="U118" s="20" t="str" cm="1">
        <f t="array" aca="1" ref="U118" ca="1">IF(OR(T118=0,T118=""),"",INDEX(misCriticidades,S118)&amp;"-"&amp;IFERROR(MATCH(T118,miOrdenTarjeta,0),0))</f>
        <v>2-6</v>
      </c>
      <c r="W118" s="20">
        <f t="shared" ca="1" si="39"/>
        <v>1</v>
      </c>
      <c r="X118" s="20" t="str">
        <f t="shared" ca="1" si="50"/>
        <v/>
      </c>
      <c r="Y118" s="20" t="str" cm="1">
        <f t="array" aca="1" ref="Y118" ca="1">IF(X118="","",IF(X118&lt;&gt;X117,1,IF(Y117=misLíneas-2,0,Y117+1)))</f>
        <v/>
      </c>
      <c r="Z118" s="20" t="str" cm="1">
        <f t="array" aca="1" ref="Z118" ca="1">IF(OR(Y118=0,Y118=""),"",INDEX(misCriticidades,X118)&amp;"-"&amp;IFERROR(MATCH(Y118,miOrdenTarjeta,0),0))</f>
        <v/>
      </c>
      <c r="AB118" s="20">
        <f t="shared" ca="1" si="40"/>
        <v>1</v>
      </c>
      <c r="AC118" s="20" t="str">
        <f t="shared" ca="1" si="31"/>
        <v/>
      </c>
      <c r="AD118" s="20" t="str" cm="1">
        <f t="array" aca="1" ref="AD118" ca="1">IF(AC118="","",IF(AC118&lt;&gt;AC117,1,IF(AD117=misLíneas-2,0,AD117+1)))</f>
        <v/>
      </c>
      <c r="AE118" s="20" t="str" cm="1">
        <f t="array" aca="1" ref="AE118" ca="1">IF(OR(AD118=0,AD118=""),"",INDEX(misCriticidades,AC118)&amp;"-"&amp;IFERROR(MATCH(AD118,miOrdenTarjeta,0),0))</f>
        <v/>
      </c>
      <c r="AG118" s="20">
        <f t="shared" ca="1" si="41"/>
        <v>1</v>
      </c>
      <c r="AH118" s="20" t="str">
        <f t="shared" ca="1" si="32"/>
        <v/>
      </c>
      <c r="AI118" s="20" t="str" cm="1">
        <f t="array" aca="1" ref="AI118" ca="1">IF(AH118="","",IF(AH118&lt;&gt;AH117,1,IF(AI117=misLíneas-2,0,AI117+1)))</f>
        <v/>
      </c>
      <c r="AJ118" s="20" t="str" cm="1">
        <f t="array" aca="1" ref="AJ118" ca="1">IF(OR(AI118=0,AI118=""),"",INDEX(misCriticidades,AH118)&amp;"-"&amp;IFERROR(MATCH(AI118,miOrdenTarjeta,0),0))</f>
        <v/>
      </c>
      <c r="AL118" s="20">
        <f t="shared" ca="1" si="42"/>
        <v>1</v>
      </c>
      <c r="AM118" s="20" t="str">
        <f t="shared" ca="1" si="33"/>
        <v/>
      </c>
      <c r="AN118" s="20" t="str" cm="1">
        <f t="array" aca="1" ref="AN118" ca="1">IF(AM118="","",IF(AM118&lt;&gt;AM117,1,IF(AN117=misLíneas-2,0,AN117+1)))</f>
        <v/>
      </c>
      <c r="AO118" s="20" t="str" cm="1">
        <f t="array" aca="1" ref="AO118" ca="1">IF(OR(AN118=0,AN118=""),"",INDEX(misCriticidades,AM118)&amp;"-"&amp;IFERROR(MATCH(AN118,miOrdenTarjeta,0),0))</f>
        <v/>
      </c>
      <c r="AQ118" s="20">
        <f t="shared" ca="1" si="43"/>
        <v>1</v>
      </c>
      <c r="AR118" s="20" t="str">
        <f t="shared" ca="1" si="34"/>
        <v/>
      </c>
      <c r="AS118" s="20" t="str" cm="1">
        <f t="array" aca="1" ref="AS118" ca="1">IF(AR118="","",IF(AR118&lt;&gt;AR117,1,IF(AS117=misLíneas-2,0,AS117+1)))</f>
        <v/>
      </c>
      <c r="AT118" s="20" t="str" cm="1">
        <f t="array" aca="1" ref="AT118" ca="1">IF(OR(AS118=0,AS118=""),"",INDEX(misCriticidades,AR118)&amp;"-"&amp;IFERROR(MATCH(AS118,miOrdenTarjeta,0),0))</f>
        <v/>
      </c>
      <c r="AV118" s="20">
        <f t="shared" ca="1" si="44"/>
        <v>1</v>
      </c>
      <c r="AW118" s="20" t="str">
        <f t="shared" ca="1" si="35"/>
        <v/>
      </c>
      <c r="AX118" s="20" t="str" cm="1">
        <f t="array" aca="1" ref="AX118" ca="1">IF(AW118="","",IF(AW118&lt;&gt;AW117,1,IF(AX117=misLíneas-2,0,AX117+1)))</f>
        <v/>
      </c>
      <c r="AY118" s="20" t="str" cm="1">
        <f t="array" aca="1" ref="AY118" ca="1">IF(OR(AX118=0,AX118=""),"",INDEX(misCriticidades,AW118)&amp;"-"&amp;IFERROR(MATCH(AX118,miOrdenTarjeta,0),0))</f>
        <v/>
      </c>
    </row>
    <row r="119" spans="3:51" x14ac:dyDescent="0.25">
      <c r="C119" s="20">
        <f t="shared" ca="1" si="45"/>
        <v>1</v>
      </c>
      <c r="D119" s="20" t="str">
        <f t="shared" ca="1" si="46"/>
        <v/>
      </c>
      <c r="E119" s="20" t="str" cm="1">
        <f t="array" aca="1" ref="E119" ca="1">IF(D119="","",IF(D119&lt;&gt;D118,1,IF(E118=misLíneas-2,0,E118+1)))</f>
        <v/>
      </c>
      <c r="F119" s="20" t="str" cm="1">
        <f t="array" aca="1" ref="F119" ca="1">IF(OR(E119=0,E119=""),"",INDEX(misCriticidades,D119)&amp;"-"&amp;IFERROR(MATCH(E119,miOrdenTarjeta,0),0))</f>
        <v/>
      </c>
      <c r="H119" s="20">
        <f t="shared" ca="1" si="36"/>
        <v>7</v>
      </c>
      <c r="I119" s="20" t="str">
        <f t="shared" ca="1" si="47"/>
        <v/>
      </c>
      <c r="J119" s="20" t="str" cm="1">
        <f t="array" aca="1" ref="J119" ca="1">IF(I119="","",IF(I119&lt;&gt;I118,1,IF(J118=misLíneas-2,0,J118+1)))</f>
        <v/>
      </c>
      <c r="K119" s="20" t="str" cm="1">
        <f t="array" aca="1" ref="K119" ca="1">IF(OR(J119=0,J119=""),"",INDEX(misCriticidades,I119)&amp;"-"&amp;IFERROR(MATCH(J119,miOrdenTarjeta,0),0))</f>
        <v/>
      </c>
      <c r="M119" s="20">
        <f t="shared" ca="1" si="37"/>
        <v>1</v>
      </c>
      <c r="N119" s="20" t="str">
        <f t="shared" ca="1" si="48"/>
        <v/>
      </c>
      <c r="O119" s="20" t="str" cm="1">
        <f t="array" aca="1" ref="O119" ca="1">IF(N119="","",IF(N119&lt;&gt;N118,1,IF(O118=misLíneas-2,0,O118+1)))</f>
        <v/>
      </c>
      <c r="P119" s="20" t="str" cm="1">
        <f t="array" aca="1" ref="P119" ca="1">IF(OR(O119=0,O119=""),"",INDEX(misCriticidades,N119)&amp;"-"&amp;IFERROR(MATCH(O119,miOrdenTarjeta,0),0))</f>
        <v/>
      </c>
      <c r="R119" s="20">
        <f t="shared" ca="1" si="38"/>
        <v>12</v>
      </c>
      <c r="S119" s="20">
        <f t="shared" ca="1" si="49"/>
        <v>18</v>
      </c>
      <c r="T119" s="20" cm="1">
        <f t="array" aca="1" ref="T119" ca="1">IF(S119="","",IF(S119&lt;&gt;S118,1,IF(T118=misLíneas-2,0,T118+1)))</f>
        <v>7</v>
      </c>
      <c r="U119" s="20" t="str" cm="1">
        <f t="array" aca="1" ref="U119" ca="1">IF(OR(T119=0,T119=""),"",INDEX(misCriticidades,S119)&amp;"-"&amp;IFERROR(MATCH(T119,miOrdenTarjeta,0),0))</f>
        <v>2-7</v>
      </c>
      <c r="W119" s="20">
        <f t="shared" ca="1" si="39"/>
        <v>1</v>
      </c>
      <c r="X119" s="20" t="str">
        <f t="shared" ca="1" si="50"/>
        <v/>
      </c>
      <c r="Y119" s="20" t="str" cm="1">
        <f t="array" aca="1" ref="Y119" ca="1">IF(X119="","",IF(X119&lt;&gt;X118,1,IF(Y118=misLíneas-2,0,Y118+1)))</f>
        <v/>
      </c>
      <c r="Z119" s="20" t="str" cm="1">
        <f t="array" aca="1" ref="Z119" ca="1">IF(OR(Y119=0,Y119=""),"",INDEX(misCriticidades,X119)&amp;"-"&amp;IFERROR(MATCH(Y119,miOrdenTarjeta,0),0))</f>
        <v/>
      </c>
      <c r="AB119" s="20">
        <f t="shared" ca="1" si="40"/>
        <v>1</v>
      </c>
      <c r="AC119" s="20" t="str">
        <f t="shared" ca="1" si="31"/>
        <v/>
      </c>
      <c r="AD119" s="20" t="str" cm="1">
        <f t="array" aca="1" ref="AD119" ca="1">IF(AC119="","",IF(AC119&lt;&gt;AC118,1,IF(AD118=misLíneas-2,0,AD118+1)))</f>
        <v/>
      </c>
      <c r="AE119" s="20" t="str" cm="1">
        <f t="array" aca="1" ref="AE119" ca="1">IF(OR(AD119=0,AD119=""),"",INDEX(misCriticidades,AC119)&amp;"-"&amp;IFERROR(MATCH(AD119,miOrdenTarjeta,0),0))</f>
        <v/>
      </c>
      <c r="AG119" s="20">
        <f t="shared" ca="1" si="41"/>
        <v>1</v>
      </c>
      <c r="AH119" s="20" t="str">
        <f t="shared" ca="1" si="32"/>
        <v/>
      </c>
      <c r="AI119" s="20" t="str" cm="1">
        <f t="array" aca="1" ref="AI119" ca="1">IF(AH119="","",IF(AH119&lt;&gt;AH118,1,IF(AI118=misLíneas-2,0,AI118+1)))</f>
        <v/>
      </c>
      <c r="AJ119" s="20" t="str" cm="1">
        <f t="array" aca="1" ref="AJ119" ca="1">IF(OR(AI119=0,AI119=""),"",INDEX(misCriticidades,AH119)&amp;"-"&amp;IFERROR(MATCH(AI119,miOrdenTarjeta,0),0))</f>
        <v/>
      </c>
      <c r="AL119" s="20">
        <f t="shared" ca="1" si="42"/>
        <v>1</v>
      </c>
      <c r="AM119" s="20" t="str">
        <f t="shared" ca="1" si="33"/>
        <v/>
      </c>
      <c r="AN119" s="20" t="str" cm="1">
        <f t="array" aca="1" ref="AN119" ca="1">IF(AM119="","",IF(AM119&lt;&gt;AM118,1,IF(AN118=misLíneas-2,0,AN118+1)))</f>
        <v/>
      </c>
      <c r="AO119" s="20" t="str" cm="1">
        <f t="array" aca="1" ref="AO119" ca="1">IF(OR(AN119=0,AN119=""),"",INDEX(misCriticidades,AM119)&amp;"-"&amp;IFERROR(MATCH(AN119,miOrdenTarjeta,0),0))</f>
        <v/>
      </c>
      <c r="AQ119" s="20">
        <f t="shared" ca="1" si="43"/>
        <v>1</v>
      </c>
      <c r="AR119" s="20" t="str">
        <f t="shared" ca="1" si="34"/>
        <v/>
      </c>
      <c r="AS119" s="20" t="str" cm="1">
        <f t="array" aca="1" ref="AS119" ca="1">IF(AR119="","",IF(AR119&lt;&gt;AR118,1,IF(AS118=misLíneas-2,0,AS118+1)))</f>
        <v/>
      </c>
      <c r="AT119" s="20" t="str" cm="1">
        <f t="array" aca="1" ref="AT119" ca="1">IF(OR(AS119=0,AS119=""),"",INDEX(misCriticidades,AR119)&amp;"-"&amp;IFERROR(MATCH(AS119,miOrdenTarjeta,0),0))</f>
        <v/>
      </c>
      <c r="AV119" s="20">
        <f t="shared" ca="1" si="44"/>
        <v>1</v>
      </c>
      <c r="AW119" s="20" t="str">
        <f t="shared" ca="1" si="35"/>
        <v/>
      </c>
      <c r="AX119" s="20" t="str" cm="1">
        <f t="array" aca="1" ref="AX119" ca="1">IF(AW119="","",IF(AW119&lt;&gt;AW118,1,IF(AX118=misLíneas-2,0,AX118+1)))</f>
        <v/>
      </c>
      <c r="AY119" s="20" t="str" cm="1">
        <f t="array" aca="1" ref="AY119" ca="1">IF(OR(AX119=0,AX119=""),"",INDEX(misCriticidades,AW119)&amp;"-"&amp;IFERROR(MATCH(AX119,miOrdenTarjeta,0),0))</f>
        <v/>
      </c>
    </row>
    <row r="120" spans="3:51" x14ac:dyDescent="0.25">
      <c r="C120" s="20">
        <f t="shared" ca="1" si="45"/>
        <v>1</v>
      </c>
      <c r="D120" s="20" t="str">
        <f t="shared" ca="1" si="46"/>
        <v/>
      </c>
      <c r="E120" s="20" t="str" cm="1">
        <f t="array" aca="1" ref="E120" ca="1">IF(D120="","",IF(D120&lt;&gt;D119,1,IF(E119=misLíneas-2,0,E119+1)))</f>
        <v/>
      </c>
      <c r="F120" s="20" t="str" cm="1">
        <f t="array" aca="1" ref="F120" ca="1">IF(OR(E120=0,E120=""),"",INDEX(misCriticidades,D120)&amp;"-"&amp;IFERROR(MATCH(E120,miOrdenTarjeta,0),0))</f>
        <v/>
      </c>
      <c r="H120" s="20">
        <f t="shared" ca="1" si="36"/>
        <v>7</v>
      </c>
      <c r="I120" s="20" t="str">
        <f t="shared" ca="1" si="47"/>
        <v/>
      </c>
      <c r="J120" s="20" t="str" cm="1">
        <f t="array" aca="1" ref="J120" ca="1">IF(I120="","",IF(I120&lt;&gt;I119,1,IF(J119=misLíneas-2,0,J119+1)))</f>
        <v/>
      </c>
      <c r="K120" s="20" t="str" cm="1">
        <f t="array" aca="1" ref="K120" ca="1">IF(OR(J120=0,J120=""),"",INDEX(misCriticidades,I120)&amp;"-"&amp;IFERROR(MATCH(J120,miOrdenTarjeta,0),0))</f>
        <v/>
      </c>
      <c r="M120" s="20">
        <f t="shared" ca="1" si="37"/>
        <v>1</v>
      </c>
      <c r="N120" s="20" t="str">
        <f t="shared" ca="1" si="48"/>
        <v/>
      </c>
      <c r="O120" s="20" t="str" cm="1">
        <f t="array" aca="1" ref="O120" ca="1">IF(N120="","",IF(N120&lt;&gt;N119,1,IF(O119=misLíneas-2,0,O119+1)))</f>
        <v/>
      </c>
      <c r="P120" s="20" t="str" cm="1">
        <f t="array" aca="1" ref="P120" ca="1">IF(OR(O120=0,O120=""),"",INDEX(misCriticidades,N120)&amp;"-"&amp;IFERROR(MATCH(O120,miOrdenTarjeta,0),0))</f>
        <v/>
      </c>
      <c r="R120" s="20">
        <f t="shared" ca="1" si="38"/>
        <v>12</v>
      </c>
      <c r="S120" s="20">
        <f t="shared" ca="1" si="49"/>
        <v>18</v>
      </c>
      <c r="T120" s="20" cm="1">
        <f t="array" aca="1" ref="T120" ca="1">IF(S120="","",IF(S120&lt;&gt;S119,1,IF(T119=misLíneas-2,0,T119+1)))</f>
        <v>8</v>
      </c>
      <c r="U120" s="20" t="str" cm="1">
        <f t="array" aca="1" ref="U120" ca="1">IF(OR(T120=0,T120=""),"",INDEX(misCriticidades,S120)&amp;"-"&amp;IFERROR(MATCH(T120,miOrdenTarjeta,0),0))</f>
        <v>2-8</v>
      </c>
      <c r="W120" s="20">
        <f t="shared" ca="1" si="39"/>
        <v>1</v>
      </c>
      <c r="X120" s="20" t="str">
        <f t="shared" ca="1" si="50"/>
        <v/>
      </c>
      <c r="Y120" s="20" t="str" cm="1">
        <f t="array" aca="1" ref="Y120" ca="1">IF(X120="","",IF(X120&lt;&gt;X119,1,IF(Y119=misLíneas-2,0,Y119+1)))</f>
        <v/>
      </c>
      <c r="Z120" s="20" t="str" cm="1">
        <f t="array" aca="1" ref="Z120" ca="1">IF(OR(Y120=0,Y120=""),"",INDEX(misCriticidades,X120)&amp;"-"&amp;IFERROR(MATCH(Y120,miOrdenTarjeta,0),0))</f>
        <v/>
      </c>
      <c r="AB120" s="20">
        <f t="shared" ca="1" si="40"/>
        <v>1</v>
      </c>
      <c r="AC120" s="20" t="str">
        <f t="shared" ca="1" si="31"/>
        <v/>
      </c>
      <c r="AD120" s="20" t="str" cm="1">
        <f t="array" aca="1" ref="AD120" ca="1">IF(AC120="","",IF(AC120&lt;&gt;AC119,1,IF(AD119=misLíneas-2,0,AD119+1)))</f>
        <v/>
      </c>
      <c r="AE120" s="20" t="str" cm="1">
        <f t="array" aca="1" ref="AE120" ca="1">IF(OR(AD120=0,AD120=""),"",INDEX(misCriticidades,AC120)&amp;"-"&amp;IFERROR(MATCH(AD120,miOrdenTarjeta,0),0))</f>
        <v/>
      </c>
      <c r="AG120" s="20">
        <f t="shared" ca="1" si="41"/>
        <v>1</v>
      </c>
      <c r="AH120" s="20" t="str">
        <f t="shared" ca="1" si="32"/>
        <v/>
      </c>
      <c r="AI120" s="20" t="str" cm="1">
        <f t="array" aca="1" ref="AI120" ca="1">IF(AH120="","",IF(AH120&lt;&gt;AH119,1,IF(AI119=misLíneas-2,0,AI119+1)))</f>
        <v/>
      </c>
      <c r="AJ120" s="20" t="str" cm="1">
        <f t="array" aca="1" ref="AJ120" ca="1">IF(OR(AI120=0,AI120=""),"",INDEX(misCriticidades,AH120)&amp;"-"&amp;IFERROR(MATCH(AI120,miOrdenTarjeta,0),0))</f>
        <v/>
      </c>
      <c r="AL120" s="20">
        <f t="shared" ca="1" si="42"/>
        <v>1</v>
      </c>
      <c r="AM120" s="20" t="str">
        <f t="shared" ca="1" si="33"/>
        <v/>
      </c>
      <c r="AN120" s="20" t="str" cm="1">
        <f t="array" aca="1" ref="AN120" ca="1">IF(AM120="","",IF(AM120&lt;&gt;AM119,1,IF(AN119=misLíneas-2,0,AN119+1)))</f>
        <v/>
      </c>
      <c r="AO120" s="20" t="str" cm="1">
        <f t="array" aca="1" ref="AO120" ca="1">IF(OR(AN120=0,AN120=""),"",INDEX(misCriticidades,AM120)&amp;"-"&amp;IFERROR(MATCH(AN120,miOrdenTarjeta,0),0))</f>
        <v/>
      </c>
      <c r="AQ120" s="20">
        <f t="shared" ca="1" si="43"/>
        <v>1</v>
      </c>
      <c r="AR120" s="20" t="str">
        <f t="shared" ca="1" si="34"/>
        <v/>
      </c>
      <c r="AS120" s="20" t="str" cm="1">
        <f t="array" aca="1" ref="AS120" ca="1">IF(AR120="","",IF(AR120&lt;&gt;AR119,1,IF(AS119=misLíneas-2,0,AS119+1)))</f>
        <v/>
      </c>
      <c r="AT120" s="20" t="str" cm="1">
        <f t="array" aca="1" ref="AT120" ca="1">IF(OR(AS120=0,AS120=""),"",INDEX(misCriticidades,AR120)&amp;"-"&amp;IFERROR(MATCH(AS120,miOrdenTarjeta,0),0))</f>
        <v/>
      </c>
      <c r="AV120" s="20">
        <f t="shared" ca="1" si="44"/>
        <v>1</v>
      </c>
      <c r="AW120" s="20" t="str">
        <f t="shared" ca="1" si="35"/>
        <v/>
      </c>
      <c r="AX120" s="20" t="str" cm="1">
        <f t="array" aca="1" ref="AX120" ca="1">IF(AW120="","",IF(AW120&lt;&gt;AW119,1,IF(AX119=misLíneas-2,0,AX119+1)))</f>
        <v/>
      </c>
      <c r="AY120" s="20" t="str" cm="1">
        <f t="array" aca="1" ref="AY120" ca="1">IF(OR(AX120=0,AX120=""),"",INDEX(misCriticidades,AW120)&amp;"-"&amp;IFERROR(MATCH(AX120,miOrdenTarjeta,0),0))</f>
        <v/>
      </c>
    </row>
    <row r="121" spans="3:51" x14ac:dyDescent="0.25">
      <c r="C121" s="20">
        <f t="shared" ca="1" si="45"/>
        <v>1</v>
      </c>
      <c r="D121" s="20" t="str">
        <f t="shared" ca="1" si="46"/>
        <v/>
      </c>
      <c r="E121" s="20" t="str" cm="1">
        <f t="array" aca="1" ref="E121" ca="1">IF(D121="","",IF(D121&lt;&gt;D120,1,IF(E120=misLíneas-2,0,E120+1)))</f>
        <v/>
      </c>
      <c r="F121" s="20" t="str" cm="1">
        <f t="array" aca="1" ref="F121" ca="1">IF(OR(E121=0,E121=""),"",INDEX(misCriticidades,D121)&amp;"-"&amp;IFERROR(MATCH(E121,miOrdenTarjeta,0),0))</f>
        <v/>
      </c>
      <c r="H121" s="20">
        <f t="shared" ca="1" si="36"/>
        <v>7</v>
      </c>
      <c r="I121" s="20" t="str">
        <f t="shared" ca="1" si="47"/>
        <v/>
      </c>
      <c r="J121" s="20" t="str" cm="1">
        <f t="array" aca="1" ref="J121" ca="1">IF(I121="","",IF(I121&lt;&gt;I120,1,IF(J120=misLíneas-2,0,J120+1)))</f>
        <v/>
      </c>
      <c r="K121" s="20" t="str" cm="1">
        <f t="array" aca="1" ref="K121" ca="1">IF(OR(J121=0,J121=""),"",INDEX(misCriticidades,I121)&amp;"-"&amp;IFERROR(MATCH(J121,miOrdenTarjeta,0),0))</f>
        <v/>
      </c>
      <c r="M121" s="20">
        <f t="shared" ca="1" si="37"/>
        <v>1</v>
      </c>
      <c r="N121" s="20" t="str">
        <f t="shared" ca="1" si="48"/>
        <v/>
      </c>
      <c r="O121" s="20" t="str" cm="1">
        <f t="array" aca="1" ref="O121" ca="1">IF(N121="","",IF(N121&lt;&gt;N120,1,IF(O120=misLíneas-2,0,O120+1)))</f>
        <v/>
      </c>
      <c r="P121" s="20" t="str" cm="1">
        <f t="array" aca="1" ref="P121" ca="1">IF(OR(O121=0,O121=""),"",INDEX(misCriticidades,N121)&amp;"-"&amp;IFERROR(MATCH(O121,miOrdenTarjeta,0),0))</f>
        <v/>
      </c>
      <c r="R121" s="20">
        <f t="shared" ca="1" si="38"/>
        <v>12</v>
      </c>
      <c r="S121" s="20">
        <f t="shared" ca="1" si="49"/>
        <v>18</v>
      </c>
      <c r="T121" s="20" cm="1">
        <f t="array" aca="1" ref="T121" ca="1">IF(S121="","",IF(S121&lt;&gt;S120,1,IF(T120=misLíneas-2,0,T120+1)))</f>
        <v>9</v>
      </c>
      <c r="U121" s="20" t="str" cm="1">
        <f t="array" aca="1" ref="U121" ca="1">IF(OR(T121=0,T121=""),"",INDEX(misCriticidades,S121)&amp;"-"&amp;IFERROR(MATCH(T121,miOrdenTarjeta,0),0))</f>
        <v>2-0</v>
      </c>
      <c r="W121" s="20">
        <f t="shared" ca="1" si="39"/>
        <v>1</v>
      </c>
      <c r="X121" s="20" t="str">
        <f t="shared" ca="1" si="50"/>
        <v/>
      </c>
      <c r="Y121" s="20" t="str" cm="1">
        <f t="array" aca="1" ref="Y121" ca="1">IF(X121="","",IF(X121&lt;&gt;X120,1,IF(Y120=misLíneas-2,0,Y120+1)))</f>
        <v/>
      </c>
      <c r="Z121" s="20" t="str" cm="1">
        <f t="array" aca="1" ref="Z121" ca="1">IF(OR(Y121=0,Y121=""),"",INDEX(misCriticidades,X121)&amp;"-"&amp;IFERROR(MATCH(Y121,miOrdenTarjeta,0),0))</f>
        <v/>
      </c>
      <c r="AB121" s="20">
        <f t="shared" ca="1" si="40"/>
        <v>1</v>
      </c>
      <c r="AC121" s="20" t="str">
        <f t="shared" ca="1" si="31"/>
        <v/>
      </c>
      <c r="AD121" s="20" t="str" cm="1">
        <f t="array" aca="1" ref="AD121" ca="1">IF(AC121="","",IF(AC121&lt;&gt;AC120,1,IF(AD120=misLíneas-2,0,AD120+1)))</f>
        <v/>
      </c>
      <c r="AE121" s="20" t="str" cm="1">
        <f t="array" aca="1" ref="AE121" ca="1">IF(OR(AD121=0,AD121=""),"",INDEX(misCriticidades,AC121)&amp;"-"&amp;IFERROR(MATCH(AD121,miOrdenTarjeta,0),0))</f>
        <v/>
      </c>
      <c r="AG121" s="20">
        <f t="shared" ca="1" si="41"/>
        <v>1</v>
      </c>
      <c r="AH121" s="20" t="str">
        <f t="shared" ca="1" si="32"/>
        <v/>
      </c>
      <c r="AI121" s="20" t="str" cm="1">
        <f t="array" aca="1" ref="AI121" ca="1">IF(AH121="","",IF(AH121&lt;&gt;AH120,1,IF(AI120=misLíneas-2,0,AI120+1)))</f>
        <v/>
      </c>
      <c r="AJ121" s="20" t="str" cm="1">
        <f t="array" aca="1" ref="AJ121" ca="1">IF(OR(AI121=0,AI121=""),"",INDEX(misCriticidades,AH121)&amp;"-"&amp;IFERROR(MATCH(AI121,miOrdenTarjeta,0),0))</f>
        <v/>
      </c>
      <c r="AL121" s="20">
        <f t="shared" ca="1" si="42"/>
        <v>1</v>
      </c>
      <c r="AM121" s="20" t="str">
        <f t="shared" ca="1" si="33"/>
        <v/>
      </c>
      <c r="AN121" s="20" t="str" cm="1">
        <f t="array" aca="1" ref="AN121" ca="1">IF(AM121="","",IF(AM121&lt;&gt;AM120,1,IF(AN120=misLíneas-2,0,AN120+1)))</f>
        <v/>
      </c>
      <c r="AO121" s="20" t="str" cm="1">
        <f t="array" aca="1" ref="AO121" ca="1">IF(OR(AN121=0,AN121=""),"",INDEX(misCriticidades,AM121)&amp;"-"&amp;IFERROR(MATCH(AN121,miOrdenTarjeta,0),0))</f>
        <v/>
      </c>
      <c r="AQ121" s="20">
        <f t="shared" ca="1" si="43"/>
        <v>1</v>
      </c>
      <c r="AR121" s="20" t="str">
        <f t="shared" ca="1" si="34"/>
        <v/>
      </c>
      <c r="AS121" s="20" t="str" cm="1">
        <f t="array" aca="1" ref="AS121" ca="1">IF(AR121="","",IF(AR121&lt;&gt;AR120,1,IF(AS120=misLíneas-2,0,AS120+1)))</f>
        <v/>
      </c>
      <c r="AT121" s="20" t="str" cm="1">
        <f t="array" aca="1" ref="AT121" ca="1">IF(OR(AS121=0,AS121=""),"",INDEX(misCriticidades,AR121)&amp;"-"&amp;IFERROR(MATCH(AS121,miOrdenTarjeta,0),0))</f>
        <v/>
      </c>
      <c r="AV121" s="20">
        <f t="shared" ca="1" si="44"/>
        <v>1</v>
      </c>
      <c r="AW121" s="20" t="str">
        <f t="shared" ca="1" si="35"/>
        <v/>
      </c>
      <c r="AX121" s="20" t="str" cm="1">
        <f t="array" aca="1" ref="AX121" ca="1">IF(AW121="","",IF(AW121&lt;&gt;AW120,1,IF(AX120=misLíneas-2,0,AX120+1)))</f>
        <v/>
      </c>
      <c r="AY121" s="20" t="str" cm="1">
        <f t="array" aca="1" ref="AY121" ca="1">IF(OR(AX121=0,AX121=""),"",INDEX(misCriticidades,AW121)&amp;"-"&amp;IFERROR(MATCH(AX121,miOrdenTarjeta,0),0))</f>
        <v/>
      </c>
    </row>
    <row r="122" spans="3:51" x14ac:dyDescent="0.25">
      <c r="C122" s="20">
        <f t="shared" ca="1" si="45"/>
        <v>1</v>
      </c>
      <c r="D122" s="20" t="str">
        <f t="shared" ca="1" si="46"/>
        <v/>
      </c>
      <c r="E122" s="20" t="str" cm="1">
        <f t="array" aca="1" ref="E122" ca="1">IF(D122="","",IF(D122&lt;&gt;D121,1,IF(E121=misLíneas-2,0,E121+1)))</f>
        <v/>
      </c>
      <c r="F122" s="20" t="str" cm="1">
        <f t="array" aca="1" ref="F122" ca="1">IF(OR(E122=0,E122=""),"",INDEX(misCriticidades,D122)&amp;"-"&amp;IFERROR(MATCH(E122,miOrdenTarjeta,0),0))</f>
        <v/>
      </c>
      <c r="H122" s="20">
        <f t="shared" ca="1" si="36"/>
        <v>7</v>
      </c>
      <c r="I122" s="20" t="str">
        <f t="shared" ca="1" si="47"/>
        <v/>
      </c>
      <c r="J122" s="20" t="str" cm="1">
        <f t="array" aca="1" ref="J122" ca="1">IF(I122="","",IF(I122&lt;&gt;I121,1,IF(J121=misLíneas-2,0,J121+1)))</f>
        <v/>
      </c>
      <c r="K122" s="20" t="str" cm="1">
        <f t="array" aca="1" ref="K122" ca="1">IF(OR(J122=0,J122=""),"",INDEX(misCriticidades,I122)&amp;"-"&amp;IFERROR(MATCH(J122,miOrdenTarjeta,0),0))</f>
        <v/>
      </c>
      <c r="M122" s="20">
        <f t="shared" ca="1" si="37"/>
        <v>1</v>
      </c>
      <c r="N122" s="20" t="str">
        <f t="shared" ca="1" si="48"/>
        <v/>
      </c>
      <c r="O122" s="20" t="str" cm="1">
        <f t="array" aca="1" ref="O122" ca="1">IF(N122="","",IF(N122&lt;&gt;N121,1,IF(O121=misLíneas-2,0,O121+1)))</f>
        <v/>
      </c>
      <c r="P122" s="20" t="str" cm="1">
        <f t="array" aca="1" ref="P122" ca="1">IF(OR(O122=0,O122=""),"",INDEX(misCriticidades,N122)&amp;"-"&amp;IFERROR(MATCH(O122,miOrdenTarjeta,0),0))</f>
        <v/>
      </c>
      <c r="R122" s="20">
        <f t="shared" ca="1" si="38"/>
        <v>12</v>
      </c>
      <c r="S122" s="20">
        <f t="shared" ca="1" si="49"/>
        <v>18</v>
      </c>
      <c r="T122" s="20" cm="1">
        <f t="array" aca="1" ref="T122" ca="1">IF(S122="","",IF(S122&lt;&gt;S121,1,IF(T121=misLíneas-2,0,T121+1)))</f>
        <v>0</v>
      </c>
      <c r="U122" s="20" t="str" cm="1">
        <f t="array" aca="1" ref="U122" ca="1">IF(OR(T122=0,T122=""),"",INDEX(misCriticidades,S122)&amp;"-"&amp;IFERROR(MATCH(T122,miOrdenTarjeta,0),0))</f>
        <v/>
      </c>
      <c r="W122" s="20">
        <f t="shared" ca="1" si="39"/>
        <v>1</v>
      </c>
      <c r="X122" s="20" t="str">
        <f t="shared" ca="1" si="50"/>
        <v/>
      </c>
      <c r="Y122" s="20" t="str" cm="1">
        <f t="array" aca="1" ref="Y122" ca="1">IF(X122="","",IF(X122&lt;&gt;X121,1,IF(Y121=misLíneas-2,0,Y121+1)))</f>
        <v/>
      </c>
      <c r="Z122" s="20" t="str" cm="1">
        <f t="array" aca="1" ref="Z122" ca="1">IF(OR(Y122=0,Y122=""),"",INDEX(misCriticidades,X122)&amp;"-"&amp;IFERROR(MATCH(Y122,miOrdenTarjeta,0),0))</f>
        <v/>
      </c>
      <c r="AB122" s="20">
        <f t="shared" ca="1" si="40"/>
        <v>1</v>
      </c>
      <c r="AC122" s="20" t="str">
        <f t="shared" ca="1" si="31"/>
        <v/>
      </c>
      <c r="AD122" s="20" t="str" cm="1">
        <f t="array" aca="1" ref="AD122" ca="1">IF(AC122="","",IF(AC122&lt;&gt;AC121,1,IF(AD121=misLíneas-2,0,AD121+1)))</f>
        <v/>
      </c>
      <c r="AE122" s="20" t="str" cm="1">
        <f t="array" aca="1" ref="AE122" ca="1">IF(OR(AD122=0,AD122=""),"",INDEX(misCriticidades,AC122)&amp;"-"&amp;IFERROR(MATCH(AD122,miOrdenTarjeta,0),0))</f>
        <v/>
      </c>
      <c r="AG122" s="20">
        <f t="shared" ca="1" si="41"/>
        <v>1</v>
      </c>
      <c r="AH122" s="20" t="str">
        <f t="shared" ca="1" si="32"/>
        <v/>
      </c>
      <c r="AI122" s="20" t="str" cm="1">
        <f t="array" aca="1" ref="AI122" ca="1">IF(AH122="","",IF(AH122&lt;&gt;AH121,1,IF(AI121=misLíneas-2,0,AI121+1)))</f>
        <v/>
      </c>
      <c r="AJ122" s="20" t="str" cm="1">
        <f t="array" aca="1" ref="AJ122" ca="1">IF(OR(AI122=0,AI122=""),"",INDEX(misCriticidades,AH122)&amp;"-"&amp;IFERROR(MATCH(AI122,miOrdenTarjeta,0),0))</f>
        <v/>
      </c>
      <c r="AL122" s="20">
        <f t="shared" ca="1" si="42"/>
        <v>1</v>
      </c>
      <c r="AM122" s="20" t="str">
        <f t="shared" ca="1" si="33"/>
        <v/>
      </c>
      <c r="AN122" s="20" t="str" cm="1">
        <f t="array" aca="1" ref="AN122" ca="1">IF(AM122="","",IF(AM122&lt;&gt;AM121,1,IF(AN121=misLíneas-2,0,AN121+1)))</f>
        <v/>
      </c>
      <c r="AO122" s="20" t="str" cm="1">
        <f t="array" aca="1" ref="AO122" ca="1">IF(OR(AN122=0,AN122=""),"",INDEX(misCriticidades,AM122)&amp;"-"&amp;IFERROR(MATCH(AN122,miOrdenTarjeta,0),0))</f>
        <v/>
      </c>
      <c r="AQ122" s="20">
        <f t="shared" ca="1" si="43"/>
        <v>1</v>
      </c>
      <c r="AR122" s="20" t="str">
        <f t="shared" ca="1" si="34"/>
        <v/>
      </c>
      <c r="AS122" s="20" t="str" cm="1">
        <f t="array" aca="1" ref="AS122" ca="1">IF(AR122="","",IF(AR122&lt;&gt;AR121,1,IF(AS121=misLíneas-2,0,AS121+1)))</f>
        <v/>
      </c>
      <c r="AT122" s="20" t="str" cm="1">
        <f t="array" aca="1" ref="AT122" ca="1">IF(OR(AS122=0,AS122=""),"",INDEX(misCriticidades,AR122)&amp;"-"&amp;IFERROR(MATCH(AS122,miOrdenTarjeta,0),0))</f>
        <v/>
      </c>
      <c r="AV122" s="20">
        <f t="shared" ca="1" si="44"/>
        <v>1</v>
      </c>
      <c r="AW122" s="20" t="str">
        <f t="shared" ca="1" si="35"/>
        <v/>
      </c>
      <c r="AX122" s="20" t="str" cm="1">
        <f t="array" aca="1" ref="AX122" ca="1">IF(AW122="","",IF(AW122&lt;&gt;AW121,1,IF(AX121=misLíneas-2,0,AX121+1)))</f>
        <v/>
      </c>
      <c r="AY122" s="20" t="str" cm="1">
        <f t="array" aca="1" ref="AY122" ca="1">IF(OR(AX122=0,AX122=""),"",INDEX(misCriticidades,AW122)&amp;"-"&amp;IFERROR(MATCH(AX122,miOrdenTarjeta,0),0))</f>
        <v/>
      </c>
    </row>
    <row r="123" spans="3:51" x14ac:dyDescent="0.25">
      <c r="C123" s="20">
        <f t="shared" ca="1" si="45"/>
        <v>1</v>
      </c>
      <c r="D123" s="20" t="str">
        <f t="shared" ca="1" si="46"/>
        <v/>
      </c>
      <c r="E123" s="20" t="str" cm="1">
        <f t="array" aca="1" ref="E123" ca="1">IF(D123="","",IF(D123&lt;&gt;D122,1,IF(E122=misLíneas-2,0,E122+1)))</f>
        <v/>
      </c>
      <c r="F123" s="20" t="str" cm="1">
        <f t="array" aca="1" ref="F123" ca="1">IF(OR(E123=0,E123=""),"",INDEX(misCriticidades,D123)&amp;"-"&amp;IFERROR(MATCH(E123,miOrdenTarjeta,0),0))</f>
        <v/>
      </c>
      <c r="H123" s="20">
        <f t="shared" ca="1" si="36"/>
        <v>7</v>
      </c>
      <c r="I123" s="20" t="str">
        <f t="shared" ca="1" si="47"/>
        <v/>
      </c>
      <c r="J123" s="20" t="str" cm="1">
        <f t="array" aca="1" ref="J123" ca="1">IF(I123="","",IF(I123&lt;&gt;I122,1,IF(J122=misLíneas-2,0,J122+1)))</f>
        <v/>
      </c>
      <c r="K123" s="20" t="str" cm="1">
        <f t="array" aca="1" ref="K123" ca="1">IF(OR(J123=0,J123=""),"",INDEX(misCriticidades,I123)&amp;"-"&amp;IFERROR(MATCH(J123,miOrdenTarjeta,0),0))</f>
        <v/>
      </c>
      <c r="M123" s="20">
        <f t="shared" ca="1" si="37"/>
        <v>1</v>
      </c>
      <c r="N123" s="20" t="str">
        <f t="shared" ca="1" si="48"/>
        <v/>
      </c>
      <c r="O123" s="20" t="str" cm="1">
        <f t="array" aca="1" ref="O123" ca="1">IF(N123="","",IF(N123&lt;&gt;N122,1,IF(O122=misLíneas-2,0,O122+1)))</f>
        <v/>
      </c>
      <c r="P123" s="20" t="str" cm="1">
        <f t="array" aca="1" ref="P123" ca="1">IF(OR(O123=0,O123=""),"",INDEX(misCriticidades,N123)&amp;"-"&amp;IFERROR(MATCH(O123,miOrdenTarjeta,0),0))</f>
        <v/>
      </c>
      <c r="R123" s="20">
        <f t="shared" ca="1" si="38"/>
        <v>13</v>
      </c>
      <c r="S123" s="20">
        <f t="shared" ca="1" si="49"/>
        <v>17</v>
      </c>
      <c r="T123" s="20" cm="1">
        <f t="array" aca="1" ref="T123" ca="1">IF(S123="","",IF(S123&lt;&gt;S122,1,IF(T122=misLíneas-2,0,T122+1)))</f>
        <v>1</v>
      </c>
      <c r="U123" s="20" t="str" cm="1">
        <f t="array" aca="1" ref="U123" ca="1">IF(OR(T123=0,T123=""),"",INDEX(misCriticidades,S123)&amp;"-"&amp;IFERROR(MATCH(T123,miOrdenTarjeta,0),0))</f>
        <v>1-1</v>
      </c>
      <c r="W123" s="20">
        <f t="shared" ca="1" si="39"/>
        <v>1</v>
      </c>
      <c r="X123" s="20" t="str">
        <f t="shared" ca="1" si="50"/>
        <v/>
      </c>
      <c r="Y123" s="20" t="str" cm="1">
        <f t="array" aca="1" ref="Y123" ca="1">IF(X123="","",IF(X123&lt;&gt;X122,1,IF(Y122=misLíneas-2,0,Y122+1)))</f>
        <v/>
      </c>
      <c r="Z123" s="20" t="str" cm="1">
        <f t="array" aca="1" ref="Z123" ca="1">IF(OR(Y123=0,Y123=""),"",INDEX(misCriticidades,X123)&amp;"-"&amp;IFERROR(MATCH(Y123,miOrdenTarjeta,0),0))</f>
        <v/>
      </c>
      <c r="AB123" s="20">
        <f t="shared" ca="1" si="40"/>
        <v>1</v>
      </c>
      <c r="AC123" s="20" t="str">
        <f t="shared" ca="1" si="31"/>
        <v/>
      </c>
      <c r="AD123" s="20" t="str" cm="1">
        <f t="array" aca="1" ref="AD123" ca="1">IF(AC123="","",IF(AC123&lt;&gt;AC122,1,IF(AD122=misLíneas-2,0,AD122+1)))</f>
        <v/>
      </c>
      <c r="AE123" s="20" t="str" cm="1">
        <f t="array" aca="1" ref="AE123" ca="1">IF(OR(AD123=0,AD123=""),"",INDEX(misCriticidades,AC123)&amp;"-"&amp;IFERROR(MATCH(AD123,miOrdenTarjeta,0),0))</f>
        <v/>
      </c>
      <c r="AG123" s="20">
        <f t="shared" ca="1" si="41"/>
        <v>1</v>
      </c>
      <c r="AH123" s="20" t="str">
        <f t="shared" ca="1" si="32"/>
        <v/>
      </c>
      <c r="AI123" s="20" t="str" cm="1">
        <f t="array" aca="1" ref="AI123" ca="1">IF(AH123="","",IF(AH123&lt;&gt;AH122,1,IF(AI122=misLíneas-2,0,AI122+1)))</f>
        <v/>
      </c>
      <c r="AJ123" s="20" t="str" cm="1">
        <f t="array" aca="1" ref="AJ123" ca="1">IF(OR(AI123=0,AI123=""),"",INDEX(misCriticidades,AH123)&amp;"-"&amp;IFERROR(MATCH(AI123,miOrdenTarjeta,0),0))</f>
        <v/>
      </c>
      <c r="AL123" s="20">
        <f t="shared" ca="1" si="42"/>
        <v>1</v>
      </c>
      <c r="AM123" s="20" t="str">
        <f t="shared" ca="1" si="33"/>
        <v/>
      </c>
      <c r="AN123" s="20" t="str" cm="1">
        <f t="array" aca="1" ref="AN123" ca="1">IF(AM123="","",IF(AM123&lt;&gt;AM122,1,IF(AN122=misLíneas-2,0,AN122+1)))</f>
        <v/>
      </c>
      <c r="AO123" s="20" t="str" cm="1">
        <f t="array" aca="1" ref="AO123" ca="1">IF(OR(AN123=0,AN123=""),"",INDEX(misCriticidades,AM123)&amp;"-"&amp;IFERROR(MATCH(AN123,miOrdenTarjeta,0),0))</f>
        <v/>
      </c>
      <c r="AQ123" s="20">
        <f t="shared" ca="1" si="43"/>
        <v>1</v>
      </c>
      <c r="AR123" s="20" t="str">
        <f t="shared" ca="1" si="34"/>
        <v/>
      </c>
      <c r="AS123" s="20" t="str" cm="1">
        <f t="array" aca="1" ref="AS123" ca="1">IF(AR123="","",IF(AR123&lt;&gt;AR122,1,IF(AS122=misLíneas-2,0,AS122+1)))</f>
        <v/>
      </c>
      <c r="AT123" s="20" t="str" cm="1">
        <f t="array" aca="1" ref="AT123" ca="1">IF(OR(AS123=0,AS123=""),"",INDEX(misCriticidades,AR123)&amp;"-"&amp;IFERROR(MATCH(AS123,miOrdenTarjeta,0),0))</f>
        <v/>
      </c>
      <c r="AV123" s="20">
        <f t="shared" ca="1" si="44"/>
        <v>1</v>
      </c>
      <c r="AW123" s="20" t="str">
        <f t="shared" ca="1" si="35"/>
        <v/>
      </c>
      <c r="AX123" s="20" t="str" cm="1">
        <f t="array" aca="1" ref="AX123" ca="1">IF(AW123="","",IF(AW123&lt;&gt;AW122,1,IF(AX122=misLíneas-2,0,AX122+1)))</f>
        <v/>
      </c>
      <c r="AY123" s="20" t="str" cm="1">
        <f t="array" aca="1" ref="AY123" ca="1">IF(OR(AX123=0,AX123=""),"",INDEX(misCriticidades,AW123)&amp;"-"&amp;IFERROR(MATCH(AX123,miOrdenTarjeta,0),0))</f>
        <v/>
      </c>
    </row>
    <row r="124" spans="3:51" x14ac:dyDescent="0.25">
      <c r="C124" s="20">
        <f t="shared" ca="1" si="45"/>
        <v>1</v>
      </c>
      <c r="D124" s="20" t="str">
        <f t="shared" ca="1" si="46"/>
        <v/>
      </c>
      <c r="E124" s="20" t="str" cm="1">
        <f t="array" aca="1" ref="E124" ca="1">IF(D124="","",IF(D124&lt;&gt;D123,1,IF(E123=misLíneas-2,0,E123+1)))</f>
        <v/>
      </c>
      <c r="F124" s="20" t="str" cm="1">
        <f t="array" aca="1" ref="F124" ca="1">IF(OR(E124=0,E124=""),"",INDEX(misCriticidades,D124)&amp;"-"&amp;IFERROR(MATCH(E124,miOrdenTarjeta,0),0))</f>
        <v/>
      </c>
      <c r="H124" s="20">
        <f t="shared" ca="1" si="36"/>
        <v>7</v>
      </c>
      <c r="I124" s="20" t="str">
        <f t="shared" ca="1" si="47"/>
        <v/>
      </c>
      <c r="J124" s="20" t="str" cm="1">
        <f t="array" aca="1" ref="J124" ca="1">IF(I124="","",IF(I124&lt;&gt;I123,1,IF(J123=misLíneas-2,0,J123+1)))</f>
        <v/>
      </c>
      <c r="K124" s="20" t="str" cm="1">
        <f t="array" aca="1" ref="K124" ca="1">IF(OR(J124=0,J124=""),"",INDEX(misCriticidades,I124)&amp;"-"&amp;IFERROR(MATCH(J124,miOrdenTarjeta,0),0))</f>
        <v/>
      </c>
      <c r="M124" s="20">
        <f t="shared" ca="1" si="37"/>
        <v>1</v>
      </c>
      <c r="N124" s="20" t="str">
        <f t="shared" ca="1" si="48"/>
        <v/>
      </c>
      <c r="O124" s="20" t="str" cm="1">
        <f t="array" aca="1" ref="O124" ca="1">IF(N124="","",IF(N124&lt;&gt;N123,1,IF(O123=misLíneas-2,0,O123+1)))</f>
        <v/>
      </c>
      <c r="P124" s="20" t="str" cm="1">
        <f t="array" aca="1" ref="P124" ca="1">IF(OR(O124=0,O124=""),"",INDEX(misCriticidades,N124)&amp;"-"&amp;IFERROR(MATCH(O124,miOrdenTarjeta,0),0))</f>
        <v/>
      </c>
      <c r="R124" s="20">
        <f t="shared" ca="1" si="38"/>
        <v>13</v>
      </c>
      <c r="S124" s="20">
        <f t="shared" ca="1" si="49"/>
        <v>17</v>
      </c>
      <c r="T124" s="20" cm="1">
        <f t="array" aca="1" ref="T124" ca="1">IF(S124="","",IF(S124&lt;&gt;S123,1,IF(T123=misLíneas-2,0,T123+1)))</f>
        <v>2</v>
      </c>
      <c r="U124" s="20" t="str" cm="1">
        <f t="array" aca="1" ref="U124" ca="1">IF(OR(T124=0,T124=""),"",INDEX(misCriticidades,S124)&amp;"-"&amp;IFERROR(MATCH(T124,miOrdenTarjeta,0),0))</f>
        <v>1-2</v>
      </c>
      <c r="W124" s="20">
        <f t="shared" ca="1" si="39"/>
        <v>1</v>
      </c>
      <c r="X124" s="20" t="str">
        <f t="shared" ca="1" si="50"/>
        <v/>
      </c>
      <c r="Y124" s="20" t="str" cm="1">
        <f t="array" aca="1" ref="Y124" ca="1">IF(X124="","",IF(X124&lt;&gt;X123,1,IF(Y123=misLíneas-2,0,Y123+1)))</f>
        <v/>
      </c>
      <c r="Z124" s="20" t="str" cm="1">
        <f t="array" aca="1" ref="Z124" ca="1">IF(OR(Y124=0,Y124=""),"",INDEX(misCriticidades,X124)&amp;"-"&amp;IFERROR(MATCH(Y124,miOrdenTarjeta,0),0))</f>
        <v/>
      </c>
      <c r="AB124" s="20">
        <f t="shared" ca="1" si="40"/>
        <v>1</v>
      </c>
      <c r="AC124" s="20" t="str">
        <f t="shared" ca="1" si="31"/>
        <v/>
      </c>
      <c r="AD124" s="20" t="str" cm="1">
        <f t="array" aca="1" ref="AD124" ca="1">IF(AC124="","",IF(AC124&lt;&gt;AC123,1,IF(AD123=misLíneas-2,0,AD123+1)))</f>
        <v/>
      </c>
      <c r="AE124" s="20" t="str" cm="1">
        <f t="array" aca="1" ref="AE124" ca="1">IF(OR(AD124=0,AD124=""),"",INDEX(misCriticidades,AC124)&amp;"-"&amp;IFERROR(MATCH(AD124,miOrdenTarjeta,0),0))</f>
        <v/>
      </c>
      <c r="AG124" s="20">
        <f t="shared" ca="1" si="41"/>
        <v>1</v>
      </c>
      <c r="AH124" s="20" t="str">
        <f t="shared" ca="1" si="32"/>
        <v/>
      </c>
      <c r="AI124" s="20" t="str" cm="1">
        <f t="array" aca="1" ref="AI124" ca="1">IF(AH124="","",IF(AH124&lt;&gt;AH123,1,IF(AI123=misLíneas-2,0,AI123+1)))</f>
        <v/>
      </c>
      <c r="AJ124" s="20" t="str" cm="1">
        <f t="array" aca="1" ref="AJ124" ca="1">IF(OR(AI124=0,AI124=""),"",INDEX(misCriticidades,AH124)&amp;"-"&amp;IFERROR(MATCH(AI124,miOrdenTarjeta,0),0))</f>
        <v/>
      </c>
      <c r="AL124" s="20">
        <f t="shared" ca="1" si="42"/>
        <v>1</v>
      </c>
      <c r="AM124" s="20" t="str">
        <f t="shared" ca="1" si="33"/>
        <v/>
      </c>
      <c r="AN124" s="20" t="str" cm="1">
        <f t="array" aca="1" ref="AN124" ca="1">IF(AM124="","",IF(AM124&lt;&gt;AM123,1,IF(AN123=misLíneas-2,0,AN123+1)))</f>
        <v/>
      </c>
      <c r="AO124" s="20" t="str" cm="1">
        <f t="array" aca="1" ref="AO124" ca="1">IF(OR(AN124=0,AN124=""),"",INDEX(misCriticidades,AM124)&amp;"-"&amp;IFERROR(MATCH(AN124,miOrdenTarjeta,0),0))</f>
        <v/>
      </c>
      <c r="AQ124" s="20">
        <f t="shared" ca="1" si="43"/>
        <v>1</v>
      </c>
      <c r="AR124" s="20" t="str">
        <f t="shared" ca="1" si="34"/>
        <v/>
      </c>
      <c r="AS124" s="20" t="str" cm="1">
        <f t="array" aca="1" ref="AS124" ca="1">IF(AR124="","",IF(AR124&lt;&gt;AR123,1,IF(AS123=misLíneas-2,0,AS123+1)))</f>
        <v/>
      </c>
      <c r="AT124" s="20" t="str" cm="1">
        <f t="array" aca="1" ref="AT124" ca="1">IF(OR(AS124=0,AS124=""),"",INDEX(misCriticidades,AR124)&amp;"-"&amp;IFERROR(MATCH(AS124,miOrdenTarjeta,0),0))</f>
        <v/>
      </c>
      <c r="AV124" s="20">
        <f t="shared" ca="1" si="44"/>
        <v>1</v>
      </c>
      <c r="AW124" s="20" t="str">
        <f t="shared" ca="1" si="35"/>
        <v/>
      </c>
      <c r="AX124" s="20" t="str" cm="1">
        <f t="array" aca="1" ref="AX124" ca="1">IF(AW124="","",IF(AW124&lt;&gt;AW123,1,IF(AX123=misLíneas-2,0,AX123+1)))</f>
        <v/>
      </c>
      <c r="AY124" s="20" t="str" cm="1">
        <f t="array" aca="1" ref="AY124" ca="1">IF(OR(AX124=0,AX124=""),"",INDEX(misCriticidades,AW124)&amp;"-"&amp;IFERROR(MATCH(AX124,miOrdenTarjeta,0),0))</f>
        <v/>
      </c>
    </row>
    <row r="125" spans="3:51" x14ac:dyDescent="0.25">
      <c r="C125" s="20">
        <f t="shared" ca="1" si="45"/>
        <v>1</v>
      </c>
      <c r="D125" s="20" t="str">
        <f t="shared" ca="1" si="46"/>
        <v/>
      </c>
      <c r="E125" s="20" t="str" cm="1">
        <f t="array" aca="1" ref="E125" ca="1">IF(D125="","",IF(D125&lt;&gt;D124,1,IF(E124=misLíneas-2,0,E124+1)))</f>
        <v/>
      </c>
      <c r="F125" s="20" t="str" cm="1">
        <f t="array" aca="1" ref="F125" ca="1">IF(OR(E125=0,E125=""),"",INDEX(misCriticidades,D125)&amp;"-"&amp;IFERROR(MATCH(E125,miOrdenTarjeta,0),0))</f>
        <v/>
      </c>
      <c r="H125" s="20">
        <f t="shared" ca="1" si="36"/>
        <v>7</v>
      </c>
      <c r="I125" s="20" t="str">
        <f t="shared" ca="1" si="47"/>
        <v/>
      </c>
      <c r="J125" s="20" t="str" cm="1">
        <f t="array" aca="1" ref="J125" ca="1">IF(I125="","",IF(I125&lt;&gt;I124,1,IF(J124=misLíneas-2,0,J124+1)))</f>
        <v/>
      </c>
      <c r="K125" s="20" t="str" cm="1">
        <f t="array" aca="1" ref="K125" ca="1">IF(OR(J125=0,J125=""),"",INDEX(misCriticidades,I125)&amp;"-"&amp;IFERROR(MATCH(J125,miOrdenTarjeta,0),0))</f>
        <v/>
      </c>
      <c r="M125" s="20">
        <f t="shared" ca="1" si="37"/>
        <v>1</v>
      </c>
      <c r="N125" s="20" t="str">
        <f t="shared" ca="1" si="48"/>
        <v/>
      </c>
      <c r="O125" s="20" t="str" cm="1">
        <f t="array" aca="1" ref="O125" ca="1">IF(N125="","",IF(N125&lt;&gt;N124,1,IF(O124=misLíneas-2,0,O124+1)))</f>
        <v/>
      </c>
      <c r="P125" s="20" t="str" cm="1">
        <f t="array" aca="1" ref="P125" ca="1">IF(OR(O125=0,O125=""),"",INDEX(misCriticidades,N125)&amp;"-"&amp;IFERROR(MATCH(O125,miOrdenTarjeta,0),0))</f>
        <v/>
      </c>
      <c r="R125" s="20">
        <f t="shared" ca="1" si="38"/>
        <v>13</v>
      </c>
      <c r="S125" s="20">
        <f t="shared" ca="1" si="49"/>
        <v>17</v>
      </c>
      <c r="T125" s="20" cm="1">
        <f t="array" aca="1" ref="T125" ca="1">IF(S125="","",IF(S125&lt;&gt;S124,1,IF(T124=misLíneas-2,0,T124+1)))</f>
        <v>3</v>
      </c>
      <c r="U125" s="20" t="str" cm="1">
        <f t="array" aca="1" ref="U125" ca="1">IF(OR(T125=0,T125=""),"",INDEX(misCriticidades,S125)&amp;"-"&amp;IFERROR(MATCH(T125,miOrdenTarjeta,0),0))</f>
        <v>1-3</v>
      </c>
      <c r="W125" s="20">
        <f t="shared" ca="1" si="39"/>
        <v>1</v>
      </c>
      <c r="X125" s="20" t="str">
        <f t="shared" ca="1" si="50"/>
        <v/>
      </c>
      <c r="Y125" s="20" t="str" cm="1">
        <f t="array" aca="1" ref="Y125" ca="1">IF(X125="","",IF(X125&lt;&gt;X124,1,IF(Y124=misLíneas-2,0,Y124+1)))</f>
        <v/>
      </c>
      <c r="Z125" s="20" t="str" cm="1">
        <f t="array" aca="1" ref="Z125" ca="1">IF(OR(Y125=0,Y125=""),"",INDEX(misCriticidades,X125)&amp;"-"&amp;IFERROR(MATCH(Y125,miOrdenTarjeta,0),0))</f>
        <v/>
      </c>
      <c r="AB125" s="20">
        <f t="shared" ca="1" si="40"/>
        <v>1</v>
      </c>
      <c r="AC125" s="20" t="str">
        <f t="shared" ca="1" si="31"/>
        <v/>
      </c>
      <c r="AD125" s="20" t="str" cm="1">
        <f t="array" aca="1" ref="AD125" ca="1">IF(AC125="","",IF(AC125&lt;&gt;AC124,1,IF(AD124=misLíneas-2,0,AD124+1)))</f>
        <v/>
      </c>
      <c r="AE125" s="20" t="str" cm="1">
        <f t="array" aca="1" ref="AE125" ca="1">IF(OR(AD125=0,AD125=""),"",INDEX(misCriticidades,AC125)&amp;"-"&amp;IFERROR(MATCH(AD125,miOrdenTarjeta,0),0))</f>
        <v/>
      </c>
      <c r="AG125" s="20">
        <f t="shared" ca="1" si="41"/>
        <v>1</v>
      </c>
      <c r="AH125" s="20" t="str">
        <f t="shared" ca="1" si="32"/>
        <v/>
      </c>
      <c r="AI125" s="20" t="str" cm="1">
        <f t="array" aca="1" ref="AI125" ca="1">IF(AH125="","",IF(AH125&lt;&gt;AH124,1,IF(AI124=misLíneas-2,0,AI124+1)))</f>
        <v/>
      </c>
      <c r="AJ125" s="20" t="str" cm="1">
        <f t="array" aca="1" ref="AJ125" ca="1">IF(OR(AI125=0,AI125=""),"",INDEX(misCriticidades,AH125)&amp;"-"&amp;IFERROR(MATCH(AI125,miOrdenTarjeta,0),0))</f>
        <v/>
      </c>
      <c r="AL125" s="20">
        <f t="shared" ca="1" si="42"/>
        <v>1</v>
      </c>
      <c r="AM125" s="20" t="str">
        <f t="shared" ca="1" si="33"/>
        <v/>
      </c>
      <c r="AN125" s="20" t="str" cm="1">
        <f t="array" aca="1" ref="AN125" ca="1">IF(AM125="","",IF(AM125&lt;&gt;AM124,1,IF(AN124=misLíneas-2,0,AN124+1)))</f>
        <v/>
      </c>
      <c r="AO125" s="20" t="str" cm="1">
        <f t="array" aca="1" ref="AO125" ca="1">IF(OR(AN125=0,AN125=""),"",INDEX(misCriticidades,AM125)&amp;"-"&amp;IFERROR(MATCH(AN125,miOrdenTarjeta,0),0))</f>
        <v/>
      </c>
      <c r="AQ125" s="20">
        <f t="shared" ca="1" si="43"/>
        <v>1</v>
      </c>
      <c r="AR125" s="20" t="str">
        <f t="shared" ca="1" si="34"/>
        <v/>
      </c>
      <c r="AS125" s="20" t="str" cm="1">
        <f t="array" aca="1" ref="AS125" ca="1">IF(AR125="","",IF(AR125&lt;&gt;AR124,1,IF(AS124=misLíneas-2,0,AS124+1)))</f>
        <v/>
      </c>
      <c r="AT125" s="20" t="str" cm="1">
        <f t="array" aca="1" ref="AT125" ca="1">IF(OR(AS125=0,AS125=""),"",INDEX(misCriticidades,AR125)&amp;"-"&amp;IFERROR(MATCH(AS125,miOrdenTarjeta,0),0))</f>
        <v/>
      </c>
      <c r="AV125" s="20">
        <f t="shared" ca="1" si="44"/>
        <v>1</v>
      </c>
      <c r="AW125" s="20" t="str">
        <f t="shared" ca="1" si="35"/>
        <v/>
      </c>
      <c r="AX125" s="20" t="str" cm="1">
        <f t="array" aca="1" ref="AX125" ca="1">IF(AW125="","",IF(AW125&lt;&gt;AW124,1,IF(AX124=misLíneas-2,0,AX124+1)))</f>
        <v/>
      </c>
      <c r="AY125" s="20" t="str" cm="1">
        <f t="array" aca="1" ref="AY125" ca="1">IF(OR(AX125=0,AX125=""),"",INDEX(misCriticidades,AW125)&amp;"-"&amp;IFERROR(MATCH(AX125,miOrdenTarjeta,0),0))</f>
        <v/>
      </c>
    </row>
    <row r="126" spans="3:51" x14ac:dyDescent="0.25">
      <c r="C126" s="20">
        <f t="shared" ca="1" si="45"/>
        <v>1</v>
      </c>
      <c r="D126" s="20" t="str">
        <f t="shared" ca="1" si="46"/>
        <v/>
      </c>
      <c r="E126" s="20" t="str" cm="1">
        <f t="array" aca="1" ref="E126" ca="1">IF(D126="","",IF(D126&lt;&gt;D125,1,IF(E125=misLíneas-2,0,E125+1)))</f>
        <v/>
      </c>
      <c r="F126" s="20" t="str" cm="1">
        <f t="array" aca="1" ref="F126" ca="1">IF(OR(E126=0,E126=""),"",INDEX(misCriticidades,D126)&amp;"-"&amp;IFERROR(MATCH(E126,miOrdenTarjeta,0),0))</f>
        <v/>
      </c>
      <c r="H126" s="20">
        <f t="shared" ca="1" si="36"/>
        <v>7</v>
      </c>
      <c r="I126" s="20" t="str">
        <f t="shared" ca="1" si="47"/>
        <v/>
      </c>
      <c r="J126" s="20" t="str" cm="1">
        <f t="array" aca="1" ref="J126" ca="1">IF(I126="","",IF(I126&lt;&gt;I125,1,IF(J125=misLíneas-2,0,J125+1)))</f>
        <v/>
      </c>
      <c r="K126" s="20" t="str" cm="1">
        <f t="array" aca="1" ref="K126" ca="1">IF(OR(J126=0,J126=""),"",INDEX(misCriticidades,I126)&amp;"-"&amp;IFERROR(MATCH(J126,miOrdenTarjeta,0),0))</f>
        <v/>
      </c>
      <c r="M126" s="20">
        <f t="shared" ca="1" si="37"/>
        <v>1</v>
      </c>
      <c r="N126" s="20" t="str">
        <f t="shared" ca="1" si="48"/>
        <v/>
      </c>
      <c r="O126" s="20" t="str" cm="1">
        <f t="array" aca="1" ref="O126" ca="1">IF(N126="","",IF(N126&lt;&gt;N125,1,IF(O125=misLíneas-2,0,O125+1)))</f>
        <v/>
      </c>
      <c r="P126" s="20" t="str" cm="1">
        <f t="array" aca="1" ref="P126" ca="1">IF(OR(O126=0,O126=""),"",INDEX(misCriticidades,N126)&amp;"-"&amp;IFERROR(MATCH(O126,miOrdenTarjeta,0),0))</f>
        <v/>
      </c>
      <c r="R126" s="20">
        <f t="shared" ca="1" si="38"/>
        <v>13</v>
      </c>
      <c r="S126" s="20">
        <f t="shared" ca="1" si="49"/>
        <v>17</v>
      </c>
      <c r="T126" s="20" cm="1">
        <f t="array" aca="1" ref="T126" ca="1">IF(S126="","",IF(S126&lt;&gt;S125,1,IF(T125=misLíneas-2,0,T125+1)))</f>
        <v>4</v>
      </c>
      <c r="U126" s="20" t="str" cm="1">
        <f t="array" aca="1" ref="U126" ca="1">IF(OR(T126=0,T126=""),"",INDEX(misCriticidades,S126)&amp;"-"&amp;IFERROR(MATCH(T126,miOrdenTarjeta,0),0))</f>
        <v>1-4</v>
      </c>
      <c r="W126" s="20">
        <f t="shared" ca="1" si="39"/>
        <v>1</v>
      </c>
      <c r="X126" s="20" t="str">
        <f t="shared" ca="1" si="50"/>
        <v/>
      </c>
      <c r="Y126" s="20" t="str" cm="1">
        <f t="array" aca="1" ref="Y126" ca="1">IF(X126="","",IF(X126&lt;&gt;X125,1,IF(Y125=misLíneas-2,0,Y125+1)))</f>
        <v/>
      </c>
      <c r="Z126" s="20" t="str" cm="1">
        <f t="array" aca="1" ref="Z126" ca="1">IF(OR(Y126=0,Y126=""),"",INDEX(misCriticidades,X126)&amp;"-"&amp;IFERROR(MATCH(Y126,miOrdenTarjeta,0),0))</f>
        <v/>
      </c>
      <c r="AB126" s="20">
        <f t="shared" ca="1" si="40"/>
        <v>1</v>
      </c>
      <c r="AC126" s="20" t="str">
        <f t="shared" ca="1" si="31"/>
        <v/>
      </c>
      <c r="AD126" s="20" t="str" cm="1">
        <f t="array" aca="1" ref="AD126" ca="1">IF(AC126="","",IF(AC126&lt;&gt;AC125,1,IF(AD125=misLíneas-2,0,AD125+1)))</f>
        <v/>
      </c>
      <c r="AE126" s="20" t="str" cm="1">
        <f t="array" aca="1" ref="AE126" ca="1">IF(OR(AD126=0,AD126=""),"",INDEX(misCriticidades,AC126)&amp;"-"&amp;IFERROR(MATCH(AD126,miOrdenTarjeta,0),0))</f>
        <v/>
      </c>
      <c r="AG126" s="20">
        <f t="shared" ca="1" si="41"/>
        <v>1</v>
      </c>
      <c r="AH126" s="20" t="str">
        <f t="shared" ca="1" si="32"/>
        <v/>
      </c>
      <c r="AI126" s="20" t="str" cm="1">
        <f t="array" aca="1" ref="AI126" ca="1">IF(AH126="","",IF(AH126&lt;&gt;AH125,1,IF(AI125=misLíneas-2,0,AI125+1)))</f>
        <v/>
      </c>
      <c r="AJ126" s="20" t="str" cm="1">
        <f t="array" aca="1" ref="AJ126" ca="1">IF(OR(AI126=0,AI126=""),"",INDEX(misCriticidades,AH126)&amp;"-"&amp;IFERROR(MATCH(AI126,miOrdenTarjeta,0),0))</f>
        <v/>
      </c>
      <c r="AL126" s="20">
        <f t="shared" ca="1" si="42"/>
        <v>1</v>
      </c>
      <c r="AM126" s="20" t="str">
        <f t="shared" ca="1" si="33"/>
        <v/>
      </c>
      <c r="AN126" s="20" t="str" cm="1">
        <f t="array" aca="1" ref="AN126" ca="1">IF(AM126="","",IF(AM126&lt;&gt;AM125,1,IF(AN125=misLíneas-2,0,AN125+1)))</f>
        <v/>
      </c>
      <c r="AO126" s="20" t="str" cm="1">
        <f t="array" aca="1" ref="AO126" ca="1">IF(OR(AN126=0,AN126=""),"",INDEX(misCriticidades,AM126)&amp;"-"&amp;IFERROR(MATCH(AN126,miOrdenTarjeta,0),0))</f>
        <v/>
      </c>
      <c r="AQ126" s="20">
        <f t="shared" ca="1" si="43"/>
        <v>1</v>
      </c>
      <c r="AR126" s="20" t="str">
        <f t="shared" ca="1" si="34"/>
        <v/>
      </c>
      <c r="AS126" s="20" t="str" cm="1">
        <f t="array" aca="1" ref="AS126" ca="1">IF(AR126="","",IF(AR126&lt;&gt;AR125,1,IF(AS125=misLíneas-2,0,AS125+1)))</f>
        <v/>
      </c>
      <c r="AT126" s="20" t="str" cm="1">
        <f t="array" aca="1" ref="AT126" ca="1">IF(OR(AS126=0,AS126=""),"",INDEX(misCriticidades,AR126)&amp;"-"&amp;IFERROR(MATCH(AS126,miOrdenTarjeta,0),0))</f>
        <v/>
      </c>
      <c r="AV126" s="20">
        <f t="shared" ca="1" si="44"/>
        <v>1</v>
      </c>
      <c r="AW126" s="20" t="str">
        <f t="shared" ca="1" si="35"/>
        <v/>
      </c>
      <c r="AX126" s="20" t="str" cm="1">
        <f t="array" aca="1" ref="AX126" ca="1">IF(AW126="","",IF(AW126&lt;&gt;AW125,1,IF(AX125=misLíneas-2,0,AX125+1)))</f>
        <v/>
      </c>
      <c r="AY126" s="20" t="str" cm="1">
        <f t="array" aca="1" ref="AY126" ca="1">IF(OR(AX126=0,AX126=""),"",INDEX(misCriticidades,AW126)&amp;"-"&amp;IFERROR(MATCH(AX126,miOrdenTarjeta,0),0))</f>
        <v/>
      </c>
    </row>
    <row r="127" spans="3:51" x14ac:dyDescent="0.25">
      <c r="C127" s="20">
        <f t="shared" ca="1" si="45"/>
        <v>1</v>
      </c>
      <c r="D127" s="20" t="str">
        <f t="shared" ca="1" si="46"/>
        <v/>
      </c>
      <c r="E127" s="20" t="str" cm="1">
        <f t="array" aca="1" ref="E127" ca="1">IF(D127="","",IF(D127&lt;&gt;D126,1,IF(E126=misLíneas-2,0,E126+1)))</f>
        <v/>
      </c>
      <c r="F127" s="20" t="str" cm="1">
        <f t="array" aca="1" ref="F127" ca="1">IF(OR(E127=0,E127=""),"",INDEX(misCriticidades,D127)&amp;"-"&amp;IFERROR(MATCH(E127,miOrdenTarjeta,0),0))</f>
        <v/>
      </c>
      <c r="H127" s="20">
        <f t="shared" ca="1" si="36"/>
        <v>7</v>
      </c>
      <c r="I127" s="20" t="str">
        <f t="shared" ca="1" si="47"/>
        <v/>
      </c>
      <c r="J127" s="20" t="str" cm="1">
        <f t="array" aca="1" ref="J127" ca="1">IF(I127="","",IF(I127&lt;&gt;I126,1,IF(J126=misLíneas-2,0,J126+1)))</f>
        <v/>
      </c>
      <c r="K127" s="20" t="str" cm="1">
        <f t="array" aca="1" ref="K127" ca="1">IF(OR(J127=0,J127=""),"",INDEX(misCriticidades,I127)&amp;"-"&amp;IFERROR(MATCH(J127,miOrdenTarjeta,0),0))</f>
        <v/>
      </c>
      <c r="M127" s="20">
        <f t="shared" ca="1" si="37"/>
        <v>1</v>
      </c>
      <c r="N127" s="20" t="str">
        <f t="shared" ca="1" si="48"/>
        <v/>
      </c>
      <c r="O127" s="20" t="str" cm="1">
        <f t="array" aca="1" ref="O127" ca="1">IF(N127="","",IF(N127&lt;&gt;N126,1,IF(O126=misLíneas-2,0,O126+1)))</f>
        <v/>
      </c>
      <c r="P127" s="20" t="str" cm="1">
        <f t="array" aca="1" ref="P127" ca="1">IF(OR(O127=0,O127=""),"",INDEX(misCriticidades,N127)&amp;"-"&amp;IFERROR(MATCH(O127,miOrdenTarjeta,0),0))</f>
        <v/>
      </c>
      <c r="R127" s="20">
        <f t="shared" ca="1" si="38"/>
        <v>13</v>
      </c>
      <c r="S127" s="20">
        <f t="shared" ca="1" si="49"/>
        <v>17</v>
      </c>
      <c r="T127" s="20" cm="1">
        <f t="array" aca="1" ref="T127" ca="1">IF(S127="","",IF(S127&lt;&gt;S126,1,IF(T126=misLíneas-2,0,T126+1)))</f>
        <v>5</v>
      </c>
      <c r="U127" s="20" t="str" cm="1">
        <f t="array" aca="1" ref="U127" ca="1">IF(OR(T127=0,T127=""),"",INDEX(misCriticidades,S127)&amp;"-"&amp;IFERROR(MATCH(T127,miOrdenTarjeta,0),0))</f>
        <v>1-5</v>
      </c>
      <c r="W127" s="20">
        <f t="shared" ca="1" si="39"/>
        <v>1</v>
      </c>
      <c r="X127" s="20" t="str">
        <f t="shared" ca="1" si="50"/>
        <v/>
      </c>
      <c r="Y127" s="20" t="str" cm="1">
        <f t="array" aca="1" ref="Y127" ca="1">IF(X127="","",IF(X127&lt;&gt;X126,1,IF(Y126=misLíneas-2,0,Y126+1)))</f>
        <v/>
      </c>
      <c r="Z127" s="20" t="str" cm="1">
        <f t="array" aca="1" ref="Z127" ca="1">IF(OR(Y127=0,Y127=""),"",INDEX(misCriticidades,X127)&amp;"-"&amp;IFERROR(MATCH(Y127,miOrdenTarjeta,0),0))</f>
        <v/>
      </c>
      <c r="AB127" s="20">
        <f t="shared" ca="1" si="40"/>
        <v>1</v>
      </c>
      <c r="AC127" s="20" t="str">
        <f t="shared" ca="1" si="31"/>
        <v/>
      </c>
      <c r="AD127" s="20" t="str" cm="1">
        <f t="array" aca="1" ref="AD127" ca="1">IF(AC127="","",IF(AC127&lt;&gt;AC126,1,IF(AD126=misLíneas-2,0,AD126+1)))</f>
        <v/>
      </c>
      <c r="AE127" s="20" t="str" cm="1">
        <f t="array" aca="1" ref="AE127" ca="1">IF(OR(AD127=0,AD127=""),"",INDEX(misCriticidades,AC127)&amp;"-"&amp;IFERROR(MATCH(AD127,miOrdenTarjeta,0),0))</f>
        <v/>
      </c>
      <c r="AG127" s="20">
        <f t="shared" ca="1" si="41"/>
        <v>1</v>
      </c>
      <c r="AH127" s="20" t="str">
        <f t="shared" ca="1" si="32"/>
        <v/>
      </c>
      <c r="AI127" s="20" t="str" cm="1">
        <f t="array" aca="1" ref="AI127" ca="1">IF(AH127="","",IF(AH127&lt;&gt;AH126,1,IF(AI126=misLíneas-2,0,AI126+1)))</f>
        <v/>
      </c>
      <c r="AJ127" s="20" t="str" cm="1">
        <f t="array" aca="1" ref="AJ127" ca="1">IF(OR(AI127=0,AI127=""),"",INDEX(misCriticidades,AH127)&amp;"-"&amp;IFERROR(MATCH(AI127,miOrdenTarjeta,0),0))</f>
        <v/>
      </c>
      <c r="AL127" s="20">
        <f t="shared" ca="1" si="42"/>
        <v>1</v>
      </c>
      <c r="AM127" s="20" t="str">
        <f t="shared" ca="1" si="33"/>
        <v/>
      </c>
      <c r="AN127" s="20" t="str" cm="1">
        <f t="array" aca="1" ref="AN127" ca="1">IF(AM127="","",IF(AM127&lt;&gt;AM126,1,IF(AN126=misLíneas-2,0,AN126+1)))</f>
        <v/>
      </c>
      <c r="AO127" s="20" t="str" cm="1">
        <f t="array" aca="1" ref="AO127" ca="1">IF(OR(AN127=0,AN127=""),"",INDEX(misCriticidades,AM127)&amp;"-"&amp;IFERROR(MATCH(AN127,miOrdenTarjeta,0),0))</f>
        <v/>
      </c>
      <c r="AQ127" s="20">
        <f t="shared" ca="1" si="43"/>
        <v>1</v>
      </c>
      <c r="AR127" s="20" t="str">
        <f t="shared" ca="1" si="34"/>
        <v/>
      </c>
      <c r="AS127" s="20" t="str" cm="1">
        <f t="array" aca="1" ref="AS127" ca="1">IF(AR127="","",IF(AR127&lt;&gt;AR126,1,IF(AS126=misLíneas-2,0,AS126+1)))</f>
        <v/>
      </c>
      <c r="AT127" s="20" t="str" cm="1">
        <f t="array" aca="1" ref="AT127" ca="1">IF(OR(AS127=0,AS127=""),"",INDEX(misCriticidades,AR127)&amp;"-"&amp;IFERROR(MATCH(AS127,miOrdenTarjeta,0),0))</f>
        <v/>
      </c>
      <c r="AV127" s="20">
        <f t="shared" ca="1" si="44"/>
        <v>1</v>
      </c>
      <c r="AW127" s="20" t="str">
        <f t="shared" ca="1" si="35"/>
        <v/>
      </c>
      <c r="AX127" s="20" t="str" cm="1">
        <f t="array" aca="1" ref="AX127" ca="1">IF(AW127="","",IF(AW127&lt;&gt;AW126,1,IF(AX126=misLíneas-2,0,AX126+1)))</f>
        <v/>
      </c>
      <c r="AY127" s="20" t="str" cm="1">
        <f t="array" aca="1" ref="AY127" ca="1">IF(OR(AX127=0,AX127=""),"",INDEX(misCriticidades,AW127)&amp;"-"&amp;IFERROR(MATCH(AX127,miOrdenTarjeta,0),0))</f>
        <v/>
      </c>
    </row>
    <row r="128" spans="3:51" x14ac:dyDescent="0.25">
      <c r="C128" s="20">
        <f t="shared" ca="1" si="45"/>
        <v>1</v>
      </c>
      <c r="D128" s="20" t="str">
        <f t="shared" ca="1" si="46"/>
        <v/>
      </c>
      <c r="E128" s="20" t="str" cm="1">
        <f t="array" aca="1" ref="E128" ca="1">IF(D128="","",IF(D128&lt;&gt;D127,1,IF(E127=misLíneas-2,0,E127+1)))</f>
        <v/>
      </c>
      <c r="F128" s="20" t="str" cm="1">
        <f t="array" aca="1" ref="F128" ca="1">IF(OR(E128=0,E128=""),"",INDEX(misCriticidades,D128)&amp;"-"&amp;IFERROR(MATCH(E128,miOrdenTarjeta,0),0))</f>
        <v/>
      </c>
      <c r="H128" s="20">
        <f t="shared" ca="1" si="36"/>
        <v>7</v>
      </c>
      <c r="I128" s="20" t="str">
        <f t="shared" ca="1" si="47"/>
        <v/>
      </c>
      <c r="J128" s="20" t="str" cm="1">
        <f t="array" aca="1" ref="J128" ca="1">IF(I128="","",IF(I128&lt;&gt;I127,1,IF(J127=misLíneas-2,0,J127+1)))</f>
        <v/>
      </c>
      <c r="K128" s="20" t="str" cm="1">
        <f t="array" aca="1" ref="K128" ca="1">IF(OR(J128=0,J128=""),"",INDEX(misCriticidades,I128)&amp;"-"&amp;IFERROR(MATCH(J128,miOrdenTarjeta,0),0))</f>
        <v/>
      </c>
      <c r="M128" s="20">
        <f t="shared" ca="1" si="37"/>
        <v>1</v>
      </c>
      <c r="N128" s="20" t="str">
        <f t="shared" ca="1" si="48"/>
        <v/>
      </c>
      <c r="O128" s="20" t="str" cm="1">
        <f t="array" aca="1" ref="O128" ca="1">IF(N128="","",IF(N128&lt;&gt;N127,1,IF(O127=misLíneas-2,0,O127+1)))</f>
        <v/>
      </c>
      <c r="P128" s="20" t="str" cm="1">
        <f t="array" aca="1" ref="P128" ca="1">IF(OR(O128=0,O128=""),"",INDEX(misCriticidades,N128)&amp;"-"&amp;IFERROR(MATCH(O128,miOrdenTarjeta,0),0))</f>
        <v/>
      </c>
      <c r="R128" s="20">
        <f t="shared" ca="1" si="38"/>
        <v>13</v>
      </c>
      <c r="S128" s="20">
        <f t="shared" ca="1" si="49"/>
        <v>17</v>
      </c>
      <c r="T128" s="20" cm="1">
        <f t="array" aca="1" ref="T128" ca="1">IF(S128="","",IF(S128&lt;&gt;S127,1,IF(T127=misLíneas-2,0,T127+1)))</f>
        <v>6</v>
      </c>
      <c r="U128" s="20" t="str" cm="1">
        <f t="array" aca="1" ref="U128" ca="1">IF(OR(T128=0,T128=""),"",INDEX(misCriticidades,S128)&amp;"-"&amp;IFERROR(MATCH(T128,miOrdenTarjeta,0),0))</f>
        <v>1-6</v>
      </c>
      <c r="W128" s="20">
        <f t="shared" ca="1" si="39"/>
        <v>1</v>
      </c>
      <c r="X128" s="20" t="str">
        <f t="shared" ca="1" si="50"/>
        <v/>
      </c>
      <c r="Y128" s="20" t="str" cm="1">
        <f t="array" aca="1" ref="Y128" ca="1">IF(X128="","",IF(X128&lt;&gt;X127,1,IF(Y127=misLíneas-2,0,Y127+1)))</f>
        <v/>
      </c>
      <c r="Z128" s="20" t="str" cm="1">
        <f t="array" aca="1" ref="Z128" ca="1">IF(OR(Y128=0,Y128=""),"",INDEX(misCriticidades,X128)&amp;"-"&amp;IFERROR(MATCH(Y128,miOrdenTarjeta,0),0))</f>
        <v/>
      </c>
      <c r="AB128" s="20">
        <f t="shared" ca="1" si="40"/>
        <v>1</v>
      </c>
      <c r="AC128" s="20" t="str">
        <f t="shared" ca="1" si="31"/>
        <v/>
      </c>
      <c r="AD128" s="20" t="str" cm="1">
        <f t="array" aca="1" ref="AD128" ca="1">IF(AC128="","",IF(AC128&lt;&gt;AC127,1,IF(AD127=misLíneas-2,0,AD127+1)))</f>
        <v/>
      </c>
      <c r="AE128" s="20" t="str" cm="1">
        <f t="array" aca="1" ref="AE128" ca="1">IF(OR(AD128=0,AD128=""),"",INDEX(misCriticidades,AC128)&amp;"-"&amp;IFERROR(MATCH(AD128,miOrdenTarjeta,0),0))</f>
        <v/>
      </c>
      <c r="AG128" s="20">
        <f t="shared" ca="1" si="41"/>
        <v>1</v>
      </c>
      <c r="AH128" s="20" t="str">
        <f t="shared" ca="1" si="32"/>
        <v/>
      </c>
      <c r="AI128" s="20" t="str" cm="1">
        <f t="array" aca="1" ref="AI128" ca="1">IF(AH128="","",IF(AH128&lt;&gt;AH127,1,IF(AI127=misLíneas-2,0,AI127+1)))</f>
        <v/>
      </c>
      <c r="AJ128" s="20" t="str" cm="1">
        <f t="array" aca="1" ref="AJ128" ca="1">IF(OR(AI128=0,AI128=""),"",INDEX(misCriticidades,AH128)&amp;"-"&amp;IFERROR(MATCH(AI128,miOrdenTarjeta,0),0))</f>
        <v/>
      </c>
      <c r="AL128" s="20">
        <f t="shared" ca="1" si="42"/>
        <v>1</v>
      </c>
      <c r="AM128" s="20" t="str">
        <f t="shared" ca="1" si="33"/>
        <v/>
      </c>
      <c r="AN128" s="20" t="str" cm="1">
        <f t="array" aca="1" ref="AN128" ca="1">IF(AM128="","",IF(AM128&lt;&gt;AM127,1,IF(AN127=misLíneas-2,0,AN127+1)))</f>
        <v/>
      </c>
      <c r="AO128" s="20" t="str" cm="1">
        <f t="array" aca="1" ref="AO128" ca="1">IF(OR(AN128=0,AN128=""),"",INDEX(misCriticidades,AM128)&amp;"-"&amp;IFERROR(MATCH(AN128,miOrdenTarjeta,0),0))</f>
        <v/>
      </c>
      <c r="AQ128" s="20">
        <f t="shared" ca="1" si="43"/>
        <v>1</v>
      </c>
      <c r="AR128" s="20" t="str">
        <f t="shared" ca="1" si="34"/>
        <v/>
      </c>
      <c r="AS128" s="20" t="str" cm="1">
        <f t="array" aca="1" ref="AS128" ca="1">IF(AR128="","",IF(AR128&lt;&gt;AR127,1,IF(AS127=misLíneas-2,0,AS127+1)))</f>
        <v/>
      </c>
      <c r="AT128" s="20" t="str" cm="1">
        <f t="array" aca="1" ref="AT128" ca="1">IF(OR(AS128=0,AS128=""),"",INDEX(misCriticidades,AR128)&amp;"-"&amp;IFERROR(MATCH(AS128,miOrdenTarjeta,0),0))</f>
        <v/>
      </c>
      <c r="AV128" s="20">
        <f t="shared" ca="1" si="44"/>
        <v>1</v>
      </c>
      <c r="AW128" s="20" t="str">
        <f t="shared" ca="1" si="35"/>
        <v/>
      </c>
      <c r="AX128" s="20" t="str" cm="1">
        <f t="array" aca="1" ref="AX128" ca="1">IF(AW128="","",IF(AW128&lt;&gt;AW127,1,IF(AX127=misLíneas-2,0,AX127+1)))</f>
        <v/>
      </c>
      <c r="AY128" s="20" t="str" cm="1">
        <f t="array" aca="1" ref="AY128" ca="1">IF(OR(AX128=0,AX128=""),"",INDEX(misCriticidades,AW128)&amp;"-"&amp;IFERROR(MATCH(AX128,miOrdenTarjeta,0),0))</f>
        <v/>
      </c>
    </row>
    <row r="129" spans="3:51" x14ac:dyDescent="0.25">
      <c r="C129" s="20">
        <f t="shared" ca="1" si="45"/>
        <v>1</v>
      </c>
      <c r="D129" s="20" t="str">
        <f t="shared" ca="1" si="46"/>
        <v/>
      </c>
      <c r="E129" s="20" t="str" cm="1">
        <f t="array" aca="1" ref="E129" ca="1">IF(D129="","",IF(D129&lt;&gt;D128,1,IF(E128=misLíneas-2,0,E128+1)))</f>
        <v/>
      </c>
      <c r="F129" s="20" t="str" cm="1">
        <f t="array" aca="1" ref="F129" ca="1">IF(OR(E129=0,E129=""),"",INDEX(misCriticidades,D129)&amp;"-"&amp;IFERROR(MATCH(E129,miOrdenTarjeta,0),0))</f>
        <v/>
      </c>
      <c r="H129" s="20">
        <f t="shared" ca="1" si="36"/>
        <v>7</v>
      </c>
      <c r="I129" s="20" t="str">
        <f t="shared" ca="1" si="47"/>
        <v/>
      </c>
      <c r="J129" s="20" t="str" cm="1">
        <f t="array" aca="1" ref="J129" ca="1">IF(I129="","",IF(I129&lt;&gt;I128,1,IF(J128=misLíneas-2,0,J128+1)))</f>
        <v/>
      </c>
      <c r="K129" s="20" t="str" cm="1">
        <f t="array" aca="1" ref="K129" ca="1">IF(OR(J129=0,J129=""),"",INDEX(misCriticidades,I129)&amp;"-"&amp;IFERROR(MATCH(J129,miOrdenTarjeta,0),0))</f>
        <v/>
      </c>
      <c r="M129" s="20">
        <f t="shared" ca="1" si="37"/>
        <v>1</v>
      </c>
      <c r="N129" s="20" t="str">
        <f t="shared" ca="1" si="48"/>
        <v/>
      </c>
      <c r="O129" s="20" t="str" cm="1">
        <f t="array" aca="1" ref="O129" ca="1">IF(N129="","",IF(N129&lt;&gt;N128,1,IF(O128=misLíneas-2,0,O128+1)))</f>
        <v/>
      </c>
      <c r="P129" s="20" t="str" cm="1">
        <f t="array" aca="1" ref="P129" ca="1">IF(OR(O129=0,O129=""),"",INDEX(misCriticidades,N129)&amp;"-"&amp;IFERROR(MATCH(O129,miOrdenTarjeta,0),0))</f>
        <v/>
      </c>
      <c r="R129" s="20">
        <f t="shared" ca="1" si="38"/>
        <v>13</v>
      </c>
      <c r="S129" s="20">
        <f t="shared" ca="1" si="49"/>
        <v>17</v>
      </c>
      <c r="T129" s="20" cm="1">
        <f t="array" aca="1" ref="T129" ca="1">IF(S129="","",IF(S129&lt;&gt;S128,1,IF(T128=misLíneas-2,0,T128+1)))</f>
        <v>7</v>
      </c>
      <c r="U129" s="20" t="str" cm="1">
        <f t="array" aca="1" ref="U129" ca="1">IF(OR(T129=0,T129=""),"",INDEX(misCriticidades,S129)&amp;"-"&amp;IFERROR(MATCH(T129,miOrdenTarjeta,0),0))</f>
        <v>1-7</v>
      </c>
      <c r="W129" s="20">
        <f t="shared" ca="1" si="39"/>
        <v>1</v>
      </c>
      <c r="X129" s="20" t="str">
        <f t="shared" ca="1" si="50"/>
        <v/>
      </c>
      <c r="Y129" s="20" t="str" cm="1">
        <f t="array" aca="1" ref="Y129" ca="1">IF(X129="","",IF(X129&lt;&gt;X128,1,IF(Y128=misLíneas-2,0,Y128+1)))</f>
        <v/>
      </c>
      <c r="Z129" s="20" t="str" cm="1">
        <f t="array" aca="1" ref="Z129" ca="1">IF(OR(Y129=0,Y129=""),"",INDEX(misCriticidades,X129)&amp;"-"&amp;IFERROR(MATCH(Y129,miOrdenTarjeta,0),0))</f>
        <v/>
      </c>
      <c r="AB129" s="20">
        <f t="shared" ca="1" si="40"/>
        <v>1</v>
      </c>
      <c r="AC129" s="20" t="str">
        <f t="shared" ca="1" si="31"/>
        <v/>
      </c>
      <c r="AD129" s="20" t="str" cm="1">
        <f t="array" aca="1" ref="AD129" ca="1">IF(AC129="","",IF(AC129&lt;&gt;AC128,1,IF(AD128=misLíneas-2,0,AD128+1)))</f>
        <v/>
      </c>
      <c r="AE129" s="20" t="str" cm="1">
        <f t="array" aca="1" ref="AE129" ca="1">IF(OR(AD129=0,AD129=""),"",INDEX(misCriticidades,AC129)&amp;"-"&amp;IFERROR(MATCH(AD129,miOrdenTarjeta,0),0))</f>
        <v/>
      </c>
      <c r="AG129" s="20">
        <f t="shared" ca="1" si="41"/>
        <v>1</v>
      </c>
      <c r="AH129" s="20" t="str">
        <f t="shared" ca="1" si="32"/>
        <v/>
      </c>
      <c r="AI129" s="20" t="str" cm="1">
        <f t="array" aca="1" ref="AI129" ca="1">IF(AH129="","",IF(AH129&lt;&gt;AH128,1,IF(AI128=misLíneas-2,0,AI128+1)))</f>
        <v/>
      </c>
      <c r="AJ129" s="20" t="str" cm="1">
        <f t="array" aca="1" ref="AJ129" ca="1">IF(OR(AI129=0,AI129=""),"",INDEX(misCriticidades,AH129)&amp;"-"&amp;IFERROR(MATCH(AI129,miOrdenTarjeta,0),0))</f>
        <v/>
      </c>
      <c r="AL129" s="20">
        <f t="shared" ca="1" si="42"/>
        <v>1</v>
      </c>
      <c r="AM129" s="20" t="str">
        <f t="shared" ca="1" si="33"/>
        <v/>
      </c>
      <c r="AN129" s="20" t="str" cm="1">
        <f t="array" aca="1" ref="AN129" ca="1">IF(AM129="","",IF(AM129&lt;&gt;AM128,1,IF(AN128=misLíneas-2,0,AN128+1)))</f>
        <v/>
      </c>
      <c r="AO129" s="20" t="str" cm="1">
        <f t="array" aca="1" ref="AO129" ca="1">IF(OR(AN129=0,AN129=""),"",INDEX(misCriticidades,AM129)&amp;"-"&amp;IFERROR(MATCH(AN129,miOrdenTarjeta,0),0))</f>
        <v/>
      </c>
      <c r="AQ129" s="20">
        <f t="shared" ca="1" si="43"/>
        <v>1</v>
      </c>
      <c r="AR129" s="20" t="str">
        <f t="shared" ca="1" si="34"/>
        <v/>
      </c>
      <c r="AS129" s="20" t="str" cm="1">
        <f t="array" aca="1" ref="AS129" ca="1">IF(AR129="","",IF(AR129&lt;&gt;AR128,1,IF(AS128=misLíneas-2,0,AS128+1)))</f>
        <v/>
      </c>
      <c r="AT129" s="20" t="str" cm="1">
        <f t="array" aca="1" ref="AT129" ca="1">IF(OR(AS129=0,AS129=""),"",INDEX(misCriticidades,AR129)&amp;"-"&amp;IFERROR(MATCH(AS129,miOrdenTarjeta,0),0))</f>
        <v/>
      </c>
      <c r="AV129" s="20">
        <f t="shared" ca="1" si="44"/>
        <v>1</v>
      </c>
      <c r="AW129" s="20" t="str">
        <f t="shared" ca="1" si="35"/>
        <v/>
      </c>
      <c r="AX129" s="20" t="str" cm="1">
        <f t="array" aca="1" ref="AX129" ca="1">IF(AW129="","",IF(AW129&lt;&gt;AW128,1,IF(AX128=misLíneas-2,0,AX128+1)))</f>
        <v/>
      </c>
      <c r="AY129" s="20" t="str" cm="1">
        <f t="array" aca="1" ref="AY129" ca="1">IF(OR(AX129=0,AX129=""),"",INDEX(misCriticidades,AW129)&amp;"-"&amp;IFERROR(MATCH(AX129,miOrdenTarjeta,0),0))</f>
        <v/>
      </c>
    </row>
    <row r="130" spans="3:51" x14ac:dyDescent="0.25">
      <c r="C130" s="20">
        <f t="shared" ca="1" si="45"/>
        <v>1</v>
      </c>
      <c r="D130" s="20" t="str">
        <f t="shared" ca="1" si="46"/>
        <v/>
      </c>
      <c r="E130" s="20" t="str" cm="1">
        <f t="array" aca="1" ref="E130" ca="1">IF(D130="","",IF(D130&lt;&gt;D129,1,IF(E129=misLíneas-2,0,E129+1)))</f>
        <v/>
      </c>
      <c r="F130" s="20" t="str" cm="1">
        <f t="array" aca="1" ref="F130" ca="1">IF(OR(E130=0,E130=""),"",INDEX(misCriticidades,D130)&amp;"-"&amp;IFERROR(MATCH(E130,miOrdenTarjeta,0),0))</f>
        <v/>
      </c>
      <c r="H130" s="20">
        <f t="shared" ca="1" si="36"/>
        <v>7</v>
      </c>
      <c r="I130" s="20" t="str">
        <f t="shared" ca="1" si="47"/>
        <v/>
      </c>
      <c r="J130" s="20" t="str" cm="1">
        <f t="array" aca="1" ref="J130" ca="1">IF(I130="","",IF(I130&lt;&gt;I129,1,IF(J129=misLíneas-2,0,J129+1)))</f>
        <v/>
      </c>
      <c r="K130" s="20" t="str" cm="1">
        <f t="array" aca="1" ref="K130" ca="1">IF(OR(J130=0,J130=""),"",INDEX(misCriticidades,I130)&amp;"-"&amp;IFERROR(MATCH(J130,miOrdenTarjeta,0),0))</f>
        <v/>
      </c>
      <c r="M130" s="20">
        <f t="shared" ca="1" si="37"/>
        <v>1</v>
      </c>
      <c r="N130" s="20" t="str">
        <f t="shared" ca="1" si="48"/>
        <v/>
      </c>
      <c r="O130" s="20" t="str" cm="1">
        <f t="array" aca="1" ref="O130" ca="1">IF(N130="","",IF(N130&lt;&gt;N129,1,IF(O129=misLíneas-2,0,O129+1)))</f>
        <v/>
      </c>
      <c r="P130" s="20" t="str" cm="1">
        <f t="array" aca="1" ref="P130" ca="1">IF(OR(O130=0,O130=""),"",INDEX(misCriticidades,N130)&amp;"-"&amp;IFERROR(MATCH(O130,miOrdenTarjeta,0),0))</f>
        <v/>
      </c>
      <c r="R130" s="20">
        <f t="shared" ca="1" si="38"/>
        <v>13</v>
      </c>
      <c r="S130" s="20">
        <f t="shared" ca="1" si="49"/>
        <v>17</v>
      </c>
      <c r="T130" s="20" cm="1">
        <f t="array" aca="1" ref="T130" ca="1">IF(S130="","",IF(S130&lt;&gt;S129,1,IF(T129=misLíneas-2,0,T129+1)))</f>
        <v>8</v>
      </c>
      <c r="U130" s="20" t="str" cm="1">
        <f t="array" aca="1" ref="U130" ca="1">IF(OR(T130=0,T130=""),"",INDEX(misCriticidades,S130)&amp;"-"&amp;IFERROR(MATCH(T130,miOrdenTarjeta,0),0))</f>
        <v>1-8</v>
      </c>
      <c r="W130" s="20">
        <f t="shared" ca="1" si="39"/>
        <v>1</v>
      </c>
      <c r="X130" s="20" t="str">
        <f t="shared" ca="1" si="50"/>
        <v/>
      </c>
      <c r="Y130" s="20" t="str" cm="1">
        <f t="array" aca="1" ref="Y130" ca="1">IF(X130="","",IF(X130&lt;&gt;X129,1,IF(Y129=misLíneas-2,0,Y129+1)))</f>
        <v/>
      </c>
      <c r="Z130" s="20" t="str" cm="1">
        <f t="array" aca="1" ref="Z130" ca="1">IF(OR(Y130=0,Y130=""),"",INDEX(misCriticidades,X130)&amp;"-"&amp;IFERROR(MATCH(Y130,miOrdenTarjeta,0),0))</f>
        <v/>
      </c>
      <c r="AB130" s="20">
        <f t="shared" ca="1" si="40"/>
        <v>1</v>
      </c>
      <c r="AC130" s="20" t="str">
        <f t="shared" ca="1" si="31"/>
        <v/>
      </c>
      <c r="AD130" s="20" t="str" cm="1">
        <f t="array" aca="1" ref="AD130" ca="1">IF(AC130="","",IF(AC130&lt;&gt;AC129,1,IF(AD129=misLíneas-2,0,AD129+1)))</f>
        <v/>
      </c>
      <c r="AE130" s="20" t="str" cm="1">
        <f t="array" aca="1" ref="AE130" ca="1">IF(OR(AD130=0,AD130=""),"",INDEX(misCriticidades,AC130)&amp;"-"&amp;IFERROR(MATCH(AD130,miOrdenTarjeta,0),0))</f>
        <v/>
      </c>
      <c r="AG130" s="20">
        <f t="shared" ca="1" si="41"/>
        <v>1</v>
      </c>
      <c r="AH130" s="20" t="str">
        <f t="shared" ca="1" si="32"/>
        <v/>
      </c>
      <c r="AI130" s="20" t="str" cm="1">
        <f t="array" aca="1" ref="AI130" ca="1">IF(AH130="","",IF(AH130&lt;&gt;AH129,1,IF(AI129=misLíneas-2,0,AI129+1)))</f>
        <v/>
      </c>
      <c r="AJ130" s="20" t="str" cm="1">
        <f t="array" aca="1" ref="AJ130" ca="1">IF(OR(AI130=0,AI130=""),"",INDEX(misCriticidades,AH130)&amp;"-"&amp;IFERROR(MATCH(AI130,miOrdenTarjeta,0),0))</f>
        <v/>
      </c>
      <c r="AL130" s="20">
        <f t="shared" ca="1" si="42"/>
        <v>1</v>
      </c>
      <c r="AM130" s="20" t="str">
        <f t="shared" ca="1" si="33"/>
        <v/>
      </c>
      <c r="AN130" s="20" t="str" cm="1">
        <f t="array" aca="1" ref="AN130" ca="1">IF(AM130="","",IF(AM130&lt;&gt;AM129,1,IF(AN129=misLíneas-2,0,AN129+1)))</f>
        <v/>
      </c>
      <c r="AO130" s="20" t="str" cm="1">
        <f t="array" aca="1" ref="AO130" ca="1">IF(OR(AN130=0,AN130=""),"",INDEX(misCriticidades,AM130)&amp;"-"&amp;IFERROR(MATCH(AN130,miOrdenTarjeta,0),0))</f>
        <v/>
      </c>
      <c r="AQ130" s="20">
        <f t="shared" ca="1" si="43"/>
        <v>1</v>
      </c>
      <c r="AR130" s="20" t="str">
        <f t="shared" ca="1" si="34"/>
        <v/>
      </c>
      <c r="AS130" s="20" t="str" cm="1">
        <f t="array" aca="1" ref="AS130" ca="1">IF(AR130="","",IF(AR130&lt;&gt;AR129,1,IF(AS129=misLíneas-2,0,AS129+1)))</f>
        <v/>
      </c>
      <c r="AT130" s="20" t="str" cm="1">
        <f t="array" aca="1" ref="AT130" ca="1">IF(OR(AS130=0,AS130=""),"",INDEX(misCriticidades,AR130)&amp;"-"&amp;IFERROR(MATCH(AS130,miOrdenTarjeta,0),0))</f>
        <v/>
      </c>
      <c r="AV130" s="20">
        <f t="shared" ca="1" si="44"/>
        <v>1</v>
      </c>
      <c r="AW130" s="20" t="str">
        <f t="shared" ca="1" si="35"/>
        <v/>
      </c>
      <c r="AX130" s="20" t="str" cm="1">
        <f t="array" aca="1" ref="AX130" ca="1">IF(AW130="","",IF(AW130&lt;&gt;AW129,1,IF(AX129=misLíneas-2,0,AX129+1)))</f>
        <v/>
      </c>
      <c r="AY130" s="20" t="str" cm="1">
        <f t="array" aca="1" ref="AY130" ca="1">IF(OR(AX130=0,AX130=""),"",INDEX(misCriticidades,AW130)&amp;"-"&amp;IFERROR(MATCH(AX130,miOrdenTarjeta,0),0))</f>
        <v/>
      </c>
    </row>
    <row r="131" spans="3:51" x14ac:dyDescent="0.25">
      <c r="C131" s="20">
        <f t="shared" ca="1" si="45"/>
        <v>1</v>
      </c>
      <c r="D131" s="20" t="str">
        <f t="shared" ref="D131:D162" ca="1" si="51">IF(C131&gt;C130,IFERROR(IF(F$1="v",SMALL(B$2:B$101,C131),LARGE(B$2:B$101,C131)),""),D130)</f>
        <v/>
      </c>
      <c r="E131" s="20" t="str" cm="1">
        <f t="array" aca="1" ref="E131" ca="1">IF(D131="","",IF(D131&lt;&gt;D130,1,IF(E130=misLíneas-2,0,E130+1)))</f>
        <v/>
      </c>
      <c r="F131" s="20" t="str" cm="1">
        <f t="array" aca="1" ref="F131" ca="1">IF(OR(E131=0,E131=""),"",INDEX(misCriticidades,D131)&amp;"-"&amp;IFERROR(MATCH(E131,miOrdenTarjeta,0),0))</f>
        <v/>
      </c>
      <c r="H131" s="20">
        <f t="shared" ca="1" si="36"/>
        <v>7</v>
      </c>
      <c r="I131" s="20" t="str">
        <f t="shared" ref="I131:I162" ca="1" si="52">IF(H131&gt;H130,IFERROR(IF(K$1="v",SMALL(G$2:G$101,H131),LARGE(G$2:G$101,H131)),""),I130)</f>
        <v/>
      </c>
      <c r="J131" s="20" t="str" cm="1">
        <f t="array" aca="1" ref="J131" ca="1">IF(I131="","",IF(I131&lt;&gt;I130,1,IF(J130=misLíneas-2,0,J130+1)))</f>
        <v/>
      </c>
      <c r="K131" s="20" t="str" cm="1">
        <f t="array" aca="1" ref="K131" ca="1">IF(OR(J131=0,J131=""),"",INDEX(misCriticidades,I131)&amp;"-"&amp;IFERROR(MATCH(J131,miOrdenTarjeta,0),0))</f>
        <v/>
      </c>
      <c r="M131" s="20">
        <f t="shared" ca="1" si="37"/>
        <v>1</v>
      </c>
      <c r="N131" s="20" t="str">
        <f t="shared" ref="N131:N162" ca="1" si="53">IF(M131&gt;M130,IFERROR(IF(P$1="v",SMALL(L$2:L$101,M131),LARGE(L$2:L$101,M131)),""),N130)</f>
        <v/>
      </c>
      <c r="O131" s="20" t="str" cm="1">
        <f t="array" aca="1" ref="O131" ca="1">IF(N131="","",IF(N131&lt;&gt;N130,1,IF(O130=misLíneas-2,0,O130+1)))</f>
        <v/>
      </c>
      <c r="P131" s="20" t="str" cm="1">
        <f t="array" aca="1" ref="P131" ca="1">IF(OR(O131=0,O131=""),"",INDEX(misCriticidades,N131)&amp;"-"&amp;IFERROR(MATCH(O131,miOrdenTarjeta,0),0))</f>
        <v/>
      </c>
      <c r="R131" s="20">
        <f t="shared" ca="1" si="38"/>
        <v>13</v>
      </c>
      <c r="S131" s="20">
        <f t="shared" ref="S131:S162" ca="1" si="54">IF(R131&gt;R130,IFERROR(IF(U$1="v",SMALL(Q$2:Q$101,R131),LARGE(Q$2:Q$101,R131)),""),S130)</f>
        <v>17</v>
      </c>
      <c r="T131" s="20" cm="1">
        <f t="array" aca="1" ref="T131" ca="1">IF(S131="","",IF(S131&lt;&gt;S130,1,IF(T130=misLíneas-2,0,T130+1)))</f>
        <v>9</v>
      </c>
      <c r="U131" s="20" t="str" cm="1">
        <f t="array" aca="1" ref="U131" ca="1">IF(OR(T131=0,T131=""),"",INDEX(misCriticidades,S131)&amp;"-"&amp;IFERROR(MATCH(T131,miOrdenTarjeta,0),0))</f>
        <v>1-0</v>
      </c>
      <c r="W131" s="20">
        <f t="shared" ca="1" si="39"/>
        <v>1</v>
      </c>
      <c r="X131" s="20" t="str">
        <f t="shared" ref="X131:X162" ca="1" si="55">IF(W131&gt;W130,IFERROR(IF(Z$1="v",SMALL(V$2:V$101,W131),LARGE(V$2:V$101,W131)),""),X130)</f>
        <v/>
      </c>
      <c r="Y131" s="20" t="str" cm="1">
        <f t="array" aca="1" ref="Y131" ca="1">IF(X131="","",IF(X131&lt;&gt;X130,1,IF(Y130=misLíneas-2,0,Y130+1)))</f>
        <v/>
      </c>
      <c r="Z131" s="20" t="str" cm="1">
        <f t="array" aca="1" ref="Z131" ca="1">IF(OR(Y131=0,Y131=""),"",INDEX(misCriticidades,X131)&amp;"-"&amp;IFERROR(MATCH(Y131,miOrdenTarjeta,0),0))</f>
        <v/>
      </c>
      <c r="AB131" s="20">
        <f t="shared" ca="1" si="40"/>
        <v>1</v>
      </c>
      <c r="AC131" s="20" t="str">
        <f t="shared" ref="AC131:AC194" ca="1" si="56">IF(AB131&gt;AB130,IFERROR(IF(AE$1="v",SMALL(AA$2:AA$101,AB131),LARGE(AA$2:AA$101,AB131)),""),AC130)</f>
        <v/>
      </c>
      <c r="AD131" s="20" t="str" cm="1">
        <f t="array" aca="1" ref="AD131" ca="1">IF(AC131="","",IF(AC131&lt;&gt;AC130,1,IF(AD130=misLíneas-2,0,AD130+1)))</f>
        <v/>
      </c>
      <c r="AE131" s="20" t="str" cm="1">
        <f t="array" aca="1" ref="AE131" ca="1">IF(OR(AD131=0,AD131=""),"",INDEX(misCriticidades,AC131)&amp;"-"&amp;IFERROR(MATCH(AD131,miOrdenTarjeta,0),0))</f>
        <v/>
      </c>
      <c r="AG131" s="20">
        <f t="shared" ca="1" si="41"/>
        <v>1</v>
      </c>
      <c r="AH131" s="20" t="str">
        <f t="shared" ref="AH131:AH194" ca="1" si="57">IF(AG131&gt;AG130,IFERROR(IF(AJ$1="v",SMALL(AF$2:AF$101,AG131),LARGE(AF$2:AF$101,AG131)),""),AH130)</f>
        <v/>
      </c>
      <c r="AI131" s="20" t="str" cm="1">
        <f t="array" aca="1" ref="AI131" ca="1">IF(AH131="","",IF(AH131&lt;&gt;AH130,1,IF(AI130=misLíneas-2,0,AI130+1)))</f>
        <v/>
      </c>
      <c r="AJ131" s="20" t="str" cm="1">
        <f t="array" aca="1" ref="AJ131" ca="1">IF(OR(AI131=0,AI131=""),"",INDEX(misCriticidades,AH131)&amp;"-"&amp;IFERROR(MATCH(AI131,miOrdenTarjeta,0),0))</f>
        <v/>
      </c>
      <c r="AL131" s="20">
        <f t="shared" ca="1" si="42"/>
        <v>1</v>
      </c>
      <c r="AM131" s="20" t="str">
        <f t="shared" ref="AM131:AM194" ca="1" si="58">IF(AL131&gt;AL130,IFERROR(IF(AO$1="v",SMALL(AK$2:AK$101,AL131),LARGE(AK$2:AK$101,AL131)),""),AM130)</f>
        <v/>
      </c>
      <c r="AN131" s="20" t="str" cm="1">
        <f t="array" aca="1" ref="AN131" ca="1">IF(AM131="","",IF(AM131&lt;&gt;AM130,1,IF(AN130=misLíneas-2,0,AN130+1)))</f>
        <v/>
      </c>
      <c r="AO131" s="20" t="str" cm="1">
        <f t="array" aca="1" ref="AO131" ca="1">IF(OR(AN131=0,AN131=""),"",INDEX(misCriticidades,AM131)&amp;"-"&amp;IFERROR(MATCH(AN131,miOrdenTarjeta,0),0))</f>
        <v/>
      </c>
      <c r="AQ131" s="20">
        <f t="shared" ca="1" si="43"/>
        <v>1</v>
      </c>
      <c r="AR131" s="20" t="str">
        <f t="shared" ref="AR131:AR194" ca="1" si="59">IF(AQ131&gt;AQ130,IFERROR(IF(AT$1="v",SMALL(AP$2:AP$101,AQ131),LARGE(AP$2:AP$101,AQ131)),""),AR130)</f>
        <v/>
      </c>
      <c r="AS131" s="20" t="str" cm="1">
        <f t="array" aca="1" ref="AS131" ca="1">IF(AR131="","",IF(AR131&lt;&gt;AR130,1,IF(AS130=misLíneas-2,0,AS130+1)))</f>
        <v/>
      </c>
      <c r="AT131" s="20" t="str" cm="1">
        <f t="array" aca="1" ref="AT131" ca="1">IF(OR(AS131=0,AS131=""),"",INDEX(misCriticidades,AR131)&amp;"-"&amp;IFERROR(MATCH(AS131,miOrdenTarjeta,0),0))</f>
        <v/>
      </c>
      <c r="AV131" s="20">
        <f t="shared" ca="1" si="44"/>
        <v>1</v>
      </c>
      <c r="AW131" s="20" t="str">
        <f t="shared" ref="AW131:AW194" ca="1" si="60">IF(AV131&gt;AV130,IFERROR(IF(AY$1="v",SMALL(AU$2:AU$101,AV131),LARGE(AU$2:AU$101,AV131)),""),AW130)</f>
        <v/>
      </c>
      <c r="AX131" s="20" t="str" cm="1">
        <f t="array" aca="1" ref="AX131" ca="1">IF(AW131="","",IF(AW131&lt;&gt;AW130,1,IF(AX130=misLíneas-2,0,AX130+1)))</f>
        <v/>
      </c>
      <c r="AY131" s="20" t="str" cm="1">
        <f t="array" aca="1" ref="AY131" ca="1">IF(OR(AX131=0,AX131=""),"",INDEX(misCriticidades,AW131)&amp;"-"&amp;IFERROR(MATCH(AX131,miOrdenTarjeta,0),0))</f>
        <v/>
      </c>
    </row>
    <row r="132" spans="3:51" x14ac:dyDescent="0.25">
      <c r="C132" s="20">
        <f t="shared" ca="1" si="45"/>
        <v>1</v>
      </c>
      <c r="D132" s="20" t="str">
        <f t="shared" ca="1" si="51"/>
        <v/>
      </c>
      <c r="E132" s="20" t="str" cm="1">
        <f t="array" aca="1" ref="E132" ca="1">IF(D132="","",IF(D132&lt;&gt;D131,1,IF(E131=misLíneas-2,0,E131+1)))</f>
        <v/>
      </c>
      <c r="F132" s="20" t="str" cm="1">
        <f t="array" aca="1" ref="F132" ca="1">IF(OR(E132=0,E132=""),"",INDEX(misCriticidades,D132)&amp;"-"&amp;IFERROR(MATCH(E132,miOrdenTarjeta,0),0))</f>
        <v/>
      </c>
      <c r="H132" s="20">
        <f t="shared" ref="H132:H195" ca="1" si="61">H131--(J131=0)</f>
        <v>7</v>
      </c>
      <c r="I132" s="20" t="str">
        <f t="shared" ca="1" si="52"/>
        <v/>
      </c>
      <c r="J132" s="20" t="str" cm="1">
        <f t="array" aca="1" ref="J132" ca="1">IF(I132="","",IF(I132&lt;&gt;I131,1,IF(J131=misLíneas-2,0,J131+1)))</f>
        <v/>
      </c>
      <c r="K132" s="20" t="str" cm="1">
        <f t="array" aca="1" ref="K132" ca="1">IF(OR(J132=0,J132=""),"",INDEX(misCriticidades,I132)&amp;"-"&amp;IFERROR(MATCH(J132,miOrdenTarjeta,0),0))</f>
        <v/>
      </c>
      <c r="M132" s="20">
        <f t="shared" ref="M132:M195" ca="1" si="62">M131--(O131=0)</f>
        <v>1</v>
      </c>
      <c r="N132" s="20" t="str">
        <f t="shared" ca="1" si="53"/>
        <v/>
      </c>
      <c r="O132" s="20" t="str" cm="1">
        <f t="array" aca="1" ref="O132" ca="1">IF(N132="","",IF(N132&lt;&gt;N131,1,IF(O131=misLíneas-2,0,O131+1)))</f>
        <v/>
      </c>
      <c r="P132" s="20" t="str" cm="1">
        <f t="array" aca="1" ref="P132" ca="1">IF(OR(O132=0,O132=""),"",INDEX(misCriticidades,N132)&amp;"-"&amp;IFERROR(MATCH(O132,miOrdenTarjeta,0),0))</f>
        <v/>
      </c>
      <c r="R132" s="20">
        <f t="shared" ref="R132:R195" ca="1" si="63">R131--(T131=0)</f>
        <v>13</v>
      </c>
      <c r="S132" s="20">
        <f t="shared" ca="1" si="54"/>
        <v>17</v>
      </c>
      <c r="T132" s="20" cm="1">
        <f t="array" aca="1" ref="T132" ca="1">IF(S132="","",IF(S132&lt;&gt;S131,1,IF(T131=misLíneas-2,0,T131+1)))</f>
        <v>0</v>
      </c>
      <c r="U132" s="20" t="str" cm="1">
        <f t="array" aca="1" ref="U132" ca="1">IF(OR(T132=0,T132=""),"",INDEX(misCriticidades,S132)&amp;"-"&amp;IFERROR(MATCH(T132,miOrdenTarjeta,0),0))</f>
        <v/>
      </c>
      <c r="W132" s="20">
        <f t="shared" ref="W132:W195" ca="1" si="64">W131--(Y131=0)</f>
        <v>1</v>
      </c>
      <c r="X132" s="20" t="str">
        <f t="shared" ca="1" si="55"/>
        <v/>
      </c>
      <c r="Y132" s="20" t="str" cm="1">
        <f t="array" aca="1" ref="Y132" ca="1">IF(X132="","",IF(X132&lt;&gt;X131,1,IF(Y131=misLíneas-2,0,Y131+1)))</f>
        <v/>
      </c>
      <c r="Z132" s="20" t="str" cm="1">
        <f t="array" aca="1" ref="Z132" ca="1">IF(OR(Y132=0,Y132=""),"",INDEX(misCriticidades,X132)&amp;"-"&amp;IFERROR(MATCH(Y132,miOrdenTarjeta,0),0))</f>
        <v/>
      </c>
      <c r="AB132" s="20">
        <f t="shared" ref="AB132:AB195" ca="1" si="65">AB131--(AD131=0)</f>
        <v>1</v>
      </c>
      <c r="AC132" s="20" t="str">
        <f t="shared" ca="1" si="56"/>
        <v/>
      </c>
      <c r="AD132" s="20" t="str" cm="1">
        <f t="array" aca="1" ref="AD132" ca="1">IF(AC132="","",IF(AC132&lt;&gt;AC131,1,IF(AD131=misLíneas-2,0,AD131+1)))</f>
        <v/>
      </c>
      <c r="AE132" s="20" t="str" cm="1">
        <f t="array" aca="1" ref="AE132" ca="1">IF(OR(AD132=0,AD132=""),"",INDEX(misCriticidades,AC132)&amp;"-"&amp;IFERROR(MATCH(AD132,miOrdenTarjeta,0),0))</f>
        <v/>
      </c>
      <c r="AG132" s="20">
        <f t="shared" ref="AG132:AG195" ca="1" si="66">AG131--(AI131=0)</f>
        <v>1</v>
      </c>
      <c r="AH132" s="20" t="str">
        <f t="shared" ca="1" si="57"/>
        <v/>
      </c>
      <c r="AI132" s="20" t="str" cm="1">
        <f t="array" aca="1" ref="AI132" ca="1">IF(AH132="","",IF(AH132&lt;&gt;AH131,1,IF(AI131=misLíneas-2,0,AI131+1)))</f>
        <v/>
      </c>
      <c r="AJ132" s="20" t="str" cm="1">
        <f t="array" aca="1" ref="AJ132" ca="1">IF(OR(AI132=0,AI132=""),"",INDEX(misCriticidades,AH132)&amp;"-"&amp;IFERROR(MATCH(AI132,miOrdenTarjeta,0),0))</f>
        <v/>
      </c>
      <c r="AL132" s="20">
        <f t="shared" ref="AL132:AL195" ca="1" si="67">AL131--(AN131=0)</f>
        <v>1</v>
      </c>
      <c r="AM132" s="20" t="str">
        <f t="shared" ca="1" si="58"/>
        <v/>
      </c>
      <c r="AN132" s="20" t="str" cm="1">
        <f t="array" aca="1" ref="AN132" ca="1">IF(AM132="","",IF(AM132&lt;&gt;AM131,1,IF(AN131=misLíneas-2,0,AN131+1)))</f>
        <v/>
      </c>
      <c r="AO132" s="20" t="str" cm="1">
        <f t="array" aca="1" ref="AO132" ca="1">IF(OR(AN132=0,AN132=""),"",INDEX(misCriticidades,AM132)&amp;"-"&amp;IFERROR(MATCH(AN132,miOrdenTarjeta,0),0))</f>
        <v/>
      </c>
      <c r="AQ132" s="20">
        <f t="shared" ref="AQ132:AQ195" ca="1" si="68">AQ131--(AS131=0)</f>
        <v>1</v>
      </c>
      <c r="AR132" s="20" t="str">
        <f t="shared" ca="1" si="59"/>
        <v/>
      </c>
      <c r="AS132" s="20" t="str" cm="1">
        <f t="array" aca="1" ref="AS132" ca="1">IF(AR132="","",IF(AR132&lt;&gt;AR131,1,IF(AS131=misLíneas-2,0,AS131+1)))</f>
        <v/>
      </c>
      <c r="AT132" s="20" t="str" cm="1">
        <f t="array" aca="1" ref="AT132" ca="1">IF(OR(AS132=0,AS132=""),"",INDEX(misCriticidades,AR132)&amp;"-"&amp;IFERROR(MATCH(AS132,miOrdenTarjeta,0),0))</f>
        <v/>
      </c>
      <c r="AV132" s="20">
        <f t="shared" ref="AV132:AV195" ca="1" si="69">AV131--(AX131=0)</f>
        <v>1</v>
      </c>
      <c r="AW132" s="20" t="str">
        <f t="shared" ca="1" si="60"/>
        <v/>
      </c>
      <c r="AX132" s="20" t="str" cm="1">
        <f t="array" aca="1" ref="AX132" ca="1">IF(AW132="","",IF(AW132&lt;&gt;AW131,1,IF(AX131=misLíneas-2,0,AX131+1)))</f>
        <v/>
      </c>
      <c r="AY132" s="20" t="str" cm="1">
        <f t="array" aca="1" ref="AY132" ca="1">IF(OR(AX132=0,AX132=""),"",INDEX(misCriticidades,AW132)&amp;"-"&amp;IFERROR(MATCH(AX132,miOrdenTarjeta,0),0))</f>
        <v/>
      </c>
    </row>
    <row r="133" spans="3:51" x14ac:dyDescent="0.25">
      <c r="C133" s="20">
        <f t="shared" ca="1" si="45"/>
        <v>1</v>
      </c>
      <c r="D133" s="20" t="str">
        <f t="shared" ca="1" si="51"/>
        <v/>
      </c>
      <c r="E133" s="20" t="str" cm="1">
        <f t="array" aca="1" ref="E133" ca="1">IF(D133="","",IF(D133&lt;&gt;D132,1,IF(E132=misLíneas-2,0,E132+1)))</f>
        <v/>
      </c>
      <c r="F133" s="20" t="str" cm="1">
        <f t="array" aca="1" ref="F133" ca="1">IF(OR(E133=0,E133=""),"",INDEX(misCriticidades,D133)&amp;"-"&amp;IFERROR(MATCH(E133,miOrdenTarjeta,0),0))</f>
        <v/>
      </c>
      <c r="H133" s="20">
        <f t="shared" ca="1" si="61"/>
        <v>7</v>
      </c>
      <c r="I133" s="20" t="str">
        <f t="shared" ca="1" si="52"/>
        <v/>
      </c>
      <c r="J133" s="20" t="str" cm="1">
        <f t="array" aca="1" ref="J133" ca="1">IF(I133="","",IF(I133&lt;&gt;I132,1,IF(J132=misLíneas-2,0,J132+1)))</f>
        <v/>
      </c>
      <c r="K133" s="20" t="str" cm="1">
        <f t="array" aca="1" ref="K133" ca="1">IF(OR(J133=0,J133=""),"",INDEX(misCriticidades,I133)&amp;"-"&amp;IFERROR(MATCH(J133,miOrdenTarjeta,0),0))</f>
        <v/>
      </c>
      <c r="M133" s="20">
        <f t="shared" ca="1" si="62"/>
        <v>1</v>
      </c>
      <c r="N133" s="20" t="str">
        <f t="shared" ca="1" si="53"/>
        <v/>
      </c>
      <c r="O133" s="20" t="str" cm="1">
        <f t="array" aca="1" ref="O133" ca="1">IF(N133="","",IF(N133&lt;&gt;N132,1,IF(O132=misLíneas-2,0,O132+1)))</f>
        <v/>
      </c>
      <c r="P133" s="20" t="str" cm="1">
        <f t="array" aca="1" ref="P133" ca="1">IF(OR(O133=0,O133=""),"",INDEX(misCriticidades,N133)&amp;"-"&amp;IFERROR(MATCH(O133,miOrdenTarjeta,0),0))</f>
        <v/>
      </c>
      <c r="R133" s="20">
        <f t="shared" ca="1" si="63"/>
        <v>14</v>
      </c>
      <c r="S133" s="20">
        <f t="shared" ca="1" si="54"/>
        <v>16</v>
      </c>
      <c r="T133" s="20" cm="1">
        <f t="array" aca="1" ref="T133" ca="1">IF(S133="","",IF(S133&lt;&gt;S132,1,IF(T132=misLíneas-2,0,T132+1)))</f>
        <v>1</v>
      </c>
      <c r="U133" s="20" t="str" cm="1">
        <f t="array" aca="1" ref="U133" ca="1">IF(OR(T133=0,T133=""),"",INDEX(misCriticidades,S133)&amp;"-"&amp;IFERROR(MATCH(T133,miOrdenTarjeta,0),0))</f>
        <v>1-1</v>
      </c>
      <c r="W133" s="20">
        <f t="shared" ca="1" si="64"/>
        <v>1</v>
      </c>
      <c r="X133" s="20" t="str">
        <f t="shared" ca="1" si="55"/>
        <v/>
      </c>
      <c r="Y133" s="20" t="str" cm="1">
        <f t="array" aca="1" ref="Y133" ca="1">IF(X133="","",IF(X133&lt;&gt;X132,1,IF(Y132=misLíneas-2,0,Y132+1)))</f>
        <v/>
      </c>
      <c r="Z133" s="20" t="str" cm="1">
        <f t="array" aca="1" ref="Z133" ca="1">IF(OR(Y133=0,Y133=""),"",INDEX(misCriticidades,X133)&amp;"-"&amp;IFERROR(MATCH(Y133,miOrdenTarjeta,0),0))</f>
        <v/>
      </c>
      <c r="AB133" s="20">
        <f t="shared" ca="1" si="65"/>
        <v>1</v>
      </c>
      <c r="AC133" s="20" t="str">
        <f t="shared" ca="1" si="56"/>
        <v/>
      </c>
      <c r="AD133" s="20" t="str" cm="1">
        <f t="array" aca="1" ref="AD133" ca="1">IF(AC133="","",IF(AC133&lt;&gt;AC132,1,IF(AD132=misLíneas-2,0,AD132+1)))</f>
        <v/>
      </c>
      <c r="AE133" s="20" t="str" cm="1">
        <f t="array" aca="1" ref="AE133" ca="1">IF(OR(AD133=0,AD133=""),"",INDEX(misCriticidades,AC133)&amp;"-"&amp;IFERROR(MATCH(AD133,miOrdenTarjeta,0),0))</f>
        <v/>
      </c>
      <c r="AG133" s="20">
        <f t="shared" ca="1" si="66"/>
        <v>1</v>
      </c>
      <c r="AH133" s="20" t="str">
        <f t="shared" ca="1" si="57"/>
        <v/>
      </c>
      <c r="AI133" s="20" t="str" cm="1">
        <f t="array" aca="1" ref="AI133" ca="1">IF(AH133="","",IF(AH133&lt;&gt;AH132,1,IF(AI132=misLíneas-2,0,AI132+1)))</f>
        <v/>
      </c>
      <c r="AJ133" s="20" t="str" cm="1">
        <f t="array" aca="1" ref="AJ133" ca="1">IF(OR(AI133=0,AI133=""),"",INDEX(misCriticidades,AH133)&amp;"-"&amp;IFERROR(MATCH(AI133,miOrdenTarjeta,0),0))</f>
        <v/>
      </c>
      <c r="AL133" s="20">
        <f t="shared" ca="1" si="67"/>
        <v>1</v>
      </c>
      <c r="AM133" s="20" t="str">
        <f t="shared" ca="1" si="58"/>
        <v/>
      </c>
      <c r="AN133" s="20" t="str" cm="1">
        <f t="array" aca="1" ref="AN133" ca="1">IF(AM133="","",IF(AM133&lt;&gt;AM132,1,IF(AN132=misLíneas-2,0,AN132+1)))</f>
        <v/>
      </c>
      <c r="AO133" s="20" t="str" cm="1">
        <f t="array" aca="1" ref="AO133" ca="1">IF(OR(AN133=0,AN133=""),"",INDEX(misCriticidades,AM133)&amp;"-"&amp;IFERROR(MATCH(AN133,miOrdenTarjeta,0),0))</f>
        <v/>
      </c>
      <c r="AQ133" s="20">
        <f t="shared" ca="1" si="68"/>
        <v>1</v>
      </c>
      <c r="AR133" s="20" t="str">
        <f t="shared" ca="1" si="59"/>
        <v/>
      </c>
      <c r="AS133" s="20" t="str" cm="1">
        <f t="array" aca="1" ref="AS133" ca="1">IF(AR133="","",IF(AR133&lt;&gt;AR132,1,IF(AS132=misLíneas-2,0,AS132+1)))</f>
        <v/>
      </c>
      <c r="AT133" s="20" t="str" cm="1">
        <f t="array" aca="1" ref="AT133" ca="1">IF(OR(AS133=0,AS133=""),"",INDEX(misCriticidades,AR133)&amp;"-"&amp;IFERROR(MATCH(AS133,miOrdenTarjeta,0),0))</f>
        <v/>
      </c>
      <c r="AV133" s="20">
        <f t="shared" ca="1" si="69"/>
        <v>1</v>
      </c>
      <c r="AW133" s="20" t="str">
        <f t="shared" ca="1" si="60"/>
        <v/>
      </c>
      <c r="AX133" s="20" t="str" cm="1">
        <f t="array" aca="1" ref="AX133" ca="1">IF(AW133="","",IF(AW133&lt;&gt;AW132,1,IF(AX132=misLíneas-2,0,AX132+1)))</f>
        <v/>
      </c>
      <c r="AY133" s="20" t="str" cm="1">
        <f t="array" aca="1" ref="AY133" ca="1">IF(OR(AX133=0,AX133=""),"",INDEX(misCriticidades,AW133)&amp;"-"&amp;IFERROR(MATCH(AX133,miOrdenTarjeta,0),0))</f>
        <v/>
      </c>
    </row>
    <row r="134" spans="3:51" x14ac:dyDescent="0.25">
      <c r="C134" s="20">
        <f t="shared" ca="1" si="45"/>
        <v>1</v>
      </c>
      <c r="D134" s="20" t="str">
        <f t="shared" ca="1" si="51"/>
        <v/>
      </c>
      <c r="E134" s="20" t="str" cm="1">
        <f t="array" aca="1" ref="E134" ca="1">IF(D134="","",IF(D134&lt;&gt;D133,1,IF(E133=misLíneas-2,0,E133+1)))</f>
        <v/>
      </c>
      <c r="F134" s="20" t="str" cm="1">
        <f t="array" aca="1" ref="F134" ca="1">IF(OR(E134=0,E134=""),"",INDEX(misCriticidades,D134)&amp;"-"&amp;IFERROR(MATCH(E134,miOrdenTarjeta,0),0))</f>
        <v/>
      </c>
      <c r="H134" s="20">
        <f t="shared" ca="1" si="61"/>
        <v>7</v>
      </c>
      <c r="I134" s="20" t="str">
        <f t="shared" ca="1" si="52"/>
        <v/>
      </c>
      <c r="J134" s="20" t="str" cm="1">
        <f t="array" aca="1" ref="J134" ca="1">IF(I134="","",IF(I134&lt;&gt;I133,1,IF(J133=misLíneas-2,0,J133+1)))</f>
        <v/>
      </c>
      <c r="K134" s="20" t="str" cm="1">
        <f t="array" aca="1" ref="K134" ca="1">IF(OR(J134=0,J134=""),"",INDEX(misCriticidades,I134)&amp;"-"&amp;IFERROR(MATCH(J134,miOrdenTarjeta,0),0))</f>
        <v/>
      </c>
      <c r="M134" s="20">
        <f t="shared" ca="1" si="62"/>
        <v>1</v>
      </c>
      <c r="N134" s="20" t="str">
        <f t="shared" ca="1" si="53"/>
        <v/>
      </c>
      <c r="O134" s="20" t="str" cm="1">
        <f t="array" aca="1" ref="O134" ca="1">IF(N134="","",IF(N134&lt;&gt;N133,1,IF(O133=misLíneas-2,0,O133+1)))</f>
        <v/>
      </c>
      <c r="P134" s="20" t="str" cm="1">
        <f t="array" aca="1" ref="P134" ca="1">IF(OR(O134=0,O134=""),"",INDEX(misCriticidades,N134)&amp;"-"&amp;IFERROR(MATCH(O134,miOrdenTarjeta,0),0))</f>
        <v/>
      </c>
      <c r="R134" s="20">
        <f t="shared" ca="1" si="63"/>
        <v>14</v>
      </c>
      <c r="S134" s="20">
        <f t="shared" ca="1" si="54"/>
        <v>16</v>
      </c>
      <c r="T134" s="20" cm="1">
        <f t="array" aca="1" ref="T134" ca="1">IF(S134="","",IF(S134&lt;&gt;S133,1,IF(T133=misLíneas-2,0,T133+1)))</f>
        <v>2</v>
      </c>
      <c r="U134" s="20" t="str" cm="1">
        <f t="array" aca="1" ref="U134" ca="1">IF(OR(T134=0,T134=""),"",INDEX(misCriticidades,S134)&amp;"-"&amp;IFERROR(MATCH(T134,miOrdenTarjeta,0),0))</f>
        <v>1-2</v>
      </c>
      <c r="W134" s="20">
        <f t="shared" ca="1" si="64"/>
        <v>1</v>
      </c>
      <c r="X134" s="20" t="str">
        <f t="shared" ca="1" si="55"/>
        <v/>
      </c>
      <c r="Y134" s="20" t="str" cm="1">
        <f t="array" aca="1" ref="Y134" ca="1">IF(X134="","",IF(X134&lt;&gt;X133,1,IF(Y133=misLíneas-2,0,Y133+1)))</f>
        <v/>
      </c>
      <c r="Z134" s="20" t="str" cm="1">
        <f t="array" aca="1" ref="Z134" ca="1">IF(OR(Y134=0,Y134=""),"",INDEX(misCriticidades,X134)&amp;"-"&amp;IFERROR(MATCH(Y134,miOrdenTarjeta,0),0))</f>
        <v/>
      </c>
      <c r="AB134" s="20">
        <f t="shared" ca="1" si="65"/>
        <v>1</v>
      </c>
      <c r="AC134" s="20" t="str">
        <f t="shared" ca="1" si="56"/>
        <v/>
      </c>
      <c r="AD134" s="20" t="str" cm="1">
        <f t="array" aca="1" ref="AD134" ca="1">IF(AC134="","",IF(AC134&lt;&gt;AC133,1,IF(AD133=misLíneas-2,0,AD133+1)))</f>
        <v/>
      </c>
      <c r="AE134" s="20" t="str" cm="1">
        <f t="array" aca="1" ref="AE134" ca="1">IF(OR(AD134=0,AD134=""),"",INDEX(misCriticidades,AC134)&amp;"-"&amp;IFERROR(MATCH(AD134,miOrdenTarjeta,0),0))</f>
        <v/>
      </c>
      <c r="AG134" s="20">
        <f t="shared" ca="1" si="66"/>
        <v>1</v>
      </c>
      <c r="AH134" s="20" t="str">
        <f t="shared" ca="1" si="57"/>
        <v/>
      </c>
      <c r="AI134" s="20" t="str" cm="1">
        <f t="array" aca="1" ref="AI134" ca="1">IF(AH134="","",IF(AH134&lt;&gt;AH133,1,IF(AI133=misLíneas-2,0,AI133+1)))</f>
        <v/>
      </c>
      <c r="AJ134" s="20" t="str" cm="1">
        <f t="array" aca="1" ref="AJ134" ca="1">IF(OR(AI134=0,AI134=""),"",INDEX(misCriticidades,AH134)&amp;"-"&amp;IFERROR(MATCH(AI134,miOrdenTarjeta,0),0))</f>
        <v/>
      </c>
      <c r="AL134" s="20">
        <f t="shared" ca="1" si="67"/>
        <v>1</v>
      </c>
      <c r="AM134" s="20" t="str">
        <f t="shared" ca="1" si="58"/>
        <v/>
      </c>
      <c r="AN134" s="20" t="str" cm="1">
        <f t="array" aca="1" ref="AN134" ca="1">IF(AM134="","",IF(AM134&lt;&gt;AM133,1,IF(AN133=misLíneas-2,0,AN133+1)))</f>
        <v/>
      </c>
      <c r="AO134" s="20" t="str" cm="1">
        <f t="array" aca="1" ref="AO134" ca="1">IF(OR(AN134=0,AN134=""),"",INDEX(misCriticidades,AM134)&amp;"-"&amp;IFERROR(MATCH(AN134,miOrdenTarjeta,0),0))</f>
        <v/>
      </c>
      <c r="AQ134" s="20">
        <f t="shared" ca="1" si="68"/>
        <v>1</v>
      </c>
      <c r="AR134" s="20" t="str">
        <f t="shared" ca="1" si="59"/>
        <v/>
      </c>
      <c r="AS134" s="20" t="str" cm="1">
        <f t="array" aca="1" ref="AS134" ca="1">IF(AR134="","",IF(AR134&lt;&gt;AR133,1,IF(AS133=misLíneas-2,0,AS133+1)))</f>
        <v/>
      </c>
      <c r="AT134" s="20" t="str" cm="1">
        <f t="array" aca="1" ref="AT134" ca="1">IF(OR(AS134=0,AS134=""),"",INDEX(misCriticidades,AR134)&amp;"-"&amp;IFERROR(MATCH(AS134,miOrdenTarjeta,0),0))</f>
        <v/>
      </c>
      <c r="AV134" s="20">
        <f t="shared" ca="1" si="69"/>
        <v>1</v>
      </c>
      <c r="AW134" s="20" t="str">
        <f t="shared" ca="1" si="60"/>
        <v/>
      </c>
      <c r="AX134" s="20" t="str" cm="1">
        <f t="array" aca="1" ref="AX134" ca="1">IF(AW134="","",IF(AW134&lt;&gt;AW133,1,IF(AX133=misLíneas-2,0,AX133+1)))</f>
        <v/>
      </c>
      <c r="AY134" s="20" t="str" cm="1">
        <f t="array" aca="1" ref="AY134" ca="1">IF(OR(AX134=0,AX134=""),"",INDEX(misCriticidades,AW134)&amp;"-"&amp;IFERROR(MATCH(AX134,miOrdenTarjeta,0),0))</f>
        <v/>
      </c>
    </row>
    <row r="135" spans="3:51" x14ac:dyDescent="0.25">
      <c r="C135" s="20">
        <f t="shared" ca="1" si="45"/>
        <v>1</v>
      </c>
      <c r="D135" s="20" t="str">
        <f t="shared" ca="1" si="51"/>
        <v/>
      </c>
      <c r="E135" s="20" t="str" cm="1">
        <f t="array" aca="1" ref="E135" ca="1">IF(D135="","",IF(D135&lt;&gt;D134,1,IF(E134=misLíneas-2,0,E134+1)))</f>
        <v/>
      </c>
      <c r="F135" s="20" t="str" cm="1">
        <f t="array" aca="1" ref="F135" ca="1">IF(OR(E135=0,E135=""),"",INDEX(misCriticidades,D135)&amp;"-"&amp;IFERROR(MATCH(E135,miOrdenTarjeta,0),0))</f>
        <v/>
      </c>
      <c r="H135" s="20">
        <f t="shared" ca="1" si="61"/>
        <v>7</v>
      </c>
      <c r="I135" s="20" t="str">
        <f t="shared" ca="1" si="52"/>
        <v/>
      </c>
      <c r="J135" s="20" t="str" cm="1">
        <f t="array" aca="1" ref="J135" ca="1">IF(I135="","",IF(I135&lt;&gt;I134,1,IF(J134=misLíneas-2,0,J134+1)))</f>
        <v/>
      </c>
      <c r="K135" s="20" t="str" cm="1">
        <f t="array" aca="1" ref="K135" ca="1">IF(OR(J135=0,J135=""),"",INDEX(misCriticidades,I135)&amp;"-"&amp;IFERROR(MATCH(J135,miOrdenTarjeta,0),0))</f>
        <v/>
      </c>
      <c r="M135" s="20">
        <f t="shared" ca="1" si="62"/>
        <v>1</v>
      </c>
      <c r="N135" s="20" t="str">
        <f t="shared" ca="1" si="53"/>
        <v/>
      </c>
      <c r="O135" s="20" t="str" cm="1">
        <f t="array" aca="1" ref="O135" ca="1">IF(N135="","",IF(N135&lt;&gt;N134,1,IF(O134=misLíneas-2,0,O134+1)))</f>
        <v/>
      </c>
      <c r="P135" s="20" t="str" cm="1">
        <f t="array" aca="1" ref="P135" ca="1">IF(OR(O135=0,O135=""),"",INDEX(misCriticidades,N135)&amp;"-"&amp;IFERROR(MATCH(O135,miOrdenTarjeta,0),0))</f>
        <v/>
      </c>
      <c r="R135" s="20">
        <f t="shared" ca="1" si="63"/>
        <v>14</v>
      </c>
      <c r="S135" s="20">
        <f t="shared" ca="1" si="54"/>
        <v>16</v>
      </c>
      <c r="T135" s="20" cm="1">
        <f t="array" aca="1" ref="T135" ca="1">IF(S135="","",IF(S135&lt;&gt;S134,1,IF(T134=misLíneas-2,0,T134+1)))</f>
        <v>3</v>
      </c>
      <c r="U135" s="20" t="str" cm="1">
        <f t="array" aca="1" ref="U135" ca="1">IF(OR(T135=0,T135=""),"",INDEX(misCriticidades,S135)&amp;"-"&amp;IFERROR(MATCH(T135,miOrdenTarjeta,0),0))</f>
        <v>1-3</v>
      </c>
      <c r="W135" s="20">
        <f t="shared" ca="1" si="64"/>
        <v>1</v>
      </c>
      <c r="X135" s="20" t="str">
        <f t="shared" ca="1" si="55"/>
        <v/>
      </c>
      <c r="Y135" s="20" t="str" cm="1">
        <f t="array" aca="1" ref="Y135" ca="1">IF(X135="","",IF(X135&lt;&gt;X134,1,IF(Y134=misLíneas-2,0,Y134+1)))</f>
        <v/>
      </c>
      <c r="Z135" s="20" t="str" cm="1">
        <f t="array" aca="1" ref="Z135" ca="1">IF(OR(Y135=0,Y135=""),"",INDEX(misCriticidades,X135)&amp;"-"&amp;IFERROR(MATCH(Y135,miOrdenTarjeta,0),0))</f>
        <v/>
      </c>
      <c r="AB135" s="20">
        <f t="shared" ca="1" si="65"/>
        <v>1</v>
      </c>
      <c r="AC135" s="20" t="str">
        <f t="shared" ca="1" si="56"/>
        <v/>
      </c>
      <c r="AD135" s="20" t="str" cm="1">
        <f t="array" aca="1" ref="AD135" ca="1">IF(AC135="","",IF(AC135&lt;&gt;AC134,1,IF(AD134=misLíneas-2,0,AD134+1)))</f>
        <v/>
      </c>
      <c r="AE135" s="20" t="str" cm="1">
        <f t="array" aca="1" ref="AE135" ca="1">IF(OR(AD135=0,AD135=""),"",INDEX(misCriticidades,AC135)&amp;"-"&amp;IFERROR(MATCH(AD135,miOrdenTarjeta,0),0))</f>
        <v/>
      </c>
      <c r="AG135" s="20">
        <f t="shared" ca="1" si="66"/>
        <v>1</v>
      </c>
      <c r="AH135" s="20" t="str">
        <f t="shared" ca="1" si="57"/>
        <v/>
      </c>
      <c r="AI135" s="20" t="str" cm="1">
        <f t="array" aca="1" ref="AI135" ca="1">IF(AH135="","",IF(AH135&lt;&gt;AH134,1,IF(AI134=misLíneas-2,0,AI134+1)))</f>
        <v/>
      </c>
      <c r="AJ135" s="20" t="str" cm="1">
        <f t="array" aca="1" ref="AJ135" ca="1">IF(OR(AI135=0,AI135=""),"",INDEX(misCriticidades,AH135)&amp;"-"&amp;IFERROR(MATCH(AI135,miOrdenTarjeta,0),0))</f>
        <v/>
      </c>
      <c r="AL135" s="20">
        <f t="shared" ca="1" si="67"/>
        <v>1</v>
      </c>
      <c r="AM135" s="20" t="str">
        <f t="shared" ca="1" si="58"/>
        <v/>
      </c>
      <c r="AN135" s="20" t="str" cm="1">
        <f t="array" aca="1" ref="AN135" ca="1">IF(AM135="","",IF(AM135&lt;&gt;AM134,1,IF(AN134=misLíneas-2,0,AN134+1)))</f>
        <v/>
      </c>
      <c r="AO135" s="20" t="str" cm="1">
        <f t="array" aca="1" ref="AO135" ca="1">IF(OR(AN135=0,AN135=""),"",INDEX(misCriticidades,AM135)&amp;"-"&amp;IFERROR(MATCH(AN135,miOrdenTarjeta,0),0))</f>
        <v/>
      </c>
      <c r="AQ135" s="20">
        <f t="shared" ca="1" si="68"/>
        <v>1</v>
      </c>
      <c r="AR135" s="20" t="str">
        <f t="shared" ca="1" si="59"/>
        <v/>
      </c>
      <c r="AS135" s="20" t="str" cm="1">
        <f t="array" aca="1" ref="AS135" ca="1">IF(AR135="","",IF(AR135&lt;&gt;AR134,1,IF(AS134=misLíneas-2,0,AS134+1)))</f>
        <v/>
      </c>
      <c r="AT135" s="20" t="str" cm="1">
        <f t="array" aca="1" ref="AT135" ca="1">IF(OR(AS135=0,AS135=""),"",INDEX(misCriticidades,AR135)&amp;"-"&amp;IFERROR(MATCH(AS135,miOrdenTarjeta,0),0))</f>
        <v/>
      </c>
      <c r="AV135" s="20">
        <f t="shared" ca="1" si="69"/>
        <v>1</v>
      </c>
      <c r="AW135" s="20" t="str">
        <f t="shared" ca="1" si="60"/>
        <v/>
      </c>
      <c r="AX135" s="20" t="str" cm="1">
        <f t="array" aca="1" ref="AX135" ca="1">IF(AW135="","",IF(AW135&lt;&gt;AW134,1,IF(AX134=misLíneas-2,0,AX134+1)))</f>
        <v/>
      </c>
      <c r="AY135" s="20" t="str" cm="1">
        <f t="array" aca="1" ref="AY135" ca="1">IF(OR(AX135=0,AX135=""),"",INDEX(misCriticidades,AW135)&amp;"-"&amp;IFERROR(MATCH(AX135,miOrdenTarjeta,0),0))</f>
        <v/>
      </c>
    </row>
    <row r="136" spans="3:51" x14ac:dyDescent="0.25">
      <c r="C136" s="20">
        <f t="shared" ca="1" si="45"/>
        <v>1</v>
      </c>
      <c r="D136" s="20" t="str">
        <f t="shared" ca="1" si="51"/>
        <v/>
      </c>
      <c r="E136" s="20" t="str" cm="1">
        <f t="array" aca="1" ref="E136" ca="1">IF(D136="","",IF(D136&lt;&gt;D135,1,IF(E135=misLíneas-2,0,E135+1)))</f>
        <v/>
      </c>
      <c r="F136" s="20" t="str" cm="1">
        <f t="array" aca="1" ref="F136" ca="1">IF(OR(E136=0,E136=""),"",INDEX(misCriticidades,D136)&amp;"-"&amp;IFERROR(MATCH(E136,miOrdenTarjeta,0),0))</f>
        <v/>
      </c>
      <c r="H136" s="20">
        <f t="shared" ca="1" si="61"/>
        <v>7</v>
      </c>
      <c r="I136" s="20" t="str">
        <f t="shared" ca="1" si="52"/>
        <v/>
      </c>
      <c r="J136" s="20" t="str" cm="1">
        <f t="array" aca="1" ref="J136" ca="1">IF(I136="","",IF(I136&lt;&gt;I135,1,IF(J135=misLíneas-2,0,J135+1)))</f>
        <v/>
      </c>
      <c r="K136" s="20" t="str" cm="1">
        <f t="array" aca="1" ref="K136" ca="1">IF(OR(J136=0,J136=""),"",INDEX(misCriticidades,I136)&amp;"-"&amp;IFERROR(MATCH(J136,miOrdenTarjeta,0),0))</f>
        <v/>
      </c>
      <c r="M136" s="20">
        <f t="shared" ca="1" si="62"/>
        <v>1</v>
      </c>
      <c r="N136" s="20" t="str">
        <f t="shared" ca="1" si="53"/>
        <v/>
      </c>
      <c r="O136" s="20" t="str" cm="1">
        <f t="array" aca="1" ref="O136" ca="1">IF(N136="","",IF(N136&lt;&gt;N135,1,IF(O135=misLíneas-2,0,O135+1)))</f>
        <v/>
      </c>
      <c r="P136" s="20" t="str" cm="1">
        <f t="array" aca="1" ref="P136" ca="1">IF(OR(O136=0,O136=""),"",INDEX(misCriticidades,N136)&amp;"-"&amp;IFERROR(MATCH(O136,miOrdenTarjeta,0),0))</f>
        <v/>
      </c>
      <c r="R136" s="20">
        <f t="shared" ca="1" si="63"/>
        <v>14</v>
      </c>
      <c r="S136" s="20">
        <f t="shared" ca="1" si="54"/>
        <v>16</v>
      </c>
      <c r="T136" s="20" cm="1">
        <f t="array" aca="1" ref="T136" ca="1">IF(S136="","",IF(S136&lt;&gt;S135,1,IF(T135=misLíneas-2,0,T135+1)))</f>
        <v>4</v>
      </c>
      <c r="U136" s="20" t="str" cm="1">
        <f t="array" aca="1" ref="U136" ca="1">IF(OR(T136=0,T136=""),"",INDEX(misCriticidades,S136)&amp;"-"&amp;IFERROR(MATCH(T136,miOrdenTarjeta,0),0))</f>
        <v>1-4</v>
      </c>
      <c r="W136" s="20">
        <f t="shared" ca="1" si="64"/>
        <v>1</v>
      </c>
      <c r="X136" s="20" t="str">
        <f t="shared" ca="1" si="55"/>
        <v/>
      </c>
      <c r="Y136" s="20" t="str" cm="1">
        <f t="array" aca="1" ref="Y136" ca="1">IF(X136="","",IF(X136&lt;&gt;X135,1,IF(Y135=misLíneas-2,0,Y135+1)))</f>
        <v/>
      </c>
      <c r="Z136" s="20" t="str" cm="1">
        <f t="array" aca="1" ref="Z136" ca="1">IF(OR(Y136=0,Y136=""),"",INDEX(misCriticidades,X136)&amp;"-"&amp;IFERROR(MATCH(Y136,miOrdenTarjeta,0),0))</f>
        <v/>
      </c>
      <c r="AB136" s="20">
        <f t="shared" ca="1" si="65"/>
        <v>1</v>
      </c>
      <c r="AC136" s="20" t="str">
        <f t="shared" ca="1" si="56"/>
        <v/>
      </c>
      <c r="AD136" s="20" t="str" cm="1">
        <f t="array" aca="1" ref="AD136" ca="1">IF(AC136="","",IF(AC136&lt;&gt;AC135,1,IF(AD135=misLíneas-2,0,AD135+1)))</f>
        <v/>
      </c>
      <c r="AE136" s="20" t="str" cm="1">
        <f t="array" aca="1" ref="AE136" ca="1">IF(OR(AD136=0,AD136=""),"",INDEX(misCriticidades,AC136)&amp;"-"&amp;IFERROR(MATCH(AD136,miOrdenTarjeta,0),0))</f>
        <v/>
      </c>
      <c r="AG136" s="20">
        <f t="shared" ca="1" si="66"/>
        <v>1</v>
      </c>
      <c r="AH136" s="20" t="str">
        <f t="shared" ca="1" si="57"/>
        <v/>
      </c>
      <c r="AI136" s="20" t="str" cm="1">
        <f t="array" aca="1" ref="AI136" ca="1">IF(AH136="","",IF(AH136&lt;&gt;AH135,1,IF(AI135=misLíneas-2,0,AI135+1)))</f>
        <v/>
      </c>
      <c r="AJ136" s="20" t="str" cm="1">
        <f t="array" aca="1" ref="AJ136" ca="1">IF(OR(AI136=0,AI136=""),"",INDEX(misCriticidades,AH136)&amp;"-"&amp;IFERROR(MATCH(AI136,miOrdenTarjeta,0),0))</f>
        <v/>
      </c>
      <c r="AL136" s="20">
        <f t="shared" ca="1" si="67"/>
        <v>1</v>
      </c>
      <c r="AM136" s="20" t="str">
        <f t="shared" ca="1" si="58"/>
        <v/>
      </c>
      <c r="AN136" s="20" t="str" cm="1">
        <f t="array" aca="1" ref="AN136" ca="1">IF(AM136="","",IF(AM136&lt;&gt;AM135,1,IF(AN135=misLíneas-2,0,AN135+1)))</f>
        <v/>
      </c>
      <c r="AO136" s="20" t="str" cm="1">
        <f t="array" aca="1" ref="AO136" ca="1">IF(OR(AN136=0,AN136=""),"",INDEX(misCriticidades,AM136)&amp;"-"&amp;IFERROR(MATCH(AN136,miOrdenTarjeta,0),0))</f>
        <v/>
      </c>
      <c r="AQ136" s="20">
        <f t="shared" ca="1" si="68"/>
        <v>1</v>
      </c>
      <c r="AR136" s="20" t="str">
        <f t="shared" ca="1" si="59"/>
        <v/>
      </c>
      <c r="AS136" s="20" t="str" cm="1">
        <f t="array" aca="1" ref="AS136" ca="1">IF(AR136="","",IF(AR136&lt;&gt;AR135,1,IF(AS135=misLíneas-2,0,AS135+1)))</f>
        <v/>
      </c>
      <c r="AT136" s="20" t="str" cm="1">
        <f t="array" aca="1" ref="AT136" ca="1">IF(OR(AS136=0,AS136=""),"",INDEX(misCriticidades,AR136)&amp;"-"&amp;IFERROR(MATCH(AS136,miOrdenTarjeta,0),0))</f>
        <v/>
      </c>
      <c r="AV136" s="20">
        <f t="shared" ca="1" si="69"/>
        <v>1</v>
      </c>
      <c r="AW136" s="20" t="str">
        <f t="shared" ca="1" si="60"/>
        <v/>
      </c>
      <c r="AX136" s="20" t="str" cm="1">
        <f t="array" aca="1" ref="AX136" ca="1">IF(AW136="","",IF(AW136&lt;&gt;AW135,1,IF(AX135=misLíneas-2,0,AX135+1)))</f>
        <v/>
      </c>
      <c r="AY136" s="20" t="str" cm="1">
        <f t="array" aca="1" ref="AY136" ca="1">IF(OR(AX136=0,AX136=""),"",INDEX(misCriticidades,AW136)&amp;"-"&amp;IFERROR(MATCH(AX136,miOrdenTarjeta,0),0))</f>
        <v/>
      </c>
    </row>
    <row r="137" spans="3:51" x14ac:dyDescent="0.25">
      <c r="C137" s="20">
        <f t="shared" ca="1" si="45"/>
        <v>1</v>
      </c>
      <c r="D137" s="20" t="str">
        <f t="shared" ca="1" si="51"/>
        <v/>
      </c>
      <c r="E137" s="20" t="str" cm="1">
        <f t="array" aca="1" ref="E137" ca="1">IF(D137="","",IF(D137&lt;&gt;D136,1,IF(E136=misLíneas-2,0,E136+1)))</f>
        <v/>
      </c>
      <c r="F137" s="20" t="str" cm="1">
        <f t="array" aca="1" ref="F137" ca="1">IF(OR(E137=0,E137=""),"",INDEX(misCriticidades,D137)&amp;"-"&amp;IFERROR(MATCH(E137,miOrdenTarjeta,0),0))</f>
        <v/>
      </c>
      <c r="H137" s="20">
        <f t="shared" ca="1" si="61"/>
        <v>7</v>
      </c>
      <c r="I137" s="20" t="str">
        <f t="shared" ca="1" si="52"/>
        <v/>
      </c>
      <c r="J137" s="20" t="str" cm="1">
        <f t="array" aca="1" ref="J137" ca="1">IF(I137="","",IF(I137&lt;&gt;I136,1,IF(J136=misLíneas-2,0,J136+1)))</f>
        <v/>
      </c>
      <c r="K137" s="20" t="str" cm="1">
        <f t="array" aca="1" ref="K137" ca="1">IF(OR(J137=0,J137=""),"",INDEX(misCriticidades,I137)&amp;"-"&amp;IFERROR(MATCH(J137,miOrdenTarjeta,0),0))</f>
        <v/>
      </c>
      <c r="M137" s="20">
        <f t="shared" ca="1" si="62"/>
        <v>1</v>
      </c>
      <c r="N137" s="20" t="str">
        <f t="shared" ca="1" si="53"/>
        <v/>
      </c>
      <c r="O137" s="20" t="str" cm="1">
        <f t="array" aca="1" ref="O137" ca="1">IF(N137="","",IF(N137&lt;&gt;N136,1,IF(O136=misLíneas-2,0,O136+1)))</f>
        <v/>
      </c>
      <c r="P137" s="20" t="str" cm="1">
        <f t="array" aca="1" ref="P137" ca="1">IF(OR(O137=0,O137=""),"",INDEX(misCriticidades,N137)&amp;"-"&amp;IFERROR(MATCH(O137,miOrdenTarjeta,0),0))</f>
        <v/>
      </c>
      <c r="R137" s="20">
        <f t="shared" ca="1" si="63"/>
        <v>14</v>
      </c>
      <c r="S137" s="20">
        <f t="shared" ca="1" si="54"/>
        <v>16</v>
      </c>
      <c r="T137" s="20" cm="1">
        <f t="array" aca="1" ref="T137" ca="1">IF(S137="","",IF(S137&lt;&gt;S136,1,IF(T136=misLíneas-2,0,T136+1)))</f>
        <v>5</v>
      </c>
      <c r="U137" s="20" t="str" cm="1">
        <f t="array" aca="1" ref="U137" ca="1">IF(OR(T137=0,T137=""),"",INDEX(misCriticidades,S137)&amp;"-"&amp;IFERROR(MATCH(T137,miOrdenTarjeta,0),0))</f>
        <v>1-5</v>
      </c>
      <c r="W137" s="20">
        <f t="shared" ca="1" si="64"/>
        <v>1</v>
      </c>
      <c r="X137" s="20" t="str">
        <f t="shared" ca="1" si="55"/>
        <v/>
      </c>
      <c r="Y137" s="20" t="str" cm="1">
        <f t="array" aca="1" ref="Y137" ca="1">IF(X137="","",IF(X137&lt;&gt;X136,1,IF(Y136=misLíneas-2,0,Y136+1)))</f>
        <v/>
      </c>
      <c r="Z137" s="20" t="str" cm="1">
        <f t="array" aca="1" ref="Z137" ca="1">IF(OR(Y137=0,Y137=""),"",INDEX(misCriticidades,X137)&amp;"-"&amp;IFERROR(MATCH(Y137,miOrdenTarjeta,0),0))</f>
        <v/>
      </c>
      <c r="AB137" s="20">
        <f t="shared" ca="1" si="65"/>
        <v>1</v>
      </c>
      <c r="AC137" s="20" t="str">
        <f t="shared" ca="1" si="56"/>
        <v/>
      </c>
      <c r="AD137" s="20" t="str" cm="1">
        <f t="array" aca="1" ref="AD137" ca="1">IF(AC137="","",IF(AC137&lt;&gt;AC136,1,IF(AD136=misLíneas-2,0,AD136+1)))</f>
        <v/>
      </c>
      <c r="AE137" s="20" t="str" cm="1">
        <f t="array" aca="1" ref="AE137" ca="1">IF(OR(AD137=0,AD137=""),"",INDEX(misCriticidades,AC137)&amp;"-"&amp;IFERROR(MATCH(AD137,miOrdenTarjeta,0),0))</f>
        <v/>
      </c>
      <c r="AG137" s="20">
        <f t="shared" ca="1" si="66"/>
        <v>1</v>
      </c>
      <c r="AH137" s="20" t="str">
        <f t="shared" ca="1" si="57"/>
        <v/>
      </c>
      <c r="AI137" s="20" t="str" cm="1">
        <f t="array" aca="1" ref="AI137" ca="1">IF(AH137="","",IF(AH137&lt;&gt;AH136,1,IF(AI136=misLíneas-2,0,AI136+1)))</f>
        <v/>
      </c>
      <c r="AJ137" s="20" t="str" cm="1">
        <f t="array" aca="1" ref="AJ137" ca="1">IF(OR(AI137=0,AI137=""),"",INDEX(misCriticidades,AH137)&amp;"-"&amp;IFERROR(MATCH(AI137,miOrdenTarjeta,0),0))</f>
        <v/>
      </c>
      <c r="AL137" s="20">
        <f t="shared" ca="1" si="67"/>
        <v>1</v>
      </c>
      <c r="AM137" s="20" t="str">
        <f t="shared" ca="1" si="58"/>
        <v/>
      </c>
      <c r="AN137" s="20" t="str" cm="1">
        <f t="array" aca="1" ref="AN137" ca="1">IF(AM137="","",IF(AM137&lt;&gt;AM136,1,IF(AN136=misLíneas-2,0,AN136+1)))</f>
        <v/>
      </c>
      <c r="AO137" s="20" t="str" cm="1">
        <f t="array" aca="1" ref="AO137" ca="1">IF(OR(AN137=0,AN137=""),"",INDEX(misCriticidades,AM137)&amp;"-"&amp;IFERROR(MATCH(AN137,miOrdenTarjeta,0),0))</f>
        <v/>
      </c>
      <c r="AQ137" s="20">
        <f t="shared" ca="1" si="68"/>
        <v>1</v>
      </c>
      <c r="AR137" s="20" t="str">
        <f t="shared" ca="1" si="59"/>
        <v/>
      </c>
      <c r="AS137" s="20" t="str" cm="1">
        <f t="array" aca="1" ref="AS137" ca="1">IF(AR137="","",IF(AR137&lt;&gt;AR136,1,IF(AS136=misLíneas-2,0,AS136+1)))</f>
        <v/>
      </c>
      <c r="AT137" s="20" t="str" cm="1">
        <f t="array" aca="1" ref="AT137" ca="1">IF(OR(AS137=0,AS137=""),"",INDEX(misCriticidades,AR137)&amp;"-"&amp;IFERROR(MATCH(AS137,miOrdenTarjeta,0),0))</f>
        <v/>
      </c>
      <c r="AV137" s="20">
        <f t="shared" ca="1" si="69"/>
        <v>1</v>
      </c>
      <c r="AW137" s="20" t="str">
        <f t="shared" ca="1" si="60"/>
        <v/>
      </c>
      <c r="AX137" s="20" t="str" cm="1">
        <f t="array" aca="1" ref="AX137" ca="1">IF(AW137="","",IF(AW137&lt;&gt;AW136,1,IF(AX136=misLíneas-2,0,AX136+1)))</f>
        <v/>
      </c>
      <c r="AY137" s="20" t="str" cm="1">
        <f t="array" aca="1" ref="AY137" ca="1">IF(OR(AX137=0,AX137=""),"",INDEX(misCriticidades,AW137)&amp;"-"&amp;IFERROR(MATCH(AX137,miOrdenTarjeta,0),0))</f>
        <v/>
      </c>
    </row>
    <row r="138" spans="3:51" x14ac:dyDescent="0.25">
      <c r="C138" s="20">
        <f t="shared" ca="1" si="45"/>
        <v>1</v>
      </c>
      <c r="D138" s="20" t="str">
        <f t="shared" ca="1" si="51"/>
        <v/>
      </c>
      <c r="E138" s="20" t="str" cm="1">
        <f t="array" aca="1" ref="E138" ca="1">IF(D138="","",IF(D138&lt;&gt;D137,1,IF(E137=misLíneas-2,0,E137+1)))</f>
        <v/>
      </c>
      <c r="F138" s="20" t="str" cm="1">
        <f t="array" aca="1" ref="F138" ca="1">IF(OR(E138=0,E138=""),"",INDEX(misCriticidades,D138)&amp;"-"&amp;IFERROR(MATCH(E138,miOrdenTarjeta,0),0))</f>
        <v/>
      </c>
      <c r="H138" s="20">
        <f t="shared" ca="1" si="61"/>
        <v>7</v>
      </c>
      <c r="I138" s="20" t="str">
        <f t="shared" ca="1" si="52"/>
        <v/>
      </c>
      <c r="J138" s="20" t="str" cm="1">
        <f t="array" aca="1" ref="J138" ca="1">IF(I138="","",IF(I138&lt;&gt;I137,1,IF(J137=misLíneas-2,0,J137+1)))</f>
        <v/>
      </c>
      <c r="K138" s="20" t="str" cm="1">
        <f t="array" aca="1" ref="K138" ca="1">IF(OR(J138=0,J138=""),"",INDEX(misCriticidades,I138)&amp;"-"&amp;IFERROR(MATCH(J138,miOrdenTarjeta,0),0))</f>
        <v/>
      </c>
      <c r="M138" s="20">
        <f t="shared" ca="1" si="62"/>
        <v>1</v>
      </c>
      <c r="N138" s="20" t="str">
        <f t="shared" ca="1" si="53"/>
        <v/>
      </c>
      <c r="O138" s="20" t="str" cm="1">
        <f t="array" aca="1" ref="O138" ca="1">IF(N138="","",IF(N138&lt;&gt;N137,1,IF(O137=misLíneas-2,0,O137+1)))</f>
        <v/>
      </c>
      <c r="P138" s="20" t="str" cm="1">
        <f t="array" aca="1" ref="P138" ca="1">IF(OR(O138=0,O138=""),"",INDEX(misCriticidades,N138)&amp;"-"&amp;IFERROR(MATCH(O138,miOrdenTarjeta,0),0))</f>
        <v/>
      </c>
      <c r="R138" s="20">
        <f t="shared" ca="1" si="63"/>
        <v>14</v>
      </c>
      <c r="S138" s="20">
        <f t="shared" ca="1" si="54"/>
        <v>16</v>
      </c>
      <c r="T138" s="20" cm="1">
        <f t="array" aca="1" ref="T138" ca="1">IF(S138="","",IF(S138&lt;&gt;S137,1,IF(T137=misLíneas-2,0,T137+1)))</f>
        <v>6</v>
      </c>
      <c r="U138" s="20" t="str" cm="1">
        <f t="array" aca="1" ref="U138" ca="1">IF(OR(T138=0,T138=""),"",INDEX(misCriticidades,S138)&amp;"-"&amp;IFERROR(MATCH(T138,miOrdenTarjeta,0),0))</f>
        <v>1-6</v>
      </c>
      <c r="W138" s="20">
        <f t="shared" ca="1" si="64"/>
        <v>1</v>
      </c>
      <c r="X138" s="20" t="str">
        <f t="shared" ca="1" si="55"/>
        <v/>
      </c>
      <c r="Y138" s="20" t="str" cm="1">
        <f t="array" aca="1" ref="Y138" ca="1">IF(X138="","",IF(X138&lt;&gt;X137,1,IF(Y137=misLíneas-2,0,Y137+1)))</f>
        <v/>
      </c>
      <c r="Z138" s="20" t="str" cm="1">
        <f t="array" aca="1" ref="Z138" ca="1">IF(OR(Y138=0,Y138=""),"",INDEX(misCriticidades,X138)&amp;"-"&amp;IFERROR(MATCH(Y138,miOrdenTarjeta,0),0))</f>
        <v/>
      </c>
      <c r="AB138" s="20">
        <f t="shared" ca="1" si="65"/>
        <v>1</v>
      </c>
      <c r="AC138" s="20" t="str">
        <f t="shared" ca="1" si="56"/>
        <v/>
      </c>
      <c r="AD138" s="20" t="str" cm="1">
        <f t="array" aca="1" ref="AD138" ca="1">IF(AC138="","",IF(AC138&lt;&gt;AC137,1,IF(AD137=misLíneas-2,0,AD137+1)))</f>
        <v/>
      </c>
      <c r="AE138" s="20" t="str" cm="1">
        <f t="array" aca="1" ref="AE138" ca="1">IF(OR(AD138=0,AD138=""),"",INDEX(misCriticidades,AC138)&amp;"-"&amp;IFERROR(MATCH(AD138,miOrdenTarjeta,0),0))</f>
        <v/>
      </c>
      <c r="AG138" s="20">
        <f t="shared" ca="1" si="66"/>
        <v>1</v>
      </c>
      <c r="AH138" s="20" t="str">
        <f t="shared" ca="1" si="57"/>
        <v/>
      </c>
      <c r="AI138" s="20" t="str" cm="1">
        <f t="array" aca="1" ref="AI138" ca="1">IF(AH138="","",IF(AH138&lt;&gt;AH137,1,IF(AI137=misLíneas-2,0,AI137+1)))</f>
        <v/>
      </c>
      <c r="AJ138" s="20" t="str" cm="1">
        <f t="array" aca="1" ref="AJ138" ca="1">IF(OR(AI138=0,AI138=""),"",INDEX(misCriticidades,AH138)&amp;"-"&amp;IFERROR(MATCH(AI138,miOrdenTarjeta,0),0))</f>
        <v/>
      </c>
      <c r="AL138" s="20">
        <f t="shared" ca="1" si="67"/>
        <v>1</v>
      </c>
      <c r="AM138" s="20" t="str">
        <f t="shared" ca="1" si="58"/>
        <v/>
      </c>
      <c r="AN138" s="20" t="str" cm="1">
        <f t="array" aca="1" ref="AN138" ca="1">IF(AM138="","",IF(AM138&lt;&gt;AM137,1,IF(AN137=misLíneas-2,0,AN137+1)))</f>
        <v/>
      </c>
      <c r="AO138" s="20" t="str" cm="1">
        <f t="array" aca="1" ref="AO138" ca="1">IF(OR(AN138=0,AN138=""),"",INDEX(misCriticidades,AM138)&amp;"-"&amp;IFERROR(MATCH(AN138,miOrdenTarjeta,0),0))</f>
        <v/>
      </c>
      <c r="AQ138" s="20">
        <f t="shared" ca="1" si="68"/>
        <v>1</v>
      </c>
      <c r="AR138" s="20" t="str">
        <f t="shared" ca="1" si="59"/>
        <v/>
      </c>
      <c r="AS138" s="20" t="str" cm="1">
        <f t="array" aca="1" ref="AS138" ca="1">IF(AR138="","",IF(AR138&lt;&gt;AR137,1,IF(AS137=misLíneas-2,0,AS137+1)))</f>
        <v/>
      </c>
      <c r="AT138" s="20" t="str" cm="1">
        <f t="array" aca="1" ref="AT138" ca="1">IF(OR(AS138=0,AS138=""),"",INDEX(misCriticidades,AR138)&amp;"-"&amp;IFERROR(MATCH(AS138,miOrdenTarjeta,0),0))</f>
        <v/>
      </c>
      <c r="AV138" s="20">
        <f t="shared" ca="1" si="69"/>
        <v>1</v>
      </c>
      <c r="AW138" s="20" t="str">
        <f t="shared" ca="1" si="60"/>
        <v/>
      </c>
      <c r="AX138" s="20" t="str" cm="1">
        <f t="array" aca="1" ref="AX138" ca="1">IF(AW138="","",IF(AW138&lt;&gt;AW137,1,IF(AX137=misLíneas-2,0,AX137+1)))</f>
        <v/>
      </c>
      <c r="AY138" s="20" t="str" cm="1">
        <f t="array" aca="1" ref="AY138" ca="1">IF(OR(AX138=0,AX138=""),"",INDEX(misCriticidades,AW138)&amp;"-"&amp;IFERROR(MATCH(AX138,miOrdenTarjeta,0),0))</f>
        <v/>
      </c>
    </row>
    <row r="139" spans="3:51" x14ac:dyDescent="0.25">
      <c r="C139" s="20">
        <f t="shared" ref="C139:C198" ca="1" si="70">C138--(E138=0)</f>
        <v>1</v>
      </c>
      <c r="D139" s="20" t="str">
        <f t="shared" ca="1" si="51"/>
        <v/>
      </c>
      <c r="E139" s="20" t="str" cm="1">
        <f t="array" aca="1" ref="E139" ca="1">IF(D139="","",IF(D139&lt;&gt;D138,1,IF(E138=misLíneas-2,0,E138+1)))</f>
        <v/>
      </c>
      <c r="F139" s="20" t="str" cm="1">
        <f t="array" aca="1" ref="F139" ca="1">IF(OR(E139=0,E139=""),"",INDEX(misCriticidades,D139)&amp;"-"&amp;IFERROR(MATCH(E139,miOrdenTarjeta,0),0))</f>
        <v/>
      </c>
      <c r="H139" s="20">
        <f t="shared" ca="1" si="61"/>
        <v>7</v>
      </c>
      <c r="I139" s="20" t="str">
        <f t="shared" ca="1" si="52"/>
        <v/>
      </c>
      <c r="J139" s="20" t="str" cm="1">
        <f t="array" aca="1" ref="J139" ca="1">IF(I139="","",IF(I139&lt;&gt;I138,1,IF(J138=misLíneas-2,0,J138+1)))</f>
        <v/>
      </c>
      <c r="K139" s="20" t="str" cm="1">
        <f t="array" aca="1" ref="K139" ca="1">IF(OR(J139=0,J139=""),"",INDEX(misCriticidades,I139)&amp;"-"&amp;IFERROR(MATCH(J139,miOrdenTarjeta,0),0))</f>
        <v/>
      </c>
      <c r="M139" s="20">
        <f t="shared" ca="1" si="62"/>
        <v>1</v>
      </c>
      <c r="N139" s="20" t="str">
        <f t="shared" ca="1" si="53"/>
        <v/>
      </c>
      <c r="O139" s="20" t="str" cm="1">
        <f t="array" aca="1" ref="O139" ca="1">IF(N139="","",IF(N139&lt;&gt;N138,1,IF(O138=misLíneas-2,0,O138+1)))</f>
        <v/>
      </c>
      <c r="P139" s="20" t="str" cm="1">
        <f t="array" aca="1" ref="P139" ca="1">IF(OR(O139=0,O139=""),"",INDEX(misCriticidades,N139)&amp;"-"&amp;IFERROR(MATCH(O139,miOrdenTarjeta,0),0))</f>
        <v/>
      </c>
      <c r="R139" s="20">
        <f t="shared" ca="1" si="63"/>
        <v>14</v>
      </c>
      <c r="S139" s="20">
        <f t="shared" ca="1" si="54"/>
        <v>16</v>
      </c>
      <c r="T139" s="20" cm="1">
        <f t="array" aca="1" ref="T139" ca="1">IF(S139="","",IF(S139&lt;&gt;S138,1,IF(T138=misLíneas-2,0,T138+1)))</f>
        <v>7</v>
      </c>
      <c r="U139" s="20" t="str" cm="1">
        <f t="array" aca="1" ref="U139" ca="1">IF(OR(T139=0,T139=""),"",INDEX(misCriticidades,S139)&amp;"-"&amp;IFERROR(MATCH(T139,miOrdenTarjeta,0),0))</f>
        <v>1-7</v>
      </c>
      <c r="W139" s="20">
        <f t="shared" ca="1" si="64"/>
        <v>1</v>
      </c>
      <c r="X139" s="20" t="str">
        <f t="shared" ca="1" si="55"/>
        <v/>
      </c>
      <c r="Y139" s="20" t="str" cm="1">
        <f t="array" aca="1" ref="Y139" ca="1">IF(X139="","",IF(X139&lt;&gt;X138,1,IF(Y138=misLíneas-2,0,Y138+1)))</f>
        <v/>
      </c>
      <c r="Z139" s="20" t="str" cm="1">
        <f t="array" aca="1" ref="Z139" ca="1">IF(OR(Y139=0,Y139=""),"",INDEX(misCriticidades,X139)&amp;"-"&amp;IFERROR(MATCH(Y139,miOrdenTarjeta,0),0))</f>
        <v/>
      </c>
      <c r="AB139" s="20">
        <f t="shared" ca="1" si="65"/>
        <v>1</v>
      </c>
      <c r="AC139" s="20" t="str">
        <f t="shared" ca="1" si="56"/>
        <v/>
      </c>
      <c r="AD139" s="20" t="str" cm="1">
        <f t="array" aca="1" ref="AD139" ca="1">IF(AC139="","",IF(AC139&lt;&gt;AC138,1,IF(AD138=misLíneas-2,0,AD138+1)))</f>
        <v/>
      </c>
      <c r="AE139" s="20" t="str" cm="1">
        <f t="array" aca="1" ref="AE139" ca="1">IF(OR(AD139=0,AD139=""),"",INDEX(misCriticidades,AC139)&amp;"-"&amp;IFERROR(MATCH(AD139,miOrdenTarjeta,0),0))</f>
        <v/>
      </c>
      <c r="AG139" s="20">
        <f t="shared" ca="1" si="66"/>
        <v>1</v>
      </c>
      <c r="AH139" s="20" t="str">
        <f t="shared" ca="1" si="57"/>
        <v/>
      </c>
      <c r="AI139" s="20" t="str" cm="1">
        <f t="array" aca="1" ref="AI139" ca="1">IF(AH139="","",IF(AH139&lt;&gt;AH138,1,IF(AI138=misLíneas-2,0,AI138+1)))</f>
        <v/>
      </c>
      <c r="AJ139" s="20" t="str" cm="1">
        <f t="array" aca="1" ref="AJ139" ca="1">IF(OR(AI139=0,AI139=""),"",INDEX(misCriticidades,AH139)&amp;"-"&amp;IFERROR(MATCH(AI139,miOrdenTarjeta,0),0))</f>
        <v/>
      </c>
      <c r="AL139" s="20">
        <f t="shared" ca="1" si="67"/>
        <v>1</v>
      </c>
      <c r="AM139" s="20" t="str">
        <f t="shared" ca="1" si="58"/>
        <v/>
      </c>
      <c r="AN139" s="20" t="str" cm="1">
        <f t="array" aca="1" ref="AN139" ca="1">IF(AM139="","",IF(AM139&lt;&gt;AM138,1,IF(AN138=misLíneas-2,0,AN138+1)))</f>
        <v/>
      </c>
      <c r="AO139" s="20" t="str" cm="1">
        <f t="array" aca="1" ref="AO139" ca="1">IF(OR(AN139=0,AN139=""),"",INDEX(misCriticidades,AM139)&amp;"-"&amp;IFERROR(MATCH(AN139,miOrdenTarjeta,0),0))</f>
        <v/>
      </c>
      <c r="AQ139" s="20">
        <f t="shared" ca="1" si="68"/>
        <v>1</v>
      </c>
      <c r="AR139" s="20" t="str">
        <f t="shared" ca="1" si="59"/>
        <v/>
      </c>
      <c r="AS139" s="20" t="str" cm="1">
        <f t="array" aca="1" ref="AS139" ca="1">IF(AR139="","",IF(AR139&lt;&gt;AR138,1,IF(AS138=misLíneas-2,0,AS138+1)))</f>
        <v/>
      </c>
      <c r="AT139" s="20" t="str" cm="1">
        <f t="array" aca="1" ref="AT139" ca="1">IF(OR(AS139=0,AS139=""),"",INDEX(misCriticidades,AR139)&amp;"-"&amp;IFERROR(MATCH(AS139,miOrdenTarjeta,0),0))</f>
        <v/>
      </c>
      <c r="AV139" s="20">
        <f t="shared" ca="1" si="69"/>
        <v>1</v>
      </c>
      <c r="AW139" s="20" t="str">
        <f t="shared" ca="1" si="60"/>
        <v/>
      </c>
      <c r="AX139" s="20" t="str" cm="1">
        <f t="array" aca="1" ref="AX139" ca="1">IF(AW139="","",IF(AW139&lt;&gt;AW138,1,IF(AX138=misLíneas-2,0,AX138+1)))</f>
        <v/>
      </c>
      <c r="AY139" s="20" t="str" cm="1">
        <f t="array" aca="1" ref="AY139" ca="1">IF(OR(AX139=0,AX139=""),"",INDEX(misCriticidades,AW139)&amp;"-"&amp;IFERROR(MATCH(AX139,miOrdenTarjeta,0),0))</f>
        <v/>
      </c>
    </row>
    <row r="140" spans="3:51" x14ac:dyDescent="0.25">
      <c r="C140" s="20">
        <f t="shared" ca="1" si="70"/>
        <v>1</v>
      </c>
      <c r="D140" s="20" t="str">
        <f t="shared" ca="1" si="51"/>
        <v/>
      </c>
      <c r="E140" s="20" t="str" cm="1">
        <f t="array" aca="1" ref="E140" ca="1">IF(D140="","",IF(D140&lt;&gt;D139,1,IF(E139=misLíneas-2,0,E139+1)))</f>
        <v/>
      </c>
      <c r="F140" s="20" t="str" cm="1">
        <f t="array" aca="1" ref="F140" ca="1">IF(OR(E140=0,E140=""),"",INDEX(misCriticidades,D140)&amp;"-"&amp;IFERROR(MATCH(E140,miOrdenTarjeta,0),0))</f>
        <v/>
      </c>
      <c r="H140" s="20">
        <f t="shared" ca="1" si="61"/>
        <v>7</v>
      </c>
      <c r="I140" s="20" t="str">
        <f t="shared" ca="1" si="52"/>
        <v/>
      </c>
      <c r="J140" s="20" t="str" cm="1">
        <f t="array" aca="1" ref="J140" ca="1">IF(I140="","",IF(I140&lt;&gt;I139,1,IF(J139=misLíneas-2,0,J139+1)))</f>
        <v/>
      </c>
      <c r="K140" s="20" t="str" cm="1">
        <f t="array" aca="1" ref="K140" ca="1">IF(OR(J140=0,J140=""),"",INDEX(misCriticidades,I140)&amp;"-"&amp;IFERROR(MATCH(J140,miOrdenTarjeta,0),0))</f>
        <v/>
      </c>
      <c r="M140" s="20">
        <f t="shared" ca="1" si="62"/>
        <v>1</v>
      </c>
      <c r="N140" s="20" t="str">
        <f t="shared" ca="1" si="53"/>
        <v/>
      </c>
      <c r="O140" s="20" t="str" cm="1">
        <f t="array" aca="1" ref="O140" ca="1">IF(N140="","",IF(N140&lt;&gt;N139,1,IF(O139=misLíneas-2,0,O139+1)))</f>
        <v/>
      </c>
      <c r="P140" s="20" t="str" cm="1">
        <f t="array" aca="1" ref="P140" ca="1">IF(OR(O140=0,O140=""),"",INDEX(misCriticidades,N140)&amp;"-"&amp;IFERROR(MATCH(O140,miOrdenTarjeta,0),0))</f>
        <v/>
      </c>
      <c r="R140" s="20">
        <f t="shared" ca="1" si="63"/>
        <v>14</v>
      </c>
      <c r="S140" s="20">
        <f t="shared" ca="1" si="54"/>
        <v>16</v>
      </c>
      <c r="T140" s="20" cm="1">
        <f t="array" aca="1" ref="T140" ca="1">IF(S140="","",IF(S140&lt;&gt;S139,1,IF(T139=misLíneas-2,0,T139+1)))</f>
        <v>8</v>
      </c>
      <c r="U140" s="20" t="str" cm="1">
        <f t="array" aca="1" ref="U140" ca="1">IF(OR(T140=0,T140=""),"",INDEX(misCriticidades,S140)&amp;"-"&amp;IFERROR(MATCH(T140,miOrdenTarjeta,0),0))</f>
        <v>1-8</v>
      </c>
      <c r="W140" s="20">
        <f t="shared" ca="1" si="64"/>
        <v>1</v>
      </c>
      <c r="X140" s="20" t="str">
        <f t="shared" ca="1" si="55"/>
        <v/>
      </c>
      <c r="Y140" s="20" t="str" cm="1">
        <f t="array" aca="1" ref="Y140" ca="1">IF(X140="","",IF(X140&lt;&gt;X139,1,IF(Y139=misLíneas-2,0,Y139+1)))</f>
        <v/>
      </c>
      <c r="Z140" s="20" t="str" cm="1">
        <f t="array" aca="1" ref="Z140" ca="1">IF(OR(Y140=0,Y140=""),"",INDEX(misCriticidades,X140)&amp;"-"&amp;IFERROR(MATCH(Y140,miOrdenTarjeta,0),0))</f>
        <v/>
      </c>
      <c r="AB140" s="20">
        <f t="shared" ca="1" si="65"/>
        <v>1</v>
      </c>
      <c r="AC140" s="20" t="str">
        <f t="shared" ca="1" si="56"/>
        <v/>
      </c>
      <c r="AD140" s="20" t="str" cm="1">
        <f t="array" aca="1" ref="AD140" ca="1">IF(AC140="","",IF(AC140&lt;&gt;AC139,1,IF(AD139=misLíneas-2,0,AD139+1)))</f>
        <v/>
      </c>
      <c r="AE140" s="20" t="str" cm="1">
        <f t="array" aca="1" ref="AE140" ca="1">IF(OR(AD140=0,AD140=""),"",INDEX(misCriticidades,AC140)&amp;"-"&amp;IFERROR(MATCH(AD140,miOrdenTarjeta,0),0))</f>
        <v/>
      </c>
      <c r="AG140" s="20">
        <f t="shared" ca="1" si="66"/>
        <v>1</v>
      </c>
      <c r="AH140" s="20" t="str">
        <f t="shared" ca="1" si="57"/>
        <v/>
      </c>
      <c r="AI140" s="20" t="str" cm="1">
        <f t="array" aca="1" ref="AI140" ca="1">IF(AH140="","",IF(AH140&lt;&gt;AH139,1,IF(AI139=misLíneas-2,0,AI139+1)))</f>
        <v/>
      </c>
      <c r="AJ140" s="20" t="str" cm="1">
        <f t="array" aca="1" ref="AJ140" ca="1">IF(OR(AI140=0,AI140=""),"",INDEX(misCriticidades,AH140)&amp;"-"&amp;IFERROR(MATCH(AI140,miOrdenTarjeta,0),0))</f>
        <v/>
      </c>
      <c r="AL140" s="20">
        <f t="shared" ca="1" si="67"/>
        <v>1</v>
      </c>
      <c r="AM140" s="20" t="str">
        <f t="shared" ca="1" si="58"/>
        <v/>
      </c>
      <c r="AN140" s="20" t="str" cm="1">
        <f t="array" aca="1" ref="AN140" ca="1">IF(AM140="","",IF(AM140&lt;&gt;AM139,1,IF(AN139=misLíneas-2,0,AN139+1)))</f>
        <v/>
      </c>
      <c r="AO140" s="20" t="str" cm="1">
        <f t="array" aca="1" ref="AO140" ca="1">IF(OR(AN140=0,AN140=""),"",INDEX(misCriticidades,AM140)&amp;"-"&amp;IFERROR(MATCH(AN140,miOrdenTarjeta,0),0))</f>
        <v/>
      </c>
      <c r="AQ140" s="20">
        <f t="shared" ca="1" si="68"/>
        <v>1</v>
      </c>
      <c r="AR140" s="20" t="str">
        <f t="shared" ca="1" si="59"/>
        <v/>
      </c>
      <c r="AS140" s="20" t="str" cm="1">
        <f t="array" aca="1" ref="AS140" ca="1">IF(AR140="","",IF(AR140&lt;&gt;AR139,1,IF(AS139=misLíneas-2,0,AS139+1)))</f>
        <v/>
      </c>
      <c r="AT140" s="20" t="str" cm="1">
        <f t="array" aca="1" ref="AT140" ca="1">IF(OR(AS140=0,AS140=""),"",INDEX(misCriticidades,AR140)&amp;"-"&amp;IFERROR(MATCH(AS140,miOrdenTarjeta,0),0))</f>
        <v/>
      </c>
      <c r="AV140" s="20">
        <f t="shared" ca="1" si="69"/>
        <v>1</v>
      </c>
      <c r="AW140" s="20" t="str">
        <f t="shared" ca="1" si="60"/>
        <v/>
      </c>
      <c r="AX140" s="20" t="str" cm="1">
        <f t="array" aca="1" ref="AX140" ca="1">IF(AW140="","",IF(AW140&lt;&gt;AW139,1,IF(AX139=misLíneas-2,0,AX139+1)))</f>
        <v/>
      </c>
      <c r="AY140" s="20" t="str" cm="1">
        <f t="array" aca="1" ref="AY140" ca="1">IF(OR(AX140=0,AX140=""),"",INDEX(misCriticidades,AW140)&amp;"-"&amp;IFERROR(MATCH(AX140,miOrdenTarjeta,0),0))</f>
        <v/>
      </c>
    </row>
    <row r="141" spans="3:51" x14ac:dyDescent="0.25">
      <c r="C141" s="20">
        <f t="shared" ca="1" si="70"/>
        <v>1</v>
      </c>
      <c r="D141" s="20" t="str">
        <f t="shared" ca="1" si="51"/>
        <v/>
      </c>
      <c r="E141" s="20" t="str" cm="1">
        <f t="array" aca="1" ref="E141" ca="1">IF(D141="","",IF(D141&lt;&gt;D140,1,IF(E140=misLíneas-2,0,E140+1)))</f>
        <v/>
      </c>
      <c r="F141" s="20" t="str" cm="1">
        <f t="array" aca="1" ref="F141" ca="1">IF(OR(E141=0,E141=""),"",INDEX(misCriticidades,D141)&amp;"-"&amp;IFERROR(MATCH(E141,miOrdenTarjeta,0),0))</f>
        <v/>
      </c>
      <c r="H141" s="20">
        <f t="shared" ca="1" si="61"/>
        <v>7</v>
      </c>
      <c r="I141" s="20" t="str">
        <f t="shared" ca="1" si="52"/>
        <v/>
      </c>
      <c r="J141" s="20" t="str" cm="1">
        <f t="array" aca="1" ref="J141" ca="1">IF(I141="","",IF(I141&lt;&gt;I140,1,IF(J140=misLíneas-2,0,J140+1)))</f>
        <v/>
      </c>
      <c r="K141" s="20" t="str" cm="1">
        <f t="array" aca="1" ref="K141" ca="1">IF(OR(J141=0,J141=""),"",INDEX(misCriticidades,I141)&amp;"-"&amp;IFERROR(MATCH(J141,miOrdenTarjeta,0),0))</f>
        <v/>
      </c>
      <c r="M141" s="20">
        <f t="shared" ca="1" si="62"/>
        <v>1</v>
      </c>
      <c r="N141" s="20" t="str">
        <f t="shared" ca="1" si="53"/>
        <v/>
      </c>
      <c r="O141" s="20" t="str" cm="1">
        <f t="array" aca="1" ref="O141" ca="1">IF(N141="","",IF(N141&lt;&gt;N140,1,IF(O140=misLíneas-2,0,O140+1)))</f>
        <v/>
      </c>
      <c r="P141" s="20" t="str" cm="1">
        <f t="array" aca="1" ref="P141" ca="1">IF(OR(O141=0,O141=""),"",INDEX(misCriticidades,N141)&amp;"-"&amp;IFERROR(MATCH(O141,miOrdenTarjeta,0),0))</f>
        <v/>
      </c>
      <c r="R141" s="20">
        <f t="shared" ca="1" si="63"/>
        <v>14</v>
      </c>
      <c r="S141" s="20">
        <f t="shared" ca="1" si="54"/>
        <v>16</v>
      </c>
      <c r="T141" s="20" cm="1">
        <f t="array" aca="1" ref="T141" ca="1">IF(S141="","",IF(S141&lt;&gt;S140,1,IF(T140=misLíneas-2,0,T140+1)))</f>
        <v>9</v>
      </c>
      <c r="U141" s="20" t="str" cm="1">
        <f t="array" aca="1" ref="U141" ca="1">IF(OR(T141=0,T141=""),"",INDEX(misCriticidades,S141)&amp;"-"&amp;IFERROR(MATCH(T141,miOrdenTarjeta,0),0))</f>
        <v>1-0</v>
      </c>
      <c r="W141" s="20">
        <f t="shared" ca="1" si="64"/>
        <v>1</v>
      </c>
      <c r="X141" s="20" t="str">
        <f t="shared" ca="1" si="55"/>
        <v/>
      </c>
      <c r="Y141" s="20" t="str" cm="1">
        <f t="array" aca="1" ref="Y141" ca="1">IF(X141="","",IF(X141&lt;&gt;X140,1,IF(Y140=misLíneas-2,0,Y140+1)))</f>
        <v/>
      </c>
      <c r="Z141" s="20" t="str" cm="1">
        <f t="array" aca="1" ref="Z141" ca="1">IF(OR(Y141=0,Y141=""),"",INDEX(misCriticidades,X141)&amp;"-"&amp;IFERROR(MATCH(Y141,miOrdenTarjeta,0),0))</f>
        <v/>
      </c>
      <c r="AB141" s="20">
        <f t="shared" ca="1" si="65"/>
        <v>1</v>
      </c>
      <c r="AC141" s="20" t="str">
        <f t="shared" ca="1" si="56"/>
        <v/>
      </c>
      <c r="AD141" s="20" t="str" cm="1">
        <f t="array" aca="1" ref="AD141" ca="1">IF(AC141="","",IF(AC141&lt;&gt;AC140,1,IF(AD140=misLíneas-2,0,AD140+1)))</f>
        <v/>
      </c>
      <c r="AE141" s="20" t="str" cm="1">
        <f t="array" aca="1" ref="AE141" ca="1">IF(OR(AD141=0,AD141=""),"",INDEX(misCriticidades,AC141)&amp;"-"&amp;IFERROR(MATCH(AD141,miOrdenTarjeta,0),0))</f>
        <v/>
      </c>
      <c r="AG141" s="20">
        <f t="shared" ca="1" si="66"/>
        <v>1</v>
      </c>
      <c r="AH141" s="20" t="str">
        <f t="shared" ca="1" si="57"/>
        <v/>
      </c>
      <c r="AI141" s="20" t="str" cm="1">
        <f t="array" aca="1" ref="AI141" ca="1">IF(AH141="","",IF(AH141&lt;&gt;AH140,1,IF(AI140=misLíneas-2,0,AI140+1)))</f>
        <v/>
      </c>
      <c r="AJ141" s="20" t="str" cm="1">
        <f t="array" aca="1" ref="AJ141" ca="1">IF(OR(AI141=0,AI141=""),"",INDEX(misCriticidades,AH141)&amp;"-"&amp;IFERROR(MATCH(AI141,miOrdenTarjeta,0),0))</f>
        <v/>
      </c>
      <c r="AL141" s="20">
        <f t="shared" ca="1" si="67"/>
        <v>1</v>
      </c>
      <c r="AM141" s="20" t="str">
        <f t="shared" ca="1" si="58"/>
        <v/>
      </c>
      <c r="AN141" s="20" t="str" cm="1">
        <f t="array" aca="1" ref="AN141" ca="1">IF(AM141="","",IF(AM141&lt;&gt;AM140,1,IF(AN140=misLíneas-2,0,AN140+1)))</f>
        <v/>
      </c>
      <c r="AO141" s="20" t="str" cm="1">
        <f t="array" aca="1" ref="AO141" ca="1">IF(OR(AN141=0,AN141=""),"",INDEX(misCriticidades,AM141)&amp;"-"&amp;IFERROR(MATCH(AN141,miOrdenTarjeta,0),0))</f>
        <v/>
      </c>
      <c r="AQ141" s="20">
        <f t="shared" ca="1" si="68"/>
        <v>1</v>
      </c>
      <c r="AR141" s="20" t="str">
        <f t="shared" ca="1" si="59"/>
        <v/>
      </c>
      <c r="AS141" s="20" t="str" cm="1">
        <f t="array" aca="1" ref="AS141" ca="1">IF(AR141="","",IF(AR141&lt;&gt;AR140,1,IF(AS140=misLíneas-2,0,AS140+1)))</f>
        <v/>
      </c>
      <c r="AT141" s="20" t="str" cm="1">
        <f t="array" aca="1" ref="AT141" ca="1">IF(OR(AS141=0,AS141=""),"",INDEX(misCriticidades,AR141)&amp;"-"&amp;IFERROR(MATCH(AS141,miOrdenTarjeta,0),0))</f>
        <v/>
      </c>
      <c r="AV141" s="20">
        <f t="shared" ca="1" si="69"/>
        <v>1</v>
      </c>
      <c r="AW141" s="20" t="str">
        <f t="shared" ca="1" si="60"/>
        <v/>
      </c>
      <c r="AX141" s="20" t="str" cm="1">
        <f t="array" aca="1" ref="AX141" ca="1">IF(AW141="","",IF(AW141&lt;&gt;AW140,1,IF(AX140=misLíneas-2,0,AX140+1)))</f>
        <v/>
      </c>
      <c r="AY141" s="20" t="str" cm="1">
        <f t="array" aca="1" ref="AY141" ca="1">IF(OR(AX141=0,AX141=""),"",INDEX(misCriticidades,AW141)&amp;"-"&amp;IFERROR(MATCH(AX141,miOrdenTarjeta,0),0))</f>
        <v/>
      </c>
    </row>
    <row r="142" spans="3:51" x14ac:dyDescent="0.25">
      <c r="C142" s="20">
        <f t="shared" ca="1" si="70"/>
        <v>1</v>
      </c>
      <c r="D142" s="20" t="str">
        <f t="shared" ca="1" si="51"/>
        <v/>
      </c>
      <c r="E142" s="20" t="str" cm="1">
        <f t="array" aca="1" ref="E142" ca="1">IF(D142="","",IF(D142&lt;&gt;D141,1,IF(E141=misLíneas-2,0,E141+1)))</f>
        <v/>
      </c>
      <c r="F142" s="20" t="str" cm="1">
        <f t="array" aca="1" ref="F142" ca="1">IF(OR(E142=0,E142=""),"",INDEX(misCriticidades,D142)&amp;"-"&amp;IFERROR(MATCH(E142,miOrdenTarjeta,0),0))</f>
        <v/>
      </c>
      <c r="H142" s="20">
        <f t="shared" ca="1" si="61"/>
        <v>7</v>
      </c>
      <c r="I142" s="20" t="str">
        <f t="shared" ca="1" si="52"/>
        <v/>
      </c>
      <c r="J142" s="20" t="str" cm="1">
        <f t="array" aca="1" ref="J142" ca="1">IF(I142="","",IF(I142&lt;&gt;I141,1,IF(J141=misLíneas-2,0,J141+1)))</f>
        <v/>
      </c>
      <c r="K142" s="20" t="str" cm="1">
        <f t="array" aca="1" ref="K142" ca="1">IF(OR(J142=0,J142=""),"",INDEX(misCriticidades,I142)&amp;"-"&amp;IFERROR(MATCH(J142,miOrdenTarjeta,0),0))</f>
        <v/>
      </c>
      <c r="M142" s="20">
        <f t="shared" ca="1" si="62"/>
        <v>1</v>
      </c>
      <c r="N142" s="20" t="str">
        <f t="shared" ca="1" si="53"/>
        <v/>
      </c>
      <c r="O142" s="20" t="str" cm="1">
        <f t="array" aca="1" ref="O142" ca="1">IF(N142="","",IF(N142&lt;&gt;N141,1,IF(O141=misLíneas-2,0,O141+1)))</f>
        <v/>
      </c>
      <c r="P142" s="20" t="str" cm="1">
        <f t="array" aca="1" ref="P142" ca="1">IF(OR(O142=0,O142=""),"",INDEX(misCriticidades,N142)&amp;"-"&amp;IFERROR(MATCH(O142,miOrdenTarjeta,0),0))</f>
        <v/>
      </c>
      <c r="R142" s="20">
        <f t="shared" ca="1" si="63"/>
        <v>14</v>
      </c>
      <c r="S142" s="20">
        <f t="shared" ca="1" si="54"/>
        <v>16</v>
      </c>
      <c r="T142" s="20" cm="1">
        <f t="array" aca="1" ref="T142" ca="1">IF(S142="","",IF(S142&lt;&gt;S141,1,IF(T141=misLíneas-2,0,T141+1)))</f>
        <v>0</v>
      </c>
      <c r="U142" s="20" t="str" cm="1">
        <f t="array" aca="1" ref="U142" ca="1">IF(OR(T142=0,T142=""),"",INDEX(misCriticidades,S142)&amp;"-"&amp;IFERROR(MATCH(T142,miOrdenTarjeta,0),0))</f>
        <v/>
      </c>
      <c r="W142" s="20">
        <f t="shared" ca="1" si="64"/>
        <v>1</v>
      </c>
      <c r="X142" s="20" t="str">
        <f t="shared" ca="1" si="55"/>
        <v/>
      </c>
      <c r="Y142" s="20" t="str" cm="1">
        <f t="array" aca="1" ref="Y142" ca="1">IF(X142="","",IF(X142&lt;&gt;X141,1,IF(Y141=misLíneas-2,0,Y141+1)))</f>
        <v/>
      </c>
      <c r="Z142" s="20" t="str" cm="1">
        <f t="array" aca="1" ref="Z142" ca="1">IF(OR(Y142=0,Y142=""),"",INDEX(misCriticidades,X142)&amp;"-"&amp;IFERROR(MATCH(Y142,miOrdenTarjeta,0),0))</f>
        <v/>
      </c>
      <c r="AB142" s="20">
        <f t="shared" ca="1" si="65"/>
        <v>1</v>
      </c>
      <c r="AC142" s="20" t="str">
        <f t="shared" ca="1" si="56"/>
        <v/>
      </c>
      <c r="AD142" s="20" t="str" cm="1">
        <f t="array" aca="1" ref="AD142" ca="1">IF(AC142="","",IF(AC142&lt;&gt;AC141,1,IF(AD141=misLíneas-2,0,AD141+1)))</f>
        <v/>
      </c>
      <c r="AE142" s="20" t="str" cm="1">
        <f t="array" aca="1" ref="AE142" ca="1">IF(OR(AD142=0,AD142=""),"",INDEX(misCriticidades,AC142)&amp;"-"&amp;IFERROR(MATCH(AD142,miOrdenTarjeta,0),0))</f>
        <v/>
      </c>
      <c r="AG142" s="20">
        <f t="shared" ca="1" si="66"/>
        <v>1</v>
      </c>
      <c r="AH142" s="20" t="str">
        <f t="shared" ca="1" si="57"/>
        <v/>
      </c>
      <c r="AI142" s="20" t="str" cm="1">
        <f t="array" aca="1" ref="AI142" ca="1">IF(AH142="","",IF(AH142&lt;&gt;AH141,1,IF(AI141=misLíneas-2,0,AI141+1)))</f>
        <v/>
      </c>
      <c r="AJ142" s="20" t="str" cm="1">
        <f t="array" aca="1" ref="AJ142" ca="1">IF(OR(AI142=0,AI142=""),"",INDEX(misCriticidades,AH142)&amp;"-"&amp;IFERROR(MATCH(AI142,miOrdenTarjeta,0),0))</f>
        <v/>
      </c>
      <c r="AL142" s="20">
        <f t="shared" ca="1" si="67"/>
        <v>1</v>
      </c>
      <c r="AM142" s="20" t="str">
        <f t="shared" ca="1" si="58"/>
        <v/>
      </c>
      <c r="AN142" s="20" t="str" cm="1">
        <f t="array" aca="1" ref="AN142" ca="1">IF(AM142="","",IF(AM142&lt;&gt;AM141,1,IF(AN141=misLíneas-2,0,AN141+1)))</f>
        <v/>
      </c>
      <c r="AO142" s="20" t="str" cm="1">
        <f t="array" aca="1" ref="AO142" ca="1">IF(OR(AN142=0,AN142=""),"",INDEX(misCriticidades,AM142)&amp;"-"&amp;IFERROR(MATCH(AN142,miOrdenTarjeta,0),0))</f>
        <v/>
      </c>
      <c r="AQ142" s="20">
        <f t="shared" ca="1" si="68"/>
        <v>1</v>
      </c>
      <c r="AR142" s="20" t="str">
        <f t="shared" ca="1" si="59"/>
        <v/>
      </c>
      <c r="AS142" s="20" t="str" cm="1">
        <f t="array" aca="1" ref="AS142" ca="1">IF(AR142="","",IF(AR142&lt;&gt;AR141,1,IF(AS141=misLíneas-2,0,AS141+1)))</f>
        <v/>
      </c>
      <c r="AT142" s="20" t="str" cm="1">
        <f t="array" aca="1" ref="AT142" ca="1">IF(OR(AS142=0,AS142=""),"",INDEX(misCriticidades,AR142)&amp;"-"&amp;IFERROR(MATCH(AS142,miOrdenTarjeta,0),0))</f>
        <v/>
      </c>
      <c r="AV142" s="20">
        <f t="shared" ca="1" si="69"/>
        <v>1</v>
      </c>
      <c r="AW142" s="20" t="str">
        <f t="shared" ca="1" si="60"/>
        <v/>
      </c>
      <c r="AX142" s="20" t="str" cm="1">
        <f t="array" aca="1" ref="AX142" ca="1">IF(AW142="","",IF(AW142&lt;&gt;AW141,1,IF(AX141=misLíneas-2,0,AX141+1)))</f>
        <v/>
      </c>
      <c r="AY142" s="20" t="str" cm="1">
        <f t="array" aca="1" ref="AY142" ca="1">IF(OR(AX142=0,AX142=""),"",INDEX(misCriticidades,AW142)&amp;"-"&amp;IFERROR(MATCH(AX142,miOrdenTarjeta,0),0))</f>
        <v/>
      </c>
    </row>
    <row r="143" spans="3:51" x14ac:dyDescent="0.25">
      <c r="C143" s="20">
        <f t="shared" ca="1" si="70"/>
        <v>1</v>
      </c>
      <c r="D143" s="20" t="str">
        <f t="shared" ca="1" si="51"/>
        <v/>
      </c>
      <c r="E143" s="20" t="str" cm="1">
        <f t="array" aca="1" ref="E143" ca="1">IF(D143="","",IF(D143&lt;&gt;D142,1,IF(E142=misLíneas-2,0,E142+1)))</f>
        <v/>
      </c>
      <c r="F143" s="20" t="str" cm="1">
        <f t="array" aca="1" ref="F143" ca="1">IF(OR(E143=0,E143=""),"",INDEX(misCriticidades,D143)&amp;"-"&amp;IFERROR(MATCH(E143,miOrdenTarjeta,0),0))</f>
        <v/>
      </c>
      <c r="H143" s="20">
        <f t="shared" ca="1" si="61"/>
        <v>7</v>
      </c>
      <c r="I143" s="20" t="str">
        <f t="shared" ca="1" si="52"/>
        <v/>
      </c>
      <c r="J143" s="20" t="str" cm="1">
        <f t="array" aca="1" ref="J143" ca="1">IF(I143="","",IF(I143&lt;&gt;I142,1,IF(J142=misLíneas-2,0,J142+1)))</f>
        <v/>
      </c>
      <c r="K143" s="20" t="str" cm="1">
        <f t="array" aca="1" ref="K143" ca="1">IF(OR(J143=0,J143=""),"",INDEX(misCriticidades,I143)&amp;"-"&amp;IFERROR(MATCH(J143,miOrdenTarjeta,0),0))</f>
        <v/>
      </c>
      <c r="M143" s="20">
        <f t="shared" ca="1" si="62"/>
        <v>1</v>
      </c>
      <c r="N143" s="20" t="str">
        <f t="shared" ca="1" si="53"/>
        <v/>
      </c>
      <c r="O143" s="20" t="str" cm="1">
        <f t="array" aca="1" ref="O143" ca="1">IF(N143="","",IF(N143&lt;&gt;N142,1,IF(O142=misLíneas-2,0,O142+1)))</f>
        <v/>
      </c>
      <c r="P143" s="20" t="str" cm="1">
        <f t="array" aca="1" ref="P143" ca="1">IF(OR(O143=0,O143=""),"",INDEX(misCriticidades,N143)&amp;"-"&amp;IFERROR(MATCH(O143,miOrdenTarjeta,0),0))</f>
        <v/>
      </c>
      <c r="R143" s="20">
        <f t="shared" ca="1" si="63"/>
        <v>15</v>
      </c>
      <c r="S143" s="20">
        <f t="shared" ca="1" si="54"/>
        <v>15</v>
      </c>
      <c r="T143" s="20" cm="1">
        <f t="array" aca="1" ref="T143" ca="1">IF(S143="","",IF(S143&lt;&gt;S142,1,IF(T142=misLíneas-2,0,T142+1)))</f>
        <v>1</v>
      </c>
      <c r="U143" s="20" t="str" cm="1">
        <f t="array" aca="1" ref="U143" ca="1">IF(OR(T143=0,T143=""),"",INDEX(misCriticidades,S143)&amp;"-"&amp;IFERROR(MATCH(T143,miOrdenTarjeta,0),0))</f>
        <v>2-1</v>
      </c>
      <c r="W143" s="20">
        <f t="shared" ca="1" si="64"/>
        <v>1</v>
      </c>
      <c r="X143" s="20" t="str">
        <f t="shared" ca="1" si="55"/>
        <v/>
      </c>
      <c r="Y143" s="20" t="str" cm="1">
        <f t="array" aca="1" ref="Y143" ca="1">IF(X143="","",IF(X143&lt;&gt;X142,1,IF(Y142=misLíneas-2,0,Y142+1)))</f>
        <v/>
      </c>
      <c r="Z143" s="20" t="str" cm="1">
        <f t="array" aca="1" ref="Z143" ca="1">IF(OR(Y143=0,Y143=""),"",INDEX(misCriticidades,X143)&amp;"-"&amp;IFERROR(MATCH(Y143,miOrdenTarjeta,0),0))</f>
        <v/>
      </c>
      <c r="AB143" s="20">
        <f t="shared" ca="1" si="65"/>
        <v>1</v>
      </c>
      <c r="AC143" s="20" t="str">
        <f t="shared" ca="1" si="56"/>
        <v/>
      </c>
      <c r="AD143" s="20" t="str" cm="1">
        <f t="array" aca="1" ref="AD143" ca="1">IF(AC143="","",IF(AC143&lt;&gt;AC142,1,IF(AD142=misLíneas-2,0,AD142+1)))</f>
        <v/>
      </c>
      <c r="AE143" s="20" t="str" cm="1">
        <f t="array" aca="1" ref="AE143" ca="1">IF(OR(AD143=0,AD143=""),"",INDEX(misCriticidades,AC143)&amp;"-"&amp;IFERROR(MATCH(AD143,miOrdenTarjeta,0),0))</f>
        <v/>
      </c>
      <c r="AG143" s="20">
        <f t="shared" ca="1" si="66"/>
        <v>1</v>
      </c>
      <c r="AH143" s="20" t="str">
        <f t="shared" ca="1" si="57"/>
        <v/>
      </c>
      <c r="AI143" s="20" t="str" cm="1">
        <f t="array" aca="1" ref="AI143" ca="1">IF(AH143="","",IF(AH143&lt;&gt;AH142,1,IF(AI142=misLíneas-2,0,AI142+1)))</f>
        <v/>
      </c>
      <c r="AJ143" s="20" t="str" cm="1">
        <f t="array" aca="1" ref="AJ143" ca="1">IF(OR(AI143=0,AI143=""),"",INDEX(misCriticidades,AH143)&amp;"-"&amp;IFERROR(MATCH(AI143,miOrdenTarjeta,0),0))</f>
        <v/>
      </c>
      <c r="AL143" s="20">
        <f t="shared" ca="1" si="67"/>
        <v>1</v>
      </c>
      <c r="AM143" s="20" t="str">
        <f t="shared" ca="1" si="58"/>
        <v/>
      </c>
      <c r="AN143" s="20" t="str" cm="1">
        <f t="array" aca="1" ref="AN143" ca="1">IF(AM143="","",IF(AM143&lt;&gt;AM142,1,IF(AN142=misLíneas-2,0,AN142+1)))</f>
        <v/>
      </c>
      <c r="AO143" s="20" t="str" cm="1">
        <f t="array" aca="1" ref="AO143" ca="1">IF(OR(AN143=0,AN143=""),"",INDEX(misCriticidades,AM143)&amp;"-"&amp;IFERROR(MATCH(AN143,miOrdenTarjeta,0),0))</f>
        <v/>
      </c>
      <c r="AQ143" s="20">
        <f t="shared" ca="1" si="68"/>
        <v>1</v>
      </c>
      <c r="AR143" s="20" t="str">
        <f t="shared" ca="1" si="59"/>
        <v/>
      </c>
      <c r="AS143" s="20" t="str" cm="1">
        <f t="array" aca="1" ref="AS143" ca="1">IF(AR143="","",IF(AR143&lt;&gt;AR142,1,IF(AS142=misLíneas-2,0,AS142+1)))</f>
        <v/>
      </c>
      <c r="AT143" s="20" t="str" cm="1">
        <f t="array" aca="1" ref="AT143" ca="1">IF(OR(AS143=0,AS143=""),"",INDEX(misCriticidades,AR143)&amp;"-"&amp;IFERROR(MATCH(AS143,miOrdenTarjeta,0),0))</f>
        <v/>
      </c>
      <c r="AV143" s="20">
        <f t="shared" ca="1" si="69"/>
        <v>1</v>
      </c>
      <c r="AW143" s="20" t="str">
        <f t="shared" ca="1" si="60"/>
        <v/>
      </c>
      <c r="AX143" s="20" t="str" cm="1">
        <f t="array" aca="1" ref="AX143" ca="1">IF(AW143="","",IF(AW143&lt;&gt;AW142,1,IF(AX142=misLíneas-2,0,AX142+1)))</f>
        <v/>
      </c>
      <c r="AY143" s="20" t="str" cm="1">
        <f t="array" aca="1" ref="AY143" ca="1">IF(OR(AX143=0,AX143=""),"",INDEX(misCriticidades,AW143)&amp;"-"&amp;IFERROR(MATCH(AX143,miOrdenTarjeta,0),0))</f>
        <v/>
      </c>
    </row>
    <row r="144" spans="3:51" x14ac:dyDescent="0.25">
      <c r="C144" s="20">
        <f t="shared" ca="1" si="70"/>
        <v>1</v>
      </c>
      <c r="D144" s="20" t="str">
        <f t="shared" ca="1" si="51"/>
        <v/>
      </c>
      <c r="E144" s="20" t="str" cm="1">
        <f t="array" aca="1" ref="E144" ca="1">IF(D144="","",IF(D144&lt;&gt;D143,1,IF(E143=misLíneas-2,0,E143+1)))</f>
        <v/>
      </c>
      <c r="F144" s="20" t="str" cm="1">
        <f t="array" aca="1" ref="F144" ca="1">IF(OR(E144=0,E144=""),"",INDEX(misCriticidades,D144)&amp;"-"&amp;IFERROR(MATCH(E144,miOrdenTarjeta,0),0))</f>
        <v/>
      </c>
      <c r="H144" s="20">
        <f t="shared" ca="1" si="61"/>
        <v>7</v>
      </c>
      <c r="I144" s="20" t="str">
        <f t="shared" ca="1" si="52"/>
        <v/>
      </c>
      <c r="J144" s="20" t="str" cm="1">
        <f t="array" aca="1" ref="J144" ca="1">IF(I144="","",IF(I144&lt;&gt;I143,1,IF(J143=misLíneas-2,0,J143+1)))</f>
        <v/>
      </c>
      <c r="K144" s="20" t="str" cm="1">
        <f t="array" aca="1" ref="K144" ca="1">IF(OR(J144=0,J144=""),"",INDEX(misCriticidades,I144)&amp;"-"&amp;IFERROR(MATCH(J144,miOrdenTarjeta,0),0))</f>
        <v/>
      </c>
      <c r="M144" s="20">
        <f t="shared" ca="1" si="62"/>
        <v>1</v>
      </c>
      <c r="N144" s="20" t="str">
        <f t="shared" ca="1" si="53"/>
        <v/>
      </c>
      <c r="O144" s="20" t="str" cm="1">
        <f t="array" aca="1" ref="O144" ca="1">IF(N144="","",IF(N144&lt;&gt;N143,1,IF(O143=misLíneas-2,0,O143+1)))</f>
        <v/>
      </c>
      <c r="P144" s="20" t="str" cm="1">
        <f t="array" aca="1" ref="P144" ca="1">IF(OR(O144=0,O144=""),"",INDEX(misCriticidades,N144)&amp;"-"&amp;IFERROR(MATCH(O144,miOrdenTarjeta,0),0))</f>
        <v/>
      </c>
      <c r="R144" s="20">
        <f t="shared" ca="1" si="63"/>
        <v>15</v>
      </c>
      <c r="S144" s="20">
        <f t="shared" ca="1" si="54"/>
        <v>15</v>
      </c>
      <c r="T144" s="20" cm="1">
        <f t="array" aca="1" ref="T144" ca="1">IF(S144="","",IF(S144&lt;&gt;S143,1,IF(T143=misLíneas-2,0,T143+1)))</f>
        <v>2</v>
      </c>
      <c r="U144" s="20" t="str" cm="1">
        <f t="array" aca="1" ref="U144" ca="1">IF(OR(T144=0,T144=""),"",INDEX(misCriticidades,S144)&amp;"-"&amp;IFERROR(MATCH(T144,miOrdenTarjeta,0),0))</f>
        <v>2-2</v>
      </c>
      <c r="W144" s="20">
        <f t="shared" ca="1" si="64"/>
        <v>1</v>
      </c>
      <c r="X144" s="20" t="str">
        <f t="shared" ca="1" si="55"/>
        <v/>
      </c>
      <c r="Y144" s="20" t="str" cm="1">
        <f t="array" aca="1" ref="Y144" ca="1">IF(X144="","",IF(X144&lt;&gt;X143,1,IF(Y143=misLíneas-2,0,Y143+1)))</f>
        <v/>
      </c>
      <c r="Z144" s="20" t="str" cm="1">
        <f t="array" aca="1" ref="Z144" ca="1">IF(OR(Y144=0,Y144=""),"",INDEX(misCriticidades,X144)&amp;"-"&amp;IFERROR(MATCH(Y144,miOrdenTarjeta,0),0))</f>
        <v/>
      </c>
      <c r="AB144" s="20">
        <f t="shared" ca="1" si="65"/>
        <v>1</v>
      </c>
      <c r="AC144" s="20" t="str">
        <f t="shared" ca="1" si="56"/>
        <v/>
      </c>
      <c r="AD144" s="20" t="str" cm="1">
        <f t="array" aca="1" ref="AD144" ca="1">IF(AC144="","",IF(AC144&lt;&gt;AC143,1,IF(AD143=misLíneas-2,0,AD143+1)))</f>
        <v/>
      </c>
      <c r="AE144" s="20" t="str" cm="1">
        <f t="array" aca="1" ref="AE144" ca="1">IF(OR(AD144=0,AD144=""),"",INDEX(misCriticidades,AC144)&amp;"-"&amp;IFERROR(MATCH(AD144,miOrdenTarjeta,0),0))</f>
        <v/>
      </c>
      <c r="AG144" s="20">
        <f t="shared" ca="1" si="66"/>
        <v>1</v>
      </c>
      <c r="AH144" s="20" t="str">
        <f t="shared" ca="1" si="57"/>
        <v/>
      </c>
      <c r="AI144" s="20" t="str" cm="1">
        <f t="array" aca="1" ref="AI144" ca="1">IF(AH144="","",IF(AH144&lt;&gt;AH143,1,IF(AI143=misLíneas-2,0,AI143+1)))</f>
        <v/>
      </c>
      <c r="AJ144" s="20" t="str" cm="1">
        <f t="array" aca="1" ref="AJ144" ca="1">IF(OR(AI144=0,AI144=""),"",INDEX(misCriticidades,AH144)&amp;"-"&amp;IFERROR(MATCH(AI144,miOrdenTarjeta,0),0))</f>
        <v/>
      </c>
      <c r="AL144" s="20">
        <f t="shared" ca="1" si="67"/>
        <v>1</v>
      </c>
      <c r="AM144" s="20" t="str">
        <f t="shared" ca="1" si="58"/>
        <v/>
      </c>
      <c r="AN144" s="20" t="str" cm="1">
        <f t="array" aca="1" ref="AN144" ca="1">IF(AM144="","",IF(AM144&lt;&gt;AM143,1,IF(AN143=misLíneas-2,0,AN143+1)))</f>
        <v/>
      </c>
      <c r="AO144" s="20" t="str" cm="1">
        <f t="array" aca="1" ref="AO144" ca="1">IF(OR(AN144=0,AN144=""),"",INDEX(misCriticidades,AM144)&amp;"-"&amp;IFERROR(MATCH(AN144,miOrdenTarjeta,0),0))</f>
        <v/>
      </c>
      <c r="AQ144" s="20">
        <f t="shared" ca="1" si="68"/>
        <v>1</v>
      </c>
      <c r="AR144" s="20" t="str">
        <f t="shared" ca="1" si="59"/>
        <v/>
      </c>
      <c r="AS144" s="20" t="str" cm="1">
        <f t="array" aca="1" ref="AS144" ca="1">IF(AR144="","",IF(AR144&lt;&gt;AR143,1,IF(AS143=misLíneas-2,0,AS143+1)))</f>
        <v/>
      </c>
      <c r="AT144" s="20" t="str" cm="1">
        <f t="array" aca="1" ref="AT144" ca="1">IF(OR(AS144=0,AS144=""),"",INDEX(misCriticidades,AR144)&amp;"-"&amp;IFERROR(MATCH(AS144,miOrdenTarjeta,0),0))</f>
        <v/>
      </c>
      <c r="AV144" s="20">
        <f t="shared" ca="1" si="69"/>
        <v>1</v>
      </c>
      <c r="AW144" s="20" t="str">
        <f t="shared" ca="1" si="60"/>
        <v/>
      </c>
      <c r="AX144" s="20" t="str" cm="1">
        <f t="array" aca="1" ref="AX144" ca="1">IF(AW144="","",IF(AW144&lt;&gt;AW143,1,IF(AX143=misLíneas-2,0,AX143+1)))</f>
        <v/>
      </c>
      <c r="AY144" s="20" t="str" cm="1">
        <f t="array" aca="1" ref="AY144" ca="1">IF(OR(AX144=0,AX144=""),"",INDEX(misCriticidades,AW144)&amp;"-"&amp;IFERROR(MATCH(AX144,miOrdenTarjeta,0),0))</f>
        <v/>
      </c>
    </row>
    <row r="145" spans="3:51" x14ac:dyDescent="0.25">
      <c r="C145" s="20">
        <f t="shared" ca="1" si="70"/>
        <v>1</v>
      </c>
      <c r="D145" s="20" t="str">
        <f t="shared" ca="1" si="51"/>
        <v/>
      </c>
      <c r="E145" s="20" t="str" cm="1">
        <f t="array" aca="1" ref="E145" ca="1">IF(D145="","",IF(D145&lt;&gt;D144,1,IF(E144=misLíneas-2,0,E144+1)))</f>
        <v/>
      </c>
      <c r="F145" s="20" t="str" cm="1">
        <f t="array" aca="1" ref="F145" ca="1">IF(OR(E145=0,E145=""),"",INDEX(misCriticidades,D145)&amp;"-"&amp;IFERROR(MATCH(E145,miOrdenTarjeta,0),0))</f>
        <v/>
      </c>
      <c r="H145" s="20">
        <f t="shared" ca="1" si="61"/>
        <v>7</v>
      </c>
      <c r="I145" s="20" t="str">
        <f t="shared" ca="1" si="52"/>
        <v/>
      </c>
      <c r="J145" s="20" t="str" cm="1">
        <f t="array" aca="1" ref="J145" ca="1">IF(I145="","",IF(I145&lt;&gt;I144,1,IF(J144=misLíneas-2,0,J144+1)))</f>
        <v/>
      </c>
      <c r="K145" s="20" t="str" cm="1">
        <f t="array" aca="1" ref="K145" ca="1">IF(OR(J145=0,J145=""),"",INDEX(misCriticidades,I145)&amp;"-"&amp;IFERROR(MATCH(J145,miOrdenTarjeta,0),0))</f>
        <v/>
      </c>
      <c r="M145" s="20">
        <f t="shared" ca="1" si="62"/>
        <v>1</v>
      </c>
      <c r="N145" s="20" t="str">
        <f t="shared" ca="1" si="53"/>
        <v/>
      </c>
      <c r="O145" s="20" t="str" cm="1">
        <f t="array" aca="1" ref="O145" ca="1">IF(N145="","",IF(N145&lt;&gt;N144,1,IF(O144=misLíneas-2,0,O144+1)))</f>
        <v/>
      </c>
      <c r="P145" s="20" t="str" cm="1">
        <f t="array" aca="1" ref="P145" ca="1">IF(OR(O145=0,O145=""),"",INDEX(misCriticidades,N145)&amp;"-"&amp;IFERROR(MATCH(O145,miOrdenTarjeta,0),0))</f>
        <v/>
      </c>
      <c r="R145" s="20">
        <f t="shared" ca="1" si="63"/>
        <v>15</v>
      </c>
      <c r="S145" s="20">
        <f t="shared" ca="1" si="54"/>
        <v>15</v>
      </c>
      <c r="T145" s="20" cm="1">
        <f t="array" aca="1" ref="T145" ca="1">IF(S145="","",IF(S145&lt;&gt;S144,1,IF(T144=misLíneas-2,0,T144+1)))</f>
        <v>3</v>
      </c>
      <c r="U145" s="20" t="str" cm="1">
        <f t="array" aca="1" ref="U145" ca="1">IF(OR(T145=0,T145=""),"",INDEX(misCriticidades,S145)&amp;"-"&amp;IFERROR(MATCH(T145,miOrdenTarjeta,0),0))</f>
        <v>2-3</v>
      </c>
      <c r="W145" s="20">
        <f t="shared" ca="1" si="64"/>
        <v>1</v>
      </c>
      <c r="X145" s="20" t="str">
        <f t="shared" ca="1" si="55"/>
        <v/>
      </c>
      <c r="Y145" s="20" t="str" cm="1">
        <f t="array" aca="1" ref="Y145" ca="1">IF(X145="","",IF(X145&lt;&gt;X144,1,IF(Y144=misLíneas-2,0,Y144+1)))</f>
        <v/>
      </c>
      <c r="Z145" s="20" t="str" cm="1">
        <f t="array" aca="1" ref="Z145" ca="1">IF(OR(Y145=0,Y145=""),"",INDEX(misCriticidades,X145)&amp;"-"&amp;IFERROR(MATCH(Y145,miOrdenTarjeta,0),0))</f>
        <v/>
      </c>
      <c r="AB145" s="20">
        <f t="shared" ca="1" si="65"/>
        <v>1</v>
      </c>
      <c r="AC145" s="20" t="str">
        <f t="shared" ca="1" si="56"/>
        <v/>
      </c>
      <c r="AD145" s="20" t="str" cm="1">
        <f t="array" aca="1" ref="AD145" ca="1">IF(AC145="","",IF(AC145&lt;&gt;AC144,1,IF(AD144=misLíneas-2,0,AD144+1)))</f>
        <v/>
      </c>
      <c r="AE145" s="20" t="str" cm="1">
        <f t="array" aca="1" ref="AE145" ca="1">IF(OR(AD145=0,AD145=""),"",INDEX(misCriticidades,AC145)&amp;"-"&amp;IFERROR(MATCH(AD145,miOrdenTarjeta,0),0))</f>
        <v/>
      </c>
      <c r="AG145" s="20">
        <f t="shared" ca="1" si="66"/>
        <v>1</v>
      </c>
      <c r="AH145" s="20" t="str">
        <f t="shared" ca="1" si="57"/>
        <v/>
      </c>
      <c r="AI145" s="20" t="str" cm="1">
        <f t="array" aca="1" ref="AI145" ca="1">IF(AH145="","",IF(AH145&lt;&gt;AH144,1,IF(AI144=misLíneas-2,0,AI144+1)))</f>
        <v/>
      </c>
      <c r="AJ145" s="20" t="str" cm="1">
        <f t="array" aca="1" ref="AJ145" ca="1">IF(OR(AI145=0,AI145=""),"",INDEX(misCriticidades,AH145)&amp;"-"&amp;IFERROR(MATCH(AI145,miOrdenTarjeta,0),0))</f>
        <v/>
      </c>
      <c r="AL145" s="20">
        <f t="shared" ca="1" si="67"/>
        <v>1</v>
      </c>
      <c r="AM145" s="20" t="str">
        <f t="shared" ca="1" si="58"/>
        <v/>
      </c>
      <c r="AN145" s="20" t="str" cm="1">
        <f t="array" aca="1" ref="AN145" ca="1">IF(AM145="","",IF(AM145&lt;&gt;AM144,1,IF(AN144=misLíneas-2,0,AN144+1)))</f>
        <v/>
      </c>
      <c r="AO145" s="20" t="str" cm="1">
        <f t="array" aca="1" ref="AO145" ca="1">IF(OR(AN145=0,AN145=""),"",INDEX(misCriticidades,AM145)&amp;"-"&amp;IFERROR(MATCH(AN145,miOrdenTarjeta,0),0))</f>
        <v/>
      </c>
      <c r="AQ145" s="20">
        <f t="shared" ca="1" si="68"/>
        <v>1</v>
      </c>
      <c r="AR145" s="20" t="str">
        <f t="shared" ca="1" si="59"/>
        <v/>
      </c>
      <c r="AS145" s="20" t="str" cm="1">
        <f t="array" aca="1" ref="AS145" ca="1">IF(AR145="","",IF(AR145&lt;&gt;AR144,1,IF(AS144=misLíneas-2,0,AS144+1)))</f>
        <v/>
      </c>
      <c r="AT145" s="20" t="str" cm="1">
        <f t="array" aca="1" ref="AT145" ca="1">IF(OR(AS145=0,AS145=""),"",INDEX(misCriticidades,AR145)&amp;"-"&amp;IFERROR(MATCH(AS145,miOrdenTarjeta,0),0))</f>
        <v/>
      </c>
      <c r="AV145" s="20">
        <f t="shared" ca="1" si="69"/>
        <v>1</v>
      </c>
      <c r="AW145" s="20" t="str">
        <f t="shared" ca="1" si="60"/>
        <v/>
      </c>
      <c r="AX145" s="20" t="str" cm="1">
        <f t="array" aca="1" ref="AX145" ca="1">IF(AW145="","",IF(AW145&lt;&gt;AW144,1,IF(AX144=misLíneas-2,0,AX144+1)))</f>
        <v/>
      </c>
      <c r="AY145" s="20" t="str" cm="1">
        <f t="array" aca="1" ref="AY145" ca="1">IF(OR(AX145=0,AX145=""),"",INDEX(misCriticidades,AW145)&amp;"-"&amp;IFERROR(MATCH(AX145,miOrdenTarjeta,0),0))</f>
        <v/>
      </c>
    </row>
    <row r="146" spans="3:51" x14ac:dyDescent="0.25">
      <c r="C146" s="20">
        <f t="shared" ca="1" si="70"/>
        <v>1</v>
      </c>
      <c r="D146" s="20" t="str">
        <f t="shared" ca="1" si="51"/>
        <v/>
      </c>
      <c r="E146" s="20" t="str" cm="1">
        <f t="array" aca="1" ref="E146" ca="1">IF(D146="","",IF(D146&lt;&gt;D145,1,IF(E145=misLíneas-2,0,E145+1)))</f>
        <v/>
      </c>
      <c r="F146" s="20" t="str" cm="1">
        <f t="array" aca="1" ref="F146" ca="1">IF(OR(E146=0,E146=""),"",INDEX(misCriticidades,D146)&amp;"-"&amp;IFERROR(MATCH(E146,miOrdenTarjeta,0),0))</f>
        <v/>
      </c>
      <c r="H146" s="20">
        <f t="shared" ca="1" si="61"/>
        <v>7</v>
      </c>
      <c r="I146" s="20" t="str">
        <f t="shared" ca="1" si="52"/>
        <v/>
      </c>
      <c r="J146" s="20" t="str" cm="1">
        <f t="array" aca="1" ref="J146" ca="1">IF(I146="","",IF(I146&lt;&gt;I145,1,IF(J145=misLíneas-2,0,J145+1)))</f>
        <v/>
      </c>
      <c r="K146" s="20" t="str" cm="1">
        <f t="array" aca="1" ref="K146" ca="1">IF(OR(J146=0,J146=""),"",INDEX(misCriticidades,I146)&amp;"-"&amp;IFERROR(MATCH(J146,miOrdenTarjeta,0),0))</f>
        <v/>
      </c>
      <c r="M146" s="20">
        <f t="shared" ca="1" si="62"/>
        <v>1</v>
      </c>
      <c r="N146" s="20" t="str">
        <f t="shared" ca="1" si="53"/>
        <v/>
      </c>
      <c r="O146" s="20" t="str" cm="1">
        <f t="array" aca="1" ref="O146" ca="1">IF(N146="","",IF(N146&lt;&gt;N145,1,IF(O145=misLíneas-2,0,O145+1)))</f>
        <v/>
      </c>
      <c r="P146" s="20" t="str" cm="1">
        <f t="array" aca="1" ref="P146" ca="1">IF(OR(O146=0,O146=""),"",INDEX(misCriticidades,N146)&amp;"-"&amp;IFERROR(MATCH(O146,miOrdenTarjeta,0),0))</f>
        <v/>
      </c>
      <c r="R146" s="20">
        <f t="shared" ca="1" si="63"/>
        <v>15</v>
      </c>
      <c r="S146" s="20">
        <f t="shared" ca="1" si="54"/>
        <v>15</v>
      </c>
      <c r="T146" s="20" cm="1">
        <f t="array" aca="1" ref="T146" ca="1">IF(S146="","",IF(S146&lt;&gt;S145,1,IF(T145=misLíneas-2,0,T145+1)))</f>
        <v>4</v>
      </c>
      <c r="U146" s="20" t="str" cm="1">
        <f t="array" aca="1" ref="U146" ca="1">IF(OR(T146=0,T146=""),"",INDEX(misCriticidades,S146)&amp;"-"&amp;IFERROR(MATCH(T146,miOrdenTarjeta,0),0))</f>
        <v>2-4</v>
      </c>
      <c r="W146" s="20">
        <f t="shared" ca="1" si="64"/>
        <v>1</v>
      </c>
      <c r="X146" s="20" t="str">
        <f t="shared" ca="1" si="55"/>
        <v/>
      </c>
      <c r="Y146" s="20" t="str" cm="1">
        <f t="array" aca="1" ref="Y146" ca="1">IF(X146="","",IF(X146&lt;&gt;X145,1,IF(Y145=misLíneas-2,0,Y145+1)))</f>
        <v/>
      </c>
      <c r="Z146" s="20" t="str" cm="1">
        <f t="array" aca="1" ref="Z146" ca="1">IF(OR(Y146=0,Y146=""),"",INDEX(misCriticidades,X146)&amp;"-"&amp;IFERROR(MATCH(Y146,miOrdenTarjeta,0),0))</f>
        <v/>
      </c>
      <c r="AB146" s="20">
        <f t="shared" ca="1" si="65"/>
        <v>1</v>
      </c>
      <c r="AC146" s="20" t="str">
        <f t="shared" ca="1" si="56"/>
        <v/>
      </c>
      <c r="AD146" s="20" t="str" cm="1">
        <f t="array" aca="1" ref="AD146" ca="1">IF(AC146="","",IF(AC146&lt;&gt;AC145,1,IF(AD145=misLíneas-2,0,AD145+1)))</f>
        <v/>
      </c>
      <c r="AE146" s="20" t="str" cm="1">
        <f t="array" aca="1" ref="AE146" ca="1">IF(OR(AD146=0,AD146=""),"",INDEX(misCriticidades,AC146)&amp;"-"&amp;IFERROR(MATCH(AD146,miOrdenTarjeta,0),0))</f>
        <v/>
      </c>
      <c r="AG146" s="20">
        <f t="shared" ca="1" si="66"/>
        <v>1</v>
      </c>
      <c r="AH146" s="20" t="str">
        <f t="shared" ca="1" si="57"/>
        <v/>
      </c>
      <c r="AI146" s="20" t="str" cm="1">
        <f t="array" aca="1" ref="AI146" ca="1">IF(AH146="","",IF(AH146&lt;&gt;AH145,1,IF(AI145=misLíneas-2,0,AI145+1)))</f>
        <v/>
      </c>
      <c r="AJ146" s="20" t="str" cm="1">
        <f t="array" aca="1" ref="AJ146" ca="1">IF(OR(AI146=0,AI146=""),"",INDEX(misCriticidades,AH146)&amp;"-"&amp;IFERROR(MATCH(AI146,miOrdenTarjeta,0),0))</f>
        <v/>
      </c>
      <c r="AL146" s="20">
        <f t="shared" ca="1" si="67"/>
        <v>1</v>
      </c>
      <c r="AM146" s="20" t="str">
        <f t="shared" ca="1" si="58"/>
        <v/>
      </c>
      <c r="AN146" s="20" t="str" cm="1">
        <f t="array" aca="1" ref="AN146" ca="1">IF(AM146="","",IF(AM146&lt;&gt;AM145,1,IF(AN145=misLíneas-2,0,AN145+1)))</f>
        <v/>
      </c>
      <c r="AO146" s="20" t="str" cm="1">
        <f t="array" aca="1" ref="AO146" ca="1">IF(OR(AN146=0,AN146=""),"",INDEX(misCriticidades,AM146)&amp;"-"&amp;IFERROR(MATCH(AN146,miOrdenTarjeta,0),0))</f>
        <v/>
      </c>
      <c r="AQ146" s="20">
        <f t="shared" ca="1" si="68"/>
        <v>1</v>
      </c>
      <c r="AR146" s="20" t="str">
        <f t="shared" ca="1" si="59"/>
        <v/>
      </c>
      <c r="AS146" s="20" t="str" cm="1">
        <f t="array" aca="1" ref="AS146" ca="1">IF(AR146="","",IF(AR146&lt;&gt;AR145,1,IF(AS145=misLíneas-2,0,AS145+1)))</f>
        <v/>
      </c>
      <c r="AT146" s="20" t="str" cm="1">
        <f t="array" aca="1" ref="AT146" ca="1">IF(OR(AS146=0,AS146=""),"",INDEX(misCriticidades,AR146)&amp;"-"&amp;IFERROR(MATCH(AS146,miOrdenTarjeta,0),0))</f>
        <v/>
      </c>
      <c r="AV146" s="20">
        <f t="shared" ca="1" si="69"/>
        <v>1</v>
      </c>
      <c r="AW146" s="20" t="str">
        <f t="shared" ca="1" si="60"/>
        <v/>
      </c>
      <c r="AX146" s="20" t="str" cm="1">
        <f t="array" aca="1" ref="AX146" ca="1">IF(AW146="","",IF(AW146&lt;&gt;AW145,1,IF(AX145=misLíneas-2,0,AX145+1)))</f>
        <v/>
      </c>
      <c r="AY146" s="20" t="str" cm="1">
        <f t="array" aca="1" ref="AY146" ca="1">IF(OR(AX146=0,AX146=""),"",INDEX(misCriticidades,AW146)&amp;"-"&amp;IFERROR(MATCH(AX146,miOrdenTarjeta,0),0))</f>
        <v/>
      </c>
    </row>
    <row r="147" spans="3:51" x14ac:dyDescent="0.25">
      <c r="C147" s="20">
        <f t="shared" ca="1" si="70"/>
        <v>1</v>
      </c>
      <c r="D147" s="20" t="str">
        <f t="shared" ca="1" si="51"/>
        <v/>
      </c>
      <c r="E147" s="20" t="str" cm="1">
        <f t="array" aca="1" ref="E147" ca="1">IF(D147="","",IF(D147&lt;&gt;D146,1,IF(E146=misLíneas-2,0,E146+1)))</f>
        <v/>
      </c>
      <c r="F147" s="20" t="str" cm="1">
        <f t="array" aca="1" ref="F147" ca="1">IF(OR(E147=0,E147=""),"",INDEX(misCriticidades,D147)&amp;"-"&amp;IFERROR(MATCH(E147,miOrdenTarjeta,0),0))</f>
        <v/>
      </c>
      <c r="H147" s="20">
        <f t="shared" ca="1" si="61"/>
        <v>7</v>
      </c>
      <c r="I147" s="20" t="str">
        <f t="shared" ca="1" si="52"/>
        <v/>
      </c>
      <c r="J147" s="20" t="str" cm="1">
        <f t="array" aca="1" ref="J147" ca="1">IF(I147="","",IF(I147&lt;&gt;I146,1,IF(J146=misLíneas-2,0,J146+1)))</f>
        <v/>
      </c>
      <c r="K147" s="20" t="str" cm="1">
        <f t="array" aca="1" ref="K147" ca="1">IF(OR(J147=0,J147=""),"",INDEX(misCriticidades,I147)&amp;"-"&amp;IFERROR(MATCH(J147,miOrdenTarjeta,0),0))</f>
        <v/>
      </c>
      <c r="M147" s="20">
        <f t="shared" ca="1" si="62"/>
        <v>1</v>
      </c>
      <c r="N147" s="20" t="str">
        <f t="shared" ca="1" si="53"/>
        <v/>
      </c>
      <c r="O147" s="20" t="str" cm="1">
        <f t="array" aca="1" ref="O147" ca="1">IF(N147="","",IF(N147&lt;&gt;N146,1,IF(O146=misLíneas-2,0,O146+1)))</f>
        <v/>
      </c>
      <c r="P147" s="20" t="str" cm="1">
        <f t="array" aca="1" ref="P147" ca="1">IF(OR(O147=0,O147=""),"",INDEX(misCriticidades,N147)&amp;"-"&amp;IFERROR(MATCH(O147,miOrdenTarjeta,0),0))</f>
        <v/>
      </c>
      <c r="R147" s="20">
        <f t="shared" ca="1" si="63"/>
        <v>15</v>
      </c>
      <c r="S147" s="20">
        <f t="shared" ca="1" si="54"/>
        <v>15</v>
      </c>
      <c r="T147" s="20" cm="1">
        <f t="array" aca="1" ref="T147" ca="1">IF(S147="","",IF(S147&lt;&gt;S146,1,IF(T146=misLíneas-2,0,T146+1)))</f>
        <v>5</v>
      </c>
      <c r="U147" s="20" t="str" cm="1">
        <f t="array" aca="1" ref="U147" ca="1">IF(OR(T147=0,T147=""),"",INDEX(misCriticidades,S147)&amp;"-"&amp;IFERROR(MATCH(T147,miOrdenTarjeta,0),0))</f>
        <v>2-5</v>
      </c>
      <c r="W147" s="20">
        <f t="shared" ca="1" si="64"/>
        <v>1</v>
      </c>
      <c r="X147" s="20" t="str">
        <f t="shared" ca="1" si="55"/>
        <v/>
      </c>
      <c r="Y147" s="20" t="str" cm="1">
        <f t="array" aca="1" ref="Y147" ca="1">IF(X147="","",IF(X147&lt;&gt;X146,1,IF(Y146=misLíneas-2,0,Y146+1)))</f>
        <v/>
      </c>
      <c r="Z147" s="20" t="str" cm="1">
        <f t="array" aca="1" ref="Z147" ca="1">IF(OR(Y147=0,Y147=""),"",INDEX(misCriticidades,X147)&amp;"-"&amp;IFERROR(MATCH(Y147,miOrdenTarjeta,0),0))</f>
        <v/>
      </c>
      <c r="AB147" s="20">
        <f t="shared" ca="1" si="65"/>
        <v>1</v>
      </c>
      <c r="AC147" s="20" t="str">
        <f t="shared" ca="1" si="56"/>
        <v/>
      </c>
      <c r="AD147" s="20" t="str" cm="1">
        <f t="array" aca="1" ref="AD147" ca="1">IF(AC147="","",IF(AC147&lt;&gt;AC146,1,IF(AD146=misLíneas-2,0,AD146+1)))</f>
        <v/>
      </c>
      <c r="AE147" s="20" t="str" cm="1">
        <f t="array" aca="1" ref="AE147" ca="1">IF(OR(AD147=0,AD147=""),"",INDEX(misCriticidades,AC147)&amp;"-"&amp;IFERROR(MATCH(AD147,miOrdenTarjeta,0),0))</f>
        <v/>
      </c>
      <c r="AG147" s="20">
        <f t="shared" ca="1" si="66"/>
        <v>1</v>
      </c>
      <c r="AH147" s="20" t="str">
        <f t="shared" ca="1" si="57"/>
        <v/>
      </c>
      <c r="AI147" s="20" t="str" cm="1">
        <f t="array" aca="1" ref="AI147" ca="1">IF(AH147="","",IF(AH147&lt;&gt;AH146,1,IF(AI146=misLíneas-2,0,AI146+1)))</f>
        <v/>
      </c>
      <c r="AJ147" s="20" t="str" cm="1">
        <f t="array" aca="1" ref="AJ147" ca="1">IF(OR(AI147=0,AI147=""),"",INDEX(misCriticidades,AH147)&amp;"-"&amp;IFERROR(MATCH(AI147,miOrdenTarjeta,0),0))</f>
        <v/>
      </c>
      <c r="AL147" s="20">
        <f t="shared" ca="1" si="67"/>
        <v>1</v>
      </c>
      <c r="AM147" s="20" t="str">
        <f t="shared" ca="1" si="58"/>
        <v/>
      </c>
      <c r="AN147" s="20" t="str" cm="1">
        <f t="array" aca="1" ref="AN147" ca="1">IF(AM147="","",IF(AM147&lt;&gt;AM146,1,IF(AN146=misLíneas-2,0,AN146+1)))</f>
        <v/>
      </c>
      <c r="AO147" s="20" t="str" cm="1">
        <f t="array" aca="1" ref="AO147" ca="1">IF(OR(AN147=0,AN147=""),"",INDEX(misCriticidades,AM147)&amp;"-"&amp;IFERROR(MATCH(AN147,miOrdenTarjeta,0),0))</f>
        <v/>
      </c>
      <c r="AQ147" s="20">
        <f t="shared" ca="1" si="68"/>
        <v>1</v>
      </c>
      <c r="AR147" s="20" t="str">
        <f t="shared" ca="1" si="59"/>
        <v/>
      </c>
      <c r="AS147" s="20" t="str" cm="1">
        <f t="array" aca="1" ref="AS147" ca="1">IF(AR147="","",IF(AR147&lt;&gt;AR146,1,IF(AS146=misLíneas-2,0,AS146+1)))</f>
        <v/>
      </c>
      <c r="AT147" s="20" t="str" cm="1">
        <f t="array" aca="1" ref="AT147" ca="1">IF(OR(AS147=0,AS147=""),"",INDEX(misCriticidades,AR147)&amp;"-"&amp;IFERROR(MATCH(AS147,miOrdenTarjeta,0),0))</f>
        <v/>
      </c>
      <c r="AV147" s="20">
        <f t="shared" ca="1" si="69"/>
        <v>1</v>
      </c>
      <c r="AW147" s="20" t="str">
        <f t="shared" ca="1" si="60"/>
        <v/>
      </c>
      <c r="AX147" s="20" t="str" cm="1">
        <f t="array" aca="1" ref="AX147" ca="1">IF(AW147="","",IF(AW147&lt;&gt;AW146,1,IF(AX146=misLíneas-2,0,AX146+1)))</f>
        <v/>
      </c>
      <c r="AY147" s="20" t="str" cm="1">
        <f t="array" aca="1" ref="AY147" ca="1">IF(OR(AX147=0,AX147=""),"",INDEX(misCriticidades,AW147)&amp;"-"&amp;IFERROR(MATCH(AX147,miOrdenTarjeta,0),0))</f>
        <v/>
      </c>
    </row>
    <row r="148" spans="3:51" x14ac:dyDescent="0.25">
      <c r="C148" s="20">
        <f t="shared" ca="1" si="70"/>
        <v>1</v>
      </c>
      <c r="D148" s="20" t="str">
        <f t="shared" ca="1" si="51"/>
        <v/>
      </c>
      <c r="E148" s="20" t="str" cm="1">
        <f t="array" aca="1" ref="E148" ca="1">IF(D148="","",IF(D148&lt;&gt;D147,1,IF(E147=misLíneas-2,0,E147+1)))</f>
        <v/>
      </c>
      <c r="F148" s="20" t="str" cm="1">
        <f t="array" aca="1" ref="F148" ca="1">IF(OR(E148=0,E148=""),"",INDEX(misCriticidades,D148)&amp;"-"&amp;IFERROR(MATCH(E148,miOrdenTarjeta,0),0))</f>
        <v/>
      </c>
      <c r="H148" s="20">
        <f t="shared" ca="1" si="61"/>
        <v>7</v>
      </c>
      <c r="I148" s="20" t="str">
        <f t="shared" ca="1" si="52"/>
        <v/>
      </c>
      <c r="J148" s="20" t="str" cm="1">
        <f t="array" aca="1" ref="J148" ca="1">IF(I148="","",IF(I148&lt;&gt;I147,1,IF(J147=misLíneas-2,0,J147+1)))</f>
        <v/>
      </c>
      <c r="K148" s="20" t="str" cm="1">
        <f t="array" aca="1" ref="K148" ca="1">IF(OR(J148=0,J148=""),"",INDEX(misCriticidades,I148)&amp;"-"&amp;IFERROR(MATCH(J148,miOrdenTarjeta,0),0))</f>
        <v/>
      </c>
      <c r="M148" s="20">
        <f t="shared" ca="1" si="62"/>
        <v>1</v>
      </c>
      <c r="N148" s="20" t="str">
        <f t="shared" ca="1" si="53"/>
        <v/>
      </c>
      <c r="O148" s="20" t="str" cm="1">
        <f t="array" aca="1" ref="O148" ca="1">IF(N148="","",IF(N148&lt;&gt;N147,1,IF(O147=misLíneas-2,0,O147+1)))</f>
        <v/>
      </c>
      <c r="P148" s="20" t="str" cm="1">
        <f t="array" aca="1" ref="P148" ca="1">IF(OR(O148=0,O148=""),"",INDEX(misCriticidades,N148)&amp;"-"&amp;IFERROR(MATCH(O148,miOrdenTarjeta,0),0))</f>
        <v/>
      </c>
      <c r="R148" s="20">
        <f t="shared" ca="1" si="63"/>
        <v>15</v>
      </c>
      <c r="S148" s="20">
        <f t="shared" ca="1" si="54"/>
        <v>15</v>
      </c>
      <c r="T148" s="20" cm="1">
        <f t="array" aca="1" ref="T148" ca="1">IF(S148="","",IF(S148&lt;&gt;S147,1,IF(T147=misLíneas-2,0,T147+1)))</f>
        <v>6</v>
      </c>
      <c r="U148" s="20" t="str" cm="1">
        <f t="array" aca="1" ref="U148" ca="1">IF(OR(T148=0,T148=""),"",INDEX(misCriticidades,S148)&amp;"-"&amp;IFERROR(MATCH(T148,miOrdenTarjeta,0),0))</f>
        <v>2-6</v>
      </c>
      <c r="W148" s="20">
        <f t="shared" ca="1" si="64"/>
        <v>1</v>
      </c>
      <c r="X148" s="20" t="str">
        <f t="shared" ca="1" si="55"/>
        <v/>
      </c>
      <c r="Y148" s="20" t="str" cm="1">
        <f t="array" aca="1" ref="Y148" ca="1">IF(X148="","",IF(X148&lt;&gt;X147,1,IF(Y147=misLíneas-2,0,Y147+1)))</f>
        <v/>
      </c>
      <c r="Z148" s="20" t="str" cm="1">
        <f t="array" aca="1" ref="Z148" ca="1">IF(OR(Y148=0,Y148=""),"",INDEX(misCriticidades,X148)&amp;"-"&amp;IFERROR(MATCH(Y148,miOrdenTarjeta,0),0))</f>
        <v/>
      </c>
      <c r="AB148" s="20">
        <f t="shared" ca="1" si="65"/>
        <v>1</v>
      </c>
      <c r="AC148" s="20" t="str">
        <f t="shared" ca="1" si="56"/>
        <v/>
      </c>
      <c r="AD148" s="20" t="str" cm="1">
        <f t="array" aca="1" ref="AD148" ca="1">IF(AC148="","",IF(AC148&lt;&gt;AC147,1,IF(AD147=misLíneas-2,0,AD147+1)))</f>
        <v/>
      </c>
      <c r="AE148" s="20" t="str" cm="1">
        <f t="array" aca="1" ref="AE148" ca="1">IF(OR(AD148=0,AD148=""),"",INDEX(misCriticidades,AC148)&amp;"-"&amp;IFERROR(MATCH(AD148,miOrdenTarjeta,0),0))</f>
        <v/>
      </c>
      <c r="AG148" s="20">
        <f t="shared" ca="1" si="66"/>
        <v>1</v>
      </c>
      <c r="AH148" s="20" t="str">
        <f t="shared" ca="1" si="57"/>
        <v/>
      </c>
      <c r="AI148" s="20" t="str" cm="1">
        <f t="array" aca="1" ref="AI148" ca="1">IF(AH148="","",IF(AH148&lt;&gt;AH147,1,IF(AI147=misLíneas-2,0,AI147+1)))</f>
        <v/>
      </c>
      <c r="AJ148" s="20" t="str" cm="1">
        <f t="array" aca="1" ref="AJ148" ca="1">IF(OR(AI148=0,AI148=""),"",INDEX(misCriticidades,AH148)&amp;"-"&amp;IFERROR(MATCH(AI148,miOrdenTarjeta,0),0))</f>
        <v/>
      </c>
      <c r="AL148" s="20">
        <f t="shared" ca="1" si="67"/>
        <v>1</v>
      </c>
      <c r="AM148" s="20" t="str">
        <f t="shared" ca="1" si="58"/>
        <v/>
      </c>
      <c r="AN148" s="20" t="str" cm="1">
        <f t="array" aca="1" ref="AN148" ca="1">IF(AM148="","",IF(AM148&lt;&gt;AM147,1,IF(AN147=misLíneas-2,0,AN147+1)))</f>
        <v/>
      </c>
      <c r="AO148" s="20" t="str" cm="1">
        <f t="array" aca="1" ref="AO148" ca="1">IF(OR(AN148=0,AN148=""),"",INDEX(misCriticidades,AM148)&amp;"-"&amp;IFERROR(MATCH(AN148,miOrdenTarjeta,0),0))</f>
        <v/>
      </c>
      <c r="AQ148" s="20">
        <f t="shared" ca="1" si="68"/>
        <v>1</v>
      </c>
      <c r="AR148" s="20" t="str">
        <f t="shared" ca="1" si="59"/>
        <v/>
      </c>
      <c r="AS148" s="20" t="str" cm="1">
        <f t="array" aca="1" ref="AS148" ca="1">IF(AR148="","",IF(AR148&lt;&gt;AR147,1,IF(AS147=misLíneas-2,0,AS147+1)))</f>
        <v/>
      </c>
      <c r="AT148" s="20" t="str" cm="1">
        <f t="array" aca="1" ref="AT148" ca="1">IF(OR(AS148=0,AS148=""),"",INDEX(misCriticidades,AR148)&amp;"-"&amp;IFERROR(MATCH(AS148,miOrdenTarjeta,0),0))</f>
        <v/>
      </c>
      <c r="AV148" s="20">
        <f t="shared" ca="1" si="69"/>
        <v>1</v>
      </c>
      <c r="AW148" s="20" t="str">
        <f t="shared" ca="1" si="60"/>
        <v/>
      </c>
      <c r="AX148" s="20" t="str" cm="1">
        <f t="array" aca="1" ref="AX148" ca="1">IF(AW148="","",IF(AW148&lt;&gt;AW147,1,IF(AX147=misLíneas-2,0,AX147+1)))</f>
        <v/>
      </c>
      <c r="AY148" s="20" t="str" cm="1">
        <f t="array" aca="1" ref="AY148" ca="1">IF(OR(AX148=0,AX148=""),"",INDEX(misCriticidades,AW148)&amp;"-"&amp;IFERROR(MATCH(AX148,miOrdenTarjeta,0),0))</f>
        <v/>
      </c>
    </row>
    <row r="149" spans="3:51" x14ac:dyDescent="0.25">
      <c r="C149" s="20">
        <f t="shared" ca="1" si="70"/>
        <v>1</v>
      </c>
      <c r="D149" s="20" t="str">
        <f t="shared" ca="1" si="51"/>
        <v/>
      </c>
      <c r="E149" s="20" t="str" cm="1">
        <f t="array" aca="1" ref="E149" ca="1">IF(D149="","",IF(D149&lt;&gt;D148,1,IF(E148=misLíneas-2,0,E148+1)))</f>
        <v/>
      </c>
      <c r="F149" s="20" t="str" cm="1">
        <f t="array" aca="1" ref="F149" ca="1">IF(OR(E149=0,E149=""),"",INDEX(misCriticidades,D149)&amp;"-"&amp;IFERROR(MATCH(E149,miOrdenTarjeta,0),0))</f>
        <v/>
      </c>
      <c r="H149" s="20">
        <f t="shared" ca="1" si="61"/>
        <v>7</v>
      </c>
      <c r="I149" s="20" t="str">
        <f t="shared" ca="1" si="52"/>
        <v/>
      </c>
      <c r="J149" s="20" t="str" cm="1">
        <f t="array" aca="1" ref="J149" ca="1">IF(I149="","",IF(I149&lt;&gt;I148,1,IF(J148=misLíneas-2,0,J148+1)))</f>
        <v/>
      </c>
      <c r="K149" s="20" t="str" cm="1">
        <f t="array" aca="1" ref="K149" ca="1">IF(OR(J149=0,J149=""),"",INDEX(misCriticidades,I149)&amp;"-"&amp;IFERROR(MATCH(J149,miOrdenTarjeta,0),0))</f>
        <v/>
      </c>
      <c r="M149" s="20">
        <f t="shared" ca="1" si="62"/>
        <v>1</v>
      </c>
      <c r="N149" s="20" t="str">
        <f t="shared" ca="1" si="53"/>
        <v/>
      </c>
      <c r="O149" s="20" t="str" cm="1">
        <f t="array" aca="1" ref="O149" ca="1">IF(N149="","",IF(N149&lt;&gt;N148,1,IF(O148=misLíneas-2,0,O148+1)))</f>
        <v/>
      </c>
      <c r="P149" s="20" t="str" cm="1">
        <f t="array" aca="1" ref="P149" ca="1">IF(OR(O149=0,O149=""),"",INDEX(misCriticidades,N149)&amp;"-"&amp;IFERROR(MATCH(O149,miOrdenTarjeta,0),0))</f>
        <v/>
      </c>
      <c r="R149" s="20">
        <f t="shared" ca="1" si="63"/>
        <v>15</v>
      </c>
      <c r="S149" s="20">
        <f t="shared" ca="1" si="54"/>
        <v>15</v>
      </c>
      <c r="T149" s="20" cm="1">
        <f t="array" aca="1" ref="T149" ca="1">IF(S149="","",IF(S149&lt;&gt;S148,1,IF(T148=misLíneas-2,0,T148+1)))</f>
        <v>7</v>
      </c>
      <c r="U149" s="20" t="str" cm="1">
        <f t="array" aca="1" ref="U149" ca="1">IF(OR(T149=0,T149=""),"",INDEX(misCriticidades,S149)&amp;"-"&amp;IFERROR(MATCH(T149,miOrdenTarjeta,0),0))</f>
        <v>2-7</v>
      </c>
      <c r="W149" s="20">
        <f t="shared" ca="1" si="64"/>
        <v>1</v>
      </c>
      <c r="X149" s="20" t="str">
        <f t="shared" ca="1" si="55"/>
        <v/>
      </c>
      <c r="Y149" s="20" t="str" cm="1">
        <f t="array" aca="1" ref="Y149" ca="1">IF(X149="","",IF(X149&lt;&gt;X148,1,IF(Y148=misLíneas-2,0,Y148+1)))</f>
        <v/>
      </c>
      <c r="Z149" s="20" t="str" cm="1">
        <f t="array" aca="1" ref="Z149" ca="1">IF(OR(Y149=0,Y149=""),"",INDEX(misCriticidades,X149)&amp;"-"&amp;IFERROR(MATCH(Y149,miOrdenTarjeta,0),0))</f>
        <v/>
      </c>
      <c r="AB149" s="20">
        <f t="shared" ca="1" si="65"/>
        <v>1</v>
      </c>
      <c r="AC149" s="20" t="str">
        <f t="shared" ca="1" si="56"/>
        <v/>
      </c>
      <c r="AD149" s="20" t="str" cm="1">
        <f t="array" aca="1" ref="AD149" ca="1">IF(AC149="","",IF(AC149&lt;&gt;AC148,1,IF(AD148=misLíneas-2,0,AD148+1)))</f>
        <v/>
      </c>
      <c r="AE149" s="20" t="str" cm="1">
        <f t="array" aca="1" ref="AE149" ca="1">IF(OR(AD149=0,AD149=""),"",INDEX(misCriticidades,AC149)&amp;"-"&amp;IFERROR(MATCH(AD149,miOrdenTarjeta,0),0))</f>
        <v/>
      </c>
      <c r="AG149" s="20">
        <f t="shared" ca="1" si="66"/>
        <v>1</v>
      </c>
      <c r="AH149" s="20" t="str">
        <f t="shared" ca="1" si="57"/>
        <v/>
      </c>
      <c r="AI149" s="20" t="str" cm="1">
        <f t="array" aca="1" ref="AI149" ca="1">IF(AH149="","",IF(AH149&lt;&gt;AH148,1,IF(AI148=misLíneas-2,0,AI148+1)))</f>
        <v/>
      </c>
      <c r="AJ149" s="20" t="str" cm="1">
        <f t="array" aca="1" ref="AJ149" ca="1">IF(OR(AI149=0,AI149=""),"",INDEX(misCriticidades,AH149)&amp;"-"&amp;IFERROR(MATCH(AI149,miOrdenTarjeta,0),0))</f>
        <v/>
      </c>
      <c r="AL149" s="20">
        <f t="shared" ca="1" si="67"/>
        <v>1</v>
      </c>
      <c r="AM149" s="20" t="str">
        <f t="shared" ca="1" si="58"/>
        <v/>
      </c>
      <c r="AN149" s="20" t="str" cm="1">
        <f t="array" aca="1" ref="AN149" ca="1">IF(AM149="","",IF(AM149&lt;&gt;AM148,1,IF(AN148=misLíneas-2,0,AN148+1)))</f>
        <v/>
      </c>
      <c r="AO149" s="20" t="str" cm="1">
        <f t="array" aca="1" ref="AO149" ca="1">IF(OR(AN149=0,AN149=""),"",INDEX(misCriticidades,AM149)&amp;"-"&amp;IFERROR(MATCH(AN149,miOrdenTarjeta,0),0))</f>
        <v/>
      </c>
      <c r="AQ149" s="20">
        <f t="shared" ca="1" si="68"/>
        <v>1</v>
      </c>
      <c r="AR149" s="20" t="str">
        <f t="shared" ca="1" si="59"/>
        <v/>
      </c>
      <c r="AS149" s="20" t="str" cm="1">
        <f t="array" aca="1" ref="AS149" ca="1">IF(AR149="","",IF(AR149&lt;&gt;AR148,1,IF(AS148=misLíneas-2,0,AS148+1)))</f>
        <v/>
      </c>
      <c r="AT149" s="20" t="str" cm="1">
        <f t="array" aca="1" ref="AT149" ca="1">IF(OR(AS149=0,AS149=""),"",INDEX(misCriticidades,AR149)&amp;"-"&amp;IFERROR(MATCH(AS149,miOrdenTarjeta,0),0))</f>
        <v/>
      </c>
      <c r="AV149" s="20">
        <f t="shared" ca="1" si="69"/>
        <v>1</v>
      </c>
      <c r="AW149" s="20" t="str">
        <f t="shared" ca="1" si="60"/>
        <v/>
      </c>
      <c r="AX149" s="20" t="str" cm="1">
        <f t="array" aca="1" ref="AX149" ca="1">IF(AW149="","",IF(AW149&lt;&gt;AW148,1,IF(AX148=misLíneas-2,0,AX148+1)))</f>
        <v/>
      </c>
      <c r="AY149" s="20" t="str" cm="1">
        <f t="array" aca="1" ref="AY149" ca="1">IF(OR(AX149=0,AX149=""),"",INDEX(misCriticidades,AW149)&amp;"-"&amp;IFERROR(MATCH(AX149,miOrdenTarjeta,0),0))</f>
        <v/>
      </c>
    </row>
    <row r="150" spans="3:51" x14ac:dyDescent="0.25">
      <c r="C150" s="20">
        <f t="shared" ca="1" si="70"/>
        <v>1</v>
      </c>
      <c r="D150" s="20" t="str">
        <f t="shared" ca="1" si="51"/>
        <v/>
      </c>
      <c r="E150" s="20" t="str" cm="1">
        <f t="array" aca="1" ref="E150" ca="1">IF(D150="","",IF(D150&lt;&gt;D149,1,IF(E149=misLíneas-2,0,E149+1)))</f>
        <v/>
      </c>
      <c r="F150" s="20" t="str" cm="1">
        <f t="array" aca="1" ref="F150" ca="1">IF(OR(E150=0,E150=""),"",INDEX(misCriticidades,D150)&amp;"-"&amp;IFERROR(MATCH(E150,miOrdenTarjeta,0),0))</f>
        <v/>
      </c>
      <c r="H150" s="20">
        <f t="shared" ca="1" si="61"/>
        <v>7</v>
      </c>
      <c r="I150" s="20" t="str">
        <f t="shared" ca="1" si="52"/>
        <v/>
      </c>
      <c r="J150" s="20" t="str" cm="1">
        <f t="array" aca="1" ref="J150" ca="1">IF(I150="","",IF(I150&lt;&gt;I149,1,IF(J149=misLíneas-2,0,J149+1)))</f>
        <v/>
      </c>
      <c r="K150" s="20" t="str" cm="1">
        <f t="array" aca="1" ref="K150" ca="1">IF(OR(J150=0,J150=""),"",INDEX(misCriticidades,I150)&amp;"-"&amp;IFERROR(MATCH(J150,miOrdenTarjeta,0),0))</f>
        <v/>
      </c>
      <c r="M150" s="20">
        <f t="shared" ca="1" si="62"/>
        <v>1</v>
      </c>
      <c r="N150" s="20" t="str">
        <f t="shared" ca="1" si="53"/>
        <v/>
      </c>
      <c r="O150" s="20" t="str" cm="1">
        <f t="array" aca="1" ref="O150" ca="1">IF(N150="","",IF(N150&lt;&gt;N149,1,IF(O149=misLíneas-2,0,O149+1)))</f>
        <v/>
      </c>
      <c r="P150" s="20" t="str" cm="1">
        <f t="array" aca="1" ref="P150" ca="1">IF(OR(O150=0,O150=""),"",INDEX(misCriticidades,N150)&amp;"-"&amp;IFERROR(MATCH(O150,miOrdenTarjeta,0),0))</f>
        <v/>
      </c>
      <c r="R150" s="20">
        <f t="shared" ca="1" si="63"/>
        <v>15</v>
      </c>
      <c r="S150" s="20">
        <f t="shared" ca="1" si="54"/>
        <v>15</v>
      </c>
      <c r="T150" s="20" cm="1">
        <f t="array" aca="1" ref="T150" ca="1">IF(S150="","",IF(S150&lt;&gt;S149,1,IF(T149=misLíneas-2,0,T149+1)))</f>
        <v>8</v>
      </c>
      <c r="U150" s="20" t="str" cm="1">
        <f t="array" aca="1" ref="U150" ca="1">IF(OR(T150=0,T150=""),"",INDEX(misCriticidades,S150)&amp;"-"&amp;IFERROR(MATCH(T150,miOrdenTarjeta,0),0))</f>
        <v>2-8</v>
      </c>
      <c r="W150" s="20">
        <f t="shared" ca="1" si="64"/>
        <v>1</v>
      </c>
      <c r="X150" s="20" t="str">
        <f t="shared" ca="1" si="55"/>
        <v/>
      </c>
      <c r="Y150" s="20" t="str" cm="1">
        <f t="array" aca="1" ref="Y150" ca="1">IF(X150="","",IF(X150&lt;&gt;X149,1,IF(Y149=misLíneas-2,0,Y149+1)))</f>
        <v/>
      </c>
      <c r="Z150" s="20" t="str" cm="1">
        <f t="array" aca="1" ref="Z150" ca="1">IF(OR(Y150=0,Y150=""),"",INDEX(misCriticidades,X150)&amp;"-"&amp;IFERROR(MATCH(Y150,miOrdenTarjeta,0),0))</f>
        <v/>
      </c>
      <c r="AB150" s="20">
        <f t="shared" ca="1" si="65"/>
        <v>1</v>
      </c>
      <c r="AC150" s="20" t="str">
        <f t="shared" ca="1" si="56"/>
        <v/>
      </c>
      <c r="AD150" s="20" t="str" cm="1">
        <f t="array" aca="1" ref="AD150" ca="1">IF(AC150="","",IF(AC150&lt;&gt;AC149,1,IF(AD149=misLíneas-2,0,AD149+1)))</f>
        <v/>
      </c>
      <c r="AE150" s="20" t="str" cm="1">
        <f t="array" aca="1" ref="AE150" ca="1">IF(OR(AD150=0,AD150=""),"",INDEX(misCriticidades,AC150)&amp;"-"&amp;IFERROR(MATCH(AD150,miOrdenTarjeta,0),0))</f>
        <v/>
      </c>
      <c r="AG150" s="20">
        <f t="shared" ca="1" si="66"/>
        <v>1</v>
      </c>
      <c r="AH150" s="20" t="str">
        <f t="shared" ca="1" si="57"/>
        <v/>
      </c>
      <c r="AI150" s="20" t="str" cm="1">
        <f t="array" aca="1" ref="AI150" ca="1">IF(AH150="","",IF(AH150&lt;&gt;AH149,1,IF(AI149=misLíneas-2,0,AI149+1)))</f>
        <v/>
      </c>
      <c r="AJ150" s="20" t="str" cm="1">
        <f t="array" aca="1" ref="AJ150" ca="1">IF(OR(AI150=0,AI150=""),"",INDEX(misCriticidades,AH150)&amp;"-"&amp;IFERROR(MATCH(AI150,miOrdenTarjeta,0),0))</f>
        <v/>
      </c>
      <c r="AL150" s="20">
        <f t="shared" ca="1" si="67"/>
        <v>1</v>
      </c>
      <c r="AM150" s="20" t="str">
        <f t="shared" ca="1" si="58"/>
        <v/>
      </c>
      <c r="AN150" s="20" t="str" cm="1">
        <f t="array" aca="1" ref="AN150" ca="1">IF(AM150="","",IF(AM150&lt;&gt;AM149,1,IF(AN149=misLíneas-2,0,AN149+1)))</f>
        <v/>
      </c>
      <c r="AO150" s="20" t="str" cm="1">
        <f t="array" aca="1" ref="AO150" ca="1">IF(OR(AN150=0,AN150=""),"",INDEX(misCriticidades,AM150)&amp;"-"&amp;IFERROR(MATCH(AN150,miOrdenTarjeta,0),0))</f>
        <v/>
      </c>
      <c r="AQ150" s="20">
        <f t="shared" ca="1" si="68"/>
        <v>1</v>
      </c>
      <c r="AR150" s="20" t="str">
        <f t="shared" ca="1" si="59"/>
        <v/>
      </c>
      <c r="AS150" s="20" t="str" cm="1">
        <f t="array" aca="1" ref="AS150" ca="1">IF(AR150="","",IF(AR150&lt;&gt;AR149,1,IF(AS149=misLíneas-2,0,AS149+1)))</f>
        <v/>
      </c>
      <c r="AT150" s="20" t="str" cm="1">
        <f t="array" aca="1" ref="AT150" ca="1">IF(OR(AS150=0,AS150=""),"",INDEX(misCriticidades,AR150)&amp;"-"&amp;IFERROR(MATCH(AS150,miOrdenTarjeta,0),0))</f>
        <v/>
      </c>
      <c r="AV150" s="20">
        <f t="shared" ca="1" si="69"/>
        <v>1</v>
      </c>
      <c r="AW150" s="20" t="str">
        <f t="shared" ca="1" si="60"/>
        <v/>
      </c>
      <c r="AX150" s="20" t="str" cm="1">
        <f t="array" aca="1" ref="AX150" ca="1">IF(AW150="","",IF(AW150&lt;&gt;AW149,1,IF(AX149=misLíneas-2,0,AX149+1)))</f>
        <v/>
      </c>
      <c r="AY150" s="20" t="str" cm="1">
        <f t="array" aca="1" ref="AY150" ca="1">IF(OR(AX150=0,AX150=""),"",INDEX(misCriticidades,AW150)&amp;"-"&amp;IFERROR(MATCH(AX150,miOrdenTarjeta,0),0))</f>
        <v/>
      </c>
    </row>
    <row r="151" spans="3:51" x14ac:dyDescent="0.25">
      <c r="C151" s="20">
        <f t="shared" ca="1" si="70"/>
        <v>1</v>
      </c>
      <c r="D151" s="20" t="str">
        <f t="shared" ca="1" si="51"/>
        <v/>
      </c>
      <c r="E151" s="20" t="str" cm="1">
        <f t="array" aca="1" ref="E151" ca="1">IF(D151="","",IF(D151&lt;&gt;D150,1,IF(E150=misLíneas-2,0,E150+1)))</f>
        <v/>
      </c>
      <c r="F151" s="20" t="str" cm="1">
        <f t="array" aca="1" ref="F151" ca="1">IF(OR(E151=0,E151=""),"",INDEX(misCriticidades,D151)&amp;"-"&amp;IFERROR(MATCH(E151,miOrdenTarjeta,0),0))</f>
        <v/>
      </c>
      <c r="H151" s="20">
        <f t="shared" ca="1" si="61"/>
        <v>7</v>
      </c>
      <c r="I151" s="20" t="str">
        <f t="shared" ca="1" si="52"/>
        <v/>
      </c>
      <c r="J151" s="20" t="str" cm="1">
        <f t="array" aca="1" ref="J151" ca="1">IF(I151="","",IF(I151&lt;&gt;I150,1,IF(J150=misLíneas-2,0,J150+1)))</f>
        <v/>
      </c>
      <c r="K151" s="20" t="str" cm="1">
        <f t="array" aca="1" ref="K151" ca="1">IF(OR(J151=0,J151=""),"",INDEX(misCriticidades,I151)&amp;"-"&amp;IFERROR(MATCH(J151,miOrdenTarjeta,0),0))</f>
        <v/>
      </c>
      <c r="M151" s="20">
        <f t="shared" ca="1" si="62"/>
        <v>1</v>
      </c>
      <c r="N151" s="20" t="str">
        <f t="shared" ca="1" si="53"/>
        <v/>
      </c>
      <c r="O151" s="20" t="str" cm="1">
        <f t="array" aca="1" ref="O151" ca="1">IF(N151="","",IF(N151&lt;&gt;N150,1,IF(O150=misLíneas-2,0,O150+1)))</f>
        <v/>
      </c>
      <c r="P151" s="20" t="str" cm="1">
        <f t="array" aca="1" ref="P151" ca="1">IF(OR(O151=0,O151=""),"",INDEX(misCriticidades,N151)&amp;"-"&amp;IFERROR(MATCH(O151,miOrdenTarjeta,0),0))</f>
        <v/>
      </c>
      <c r="R151" s="20">
        <f t="shared" ca="1" si="63"/>
        <v>15</v>
      </c>
      <c r="S151" s="20">
        <f t="shared" ca="1" si="54"/>
        <v>15</v>
      </c>
      <c r="T151" s="20" cm="1">
        <f t="array" aca="1" ref="T151" ca="1">IF(S151="","",IF(S151&lt;&gt;S150,1,IF(T150=misLíneas-2,0,T150+1)))</f>
        <v>9</v>
      </c>
      <c r="U151" s="20" t="str" cm="1">
        <f t="array" aca="1" ref="U151" ca="1">IF(OR(T151=0,T151=""),"",INDEX(misCriticidades,S151)&amp;"-"&amp;IFERROR(MATCH(T151,miOrdenTarjeta,0),0))</f>
        <v>2-0</v>
      </c>
      <c r="W151" s="20">
        <f t="shared" ca="1" si="64"/>
        <v>1</v>
      </c>
      <c r="X151" s="20" t="str">
        <f t="shared" ca="1" si="55"/>
        <v/>
      </c>
      <c r="Y151" s="20" t="str" cm="1">
        <f t="array" aca="1" ref="Y151" ca="1">IF(X151="","",IF(X151&lt;&gt;X150,1,IF(Y150=misLíneas-2,0,Y150+1)))</f>
        <v/>
      </c>
      <c r="Z151" s="20" t="str" cm="1">
        <f t="array" aca="1" ref="Z151" ca="1">IF(OR(Y151=0,Y151=""),"",INDEX(misCriticidades,X151)&amp;"-"&amp;IFERROR(MATCH(Y151,miOrdenTarjeta,0),0))</f>
        <v/>
      </c>
      <c r="AB151" s="20">
        <f t="shared" ca="1" si="65"/>
        <v>1</v>
      </c>
      <c r="AC151" s="20" t="str">
        <f t="shared" ca="1" si="56"/>
        <v/>
      </c>
      <c r="AD151" s="20" t="str" cm="1">
        <f t="array" aca="1" ref="AD151" ca="1">IF(AC151="","",IF(AC151&lt;&gt;AC150,1,IF(AD150=misLíneas-2,0,AD150+1)))</f>
        <v/>
      </c>
      <c r="AE151" s="20" t="str" cm="1">
        <f t="array" aca="1" ref="AE151" ca="1">IF(OR(AD151=0,AD151=""),"",INDEX(misCriticidades,AC151)&amp;"-"&amp;IFERROR(MATCH(AD151,miOrdenTarjeta,0),0))</f>
        <v/>
      </c>
      <c r="AG151" s="20">
        <f t="shared" ca="1" si="66"/>
        <v>1</v>
      </c>
      <c r="AH151" s="20" t="str">
        <f t="shared" ca="1" si="57"/>
        <v/>
      </c>
      <c r="AI151" s="20" t="str" cm="1">
        <f t="array" aca="1" ref="AI151" ca="1">IF(AH151="","",IF(AH151&lt;&gt;AH150,1,IF(AI150=misLíneas-2,0,AI150+1)))</f>
        <v/>
      </c>
      <c r="AJ151" s="20" t="str" cm="1">
        <f t="array" aca="1" ref="AJ151" ca="1">IF(OR(AI151=0,AI151=""),"",INDEX(misCriticidades,AH151)&amp;"-"&amp;IFERROR(MATCH(AI151,miOrdenTarjeta,0),0))</f>
        <v/>
      </c>
      <c r="AL151" s="20">
        <f t="shared" ca="1" si="67"/>
        <v>1</v>
      </c>
      <c r="AM151" s="20" t="str">
        <f t="shared" ca="1" si="58"/>
        <v/>
      </c>
      <c r="AN151" s="20" t="str" cm="1">
        <f t="array" aca="1" ref="AN151" ca="1">IF(AM151="","",IF(AM151&lt;&gt;AM150,1,IF(AN150=misLíneas-2,0,AN150+1)))</f>
        <v/>
      </c>
      <c r="AO151" s="20" t="str" cm="1">
        <f t="array" aca="1" ref="AO151" ca="1">IF(OR(AN151=0,AN151=""),"",INDEX(misCriticidades,AM151)&amp;"-"&amp;IFERROR(MATCH(AN151,miOrdenTarjeta,0),0))</f>
        <v/>
      </c>
      <c r="AQ151" s="20">
        <f t="shared" ca="1" si="68"/>
        <v>1</v>
      </c>
      <c r="AR151" s="20" t="str">
        <f t="shared" ca="1" si="59"/>
        <v/>
      </c>
      <c r="AS151" s="20" t="str" cm="1">
        <f t="array" aca="1" ref="AS151" ca="1">IF(AR151="","",IF(AR151&lt;&gt;AR150,1,IF(AS150=misLíneas-2,0,AS150+1)))</f>
        <v/>
      </c>
      <c r="AT151" s="20" t="str" cm="1">
        <f t="array" aca="1" ref="AT151" ca="1">IF(OR(AS151=0,AS151=""),"",INDEX(misCriticidades,AR151)&amp;"-"&amp;IFERROR(MATCH(AS151,miOrdenTarjeta,0),0))</f>
        <v/>
      </c>
      <c r="AV151" s="20">
        <f t="shared" ca="1" si="69"/>
        <v>1</v>
      </c>
      <c r="AW151" s="20" t="str">
        <f t="shared" ca="1" si="60"/>
        <v/>
      </c>
      <c r="AX151" s="20" t="str" cm="1">
        <f t="array" aca="1" ref="AX151" ca="1">IF(AW151="","",IF(AW151&lt;&gt;AW150,1,IF(AX150=misLíneas-2,0,AX150+1)))</f>
        <v/>
      </c>
      <c r="AY151" s="20" t="str" cm="1">
        <f t="array" aca="1" ref="AY151" ca="1">IF(OR(AX151=0,AX151=""),"",INDEX(misCriticidades,AW151)&amp;"-"&amp;IFERROR(MATCH(AX151,miOrdenTarjeta,0),0))</f>
        <v/>
      </c>
    </row>
    <row r="152" spans="3:51" x14ac:dyDescent="0.25">
      <c r="C152" s="20">
        <f t="shared" ca="1" si="70"/>
        <v>1</v>
      </c>
      <c r="D152" s="20" t="str">
        <f t="shared" ca="1" si="51"/>
        <v/>
      </c>
      <c r="E152" s="20" t="str" cm="1">
        <f t="array" aca="1" ref="E152" ca="1">IF(D152="","",IF(D152&lt;&gt;D151,1,IF(E151=misLíneas-2,0,E151+1)))</f>
        <v/>
      </c>
      <c r="F152" s="20" t="str" cm="1">
        <f t="array" aca="1" ref="F152" ca="1">IF(OR(E152=0,E152=""),"",INDEX(misCriticidades,D152)&amp;"-"&amp;IFERROR(MATCH(E152,miOrdenTarjeta,0),0))</f>
        <v/>
      </c>
      <c r="H152" s="20">
        <f t="shared" ca="1" si="61"/>
        <v>7</v>
      </c>
      <c r="I152" s="20" t="str">
        <f t="shared" ca="1" si="52"/>
        <v/>
      </c>
      <c r="J152" s="20" t="str" cm="1">
        <f t="array" aca="1" ref="J152" ca="1">IF(I152="","",IF(I152&lt;&gt;I151,1,IF(J151=misLíneas-2,0,J151+1)))</f>
        <v/>
      </c>
      <c r="K152" s="20" t="str" cm="1">
        <f t="array" aca="1" ref="K152" ca="1">IF(OR(J152=0,J152=""),"",INDEX(misCriticidades,I152)&amp;"-"&amp;IFERROR(MATCH(J152,miOrdenTarjeta,0),0))</f>
        <v/>
      </c>
      <c r="M152" s="20">
        <f t="shared" ca="1" si="62"/>
        <v>1</v>
      </c>
      <c r="N152" s="20" t="str">
        <f t="shared" ca="1" si="53"/>
        <v/>
      </c>
      <c r="O152" s="20" t="str" cm="1">
        <f t="array" aca="1" ref="O152" ca="1">IF(N152="","",IF(N152&lt;&gt;N151,1,IF(O151=misLíneas-2,0,O151+1)))</f>
        <v/>
      </c>
      <c r="P152" s="20" t="str" cm="1">
        <f t="array" aca="1" ref="P152" ca="1">IF(OR(O152=0,O152=""),"",INDEX(misCriticidades,N152)&amp;"-"&amp;IFERROR(MATCH(O152,miOrdenTarjeta,0),0))</f>
        <v/>
      </c>
      <c r="R152" s="20">
        <f t="shared" ca="1" si="63"/>
        <v>15</v>
      </c>
      <c r="S152" s="20">
        <f t="shared" ca="1" si="54"/>
        <v>15</v>
      </c>
      <c r="T152" s="20" cm="1">
        <f t="array" aca="1" ref="T152" ca="1">IF(S152="","",IF(S152&lt;&gt;S151,1,IF(T151=misLíneas-2,0,T151+1)))</f>
        <v>0</v>
      </c>
      <c r="U152" s="20" t="str" cm="1">
        <f t="array" aca="1" ref="U152" ca="1">IF(OR(T152=0,T152=""),"",INDEX(misCriticidades,S152)&amp;"-"&amp;IFERROR(MATCH(T152,miOrdenTarjeta,0),0))</f>
        <v/>
      </c>
      <c r="W152" s="20">
        <f t="shared" ca="1" si="64"/>
        <v>1</v>
      </c>
      <c r="X152" s="20" t="str">
        <f t="shared" ca="1" si="55"/>
        <v/>
      </c>
      <c r="Y152" s="20" t="str" cm="1">
        <f t="array" aca="1" ref="Y152" ca="1">IF(X152="","",IF(X152&lt;&gt;X151,1,IF(Y151=misLíneas-2,0,Y151+1)))</f>
        <v/>
      </c>
      <c r="Z152" s="20" t="str" cm="1">
        <f t="array" aca="1" ref="Z152" ca="1">IF(OR(Y152=0,Y152=""),"",INDEX(misCriticidades,X152)&amp;"-"&amp;IFERROR(MATCH(Y152,miOrdenTarjeta,0),0))</f>
        <v/>
      </c>
      <c r="AB152" s="20">
        <f t="shared" ca="1" si="65"/>
        <v>1</v>
      </c>
      <c r="AC152" s="20" t="str">
        <f t="shared" ca="1" si="56"/>
        <v/>
      </c>
      <c r="AD152" s="20" t="str" cm="1">
        <f t="array" aca="1" ref="AD152" ca="1">IF(AC152="","",IF(AC152&lt;&gt;AC151,1,IF(AD151=misLíneas-2,0,AD151+1)))</f>
        <v/>
      </c>
      <c r="AE152" s="20" t="str" cm="1">
        <f t="array" aca="1" ref="AE152" ca="1">IF(OR(AD152=0,AD152=""),"",INDEX(misCriticidades,AC152)&amp;"-"&amp;IFERROR(MATCH(AD152,miOrdenTarjeta,0),0))</f>
        <v/>
      </c>
      <c r="AG152" s="20">
        <f t="shared" ca="1" si="66"/>
        <v>1</v>
      </c>
      <c r="AH152" s="20" t="str">
        <f t="shared" ca="1" si="57"/>
        <v/>
      </c>
      <c r="AI152" s="20" t="str" cm="1">
        <f t="array" aca="1" ref="AI152" ca="1">IF(AH152="","",IF(AH152&lt;&gt;AH151,1,IF(AI151=misLíneas-2,0,AI151+1)))</f>
        <v/>
      </c>
      <c r="AJ152" s="20" t="str" cm="1">
        <f t="array" aca="1" ref="AJ152" ca="1">IF(OR(AI152=0,AI152=""),"",INDEX(misCriticidades,AH152)&amp;"-"&amp;IFERROR(MATCH(AI152,miOrdenTarjeta,0),0))</f>
        <v/>
      </c>
      <c r="AL152" s="20">
        <f t="shared" ca="1" si="67"/>
        <v>1</v>
      </c>
      <c r="AM152" s="20" t="str">
        <f t="shared" ca="1" si="58"/>
        <v/>
      </c>
      <c r="AN152" s="20" t="str" cm="1">
        <f t="array" aca="1" ref="AN152" ca="1">IF(AM152="","",IF(AM152&lt;&gt;AM151,1,IF(AN151=misLíneas-2,0,AN151+1)))</f>
        <v/>
      </c>
      <c r="AO152" s="20" t="str" cm="1">
        <f t="array" aca="1" ref="AO152" ca="1">IF(OR(AN152=0,AN152=""),"",INDEX(misCriticidades,AM152)&amp;"-"&amp;IFERROR(MATCH(AN152,miOrdenTarjeta,0),0))</f>
        <v/>
      </c>
      <c r="AQ152" s="20">
        <f t="shared" ca="1" si="68"/>
        <v>1</v>
      </c>
      <c r="AR152" s="20" t="str">
        <f t="shared" ca="1" si="59"/>
        <v/>
      </c>
      <c r="AS152" s="20" t="str" cm="1">
        <f t="array" aca="1" ref="AS152" ca="1">IF(AR152="","",IF(AR152&lt;&gt;AR151,1,IF(AS151=misLíneas-2,0,AS151+1)))</f>
        <v/>
      </c>
      <c r="AT152" s="20" t="str" cm="1">
        <f t="array" aca="1" ref="AT152" ca="1">IF(OR(AS152=0,AS152=""),"",INDEX(misCriticidades,AR152)&amp;"-"&amp;IFERROR(MATCH(AS152,miOrdenTarjeta,0),0))</f>
        <v/>
      </c>
      <c r="AV152" s="20">
        <f t="shared" ca="1" si="69"/>
        <v>1</v>
      </c>
      <c r="AW152" s="20" t="str">
        <f t="shared" ca="1" si="60"/>
        <v/>
      </c>
      <c r="AX152" s="20" t="str" cm="1">
        <f t="array" aca="1" ref="AX152" ca="1">IF(AW152="","",IF(AW152&lt;&gt;AW151,1,IF(AX151=misLíneas-2,0,AX151+1)))</f>
        <v/>
      </c>
      <c r="AY152" s="20" t="str" cm="1">
        <f t="array" aca="1" ref="AY152" ca="1">IF(OR(AX152=0,AX152=""),"",INDEX(misCriticidades,AW152)&amp;"-"&amp;IFERROR(MATCH(AX152,miOrdenTarjeta,0),0))</f>
        <v/>
      </c>
    </row>
    <row r="153" spans="3:51" x14ac:dyDescent="0.25">
      <c r="C153" s="20">
        <f t="shared" ca="1" si="70"/>
        <v>1</v>
      </c>
      <c r="D153" s="20" t="str">
        <f t="shared" ca="1" si="51"/>
        <v/>
      </c>
      <c r="E153" s="20" t="str" cm="1">
        <f t="array" aca="1" ref="E153" ca="1">IF(D153="","",IF(D153&lt;&gt;D152,1,IF(E152=misLíneas-2,0,E152+1)))</f>
        <v/>
      </c>
      <c r="F153" s="20" t="str" cm="1">
        <f t="array" aca="1" ref="F153" ca="1">IF(OR(E153=0,E153=""),"",INDEX(misCriticidades,D153)&amp;"-"&amp;IFERROR(MATCH(E153,miOrdenTarjeta,0),0))</f>
        <v/>
      </c>
      <c r="H153" s="20">
        <f t="shared" ca="1" si="61"/>
        <v>7</v>
      </c>
      <c r="I153" s="20" t="str">
        <f t="shared" ca="1" si="52"/>
        <v/>
      </c>
      <c r="J153" s="20" t="str" cm="1">
        <f t="array" aca="1" ref="J153" ca="1">IF(I153="","",IF(I153&lt;&gt;I152,1,IF(J152=misLíneas-2,0,J152+1)))</f>
        <v/>
      </c>
      <c r="K153" s="20" t="str" cm="1">
        <f t="array" aca="1" ref="K153" ca="1">IF(OR(J153=0,J153=""),"",INDEX(misCriticidades,I153)&amp;"-"&amp;IFERROR(MATCH(J153,miOrdenTarjeta,0),0))</f>
        <v/>
      </c>
      <c r="M153" s="20">
        <f t="shared" ca="1" si="62"/>
        <v>1</v>
      </c>
      <c r="N153" s="20" t="str">
        <f t="shared" ca="1" si="53"/>
        <v/>
      </c>
      <c r="O153" s="20" t="str" cm="1">
        <f t="array" aca="1" ref="O153" ca="1">IF(N153="","",IF(N153&lt;&gt;N152,1,IF(O152=misLíneas-2,0,O152+1)))</f>
        <v/>
      </c>
      <c r="P153" s="20" t="str" cm="1">
        <f t="array" aca="1" ref="P153" ca="1">IF(OR(O153=0,O153=""),"",INDEX(misCriticidades,N153)&amp;"-"&amp;IFERROR(MATCH(O153,miOrdenTarjeta,0),0))</f>
        <v/>
      </c>
      <c r="R153" s="20">
        <f t="shared" ca="1" si="63"/>
        <v>16</v>
      </c>
      <c r="S153" s="20">
        <f t="shared" ca="1" si="54"/>
        <v>14</v>
      </c>
      <c r="T153" s="20" cm="1">
        <f t="array" aca="1" ref="T153" ca="1">IF(S153="","",IF(S153&lt;&gt;S152,1,IF(T152=misLíneas-2,0,T152+1)))</f>
        <v>1</v>
      </c>
      <c r="U153" s="20" t="str" cm="1">
        <f t="array" aca="1" ref="U153" ca="1">IF(OR(T153=0,T153=""),"",INDEX(misCriticidades,S153)&amp;"-"&amp;IFERROR(MATCH(T153,miOrdenTarjeta,0),0))</f>
        <v>3-1</v>
      </c>
      <c r="W153" s="20">
        <f t="shared" ca="1" si="64"/>
        <v>1</v>
      </c>
      <c r="X153" s="20" t="str">
        <f t="shared" ca="1" si="55"/>
        <v/>
      </c>
      <c r="Y153" s="20" t="str" cm="1">
        <f t="array" aca="1" ref="Y153" ca="1">IF(X153="","",IF(X153&lt;&gt;X152,1,IF(Y152=misLíneas-2,0,Y152+1)))</f>
        <v/>
      </c>
      <c r="Z153" s="20" t="str" cm="1">
        <f t="array" aca="1" ref="Z153" ca="1">IF(OR(Y153=0,Y153=""),"",INDEX(misCriticidades,X153)&amp;"-"&amp;IFERROR(MATCH(Y153,miOrdenTarjeta,0),0))</f>
        <v/>
      </c>
      <c r="AB153" s="20">
        <f t="shared" ca="1" si="65"/>
        <v>1</v>
      </c>
      <c r="AC153" s="20" t="str">
        <f t="shared" ca="1" si="56"/>
        <v/>
      </c>
      <c r="AD153" s="20" t="str" cm="1">
        <f t="array" aca="1" ref="AD153" ca="1">IF(AC153="","",IF(AC153&lt;&gt;AC152,1,IF(AD152=misLíneas-2,0,AD152+1)))</f>
        <v/>
      </c>
      <c r="AE153" s="20" t="str" cm="1">
        <f t="array" aca="1" ref="AE153" ca="1">IF(OR(AD153=0,AD153=""),"",INDEX(misCriticidades,AC153)&amp;"-"&amp;IFERROR(MATCH(AD153,miOrdenTarjeta,0),0))</f>
        <v/>
      </c>
      <c r="AG153" s="20">
        <f t="shared" ca="1" si="66"/>
        <v>1</v>
      </c>
      <c r="AH153" s="20" t="str">
        <f t="shared" ca="1" si="57"/>
        <v/>
      </c>
      <c r="AI153" s="20" t="str" cm="1">
        <f t="array" aca="1" ref="AI153" ca="1">IF(AH153="","",IF(AH153&lt;&gt;AH152,1,IF(AI152=misLíneas-2,0,AI152+1)))</f>
        <v/>
      </c>
      <c r="AJ153" s="20" t="str" cm="1">
        <f t="array" aca="1" ref="AJ153" ca="1">IF(OR(AI153=0,AI153=""),"",INDEX(misCriticidades,AH153)&amp;"-"&amp;IFERROR(MATCH(AI153,miOrdenTarjeta,0),0))</f>
        <v/>
      </c>
      <c r="AL153" s="20">
        <f t="shared" ca="1" si="67"/>
        <v>1</v>
      </c>
      <c r="AM153" s="20" t="str">
        <f t="shared" ca="1" si="58"/>
        <v/>
      </c>
      <c r="AN153" s="20" t="str" cm="1">
        <f t="array" aca="1" ref="AN153" ca="1">IF(AM153="","",IF(AM153&lt;&gt;AM152,1,IF(AN152=misLíneas-2,0,AN152+1)))</f>
        <v/>
      </c>
      <c r="AO153" s="20" t="str" cm="1">
        <f t="array" aca="1" ref="AO153" ca="1">IF(OR(AN153=0,AN153=""),"",INDEX(misCriticidades,AM153)&amp;"-"&amp;IFERROR(MATCH(AN153,miOrdenTarjeta,0),0))</f>
        <v/>
      </c>
      <c r="AQ153" s="20">
        <f t="shared" ca="1" si="68"/>
        <v>1</v>
      </c>
      <c r="AR153" s="20" t="str">
        <f t="shared" ca="1" si="59"/>
        <v/>
      </c>
      <c r="AS153" s="20" t="str" cm="1">
        <f t="array" aca="1" ref="AS153" ca="1">IF(AR153="","",IF(AR153&lt;&gt;AR152,1,IF(AS152=misLíneas-2,0,AS152+1)))</f>
        <v/>
      </c>
      <c r="AT153" s="20" t="str" cm="1">
        <f t="array" aca="1" ref="AT153" ca="1">IF(OR(AS153=0,AS153=""),"",INDEX(misCriticidades,AR153)&amp;"-"&amp;IFERROR(MATCH(AS153,miOrdenTarjeta,0),0))</f>
        <v/>
      </c>
      <c r="AV153" s="20">
        <f t="shared" ca="1" si="69"/>
        <v>1</v>
      </c>
      <c r="AW153" s="20" t="str">
        <f t="shared" ca="1" si="60"/>
        <v/>
      </c>
      <c r="AX153" s="20" t="str" cm="1">
        <f t="array" aca="1" ref="AX153" ca="1">IF(AW153="","",IF(AW153&lt;&gt;AW152,1,IF(AX152=misLíneas-2,0,AX152+1)))</f>
        <v/>
      </c>
      <c r="AY153" s="20" t="str" cm="1">
        <f t="array" aca="1" ref="AY153" ca="1">IF(OR(AX153=0,AX153=""),"",INDEX(misCriticidades,AW153)&amp;"-"&amp;IFERROR(MATCH(AX153,miOrdenTarjeta,0),0))</f>
        <v/>
      </c>
    </row>
    <row r="154" spans="3:51" x14ac:dyDescent="0.25">
      <c r="C154" s="20">
        <f t="shared" ca="1" si="70"/>
        <v>1</v>
      </c>
      <c r="D154" s="20" t="str">
        <f t="shared" ca="1" si="51"/>
        <v/>
      </c>
      <c r="E154" s="20" t="str" cm="1">
        <f t="array" aca="1" ref="E154" ca="1">IF(D154="","",IF(D154&lt;&gt;D153,1,IF(E153=misLíneas-2,0,E153+1)))</f>
        <v/>
      </c>
      <c r="F154" s="20" t="str" cm="1">
        <f t="array" aca="1" ref="F154" ca="1">IF(OR(E154=0,E154=""),"",INDEX(misCriticidades,D154)&amp;"-"&amp;IFERROR(MATCH(E154,miOrdenTarjeta,0),0))</f>
        <v/>
      </c>
      <c r="H154" s="20">
        <f t="shared" ca="1" si="61"/>
        <v>7</v>
      </c>
      <c r="I154" s="20" t="str">
        <f t="shared" ca="1" si="52"/>
        <v/>
      </c>
      <c r="J154" s="20" t="str" cm="1">
        <f t="array" aca="1" ref="J154" ca="1">IF(I154="","",IF(I154&lt;&gt;I153,1,IF(J153=misLíneas-2,0,J153+1)))</f>
        <v/>
      </c>
      <c r="K154" s="20" t="str" cm="1">
        <f t="array" aca="1" ref="K154" ca="1">IF(OR(J154=0,J154=""),"",INDEX(misCriticidades,I154)&amp;"-"&amp;IFERROR(MATCH(J154,miOrdenTarjeta,0),0))</f>
        <v/>
      </c>
      <c r="M154" s="20">
        <f t="shared" ca="1" si="62"/>
        <v>1</v>
      </c>
      <c r="N154" s="20" t="str">
        <f t="shared" ca="1" si="53"/>
        <v/>
      </c>
      <c r="O154" s="20" t="str" cm="1">
        <f t="array" aca="1" ref="O154" ca="1">IF(N154="","",IF(N154&lt;&gt;N153,1,IF(O153=misLíneas-2,0,O153+1)))</f>
        <v/>
      </c>
      <c r="P154" s="20" t="str" cm="1">
        <f t="array" aca="1" ref="P154" ca="1">IF(OR(O154=0,O154=""),"",INDEX(misCriticidades,N154)&amp;"-"&amp;IFERROR(MATCH(O154,miOrdenTarjeta,0),0))</f>
        <v/>
      </c>
      <c r="R154" s="20">
        <f t="shared" ca="1" si="63"/>
        <v>16</v>
      </c>
      <c r="S154" s="20">
        <f t="shared" ca="1" si="54"/>
        <v>14</v>
      </c>
      <c r="T154" s="20" cm="1">
        <f t="array" aca="1" ref="T154" ca="1">IF(S154="","",IF(S154&lt;&gt;S153,1,IF(T153=misLíneas-2,0,T153+1)))</f>
        <v>2</v>
      </c>
      <c r="U154" s="20" t="str" cm="1">
        <f t="array" aca="1" ref="U154" ca="1">IF(OR(T154=0,T154=""),"",INDEX(misCriticidades,S154)&amp;"-"&amp;IFERROR(MATCH(T154,miOrdenTarjeta,0),0))</f>
        <v>3-2</v>
      </c>
      <c r="W154" s="20">
        <f t="shared" ca="1" si="64"/>
        <v>1</v>
      </c>
      <c r="X154" s="20" t="str">
        <f t="shared" ca="1" si="55"/>
        <v/>
      </c>
      <c r="Y154" s="20" t="str" cm="1">
        <f t="array" aca="1" ref="Y154" ca="1">IF(X154="","",IF(X154&lt;&gt;X153,1,IF(Y153=misLíneas-2,0,Y153+1)))</f>
        <v/>
      </c>
      <c r="Z154" s="20" t="str" cm="1">
        <f t="array" aca="1" ref="Z154" ca="1">IF(OR(Y154=0,Y154=""),"",INDEX(misCriticidades,X154)&amp;"-"&amp;IFERROR(MATCH(Y154,miOrdenTarjeta,0),0))</f>
        <v/>
      </c>
      <c r="AB154" s="20">
        <f t="shared" ca="1" si="65"/>
        <v>1</v>
      </c>
      <c r="AC154" s="20" t="str">
        <f t="shared" ca="1" si="56"/>
        <v/>
      </c>
      <c r="AD154" s="20" t="str" cm="1">
        <f t="array" aca="1" ref="AD154" ca="1">IF(AC154="","",IF(AC154&lt;&gt;AC153,1,IF(AD153=misLíneas-2,0,AD153+1)))</f>
        <v/>
      </c>
      <c r="AE154" s="20" t="str" cm="1">
        <f t="array" aca="1" ref="AE154" ca="1">IF(OR(AD154=0,AD154=""),"",INDEX(misCriticidades,AC154)&amp;"-"&amp;IFERROR(MATCH(AD154,miOrdenTarjeta,0),0))</f>
        <v/>
      </c>
      <c r="AG154" s="20">
        <f t="shared" ca="1" si="66"/>
        <v>1</v>
      </c>
      <c r="AH154" s="20" t="str">
        <f t="shared" ca="1" si="57"/>
        <v/>
      </c>
      <c r="AI154" s="20" t="str" cm="1">
        <f t="array" aca="1" ref="AI154" ca="1">IF(AH154="","",IF(AH154&lt;&gt;AH153,1,IF(AI153=misLíneas-2,0,AI153+1)))</f>
        <v/>
      </c>
      <c r="AJ154" s="20" t="str" cm="1">
        <f t="array" aca="1" ref="AJ154" ca="1">IF(OR(AI154=0,AI154=""),"",INDEX(misCriticidades,AH154)&amp;"-"&amp;IFERROR(MATCH(AI154,miOrdenTarjeta,0),0))</f>
        <v/>
      </c>
      <c r="AL154" s="20">
        <f t="shared" ca="1" si="67"/>
        <v>1</v>
      </c>
      <c r="AM154" s="20" t="str">
        <f t="shared" ca="1" si="58"/>
        <v/>
      </c>
      <c r="AN154" s="20" t="str" cm="1">
        <f t="array" aca="1" ref="AN154" ca="1">IF(AM154="","",IF(AM154&lt;&gt;AM153,1,IF(AN153=misLíneas-2,0,AN153+1)))</f>
        <v/>
      </c>
      <c r="AO154" s="20" t="str" cm="1">
        <f t="array" aca="1" ref="AO154" ca="1">IF(OR(AN154=0,AN154=""),"",INDEX(misCriticidades,AM154)&amp;"-"&amp;IFERROR(MATCH(AN154,miOrdenTarjeta,0),0))</f>
        <v/>
      </c>
      <c r="AQ154" s="20">
        <f t="shared" ca="1" si="68"/>
        <v>1</v>
      </c>
      <c r="AR154" s="20" t="str">
        <f t="shared" ca="1" si="59"/>
        <v/>
      </c>
      <c r="AS154" s="20" t="str" cm="1">
        <f t="array" aca="1" ref="AS154" ca="1">IF(AR154="","",IF(AR154&lt;&gt;AR153,1,IF(AS153=misLíneas-2,0,AS153+1)))</f>
        <v/>
      </c>
      <c r="AT154" s="20" t="str" cm="1">
        <f t="array" aca="1" ref="AT154" ca="1">IF(OR(AS154=0,AS154=""),"",INDEX(misCriticidades,AR154)&amp;"-"&amp;IFERROR(MATCH(AS154,miOrdenTarjeta,0),0))</f>
        <v/>
      </c>
      <c r="AV154" s="20">
        <f t="shared" ca="1" si="69"/>
        <v>1</v>
      </c>
      <c r="AW154" s="20" t="str">
        <f t="shared" ca="1" si="60"/>
        <v/>
      </c>
      <c r="AX154" s="20" t="str" cm="1">
        <f t="array" aca="1" ref="AX154" ca="1">IF(AW154="","",IF(AW154&lt;&gt;AW153,1,IF(AX153=misLíneas-2,0,AX153+1)))</f>
        <v/>
      </c>
      <c r="AY154" s="20" t="str" cm="1">
        <f t="array" aca="1" ref="AY154" ca="1">IF(OR(AX154=0,AX154=""),"",INDEX(misCriticidades,AW154)&amp;"-"&amp;IFERROR(MATCH(AX154,miOrdenTarjeta,0),0))</f>
        <v/>
      </c>
    </row>
    <row r="155" spans="3:51" x14ac:dyDescent="0.25">
      <c r="C155" s="20">
        <f t="shared" ca="1" si="70"/>
        <v>1</v>
      </c>
      <c r="D155" s="20" t="str">
        <f t="shared" ca="1" si="51"/>
        <v/>
      </c>
      <c r="E155" s="20" t="str" cm="1">
        <f t="array" aca="1" ref="E155" ca="1">IF(D155="","",IF(D155&lt;&gt;D154,1,IF(E154=misLíneas-2,0,E154+1)))</f>
        <v/>
      </c>
      <c r="F155" s="20" t="str" cm="1">
        <f t="array" aca="1" ref="F155" ca="1">IF(OR(E155=0,E155=""),"",INDEX(misCriticidades,D155)&amp;"-"&amp;IFERROR(MATCH(E155,miOrdenTarjeta,0),0))</f>
        <v/>
      </c>
      <c r="H155" s="20">
        <f t="shared" ca="1" si="61"/>
        <v>7</v>
      </c>
      <c r="I155" s="20" t="str">
        <f t="shared" ca="1" si="52"/>
        <v/>
      </c>
      <c r="J155" s="20" t="str" cm="1">
        <f t="array" aca="1" ref="J155" ca="1">IF(I155="","",IF(I155&lt;&gt;I154,1,IF(J154=misLíneas-2,0,J154+1)))</f>
        <v/>
      </c>
      <c r="K155" s="20" t="str" cm="1">
        <f t="array" aca="1" ref="K155" ca="1">IF(OR(J155=0,J155=""),"",INDEX(misCriticidades,I155)&amp;"-"&amp;IFERROR(MATCH(J155,miOrdenTarjeta,0),0))</f>
        <v/>
      </c>
      <c r="M155" s="20">
        <f t="shared" ca="1" si="62"/>
        <v>1</v>
      </c>
      <c r="N155" s="20" t="str">
        <f t="shared" ca="1" si="53"/>
        <v/>
      </c>
      <c r="O155" s="20" t="str" cm="1">
        <f t="array" aca="1" ref="O155" ca="1">IF(N155="","",IF(N155&lt;&gt;N154,1,IF(O154=misLíneas-2,0,O154+1)))</f>
        <v/>
      </c>
      <c r="P155" s="20" t="str" cm="1">
        <f t="array" aca="1" ref="P155" ca="1">IF(OR(O155=0,O155=""),"",INDEX(misCriticidades,N155)&amp;"-"&amp;IFERROR(MATCH(O155,miOrdenTarjeta,0),0))</f>
        <v/>
      </c>
      <c r="R155" s="20">
        <f t="shared" ca="1" si="63"/>
        <v>16</v>
      </c>
      <c r="S155" s="20">
        <f t="shared" ca="1" si="54"/>
        <v>14</v>
      </c>
      <c r="T155" s="20" cm="1">
        <f t="array" aca="1" ref="T155" ca="1">IF(S155="","",IF(S155&lt;&gt;S154,1,IF(T154=misLíneas-2,0,T154+1)))</f>
        <v>3</v>
      </c>
      <c r="U155" s="20" t="str" cm="1">
        <f t="array" aca="1" ref="U155" ca="1">IF(OR(T155=0,T155=""),"",INDEX(misCriticidades,S155)&amp;"-"&amp;IFERROR(MATCH(T155,miOrdenTarjeta,0),0))</f>
        <v>3-3</v>
      </c>
      <c r="W155" s="20">
        <f t="shared" ca="1" si="64"/>
        <v>1</v>
      </c>
      <c r="X155" s="20" t="str">
        <f t="shared" ca="1" si="55"/>
        <v/>
      </c>
      <c r="Y155" s="20" t="str" cm="1">
        <f t="array" aca="1" ref="Y155" ca="1">IF(X155="","",IF(X155&lt;&gt;X154,1,IF(Y154=misLíneas-2,0,Y154+1)))</f>
        <v/>
      </c>
      <c r="Z155" s="20" t="str" cm="1">
        <f t="array" aca="1" ref="Z155" ca="1">IF(OR(Y155=0,Y155=""),"",INDEX(misCriticidades,X155)&amp;"-"&amp;IFERROR(MATCH(Y155,miOrdenTarjeta,0),0))</f>
        <v/>
      </c>
      <c r="AB155" s="20">
        <f t="shared" ca="1" si="65"/>
        <v>1</v>
      </c>
      <c r="AC155" s="20" t="str">
        <f t="shared" ca="1" si="56"/>
        <v/>
      </c>
      <c r="AD155" s="20" t="str" cm="1">
        <f t="array" aca="1" ref="AD155" ca="1">IF(AC155="","",IF(AC155&lt;&gt;AC154,1,IF(AD154=misLíneas-2,0,AD154+1)))</f>
        <v/>
      </c>
      <c r="AE155" s="20" t="str" cm="1">
        <f t="array" aca="1" ref="AE155" ca="1">IF(OR(AD155=0,AD155=""),"",INDEX(misCriticidades,AC155)&amp;"-"&amp;IFERROR(MATCH(AD155,miOrdenTarjeta,0),0))</f>
        <v/>
      </c>
      <c r="AG155" s="20">
        <f t="shared" ca="1" si="66"/>
        <v>1</v>
      </c>
      <c r="AH155" s="20" t="str">
        <f t="shared" ca="1" si="57"/>
        <v/>
      </c>
      <c r="AI155" s="20" t="str" cm="1">
        <f t="array" aca="1" ref="AI155" ca="1">IF(AH155="","",IF(AH155&lt;&gt;AH154,1,IF(AI154=misLíneas-2,0,AI154+1)))</f>
        <v/>
      </c>
      <c r="AJ155" s="20" t="str" cm="1">
        <f t="array" aca="1" ref="AJ155" ca="1">IF(OR(AI155=0,AI155=""),"",INDEX(misCriticidades,AH155)&amp;"-"&amp;IFERROR(MATCH(AI155,miOrdenTarjeta,0),0))</f>
        <v/>
      </c>
      <c r="AL155" s="20">
        <f t="shared" ca="1" si="67"/>
        <v>1</v>
      </c>
      <c r="AM155" s="20" t="str">
        <f t="shared" ca="1" si="58"/>
        <v/>
      </c>
      <c r="AN155" s="20" t="str" cm="1">
        <f t="array" aca="1" ref="AN155" ca="1">IF(AM155="","",IF(AM155&lt;&gt;AM154,1,IF(AN154=misLíneas-2,0,AN154+1)))</f>
        <v/>
      </c>
      <c r="AO155" s="20" t="str" cm="1">
        <f t="array" aca="1" ref="AO155" ca="1">IF(OR(AN155=0,AN155=""),"",INDEX(misCriticidades,AM155)&amp;"-"&amp;IFERROR(MATCH(AN155,miOrdenTarjeta,0),0))</f>
        <v/>
      </c>
      <c r="AQ155" s="20">
        <f t="shared" ca="1" si="68"/>
        <v>1</v>
      </c>
      <c r="AR155" s="20" t="str">
        <f t="shared" ca="1" si="59"/>
        <v/>
      </c>
      <c r="AS155" s="20" t="str" cm="1">
        <f t="array" aca="1" ref="AS155" ca="1">IF(AR155="","",IF(AR155&lt;&gt;AR154,1,IF(AS154=misLíneas-2,0,AS154+1)))</f>
        <v/>
      </c>
      <c r="AT155" s="20" t="str" cm="1">
        <f t="array" aca="1" ref="AT155" ca="1">IF(OR(AS155=0,AS155=""),"",INDEX(misCriticidades,AR155)&amp;"-"&amp;IFERROR(MATCH(AS155,miOrdenTarjeta,0),0))</f>
        <v/>
      </c>
      <c r="AV155" s="20">
        <f t="shared" ca="1" si="69"/>
        <v>1</v>
      </c>
      <c r="AW155" s="20" t="str">
        <f t="shared" ca="1" si="60"/>
        <v/>
      </c>
      <c r="AX155" s="20" t="str" cm="1">
        <f t="array" aca="1" ref="AX155" ca="1">IF(AW155="","",IF(AW155&lt;&gt;AW154,1,IF(AX154=misLíneas-2,0,AX154+1)))</f>
        <v/>
      </c>
      <c r="AY155" s="20" t="str" cm="1">
        <f t="array" aca="1" ref="AY155" ca="1">IF(OR(AX155=0,AX155=""),"",INDEX(misCriticidades,AW155)&amp;"-"&amp;IFERROR(MATCH(AX155,miOrdenTarjeta,0),0))</f>
        <v/>
      </c>
    </row>
    <row r="156" spans="3:51" x14ac:dyDescent="0.25">
      <c r="C156" s="20">
        <f t="shared" ca="1" si="70"/>
        <v>1</v>
      </c>
      <c r="D156" s="20" t="str">
        <f t="shared" ca="1" si="51"/>
        <v/>
      </c>
      <c r="E156" s="20" t="str" cm="1">
        <f t="array" aca="1" ref="E156" ca="1">IF(D156="","",IF(D156&lt;&gt;D155,1,IF(E155=misLíneas-2,0,E155+1)))</f>
        <v/>
      </c>
      <c r="F156" s="20" t="str" cm="1">
        <f t="array" aca="1" ref="F156" ca="1">IF(OR(E156=0,E156=""),"",INDEX(misCriticidades,D156)&amp;"-"&amp;IFERROR(MATCH(E156,miOrdenTarjeta,0),0))</f>
        <v/>
      </c>
      <c r="H156" s="20">
        <f t="shared" ca="1" si="61"/>
        <v>7</v>
      </c>
      <c r="I156" s="20" t="str">
        <f t="shared" ca="1" si="52"/>
        <v/>
      </c>
      <c r="J156" s="20" t="str" cm="1">
        <f t="array" aca="1" ref="J156" ca="1">IF(I156="","",IF(I156&lt;&gt;I155,1,IF(J155=misLíneas-2,0,J155+1)))</f>
        <v/>
      </c>
      <c r="K156" s="20" t="str" cm="1">
        <f t="array" aca="1" ref="K156" ca="1">IF(OR(J156=0,J156=""),"",INDEX(misCriticidades,I156)&amp;"-"&amp;IFERROR(MATCH(J156,miOrdenTarjeta,0),0))</f>
        <v/>
      </c>
      <c r="M156" s="20">
        <f t="shared" ca="1" si="62"/>
        <v>1</v>
      </c>
      <c r="N156" s="20" t="str">
        <f t="shared" ca="1" si="53"/>
        <v/>
      </c>
      <c r="O156" s="20" t="str" cm="1">
        <f t="array" aca="1" ref="O156" ca="1">IF(N156="","",IF(N156&lt;&gt;N155,1,IF(O155=misLíneas-2,0,O155+1)))</f>
        <v/>
      </c>
      <c r="P156" s="20" t="str" cm="1">
        <f t="array" aca="1" ref="P156" ca="1">IF(OR(O156=0,O156=""),"",INDEX(misCriticidades,N156)&amp;"-"&amp;IFERROR(MATCH(O156,miOrdenTarjeta,0),0))</f>
        <v/>
      </c>
      <c r="R156" s="20">
        <f t="shared" ca="1" si="63"/>
        <v>16</v>
      </c>
      <c r="S156" s="20">
        <f t="shared" ca="1" si="54"/>
        <v>14</v>
      </c>
      <c r="T156" s="20" cm="1">
        <f t="array" aca="1" ref="T156" ca="1">IF(S156="","",IF(S156&lt;&gt;S155,1,IF(T155=misLíneas-2,0,T155+1)))</f>
        <v>4</v>
      </c>
      <c r="U156" s="20" t="str" cm="1">
        <f t="array" aca="1" ref="U156" ca="1">IF(OR(T156=0,T156=""),"",INDEX(misCriticidades,S156)&amp;"-"&amp;IFERROR(MATCH(T156,miOrdenTarjeta,0),0))</f>
        <v>3-4</v>
      </c>
      <c r="W156" s="20">
        <f t="shared" ca="1" si="64"/>
        <v>1</v>
      </c>
      <c r="X156" s="20" t="str">
        <f t="shared" ca="1" si="55"/>
        <v/>
      </c>
      <c r="Y156" s="20" t="str" cm="1">
        <f t="array" aca="1" ref="Y156" ca="1">IF(X156="","",IF(X156&lt;&gt;X155,1,IF(Y155=misLíneas-2,0,Y155+1)))</f>
        <v/>
      </c>
      <c r="Z156" s="20" t="str" cm="1">
        <f t="array" aca="1" ref="Z156" ca="1">IF(OR(Y156=0,Y156=""),"",INDEX(misCriticidades,X156)&amp;"-"&amp;IFERROR(MATCH(Y156,miOrdenTarjeta,0),0))</f>
        <v/>
      </c>
      <c r="AB156" s="20">
        <f t="shared" ca="1" si="65"/>
        <v>1</v>
      </c>
      <c r="AC156" s="20" t="str">
        <f t="shared" ca="1" si="56"/>
        <v/>
      </c>
      <c r="AD156" s="20" t="str" cm="1">
        <f t="array" aca="1" ref="AD156" ca="1">IF(AC156="","",IF(AC156&lt;&gt;AC155,1,IF(AD155=misLíneas-2,0,AD155+1)))</f>
        <v/>
      </c>
      <c r="AE156" s="20" t="str" cm="1">
        <f t="array" aca="1" ref="AE156" ca="1">IF(OR(AD156=0,AD156=""),"",INDEX(misCriticidades,AC156)&amp;"-"&amp;IFERROR(MATCH(AD156,miOrdenTarjeta,0),0))</f>
        <v/>
      </c>
      <c r="AG156" s="20">
        <f t="shared" ca="1" si="66"/>
        <v>1</v>
      </c>
      <c r="AH156" s="20" t="str">
        <f t="shared" ca="1" si="57"/>
        <v/>
      </c>
      <c r="AI156" s="20" t="str" cm="1">
        <f t="array" aca="1" ref="AI156" ca="1">IF(AH156="","",IF(AH156&lt;&gt;AH155,1,IF(AI155=misLíneas-2,0,AI155+1)))</f>
        <v/>
      </c>
      <c r="AJ156" s="20" t="str" cm="1">
        <f t="array" aca="1" ref="AJ156" ca="1">IF(OR(AI156=0,AI156=""),"",INDEX(misCriticidades,AH156)&amp;"-"&amp;IFERROR(MATCH(AI156,miOrdenTarjeta,0),0))</f>
        <v/>
      </c>
      <c r="AL156" s="20">
        <f t="shared" ca="1" si="67"/>
        <v>1</v>
      </c>
      <c r="AM156" s="20" t="str">
        <f t="shared" ca="1" si="58"/>
        <v/>
      </c>
      <c r="AN156" s="20" t="str" cm="1">
        <f t="array" aca="1" ref="AN156" ca="1">IF(AM156="","",IF(AM156&lt;&gt;AM155,1,IF(AN155=misLíneas-2,0,AN155+1)))</f>
        <v/>
      </c>
      <c r="AO156" s="20" t="str" cm="1">
        <f t="array" aca="1" ref="AO156" ca="1">IF(OR(AN156=0,AN156=""),"",INDEX(misCriticidades,AM156)&amp;"-"&amp;IFERROR(MATCH(AN156,miOrdenTarjeta,0),0))</f>
        <v/>
      </c>
      <c r="AQ156" s="20">
        <f t="shared" ca="1" si="68"/>
        <v>1</v>
      </c>
      <c r="AR156" s="20" t="str">
        <f t="shared" ca="1" si="59"/>
        <v/>
      </c>
      <c r="AS156" s="20" t="str" cm="1">
        <f t="array" aca="1" ref="AS156" ca="1">IF(AR156="","",IF(AR156&lt;&gt;AR155,1,IF(AS155=misLíneas-2,0,AS155+1)))</f>
        <v/>
      </c>
      <c r="AT156" s="20" t="str" cm="1">
        <f t="array" aca="1" ref="AT156" ca="1">IF(OR(AS156=0,AS156=""),"",INDEX(misCriticidades,AR156)&amp;"-"&amp;IFERROR(MATCH(AS156,miOrdenTarjeta,0),0))</f>
        <v/>
      </c>
      <c r="AV156" s="20">
        <f t="shared" ca="1" si="69"/>
        <v>1</v>
      </c>
      <c r="AW156" s="20" t="str">
        <f t="shared" ca="1" si="60"/>
        <v/>
      </c>
      <c r="AX156" s="20" t="str" cm="1">
        <f t="array" aca="1" ref="AX156" ca="1">IF(AW156="","",IF(AW156&lt;&gt;AW155,1,IF(AX155=misLíneas-2,0,AX155+1)))</f>
        <v/>
      </c>
      <c r="AY156" s="20" t="str" cm="1">
        <f t="array" aca="1" ref="AY156" ca="1">IF(OR(AX156=0,AX156=""),"",INDEX(misCriticidades,AW156)&amp;"-"&amp;IFERROR(MATCH(AX156,miOrdenTarjeta,0),0))</f>
        <v/>
      </c>
    </row>
    <row r="157" spans="3:51" x14ac:dyDescent="0.25">
      <c r="C157" s="20">
        <f t="shared" ca="1" si="70"/>
        <v>1</v>
      </c>
      <c r="D157" s="20" t="str">
        <f t="shared" ca="1" si="51"/>
        <v/>
      </c>
      <c r="E157" s="20" t="str" cm="1">
        <f t="array" aca="1" ref="E157" ca="1">IF(D157="","",IF(D157&lt;&gt;D156,1,IF(E156=misLíneas-2,0,E156+1)))</f>
        <v/>
      </c>
      <c r="F157" s="20" t="str" cm="1">
        <f t="array" aca="1" ref="F157" ca="1">IF(OR(E157=0,E157=""),"",INDEX(misCriticidades,D157)&amp;"-"&amp;IFERROR(MATCH(E157,miOrdenTarjeta,0),0))</f>
        <v/>
      </c>
      <c r="H157" s="20">
        <f t="shared" ca="1" si="61"/>
        <v>7</v>
      </c>
      <c r="I157" s="20" t="str">
        <f t="shared" ca="1" si="52"/>
        <v/>
      </c>
      <c r="J157" s="20" t="str" cm="1">
        <f t="array" aca="1" ref="J157" ca="1">IF(I157="","",IF(I157&lt;&gt;I156,1,IF(J156=misLíneas-2,0,J156+1)))</f>
        <v/>
      </c>
      <c r="K157" s="20" t="str" cm="1">
        <f t="array" aca="1" ref="K157" ca="1">IF(OR(J157=0,J157=""),"",INDEX(misCriticidades,I157)&amp;"-"&amp;IFERROR(MATCH(J157,miOrdenTarjeta,0),0))</f>
        <v/>
      </c>
      <c r="M157" s="20">
        <f t="shared" ca="1" si="62"/>
        <v>1</v>
      </c>
      <c r="N157" s="20" t="str">
        <f t="shared" ca="1" si="53"/>
        <v/>
      </c>
      <c r="O157" s="20" t="str" cm="1">
        <f t="array" aca="1" ref="O157" ca="1">IF(N157="","",IF(N157&lt;&gt;N156,1,IF(O156=misLíneas-2,0,O156+1)))</f>
        <v/>
      </c>
      <c r="P157" s="20" t="str" cm="1">
        <f t="array" aca="1" ref="P157" ca="1">IF(OR(O157=0,O157=""),"",INDEX(misCriticidades,N157)&amp;"-"&amp;IFERROR(MATCH(O157,miOrdenTarjeta,0),0))</f>
        <v/>
      </c>
      <c r="R157" s="20">
        <f t="shared" ca="1" si="63"/>
        <v>16</v>
      </c>
      <c r="S157" s="20">
        <f t="shared" ca="1" si="54"/>
        <v>14</v>
      </c>
      <c r="T157" s="20" cm="1">
        <f t="array" aca="1" ref="T157" ca="1">IF(S157="","",IF(S157&lt;&gt;S156,1,IF(T156=misLíneas-2,0,T156+1)))</f>
        <v>5</v>
      </c>
      <c r="U157" s="20" t="str" cm="1">
        <f t="array" aca="1" ref="U157" ca="1">IF(OR(T157=0,T157=""),"",INDEX(misCriticidades,S157)&amp;"-"&amp;IFERROR(MATCH(T157,miOrdenTarjeta,0),0))</f>
        <v>3-5</v>
      </c>
      <c r="W157" s="20">
        <f t="shared" ca="1" si="64"/>
        <v>1</v>
      </c>
      <c r="X157" s="20" t="str">
        <f t="shared" ca="1" si="55"/>
        <v/>
      </c>
      <c r="Y157" s="20" t="str" cm="1">
        <f t="array" aca="1" ref="Y157" ca="1">IF(X157="","",IF(X157&lt;&gt;X156,1,IF(Y156=misLíneas-2,0,Y156+1)))</f>
        <v/>
      </c>
      <c r="Z157" s="20" t="str" cm="1">
        <f t="array" aca="1" ref="Z157" ca="1">IF(OR(Y157=0,Y157=""),"",INDEX(misCriticidades,X157)&amp;"-"&amp;IFERROR(MATCH(Y157,miOrdenTarjeta,0),0))</f>
        <v/>
      </c>
      <c r="AB157" s="20">
        <f t="shared" ca="1" si="65"/>
        <v>1</v>
      </c>
      <c r="AC157" s="20" t="str">
        <f t="shared" ca="1" si="56"/>
        <v/>
      </c>
      <c r="AD157" s="20" t="str" cm="1">
        <f t="array" aca="1" ref="AD157" ca="1">IF(AC157="","",IF(AC157&lt;&gt;AC156,1,IF(AD156=misLíneas-2,0,AD156+1)))</f>
        <v/>
      </c>
      <c r="AE157" s="20" t="str" cm="1">
        <f t="array" aca="1" ref="AE157" ca="1">IF(OR(AD157=0,AD157=""),"",INDEX(misCriticidades,AC157)&amp;"-"&amp;IFERROR(MATCH(AD157,miOrdenTarjeta,0),0))</f>
        <v/>
      </c>
      <c r="AG157" s="20">
        <f t="shared" ca="1" si="66"/>
        <v>1</v>
      </c>
      <c r="AH157" s="20" t="str">
        <f t="shared" ca="1" si="57"/>
        <v/>
      </c>
      <c r="AI157" s="20" t="str" cm="1">
        <f t="array" aca="1" ref="AI157" ca="1">IF(AH157="","",IF(AH157&lt;&gt;AH156,1,IF(AI156=misLíneas-2,0,AI156+1)))</f>
        <v/>
      </c>
      <c r="AJ157" s="20" t="str" cm="1">
        <f t="array" aca="1" ref="AJ157" ca="1">IF(OR(AI157=0,AI157=""),"",INDEX(misCriticidades,AH157)&amp;"-"&amp;IFERROR(MATCH(AI157,miOrdenTarjeta,0),0))</f>
        <v/>
      </c>
      <c r="AL157" s="20">
        <f t="shared" ca="1" si="67"/>
        <v>1</v>
      </c>
      <c r="AM157" s="20" t="str">
        <f t="shared" ca="1" si="58"/>
        <v/>
      </c>
      <c r="AN157" s="20" t="str" cm="1">
        <f t="array" aca="1" ref="AN157" ca="1">IF(AM157="","",IF(AM157&lt;&gt;AM156,1,IF(AN156=misLíneas-2,0,AN156+1)))</f>
        <v/>
      </c>
      <c r="AO157" s="20" t="str" cm="1">
        <f t="array" aca="1" ref="AO157" ca="1">IF(OR(AN157=0,AN157=""),"",INDEX(misCriticidades,AM157)&amp;"-"&amp;IFERROR(MATCH(AN157,miOrdenTarjeta,0),0))</f>
        <v/>
      </c>
      <c r="AQ157" s="20">
        <f t="shared" ca="1" si="68"/>
        <v>1</v>
      </c>
      <c r="AR157" s="20" t="str">
        <f t="shared" ca="1" si="59"/>
        <v/>
      </c>
      <c r="AS157" s="20" t="str" cm="1">
        <f t="array" aca="1" ref="AS157" ca="1">IF(AR157="","",IF(AR157&lt;&gt;AR156,1,IF(AS156=misLíneas-2,0,AS156+1)))</f>
        <v/>
      </c>
      <c r="AT157" s="20" t="str" cm="1">
        <f t="array" aca="1" ref="AT157" ca="1">IF(OR(AS157=0,AS157=""),"",INDEX(misCriticidades,AR157)&amp;"-"&amp;IFERROR(MATCH(AS157,miOrdenTarjeta,0),0))</f>
        <v/>
      </c>
      <c r="AV157" s="20">
        <f t="shared" ca="1" si="69"/>
        <v>1</v>
      </c>
      <c r="AW157" s="20" t="str">
        <f t="shared" ca="1" si="60"/>
        <v/>
      </c>
      <c r="AX157" s="20" t="str" cm="1">
        <f t="array" aca="1" ref="AX157" ca="1">IF(AW157="","",IF(AW157&lt;&gt;AW156,1,IF(AX156=misLíneas-2,0,AX156+1)))</f>
        <v/>
      </c>
      <c r="AY157" s="20" t="str" cm="1">
        <f t="array" aca="1" ref="AY157" ca="1">IF(OR(AX157=0,AX157=""),"",INDEX(misCriticidades,AW157)&amp;"-"&amp;IFERROR(MATCH(AX157,miOrdenTarjeta,0),0))</f>
        <v/>
      </c>
    </row>
    <row r="158" spans="3:51" x14ac:dyDescent="0.25">
      <c r="C158" s="20">
        <f t="shared" ca="1" si="70"/>
        <v>1</v>
      </c>
      <c r="D158" s="20" t="str">
        <f t="shared" ca="1" si="51"/>
        <v/>
      </c>
      <c r="E158" s="20" t="str" cm="1">
        <f t="array" aca="1" ref="E158" ca="1">IF(D158="","",IF(D158&lt;&gt;D157,1,IF(E157=misLíneas-2,0,E157+1)))</f>
        <v/>
      </c>
      <c r="F158" s="20" t="str" cm="1">
        <f t="array" aca="1" ref="F158" ca="1">IF(OR(E158=0,E158=""),"",INDEX(misCriticidades,D158)&amp;"-"&amp;IFERROR(MATCH(E158,miOrdenTarjeta,0),0))</f>
        <v/>
      </c>
      <c r="H158" s="20">
        <f t="shared" ca="1" si="61"/>
        <v>7</v>
      </c>
      <c r="I158" s="20" t="str">
        <f t="shared" ca="1" si="52"/>
        <v/>
      </c>
      <c r="J158" s="20" t="str" cm="1">
        <f t="array" aca="1" ref="J158" ca="1">IF(I158="","",IF(I158&lt;&gt;I157,1,IF(J157=misLíneas-2,0,J157+1)))</f>
        <v/>
      </c>
      <c r="K158" s="20" t="str" cm="1">
        <f t="array" aca="1" ref="K158" ca="1">IF(OR(J158=0,J158=""),"",INDEX(misCriticidades,I158)&amp;"-"&amp;IFERROR(MATCH(J158,miOrdenTarjeta,0),0))</f>
        <v/>
      </c>
      <c r="M158" s="20">
        <f t="shared" ca="1" si="62"/>
        <v>1</v>
      </c>
      <c r="N158" s="20" t="str">
        <f t="shared" ca="1" si="53"/>
        <v/>
      </c>
      <c r="O158" s="20" t="str" cm="1">
        <f t="array" aca="1" ref="O158" ca="1">IF(N158="","",IF(N158&lt;&gt;N157,1,IF(O157=misLíneas-2,0,O157+1)))</f>
        <v/>
      </c>
      <c r="P158" s="20" t="str" cm="1">
        <f t="array" aca="1" ref="P158" ca="1">IF(OR(O158=0,O158=""),"",INDEX(misCriticidades,N158)&amp;"-"&amp;IFERROR(MATCH(O158,miOrdenTarjeta,0),0))</f>
        <v/>
      </c>
      <c r="R158" s="20">
        <f t="shared" ca="1" si="63"/>
        <v>16</v>
      </c>
      <c r="S158" s="20">
        <f t="shared" ca="1" si="54"/>
        <v>14</v>
      </c>
      <c r="T158" s="20" cm="1">
        <f t="array" aca="1" ref="T158" ca="1">IF(S158="","",IF(S158&lt;&gt;S157,1,IF(T157=misLíneas-2,0,T157+1)))</f>
        <v>6</v>
      </c>
      <c r="U158" s="20" t="str" cm="1">
        <f t="array" aca="1" ref="U158" ca="1">IF(OR(T158=0,T158=""),"",INDEX(misCriticidades,S158)&amp;"-"&amp;IFERROR(MATCH(T158,miOrdenTarjeta,0),0))</f>
        <v>3-6</v>
      </c>
      <c r="W158" s="20">
        <f t="shared" ca="1" si="64"/>
        <v>1</v>
      </c>
      <c r="X158" s="20" t="str">
        <f t="shared" ca="1" si="55"/>
        <v/>
      </c>
      <c r="Y158" s="20" t="str" cm="1">
        <f t="array" aca="1" ref="Y158" ca="1">IF(X158="","",IF(X158&lt;&gt;X157,1,IF(Y157=misLíneas-2,0,Y157+1)))</f>
        <v/>
      </c>
      <c r="Z158" s="20" t="str" cm="1">
        <f t="array" aca="1" ref="Z158" ca="1">IF(OR(Y158=0,Y158=""),"",INDEX(misCriticidades,X158)&amp;"-"&amp;IFERROR(MATCH(Y158,miOrdenTarjeta,0),0))</f>
        <v/>
      </c>
      <c r="AB158" s="20">
        <f t="shared" ca="1" si="65"/>
        <v>1</v>
      </c>
      <c r="AC158" s="20" t="str">
        <f t="shared" ca="1" si="56"/>
        <v/>
      </c>
      <c r="AD158" s="20" t="str" cm="1">
        <f t="array" aca="1" ref="AD158" ca="1">IF(AC158="","",IF(AC158&lt;&gt;AC157,1,IF(AD157=misLíneas-2,0,AD157+1)))</f>
        <v/>
      </c>
      <c r="AE158" s="20" t="str" cm="1">
        <f t="array" aca="1" ref="AE158" ca="1">IF(OR(AD158=0,AD158=""),"",INDEX(misCriticidades,AC158)&amp;"-"&amp;IFERROR(MATCH(AD158,miOrdenTarjeta,0),0))</f>
        <v/>
      </c>
      <c r="AG158" s="20">
        <f t="shared" ca="1" si="66"/>
        <v>1</v>
      </c>
      <c r="AH158" s="20" t="str">
        <f t="shared" ca="1" si="57"/>
        <v/>
      </c>
      <c r="AI158" s="20" t="str" cm="1">
        <f t="array" aca="1" ref="AI158" ca="1">IF(AH158="","",IF(AH158&lt;&gt;AH157,1,IF(AI157=misLíneas-2,0,AI157+1)))</f>
        <v/>
      </c>
      <c r="AJ158" s="20" t="str" cm="1">
        <f t="array" aca="1" ref="AJ158" ca="1">IF(OR(AI158=0,AI158=""),"",INDEX(misCriticidades,AH158)&amp;"-"&amp;IFERROR(MATCH(AI158,miOrdenTarjeta,0),0))</f>
        <v/>
      </c>
      <c r="AL158" s="20">
        <f t="shared" ca="1" si="67"/>
        <v>1</v>
      </c>
      <c r="AM158" s="20" t="str">
        <f t="shared" ca="1" si="58"/>
        <v/>
      </c>
      <c r="AN158" s="20" t="str" cm="1">
        <f t="array" aca="1" ref="AN158" ca="1">IF(AM158="","",IF(AM158&lt;&gt;AM157,1,IF(AN157=misLíneas-2,0,AN157+1)))</f>
        <v/>
      </c>
      <c r="AO158" s="20" t="str" cm="1">
        <f t="array" aca="1" ref="AO158" ca="1">IF(OR(AN158=0,AN158=""),"",INDEX(misCriticidades,AM158)&amp;"-"&amp;IFERROR(MATCH(AN158,miOrdenTarjeta,0),0))</f>
        <v/>
      </c>
      <c r="AQ158" s="20">
        <f t="shared" ca="1" si="68"/>
        <v>1</v>
      </c>
      <c r="AR158" s="20" t="str">
        <f t="shared" ca="1" si="59"/>
        <v/>
      </c>
      <c r="AS158" s="20" t="str" cm="1">
        <f t="array" aca="1" ref="AS158" ca="1">IF(AR158="","",IF(AR158&lt;&gt;AR157,1,IF(AS157=misLíneas-2,0,AS157+1)))</f>
        <v/>
      </c>
      <c r="AT158" s="20" t="str" cm="1">
        <f t="array" aca="1" ref="AT158" ca="1">IF(OR(AS158=0,AS158=""),"",INDEX(misCriticidades,AR158)&amp;"-"&amp;IFERROR(MATCH(AS158,miOrdenTarjeta,0),0))</f>
        <v/>
      </c>
      <c r="AV158" s="20">
        <f t="shared" ca="1" si="69"/>
        <v>1</v>
      </c>
      <c r="AW158" s="20" t="str">
        <f t="shared" ca="1" si="60"/>
        <v/>
      </c>
      <c r="AX158" s="20" t="str" cm="1">
        <f t="array" aca="1" ref="AX158" ca="1">IF(AW158="","",IF(AW158&lt;&gt;AW157,1,IF(AX157=misLíneas-2,0,AX157+1)))</f>
        <v/>
      </c>
      <c r="AY158" s="20" t="str" cm="1">
        <f t="array" aca="1" ref="AY158" ca="1">IF(OR(AX158=0,AX158=""),"",INDEX(misCriticidades,AW158)&amp;"-"&amp;IFERROR(MATCH(AX158,miOrdenTarjeta,0),0))</f>
        <v/>
      </c>
    </row>
    <row r="159" spans="3:51" x14ac:dyDescent="0.25">
      <c r="C159" s="20">
        <f t="shared" ca="1" si="70"/>
        <v>1</v>
      </c>
      <c r="D159" s="20" t="str">
        <f t="shared" ca="1" si="51"/>
        <v/>
      </c>
      <c r="E159" s="20" t="str" cm="1">
        <f t="array" aca="1" ref="E159" ca="1">IF(D159="","",IF(D159&lt;&gt;D158,1,IF(E158=misLíneas-2,0,E158+1)))</f>
        <v/>
      </c>
      <c r="F159" s="20" t="str" cm="1">
        <f t="array" aca="1" ref="F159" ca="1">IF(OR(E159=0,E159=""),"",INDEX(misCriticidades,D159)&amp;"-"&amp;IFERROR(MATCH(E159,miOrdenTarjeta,0),0))</f>
        <v/>
      </c>
      <c r="H159" s="20">
        <f t="shared" ca="1" si="61"/>
        <v>7</v>
      </c>
      <c r="I159" s="20" t="str">
        <f t="shared" ca="1" si="52"/>
        <v/>
      </c>
      <c r="J159" s="20" t="str" cm="1">
        <f t="array" aca="1" ref="J159" ca="1">IF(I159="","",IF(I159&lt;&gt;I158,1,IF(J158=misLíneas-2,0,J158+1)))</f>
        <v/>
      </c>
      <c r="K159" s="20" t="str" cm="1">
        <f t="array" aca="1" ref="K159" ca="1">IF(OR(J159=0,J159=""),"",INDEX(misCriticidades,I159)&amp;"-"&amp;IFERROR(MATCH(J159,miOrdenTarjeta,0),0))</f>
        <v/>
      </c>
      <c r="M159" s="20">
        <f t="shared" ca="1" si="62"/>
        <v>1</v>
      </c>
      <c r="N159" s="20" t="str">
        <f t="shared" ca="1" si="53"/>
        <v/>
      </c>
      <c r="O159" s="20" t="str" cm="1">
        <f t="array" aca="1" ref="O159" ca="1">IF(N159="","",IF(N159&lt;&gt;N158,1,IF(O158=misLíneas-2,0,O158+1)))</f>
        <v/>
      </c>
      <c r="P159" s="20" t="str" cm="1">
        <f t="array" aca="1" ref="P159" ca="1">IF(OR(O159=0,O159=""),"",INDEX(misCriticidades,N159)&amp;"-"&amp;IFERROR(MATCH(O159,miOrdenTarjeta,0),0))</f>
        <v/>
      </c>
      <c r="R159" s="20">
        <f t="shared" ca="1" si="63"/>
        <v>16</v>
      </c>
      <c r="S159" s="20">
        <f t="shared" ca="1" si="54"/>
        <v>14</v>
      </c>
      <c r="T159" s="20" cm="1">
        <f t="array" aca="1" ref="T159" ca="1">IF(S159="","",IF(S159&lt;&gt;S158,1,IF(T158=misLíneas-2,0,T158+1)))</f>
        <v>7</v>
      </c>
      <c r="U159" s="20" t="str" cm="1">
        <f t="array" aca="1" ref="U159" ca="1">IF(OR(T159=0,T159=""),"",INDEX(misCriticidades,S159)&amp;"-"&amp;IFERROR(MATCH(T159,miOrdenTarjeta,0),0))</f>
        <v>3-7</v>
      </c>
      <c r="W159" s="20">
        <f t="shared" ca="1" si="64"/>
        <v>1</v>
      </c>
      <c r="X159" s="20" t="str">
        <f t="shared" ca="1" si="55"/>
        <v/>
      </c>
      <c r="Y159" s="20" t="str" cm="1">
        <f t="array" aca="1" ref="Y159" ca="1">IF(X159="","",IF(X159&lt;&gt;X158,1,IF(Y158=misLíneas-2,0,Y158+1)))</f>
        <v/>
      </c>
      <c r="Z159" s="20" t="str" cm="1">
        <f t="array" aca="1" ref="Z159" ca="1">IF(OR(Y159=0,Y159=""),"",INDEX(misCriticidades,X159)&amp;"-"&amp;IFERROR(MATCH(Y159,miOrdenTarjeta,0),0))</f>
        <v/>
      </c>
      <c r="AB159" s="20">
        <f t="shared" ca="1" si="65"/>
        <v>1</v>
      </c>
      <c r="AC159" s="20" t="str">
        <f t="shared" ca="1" si="56"/>
        <v/>
      </c>
      <c r="AD159" s="20" t="str" cm="1">
        <f t="array" aca="1" ref="AD159" ca="1">IF(AC159="","",IF(AC159&lt;&gt;AC158,1,IF(AD158=misLíneas-2,0,AD158+1)))</f>
        <v/>
      </c>
      <c r="AE159" s="20" t="str" cm="1">
        <f t="array" aca="1" ref="AE159" ca="1">IF(OR(AD159=0,AD159=""),"",INDEX(misCriticidades,AC159)&amp;"-"&amp;IFERROR(MATCH(AD159,miOrdenTarjeta,0),0))</f>
        <v/>
      </c>
      <c r="AG159" s="20">
        <f t="shared" ca="1" si="66"/>
        <v>1</v>
      </c>
      <c r="AH159" s="20" t="str">
        <f t="shared" ca="1" si="57"/>
        <v/>
      </c>
      <c r="AI159" s="20" t="str" cm="1">
        <f t="array" aca="1" ref="AI159" ca="1">IF(AH159="","",IF(AH159&lt;&gt;AH158,1,IF(AI158=misLíneas-2,0,AI158+1)))</f>
        <v/>
      </c>
      <c r="AJ159" s="20" t="str" cm="1">
        <f t="array" aca="1" ref="AJ159" ca="1">IF(OR(AI159=0,AI159=""),"",INDEX(misCriticidades,AH159)&amp;"-"&amp;IFERROR(MATCH(AI159,miOrdenTarjeta,0),0))</f>
        <v/>
      </c>
      <c r="AL159" s="20">
        <f t="shared" ca="1" si="67"/>
        <v>1</v>
      </c>
      <c r="AM159" s="20" t="str">
        <f t="shared" ca="1" si="58"/>
        <v/>
      </c>
      <c r="AN159" s="20" t="str" cm="1">
        <f t="array" aca="1" ref="AN159" ca="1">IF(AM159="","",IF(AM159&lt;&gt;AM158,1,IF(AN158=misLíneas-2,0,AN158+1)))</f>
        <v/>
      </c>
      <c r="AO159" s="20" t="str" cm="1">
        <f t="array" aca="1" ref="AO159" ca="1">IF(OR(AN159=0,AN159=""),"",INDEX(misCriticidades,AM159)&amp;"-"&amp;IFERROR(MATCH(AN159,miOrdenTarjeta,0),0))</f>
        <v/>
      </c>
      <c r="AQ159" s="20">
        <f t="shared" ca="1" si="68"/>
        <v>1</v>
      </c>
      <c r="AR159" s="20" t="str">
        <f t="shared" ca="1" si="59"/>
        <v/>
      </c>
      <c r="AS159" s="20" t="str" cm="1">
        <f t="array" aca="1" ref="AS159" ca="1">IF(AR159="","",IF(AR159&lt;&gt;AR158,1,IF(AS158=misLíneas-2,0,AS158+1)))</f>
        <v/>
      </c>
      <c r="AT159" s="20" t="str" cm="1">
        <f t="array" aca="1" ref="AT159" ca="1">IF(OR(AS159=0,AS159=""),"",INDEX(misCriticidades,AR159)&amp;"-"&amp;IFERROR(MATCH(AS159,miOrdenTarjeta,0),0))</f>
        <v/>
      </c>
      <c r="AV159" s="20">
        <f t="shared" ca="1" si="69"/>
        <v>1</v>
      </c>
      <c r="AW159" s="20" t="str">
        <f t="shared" ca="1" si="60"/>
        <v/>
      </c>
      <c r="AX159" s="20" t="str" cm="1">
        <f t="array" aca="1" ref="AX159" ca="1">IF(AW159="","",IF(AW159&lt;&gt;AW158,1,IF(AX158=misLíneas-2,0,AX158+1)))</f>
        <v/>
      </c>
      <c r="AY159" s="20" t="str" cm="1">
        <f t="array" aca="1" ref="AY159" ca="1">IF(OR(AX159=0,AX159=""),"",INDEX(misCriticidades,AW159)&amp;"-"&amp;IFERROR(MATCH(AX159,miOrdenTarjeta,0),0))</f>
        <v/>
      </c>
    </row>
    <row r="160" spans="3:51" x14ac:dyDescent="0.25">
      <c r="C160" s="20">
        <f t="shared" ca="1" si="70"/>
        <v>1</v>
      </c>
      <c r="D160" s="20" t="str">
        <f t="shared" ca="1" si="51"/>
        <v/>
      </c>
      <c r="E160" s="20" t="str" cm="1">
        <f t="array" aca="1" ref="E160" ca="1">IF(D160="","",IF(D160&lt;&gt;D159,1,IF(E159=misLíneas-2,0,E159+1)))</f>
        <v/>
      </c>
      <c r="F160" s="20" t="str" cm="1">
        <f t="array" aca="1" ref="F160" ca="1">IF(OR(E160=0,E160=""),"",INDEX(misCriticidades,D160)&amp;"-"&amp;IFERROR(MATCH(E160,miOrdenTarjeta,0),0))</f>
        <v/>
      </c>
      <c r="H160" s="20">
        <f t="shared" ca="1" si="61"/>
        <v>7</v>
      </c>
      <c r="I160" s="20" t="str">
        <f t="shared" ca="1" si="52"/>
        <v/>
      </c>
      <c r="J160" s="20" t="str" cm="1">
        <f t="array" aca="1" ref="J160" ca="1">IF(I160="","",IF(I160&lt;&gt;I159,1,IF(J159=misLíneas-2,0,J159+1)))</f>
        <v/>
      </c>
      <c r="K160" s="20" t="str" cm="1">
        <f t="array" aca="1" ref="K160" ca="1">IF(OR(J160=0,J160=""),"",INDEX(misCriticidades,I160)&amp;"-"&amp;IFERROR(MATCH(J160,miOrdenTarjeta,0),0))</f>
        <v/>
      </c>
      <c r="M160" s="20">
        <f t="shared" ca="1" si="62"/>
        <v>1</v>
      </c>
      <c r="N160" s="20" t="str">
        <f t="shared" ca="1" si="53"/>
        <v/>
      </c>
      <c r="O160" s="20" t="str" cm="1">
        <f t="array" aca="1" ref="O160" ca="1">IF(N160="","",IF(N160&lt;&gt;N159,1,IF(O159=misLíneas-2,0,O159+1)))</f>
        <v/>
      </c>
      <c r="P160" s="20" t="str" cm="1">
        <f t="array" aca="1" ref="P160" ca="1">IF(OR(O160=0,O160=""),"",INDEX(misCriticidades,N160)&amp;"-"&amp;IFERROR(MATCH(O160,miOrdenTarjeta,0),0))</f>
        <v/>
      </c>
      <c r="R160" s="20">
        <f t="shared" ca="1" si="63"/>
        <v>16</v>
      </c>
      <c r="S160" s="20">
        <f t="shared" ca="1" si="54"/>
        <v>14</v>
      </c>
      <c r="T160" s="20" cm="1">
        <f t="array" aca="1" ref="T160" ca="1">IF(S160="","",IF(S160&lt;&gt;S159,1,IF(T159=misLíneas-2,0,T159+1)))</f>
        <v>8</v>
      </c>
      <c r="U160" s="20" t="str" cm="1">
        <f t="array" aca="1" ref="U160" ca="1">IF(OR(T160=0,T160=""),"",INDEX(misCriticidades,S160)&amp;"-"&amp;IFERROR(MATCH(T160,miOrdenTarjeta,0),0))</f>
        <v>3-8</v>
      </c>
      <c r="W160" s="20">
        <f t="shared" ca="1" si="64"/>
        <v>1</v>
      </c>
      <c r="X160" s="20" t="str">
        <f t="shared" ca="1" si="55"/>
        <v/>
      </c>
      <c r="Y160" s="20" t="str" cm="1">
        <f t="array" aca="1" ref="Y160" ca="1">IF(X160="","",IF(X160&lt;&gt;X159,1,IF(Y159=misLíneas-2,0,Y159+1)))</f>
        <v/>
      </c>
      <c r="Z160" s="20" t="str" cm="1">
        <f t="array" aca="1" ref="Z160" ca="1">IF(OR(Y160=0,Y160=""),"",INDEX(misCriticidades,X160)&amp;"-"&amp;IFERROR(MATCH(Y160,miOrdenTarjeta,0),0))</f>
        <v/>
      </c>
      <c r="AB160" s="20">
        <f t="shared" ca="1" si="65"/>
        <v>1</v>
      </c>
      <c r="AC160" s="20" t="str">
        <f t="shared" ca="1" si="56"/>
        <v/>
      </c>
      <c r="AD160" s="20" t="str" cm="1">
        <f t="array" aca="1" ref="AD160" ca="1">IF(AC160="","",IF(AC160&lt;&gt;AC159,1,IF(AD159=misLíneas-2,0,AD159+1)))</f>
        <v/>
      </c>
      <c r="AE160" s="20" t="str" cm="1">
        <f t="array" aca="1" ref="AE160" ca="1">IF(OR(AD160=0,AD160=""),"",INDEX(misCriticidades,AC160)&amp;"-"&amp;IFERROR(MATCH(AD160,miOrdenTarjeta,0),0))</f>
        <v/>
      </c>
      <c r="AG160" s="20">
        <f t="shared" ca="1" si="66"/>
        <v>1</v>
      </c>
      <c r="AH160" s="20" t="str">
        <f t="shared" ca="1" si="57"/>
        <v/>
      </c>
      <c r="AI160" s="20" t="str" cm="1">
        <f t="array" aca="1" ref="AI160" ca="1">IF(AH160="","",IF(AH160&lt;&gt;AH159,1,IF(AI159=misLíneas-2,0,AI159+1)))</f>
        <v/>
      </c>
      <c r="AJ160" s="20" t="str" cm="1">
        <f t="array" aca="1" ref="AJ160" ca="1">IF(OR(AI160=0,AI160=""),"",INDEX(misCriticidades,AH160)&amp;"-"&amp;IFERROR(MATCH(AI160,miOrdenTarjeta,0),0))</f>
        <v/>
      </c>
      <c r="AL160" s="20">
        <f t="shared" ca="1" si="67"/>
        <v>1</v>
      </c>
      <c r="AM160" s="20" t="str">
        <f t="shared" ca="1" si="58"/>
        <v/>
      </c>
      <c r="AN160" s="20" t="str" cm="1">
        <f t="array" aca="1" ref="AN160" ca="1">IF(AM160="","",IF(AM160&lt;&gt;AM159,1,IF(AN159=misLíneas-2,0,AN159+1)))</f>
        <v/>
      </c>
      <c r="AO160" s="20" t="str" cm="1">
        <f t="array" aca="1" ref="AO160" ca="1">IF(OR(AN160=0,AN160=""),"",INDEX(misCriticidades,AM160)&amp;"-"&amp;IFERROR(MATCH(AN160,miOrdenTarjeta,0),0))</f>
        <v/>
      </c>
      <c r="AQ160" s="20">
        <f t="shared" ca="1" si="68"/>
        <v>1</v>
      </c>
      <c r="AR160" s="20" t="str">
        <f t="shared" ca="1" si="59"/>
        <v/>
      </c>
      <c r="AS160" s="20" t="str" cm="1">
        <f t="array" aca="1" ref="AS160" ca="1">IF(AR160="","",IF(AR160&lt;&gt;AR159,1,IF(AS159=misLíneas-2,0,AS159+1)))</f>
        <v/>
      </c>
      <c r="AT160" s="20" t="str" cm="1">
        <f t="array" aca="1" ref="AT160" ca="1">IF(OR(AS160=0,AS160=""),"",INDEX(misCriticidades,AR160)&amp;"-"&amp;IFERROR(MATCH(AS160,miOrdenTarjeta,0),0))</f>
        <v/>
      </c>
      <c r="AV160" s="20">
        <f t="shared" ca="1" si="69"/>
        <v>1</v>
      </c>
      <c r="AW160" s="20" t="str">
        <f t="shared" ca="1" si="60"/>
        <v/>
      </c>
      <c r="AX160" s="20" t="str" cm="1">
        <f t="array" aca="1" ref="AX160" ca="1">IF(AW160="","",IF(AW160&lt;&gt;AW159,1,IF(AX159=misLíneas-2,0,AX159+1)))</f>
        <v/>
      </c>
      <c r="AY160" s="20" t="str" cm="1">
        <f t="array" aca="1" ref="AY160" ca="1">IF(OR(AX160=0,AX160=""),"",INDEX(misCriticidades,AW160)&amp;"-"&amp;IFERROR(MATCH(AX160,miOrdenTarjeta,0),0))</f>
        <v/>
      </c>
    </row>
    <row r="161" spans="3:51" x14ac:dyDescent="0.25">
      <c r="C161" s="20">
        <f t="shared" ca="1" si="70"/>
        <v>1</v>
      </c>
      <c r="D161" s="20" t="str">
        <f t="shared" ca="1" si="51"/>
        <v/>
      </c>
      <c r="E161" s="20" t="str" cm="1">
        <f t="array" aca="1" ref="E161" ca="1">IF(D161="","",IF(D161&lt;&gt;D160,1,IF(E160=misLíneas-2,0,E160+1)))</f>
        <v/>
      </c>
      <c r="F161" s="20" t="str" cm="1">
        <f t="array" aca="1" ref="F161" ca="1">IF(OR(E161=0,E161=""),"",INDEX(misCriticidades,D161)&amp;"-"&amp;IFERROR(MATCH(E161,miOrdenTarjeta,0),0))</f>
        <v/>
      </c>
      <c r="H161" s="20">
        <f t="shared" ca="1" si="61"/>
        <v>7</v>
      </c>
      <c r="I161" s="20" t="str">
        <f t="shared" ca="1" si="52"/>
        <v/>
      </c>
      <c r="J161" s="20" t="str" cm="1">
        <f t="array" aca="1" ref="J161" ca="1">IF(I161="","",IF(I161&lt;&gt;I160,1,IF(J160=misLíneas-2,0,J160+1)))</f>
        <v/>
      </c>
      <c r="K161" s="20" t="str" cm="1">
        <f t="array" aca="1" ref="K161" ca="1">IF(OR(J161=0,J161=""),"",INDEX(misCriticidades,I161)&amp;"-"&amp;IFERROR(MATCH(J161,miOrdenTarjeta,0),0))</f>
        <v/>
      </c>
      <c r="M161" s="20">
        <f t="shared" ca="1" si="62"/>
        <v>1</v>
      </c>
      <c r="N161" s="20" t="str">
        <f t="shared" ca="1" si="53"/>
        <v/>
      </c>
      <c r="O161" s="20" t="str" cm="1">
        <f t="array" aca="1" ref="O161" ca="1">IF(N161="","",IF(N161&lt;&gt;N160,1,IF(O160=misLíneas-2,0,O160+1)))</f>
        <v/>
      </c>
      <c r="P161" s="20" t="str" cm="1">
        <f t="array" aca="1" ref="P161" ca="1">IF(OR(O161=0,O161=""),"",INDEX(misCriticidades,N161)&amp;"-"&amp;IFERROR(MATCH(O161,miOrdenTarjeta,0),0))</f>
        <v/>
      </c>
      <c r="R161" s="20">
        <f t="shared" ca="1" si="63"/>
        <v>16</v>
      </c>
      <c r="S161" s="20">
        <f t="shared" ca="1" si="54"/>
        <v>14</v>
      </c>
      <c r="T161" s="20" cm="1">
        <f t="array" aca="1" ref="T161" ca="1">IF(S161="","",IF(S161&lt;&gt;S160,1,IF(T160=misLíneas-2,0,T160+1)))</f>
        <v>9</v>
      </c>
      <c r="U161" s="20" t="str" cm="1">
        <f t="array" aca="1" ref="U161" ca="1">IF(OR(T161=0,T161=""),"",INDEX(misCriticidades,S161)&amp;"-"&amp;IFERROR(MATCH(T161,miOrdenTarjeta,0),0))</f>
        <v>3-0</v>
      </c>
      <c r="W161" s="20">
        <f t="shared" ca="1" si="64"/>
        <v>1</v>
      </c>
      <c r="X161" s="20" t="str">
        <f t="shared" ca="1" si="55"/>
        <v/>
      </c>
      <c r="Y161" s="20" t="str" cm="1">
        <f t="array" aca="1" ref="Y161" ca="1">IF(X161="","",IF(X161&lt;&gt;X160,1,IF(Y160=misLíneas-2,0,Y160+1)))</f>
        <v/>
      </c>
      <c r="Z161" s="20" t="str" cm="1">
        <f t="array" aca="1" ref="Z161" ca="1">IF(OR(Y161=0,Y161=""),"",INDEX(misCriticidades,X161)&amp;"-"&amp;IFERROR(MATCH(Y161,miOrdenTarjeta,0),0))</f>
        <v/>
      </c>
      <c r="AB161" s="20">
        <f t="shared" ca="1" si="65"/>
        <v>1</v>
      </c>
      <c r="AC161" s="20" t="str">
        <f t="shared" ca="1" si="56"/>
        <v/>
      </c>
      <c r="AD161" s="20" t="str" cm="1">
        <f t="array" aca="1" ref="AD161" ca="1">IF(AC161="","",IF(AC161&lt;&gt;AC160,1,IF(AD160=misLíneas-2,0,AD160+1)))</f>
        <v/>
      </c>
      <c r="AE161" s="20" t="str" cm="1">
        <f t="array" aca="1" ref="AE161" ca="1">IF(OR(AD161=0,AD161=""),"",INDEX(misCriticidades,AC161)&amp;"-"&amp;IFERROR(MATCH(AD161,miOrdenTarjeta,0),0))</f>
        <v/>
      </c>
      <c r="AG161" s="20">
        <f t="shared" ca="1" si="66"/>
        <v>1</v>
      </c>
      <c r="AH161" s="20" t="str">
        <f t="shared" ca="1" si="57"/>
        <v/>
      </c>
      <c r="AI161" s="20" t="str" cm="1">
        <f t="array" aca="1" ref="AI161" ca="1">IF(AH161="","",IF(AH161&lt;&gt;AH160,1,IF(AI160=misLíneas-2,0,AI160+1)))</f>
        <v/>
      </c>
      <c r="AJ161" s="20" t="str" cm="1">
        <f t="array" aca="1" ref="AJ161" ca="1">IF(OR(AI161=0,AI161=""),"",INDEX(misCriticidades,AH161)&amp;"-"&amp;IFERROR(MATCH(AI161,miOrdenTarjeta,0),0))</f>
        <v/>
      </c>
      <c r="AL161" s="20">
        <f t="shared" ca="1" si="67"/>
        <v>1</v>
      </c>
      <c r="AM161" s="20" t="str">
        <f t="shared" ca="1" si="58"/>
        <v/>
      </c>
      <c r="AN161" s="20" t="str" cm="1">
        <f t="array" aca="1" ref="AN161" ca="1">IF(AM161="","",IF(AM161&lt;&gt;AM160,1,IF(AN160=misLíneas-2,0,AN160+1)))</f>
        <v/>
      </c>
      <c r="AO161" s="20" t="str" cm="1">
        <f t="array" aca="1" ref="AO161" ca="1">IF(OR(AN161=0,AN161=""),"",INDEX(misCriticidades,AM161)&amp;"-"&amp;IFERROR(MATCH(AN161,miOrdenTarjeta,0),0))</f>
        <v/>
      </c>
      <c r="AQ161" s="20">
        <f t="shared" ca="1" si="68"/>
        <v>1</v>
      </c>
      <c r="AR161" s="20" t="str">
        <f t="shared" ca="1" si="59"/>
        <v/>
      </c>
      <c r="AS161" s="20" t="str" cm="1">
        <f t="array" aca="1" ref="AS161" ca="1">IF(AR161="","",IF(AR161&lt;&gt;AR160,1,IF(AS160=misLíneas-2,0,AS160+1)))</f>
        <v/>
      </c>
      <c r="AT161" s="20" t="str" cm="1">
        <f t="array" aca="1" ref="AT161" ca="1">IF(OR(AS161=0,AS161=""),"",INDEX(misCriticidades,AR161)&amp;"-"&amp;IFERROR(MATCH(AS161,miOrdenTarjeta,0),0))</f>
        <v/>
      </c>
      <c r="AV161" s="20">
        <f t="shared" ca="1" si="69"/>
        <v>1</v>
      </c>
      <c r="AW161" s="20" t="str">
        <f t="shared" ca="1" si="60"/>
        <v/>
      </c>
      <c r="AX161" s="20" t="str" cm="1">
        <f t="array" aca="1" ref="AX161" ca="1">IF(AW161="","",IF(AW161&lt;&gt;AW160,1,IF(AX160=misLíneas-2,0,AX160+1)))</f>
        <v/>
      </c>
      <c r="AY161" s="20" t="str" cm="1">
        <f t="array" aca="1" ref="AY161" ca="1">IF(OR(AX161=0,AX161=""),"",INDEX(misCriticidades,AW161)&amp;"-"&amp;IFERROR(MATCH(AX161,miOrdenTarjeta,0),0))</f>
        <v/>
      </c>
    </row>
    <row r="162" spans="3:51" x14ac:dyDescent="0.25">
      <c r="C162" s="20">
        <f t="shared" ca="1" si="70"/>
        <v>1</v>
      </c>
      <c r="D162" s="20" t="str">
        <f t="shared" ca="1" si="51"/>
        <v/>
      </c>
      <c r="E162" s="20" t="str" cm="1">
        <f t="array" aca="1" ref="E162" ca="1">IF(D162="","",IF(D162&lt;&gt;D161,1,IF(E161=misLíneas-2,0,E161+1)))</f>
        <v/>
      </c>
      <c r="F162" s="20" t="str" cm="1">
        <f t="array" aca="1" ref="F162" ca="1">IF(OR(E162=0,E162=""),"",INDEX(misCriticidades,D162)&amp;"-"&amp;IFERROR(MATCH(E162,miOrdenTarjeta,0),0))</f>
        <v/>
      </c>
      <c r="H162" s="20">
        <f t="shared" ca="1" si="61"/>
        <v>7</v>
      </c>
      <c r="I162" s="20" t="str">
        <f t="shared" ca="1" si="52"/>
        <v/>
      </c>
      <c r="J162" s="20" t="str" cm="1">
        <f t="array" aca="1" ref="J162" ca="1">IF(I162="","",IF(I162&lt;&gt;I161,1,IF(J161=misLíneas-2,0,J161+1)))</f>
        <v/>
      </c>
      <c r="K162" s="20" t="str" cm="1">
        <f t="array" aca="1" ref="K162" ca="1">IF(OR(J162=0,J162=""),"",INDEX(misCriticidades,I162)&amp;"-"&amp;IFERROR(MATCH(J162,miOrdenTarjeta,0),0))</f>
        <v/>
      </c>
      <c r="M162" s="20">
        <f t="shared" ca="1" si="62"/>
        <v>1</v>
      </c>
      <c r="N162" s="20" t="str">
        <f t="shared" ca="1" si="53"/>
        <v/>
      </c>
      <c r="O162" s="20" t="str" cm="1">
        <f t="array" aca="1" ref="O162" ca="1">IF(N162="","",IF(N162&lt;&gt;N161,1,IF(O161=misLíneas-2,0,O161+1)))</f>
        <v/>
      </c>
      <c r="P162" s="20" t="str" cm="1">
        <f t="array" aca="1" ref="P162" ca="1">IF(OR(O162=0,O162=""),"",INDEX(misCriticidades,N162)&amp;"-"&amp;IFERROR(MATCH(O162,miOrdenTarjeta,0),0))</f>
        <v/>
      </c>
      <c r="R162" s="20">
        <f t="shared" ca="1" si="63"/>
        <v>16</v>
      </c>
      <c r="S162" s="20">
        <f t="shared" ca="1" si="54"/>
        <v>14</v>
      </c>
      <c r="T162" s="20" cm="1">
        <f t="array" aca="1" ref="T162" ca="1">IF(S162="","",IF(S162&lt;&gt;S161,1,IF(T161=misLíneas-2,0,T161+1)))</f>
        <v>0</v>
      </c>
      <c r="U162" s="20" t="str" cm="1">
        <f t="array" aca="1" ref="U162" ca="1">IF(OR(T162=0,T162=""),"",INDEX(misCriticidades,S162)&amp;"-"&amp;IFERROR(MATCH(T162,miOrdenTarjeta,0),0))</f>
        <v/>
      </c>
      <c r="W162" s="20">
        <f t="shared" ca="1" si="64"/>
        <v>1</v>
      </c>
      <c r="X162" s="20" t="str">
        <f t="shared" ca="1" si="55"/>
        <v/>
      </c>
      <c r="Y162" s="20" t="str" cm="1">
        <f t="array" aca="1" ref="Y162" ca="1">IF(X162="","",IF(X162&lt;&gt;X161,1,IF(Y161=misLíneas-2,0,Y161+1)))</f>
        <v/>
      </c>
      <c r="Z162" s="20" t="str" cm="1">
        <f t="array" aca="1" ref="Z162" ca="1">IF(OR(Y162=0,Y162=""),"",INDEX(misCriticidades,X162)&amp;"-"&amp;IFERROR(MATCH(Y162,miOrdenTarjeta,0),0))</f>
        <v/>
      </c>
      <c r="AB162" s="20">
        <f t="shared" ca="1" si="65"/>
        <v>1</v>
      </c>
      <c r="AC162" s="20" t="str">
        <f t="shared" ca="1" si="56"/>
        <v/>
      </c>
      <c r="AD162" s="20" t="str" cm="1">
        <f t="array" aca="1" ref="AD162" ca="1">IF(AC162="","",IF(AC162&lt;&gt;AC161,1,IF(AD161=misLíneas-2,0,AD161+1)))</f>
        <v/>
      </c>
      <c r="AE162" s="20" t="str" cm="1">
        <f t="array" aca="1" ref="AE162" ca="1">IF(OR(AD162=0,AD162=""),"",INDEX(misCriticidades,AC162)&amp;"-"&amp;IFERROR(MATCH(AD162,miOrdenTarjeta,0),0))</f>
        <v/>
      </c>
      <c r="AG162" s="20">
        <f t="shared" ca="1" si="66"/>
        <v>1</v>
      </c>
      <c r="AH162" s="20" t="str">
        <f t="shared" ca="1" si="57"/>
        <v/>
      </c>
      <c r="AI162" s="20" t="str" cm="1">
        <f t="array" aca="1" ref="AI162" ca="1">IF(AH162="","",IF(AH162&lt;&gt;AH161,1,IF(AI161=misLíneas-2,0,AI161+1)))</f>
        <v/>
      </c>
      <c r="AJ162" s="20" t="str" cm="1">
        <f t="array" aca="1" ref="AJ162" ca="1">IF(OR(AI162=0,AI162=""),"",INDEX(misCriticidades,AH162)&amp;"-"&amp;IFERROR(MATCH(AI162,miOrdenTarjeta,0),0))</f>
        <v/>
      </c>
      <c r="AL162" s="20">
        <f t="shared" ca="1" si="67"/>
        <v>1</v>
      </c>
      <c r="AM162" s="20" t="str">
        <f t="shared" ca="1" si="58"/>
        <v/>
      </c>
      <c r="AN162" s="20" t="str" cm="1">
        <f t="array" aca="1" ref="AN162" ca="1">IF(AM162="","",IF(AM162&lt;&gt;AM161,1,IF(AN161=misLíneas-2,0,AN161+1)))</f>
        <v/>
      </c>
      <c r="AO162" s="20" t="str" cm="1">
        <f t="array" aca="1" ref="AO162" ca="1">IF(OR(AN162=0,AN162=""),"",INDEX(misCriticidades,AM162)&amp;"-"&amp;IFERROR(MATCH(AN162,miOrdenTarjeta,0),0))</f>
        <v/>
      </c>
      <c r="AQ162" s="20">
        <f t="shared" ca="1" si="68"/>
        <v>1</v>
      </c>
      <c r="AR162" s="20" t="str">
        <f t="shared" ca="1" si="59"/>
        <v/>
      </c>
      <c r="AS162" s="20" t="str" cm="1">
        <f t="array" aca="1" ref="AS162" ca="1">IF(AR162="","",IF(AR162&lt;&gt;AR161,1,IF(AS161=misLíneas-2,0,AS161+1)))</f>
        <v/>
      </c>
      <c r="AT162" s="20" t="str" cm="1">
        <f t="array" aca="1" ref="AT162" ca="1">IF(OR(AS162=0,AS162=""),"",INDEX(misCriticidades,AR162)&amp;"-"&amp;IFERROR(MATCH(AS162,miOrdenTarjeta,0),0))</f>
        <v/>
      </c>
      <c r="AV162" s="20">
        <f t="shared" ca="1" si="69"/>
        <v>1</v>
      </c>
      <c r="AW162" s="20" t="str">
        <f t="shared" ca="1" si="60"/>
        <v/>
      </c>
      <c r="AX162" s="20" t="str" cm="1">
        <f t="array" aca="1" ref="AX162" ca="1">IF(AW162="","",IF(AW162&lt;&gt;AW161,1,IF(AX161=misLíneas-2,0,AX161+1)))</f>
        <v/>
      </c>
      <c r="AY162" s="20" t="str" cm="1">
        <f t="array" aca="1" ref="AY162" ca="1">IF(OR(AX162=0,AX162=""),"",INDEX(misCriticidades,AW162)&amp;"-"&amp;IFERROR(MATCH(AX162,miOrdenTarjeta,0),0))</f>
        <v/>
      </c>
    </row>
    <row r="163" spans="3:51" x14ac:dyDescent="0.25">
      <c r="C163" s="20">
        <f t="shared" ca="1" si="70"/>
        <v>1</v>
      </c>
      <c r="D163" s="20" t="str">
        <f t="shared" ref="D163:D194" ca="1" si="71">IF(C163&gt;C162,IFERROR(IF(F$1="v",SMALL(B$2:B$101,C163),LARGE(B$2:B$101,C163)),""),D162)</f>
        <v/>
      </c>
      <c r="E163" s="20" t="str" cm="1">
        <f t="array" aca="1" ref="E163" ca="1">IF(D163="","",IF(D163&lt;&gt;D162,1,IF(E162=misLíneas-2,0,E162+1)))</f>
        <v/>
      </c>
      <c r="F163" s="20" t="str" cm="1">
        <f t="array" aca="1" ref="F163" ca="1">IF(OR(E163=0,E163=""),"",INDEX(misCriticidades,D163)&amp;"-"&amp;IFERROR(MATCH(E163,miOrdenTarjeta,0),0))</f>
        <v/>
      </c>
      <c r="H163" s="20">
        <f t="shared" ca="1" si="61"/>
        <v>7</v>
      </c>
      <c r="I163" s="20" t="str">
        <f t="shared" ref="I163:I194" ca="1" si="72">IF(H163&gt;H162,IFERROR(IF(K$1="v",SMALL(G$2:G$101,H163),LARGE(G$2:G$101,H163)),""),I162)</f>
        <v/>
      </c>
      <c r="J163" s="20" t="str" cm="1">
        <f t="array" aca="1" ref="J163" ca="1">IF(I163="","",IF(I163&lt;&gt;I162,1,IF(J162=misLíneas-2,0,J162+1)))</f>
        <v/>
      </c>
      <c r="K163" s="20" t="str" cm="1">
        <f t="array" aca="1" ref="K163" ca="1">IF(OR(J163=0,J163=""),"",INDEX(misCriticidades,I163)&amp;"-"&amp;IFERROR(MATCH(J163,miOrdenTarjeta,0),0))</f>
        <v/>
      </c>
      <c r="M163" s="20">
        <f t="shared" ca="1" si="62"/>
        <v>1</v>
      </c>
      <c r="N163" s="20" t="str">
        <f t="shared" ref="N163:N194" ca="1" si="73">IF(M163&gt;M162,IFERROR(IF(P$1="v",SMALL(L$2:L$101,M163),LARGE(L$2:L$101,M163)),""),N162)</f>
        <v/>
      </c>
      <c r="O163" s="20" t="str" cm="1">
        <f t="array" aca="1" ref="O163" ca="1">IF(N163="","",IF(N163&lt;&gt;N162,1,IF(O162=misLíneas-2,0,O162+1)))</f>
        <v/>
      </c>
      <c r="P163" s="20" t="str" cm="1">
        <f t="array" aca="1" ref="P163" ca="1">IF(OR(O163=0,O163=""),"",INDEX(misCriticidades,N163)&amp;"-"&amp;IFERROR(MATCH(O163,miOrdenTarjeta,0),0))</f>
        <v/>
      </c>
      <c r="R163" s="20">
        <f t="shared" ca="1" si="63"/>
        <v>17</v>
      </c>
      <c r="S163" s="20">
        <f t="shared" ref="S163:S194" ca="1" si="74">IF(R163&gt;R162,IFERROR(IF(U$1="v",SMALL(Q$2:Q$101,R163),LARGE(Q$2:Q$101,R163)),""),S162)</f>
        <v>13</v>
      </c>
      <c r="T163" s="20" cm="1">
        <f t="array" aca="1" ref="T163" ca="1">IF(S163="","",IF(S163&lt;&gt;S162,1,IF(T162=misLíneas-2,0,T162+1)))</f>
        <v>1</v>
      </c>
      <c r="U163" s="20" t="str" cm="1">
        <f t="array" aca="1" ref="U163" ca="1">IF(OR(T163=0,T163=""),"",INDEX(misCriticidades,S163)&amp;"-"&amp;IFERROR(MATCH(T163,miOrdenTarjeta,0),0))</f>
        <v>2-1</v>
      </c>
      <c r="W163" s="20">
        <f t="shared" ca="1" si="64"/>
        <v>1</v>
      </c>
      <c r="X163" s="20" t="str">
        <f t="shared" ref="X163:X194" ca="1" si="75">IF(W163&gt;W162,IFERROR(IF(Z$1="v",SMALL(V$2:V$101,W163),LARGE(V$2:V$101,W163)),""),X162)</f>
        <v/>
      </c>
      <c r="Y163" s="20" t="str" cm="1">
        <f t="array" aca="1" ref="Y163" ca="1">IF(X163="","",IF(X163&lt;&gt;X162,1,IF(Y162=misLíneas-2,0,Y162+1)))</f>
        <v/>
      </c>
      <c r="Z163" s="20" t="str" cm="1">
        <f t="array" aca="1" ref="Z163" ca="1">IF(OR(Y163=0,Y163=""),"",INDEX(misCriticidades,X163)&amp;"-"&amp;IFERROR(MATCH(Y163,miOrdenTarjeta,0),0))</f>
        <v/>
      </c>
      <c r="AB163" s="20">
        <f t="shared" ca="1" si="65"/>
        <v>1</v>
      </c>
      <c r="AC163" s="20" t="str">
        <f t="shared" ca="1" si="56"/>
        <v/>
      </c>
      <c r="AD163" s="20" t="str" cm="1">
        <f t="array" aca="1" ref="AD163" ca="1">IF(AC163="","",IF(AC163&lt;&gt;AC162,1,IF(AD162=misLíneas-2,0,AD162+1)))</f>
        <v/>
      </c>
      <c r="AE163" s="20" t="str" cm="1">
        <f t="array" aca="1" ref="AE163" ca="1">IF(OR(AD163=0,AD163=""),"",INDEX(misCriticidades,AC163)&amp;"-"&amp;IFERROR(MATCH(AD163,miOrdenTarjeta,0),0))</f>
        <v/>
      </c>
      <c r="AG163" s="20">
        <f t="shared" ca="1" si="66"/>
        <v>1</v>
      </c>
      <c r="AH163" s="20" t="str">
        <f t="shared" ca="1" si="57"/>
        <v/>
      </c>
      <c r="AI163" s="20" t="str" cm="1">
        <f t="array" aca="1" ref="AI163" ca="1">IF(AH163="","",IF(AH163&lt;&gt;AH162,1,IF(AI162=misLíneas-2,0,AI162+1)))</f>
        <v/>
      </c>
      <c r="AJ163" s="20" t="str" cm="1">
        <f t="array" aca="1" ref="AJ163" ca="1">IF(OR(AI163=0,AI163=""),"",INDEX(misCriticidades,AH163)&amp;"-"&amp;IFERROR(MATCH(AI163,miOrdenTarjeta,0),0))</f>
        <v/>
      </c>
      <c r="AL163" s="20">
        <f t="shared" ca="1" si="67"/>
        <v>1</v>
      </c>
      <c r="AM163" s="20" t="str">
        <f t="shared" ca="1" si="58"/>
        <v/>
      </c>
      <c r="AN163" s="20" t="str" cm="1">
        <f t="array" aca="1" ref="AN163" ca="1">IF(AM163="","",IF(AM163&lt;&gt;AM162,1,IF(AN162=misLíneas-2,0,AN162+1)))</f>
        <v/>
      </c>
      <c r="AO163" s="20" t="str" cm="1">
        <f t="array" aca="1" ref="AO163" ca="1">IF(OR(AN163=0,AN163=""),"",INDEX(misCriticidades,AM163)&amp;"-"&amp;IFERROR(MATCH(AN163,miOrdenTarjeta,0),0))</f>
        <v/>
      </c>
      <c r="AQ163" s="20">
        <f t="shared" ca="1" si="68"/>
        <v>1</v>
      </c>
      <c r="AR163" s="20" t="str">
        <f t="shared" ca="1" si="59"/>
        <v/>
      </c>
      <c r="AS163" s="20" t="str" cm="1">
        <f t="array" aca="1" ref="AS163" ca="1">IF(AR163="","",IF(AR163&lt;&gt;AR162,1,IF(AS162=misLíneas-2,0,AS162+1)))</f>
        <v/>
      </c>
      <c r="AT163" s="20" t="str" cm="1">
        <f t="array" aca="1" ref="AT163" ca="1">IF(OR(AS163=0,AS163=""),"",INDEX(misCriticidades,AR163)&amp;"-"&amp;IFERROR(MATCH(AS163,miOrdenTarjeta,0),0))</f>
        <v/>
      </c>
      <c r="AV163" s="20">
        <f t="shared" ca="1" si="69"/>
        <v>1</v>
      </c>
      <c r="AW163" s="20" t="str">
        <f t="shared" ca="1" si="60"/>
        <v/>
      </c>
      <c r="AX163" s="20" t="str" cm="1">
        <f t="array" aca="1" ref="AX163" ca="1">IF(AW163="","",IF(AW163&lt;&gt;AW162,1,IF(AX162=misLíneas-2,0,AX162+1)))</f>
        <v/>
      </c>
      <c r="AY163" s="20" t="str" cm="1">
        <f t="array" aca="1" ref="AY163" ca="1">IF(OR(AX163=0,AX163=""),"",INDEX(misCriticidades,AW163)&amp;"-"&amp;IFERROR(MATCH(AX163,miOrdenTarjeta,0),0))</f>
        <v/>
      </c>
    </row>
    <row r="164" spans="3:51" x14ac:dyDescent="0.25">
      <c r="C164" s="20">
        <f t="shared" ca="1" si="70"/>
        <v>1</v>
      </c>
      <c r="D164" s="20" t="str">
        <f t="shared" ca="1" si="71"/>
        <v/>
      </c>
      <c r="E164" s="20" t="str" cm="1">
        <f t="array" aca="1" ref="E164" ca="1">IF(D164="","",IF(D164&lt;&gt;D163,1,IF(E163=misLíneas-2,0,E163+1)))</f>
        <v/>
      </c>
      <c r="F164" s="20" t="str" cm="1">
        <f t="array" aca="1" ref="F164" ca="1">IF(OR(E164=0,E164=""),"",INDEX(misCriticidades,D164)&amp;"-"&amp;IFERROR(MATCH(E164,miOrdenTarjeta,0),0))</f>
        <v/>
      </c>
      <c r="H164" s="20">
        <f t="shared" ca="1" si="61"/>
        <v>7</v>
      </c>
      <c r="I164" s="20" t="str">
        <f t="shared" ca="1" si="72"/>
        <v/>
      </c>
      <c r="J164" s="20" t="str" cm="1">
        <f t="array" aca="1" ref="J164" ca="1">IF(I164="","",IF(I164&lt;&gt;I163,1,IF(J163=misLíneas-2,0,J163+1)))</f>
        <v/>
      </c>
      <c r="K164" s="20" t="str" cm="1">
        <f t="array" aca="1" ref="K164" ca="1">IF(OR(J164=0,J164=""),"",INDEX(misCriticidades,I164)&amp;"-"&amp;IFERROR(MATCH(J164,miOrdenTarjeta,0),0))</f>
        <v/>
      </c>
      <c r="M164" s="20">
        <f t="shared" ca="1" si="62"/>
        <v>1</v>
      </c>
      <c r="N164" s="20" t="str">
        <f t="shared" ca="1" si="73"/>
        <v/>
      </c>
      <c r="O164" s="20" t="str" cm="1">
        <f t="array" aca="1" ref="O164" ca="1">IF(N164="","",IF(N164&lt;&gt;N163,1,IF(O163=misLíneas-2,0,O163+1)))</f>
        <v/>
      </c>
      <c r="P164" s="20" t="str" cm="1">
        <f t="array" aca="1" ref="P164" ca="1">IF(OR(O164=0,O164=""),"",INDEX(misCriticidades,N164)&amp;"-"&amp;IFERROR(MATCH(O164,miOrdenTarjeta,0),0))</f>
        <v/>
      </c>
      <c r="R164" s="20">
        <f t="shared" ca="1" si="63"/>
        <v>17</v>
      </c>
      <c r="S164" s="20">
        <f t="shared" ca="1" si="74"/>
        <v>13</v>
      </c>
      <c r="T164" s="20" cm="1">
        <f t="array" aca="1" ref="T164" ca="1">IF(S164="","",IF(S164&lt;&gt;S163,1,IF(T163=misLíneas-2,0,T163+1)))</f>
        <v>2</v>
      </c>
      <c r="U164" s="20" t="str" cm="1">
        <f t="array" aca="1" ref="U164" ca="1">IF(OR(T164=0,T164=""),"",INDEX(misCriticidades,S164)&amp;"-"&amp;IFERROR(MATCH(T164,miOrdenTarjeta,0),0))</f>
        <v>2-2</v>
      </c>
      <c r="W164" s="20">
        <f t="shared" ca="1" si="64"/>
        <v>1</v>
      </c>
      <c r="X164" s="20" t="str">
        <f t="shared" ca="1" si="75"/>
        <v/>
      </c>
      <c r="Y164" s="20" t="str" cm="1">
        <f t="array" aca="1" ref="Y164" ca="1">IF(X164="","",IF(X164&lt;&gt;X163,1,IF(Y163=misLíneas-2,0,Y163+1)))</f>
        <v/>
      </c>
      <c r="Z164" s="20" t="str" cm="1">
        <f t="array" aca="1" ref="Z164" ca="1">IF(OR(Y164=0,Y164=""),"",INDEX(misCriticidades,X164)&amp;"-"&amp;IFERROR(MATCH(Y164,miOrdenTarjeta,0),0))</f>
        <v/>
      </c>
      <c r="AB164" s="20">
        <f t="shared" ca="1" si="65"/>
        <v>1</v>
      </c>
      <c r="AC164" s="20" t="str">
        <f t="shared" ca="1" si="56"/>
        <v/>
      </c>
      <c r="AD164" s="20" t="str" cm="1">
        <f t="array" aca="1" ref="AD164" ca="1">IF(AC164="","",IF(AC164&lt;&gt;AC163,1,IF(AD163=misLíneas-2,0,AD163+1)))</f>
        <v/>
      </c>
      <c r="AE164" s="20" t="str" cm="1">
        <f t="array" aca="1" ref="AE164" ca="1">IF(OR(AD164=0,AD164=""),"",INDEX(misCriticidades,AC164)&amp;"-"&amp;IFERROR(MATCH(AD164,miOrdenTarjeta,0),0))</f>
        <v/>
      </c>
      <c r="AG164" s="20">
        <f t="shared" ca="1" si="66"/>
        <v>1</v>
      </c>
      <c r="AH164" s="20" t="str">
        <f t="shared" ca="1" si="57"/>
        <v/>
      </c>
      <c r="AI164" s="20" t="str" cm="1">
        <f t="array" aca="1" ref="AI164" ca="1">IF(AH164="","",IF(AH164&lt;&gt;AH163,1,IF(AI163=misLíneas-2,0,AI163+1)))</f>
        <v/>
      </c>
      <c r="AJ164" s="20" t="str" cm="1">
        <f t="array" aca="1" ref="AJ164" ca="1">IF(OR(AI164=0,AI164=""),"",INDEX(misCriticidades,AH164)&amp;"-"&amp;IFERROR(MATCH(AI164,miOrdenTarjeta,0),0))</f>
        <v/>
      </c>
      <c r="AL164" s="20">
        <f t="shared" ca="1" si="67"/>
        <v>1</v>
      </c>
      <c r="AM164" s="20" t="str">
        <f t="shared" ca="1" si="58"/>
        <v/>
      </c>
      <c r="AN164" s="20" t="str" cm="1">
        <f t="array" aca="1" ref="AN164" ca="1">IF(AM164="","",IF(AM164&lt;&gt;AM163,1,IF(AN163=misLíneas-2,0,AN163+1)))</f>
        <v/>
      </c>
      <c r="AO164" s="20" t="str" cm="1">
        <f t="array" aca="1" ref="AO164" ca="1">IF(OR(AN164=0,AN164=""),"",INDEX(misCriticidades,AM164)&amp;"-"&amp;IFERROR(MATCH(AN164,miOrdenTarjeta,0),0))</f>
        <v/>
      </c>
      <c r="AQ164" s="20">
        <f t="shared" ca="1" si="68"/>
        <v>1</v>
      </c>
      <c r="AR164" s="20" t="str">
        <f t="shared" ca="1" si="59"/>
        <v/>
      </c>
      <c r="AS164" s="20" t="str" cm="1">
        <f t="array" aca="1" ref="AS164" ca="1">IF(AR164="","",IF(AR164&lt;&gt;AR163,1,IF(AS163=misLíneas-2,0,AS163+1)))</f>
        <v/>
      </c>
      <c r="AT164" s="20" t="str" cm="1">
        <f t="array" aca="1" ref="AT164" ca="1">IF(OR(AS164=0,AS164=""),"",INDEX(misCriticidades,AR164)&amp;"-"&amp;IFERROR(MATCH(AS164,miOrdenTarjeta,0),0))</f>
        <v/>
      </c>
      <c r="AV164" s="20">
        <f t="shared" ca="1" si="69"/>
        <v>1</v>
      </c>
      <c r="AW164" s="20" t="str">
        <f t="shared" ca="1" si="60"/>
        <v/>
      </c>
      <c r="AX164" s="20" t="str" cm="1">
        <f t="array" aca="1" ref="AX164" ca="1">IF(AW164="","",IF(AW164&lt;&gt;AW163,1,IF(AX163=misLíneas-2,0,AX163+1)))</f>
        <v/>
      </c>
      <c r="AY164" s="20" t="str" cm="1">
        <f t="array" aca="1" ref="AY164" ca="1">IF(OR(AX164=0,AX164=""),"",INDEX(misCriticidades,AW164)&amp;"-"&amp;IFERROR(MATCH(AX164,miOrdenTarjeta,0),0))</f>
        <v/>
      </c>
    </row>
    <row r="165" spans="3:51" x14ac:dyDescent="0.25">
      <c r="C165" s="20">
        <f t="shared" ca="1" si="70"/>
        <v>1</v>
      </c>
      <c r="D165" s="20" t="str">
        <f t="shared" ca="1" si="71"/>
        <v/>
      </c>
      <c r="E165" s="20" t="str" cm="1">
        <f t="array" aca="1" ref="E165" ca="1">IF(D165="","",IF(D165&lt;&gt;D164,1,IF(E164=misLíneas-2,0,E164+1)))</f>
        <v/>
      </c>
      <c r="F165" s="20" t="str" cm="1">
        <f t="array" aca="1" ref="F165" ca="1">IF(OR(E165=0,E165=""),"",INDEX(misCriticidades,D165)&amp;"-"&amp;IFERROR(MATCH(E165,miOrdenTarjeta,0),0))</f>
        <v/>
      </c>
      <c r="H165" s="20">
        <f t="shared" ca="1" si="61"/>
        <v>7</v>
      </c>
      <c r="I165" s="20" t="str">
        <f t="shared" ca="1" si="72"/>
        <v/>
      </c>
      <c r="J165" s="20" t="str" cm="1">
        <f t="array" aca="1" ref="J165" ca="1">IF(I165="","",IF(I165&lt;&gt;I164,1,IF(J164=misLíneas-2,0,J164+1)))</f>
        <v/>
      </c>
      <c r="K165" s="20" t="str" cm="1">
        <f t="array" aca="1" ref="K165" ca="1">IF(OR(J165=0,J165=""),"",INDEX(misCriticidades,I165)&amp;"-"&amp;IFERROR(MATCH(J165,miOrdenTarjeta,0),0))</f>
        <v/>
      </c>
      <c r="M165" s="20">
        <f t="shared" ca="1" si="62"/>
        <v>1</v>
      </c>
      <c r="N165" s="20" t="str">
        <f t="shared" ca="1" si="73"/>
        <v/>
      </c>
      <c r="O165" s="20" t="str" cm="1">
        <f t="array" aca="1" ref="O165" ca="1">IF(N165="","",IF(N165&lt;&gt;N164,1,IF(O164=misLíneas-2,0,O164+1)))</f>
        <v/>
      </c>
      <c r="P165" s="20" t="str" cm="1">
        <f t="array" aca="1" ref="P165" ca="1">IF(OR(O165=0,O165=""),"",INDEX(misCriticidades,N165)&amp;"-"&amp;IFERROR(MATCH(O165,miOrdenTarjeta,0),0))</f>
        <v/>
      </c>
      <c r="R165" s="20">
        <f t="shared" ca="1" si="63"/>
        <v>17</v>
      </c>
      <c r="S165" s="20">
        <f t="shared" ca="1" si="74"/>
        <v>13</v>
      </c>
      <c r="T165" s="20" cm="1">
        <f t="array" aca="1" ref="T165" ca="1">IF(S165="","",IF(S165&lt;&gt;S164,1,IF(T164=misLíneas-2,0,T164+1)))</f>
        <v>3</v>
      </c>
      <c r="U165" s="20" t="str" cm="1">
        <f t="array" aca="1" ref="U165" ca="1">IF(OR(T165=0,T165=""),"",INDEX(misCriticidades,S165)&amp;"-"&amp;IFERROR(MATCH(T165,miOrdenTarjeta,0),0))</f>
        <v>2-3</v>
      </c>
      <c r="W165" s="20">
        <f t="shared" ca="1" si="64"/>
        <v>1</v>
      </c>
      <c r="X165" s="20" t="str">
        <f t="shared" ca="1" si="75"/>
        <v/>
      </c>
      <c r="Y165" s="20" t="str" cm="1">
        <f t="array" aca="1" ref="Y165" ca="1">IF(X165="","",IF(X165&lt;&gt;X164,1,IF(Y164=misLíneas-2,0,Y164+1)))</f>
        <v/>
      </c>
      <c r="Z165" s="20" t="str" cm="1">
        <f t="array" aca="1" ref="Z165" ca="1">IF(OR(Y165=0,Y165=""),"",INDEX(misCriticidades,X165)&amp;"-"&amp;IFERROR(MATCH(Y165,miOrdenTarjeta,0),0))</f>
        <v/>
      </c>
      <c r="AB165" s="20">
        <f t="shared" ca="1" si="65"/>
        <v>1</v>
      </c>
      <c r="AC165" s="20" t="str">
        <f t="shared" ca="1" si="56"/>
        <v/>
      </c>
      <c r="AD165" s="20" t="str" cm="1">
        <f t="array" aca="1" ref="AD165" ca="1">IF(AC165="","",IF(AC165&lt;&gt;AC164,1,IF(AD164=misLíneas-2,0,AD164+1)))</f>
        <v/>
      </c>
      <c r="AE165" s="20" t="str" cm="1">
        <f t="array" aca="1" ref="AE165" ca="1">IF(OR(AD165=0,AD165=""),"",INDEX(misCriticidades,AC165)&amp;"-"&amp;IFERROR(MATCH(AD165,miOrdenTarjeta,0),0))</f>
        <v/>
      </c>
      <c r="AG165" s="20">
        <f t="shared" ca="1" si="66"/>
        <v>1</v>
      </c>
      <c r="AH165" s="20" t="str">
        <f t="shared" ca="1" si="57"/>
        <v/>
      </c>
      <c r="AI165" s="20" t="str" cm="1">
        <f t="array" aca="1" ref="AI165" ca="1">IF(AH165="","",IF(AH165&lt;&gt;AH164,1,IF(AI164=misLíneas-2,0,AI164+1)))</f>
        <v/>
      </c>
      <c r="AJ165" s="20" t="str" cm="1">
        <f t="array" aca="1" ref="AJ165" ca="1">IF(OR(AI165=0,AI165=""),"",INDEX(misCriticidades,AH165)&amp;"-"&amp;IFERROR(MATCH(AI165,miOrdenTarjeta,0),0))</f>
        <v/>
      </c>
      <c r="AL165" s="20">
        <f t="shared" ca="1" si="67"/>
        <v>1</v>
      </c>
      <c r="AM165" s="20" t="str">
        <f t="shared" ca="1" si="58"/>
        <v/>
      </c>
      <c r="AN165" s="20" t="str" cm="1">
        <f t="array" aca="1" ref="AN165" ca="1">IF(AM165="","",IF(AM165&lt;&gt;AM164,1,IF(AN164=misLíneas-2,0,AN164+1)))</f>
        <v/>
      </c>
      <c r="AO165" s="20" t="str" cm="1">
        <f t="array" aca="1" ref="AO165" ca="1">IF(OR(AN165=0,AN165=""),"",INDEX(misCriticidades,AM165)&amp;"-"&amp;IFERROR(MATCH(AN165,miOrdenTarjeta,0),0))</f>
        <v/>
      </c>
      <c r="AQ165" s="20">
        <f t="shared" ca="1" si="68"/>
        <v>1</v>
      </c>
      <c r="AR165" s="20" t="str">
        <f t="shared" ca="1" si="59"/>
        <v/>
      </c>
      <c r="AS165" s="20" t="str" cm="1">
        <f t="array" aca="1" ref="AS165" ca="1">IF(AR165="","",IF(AR165&lt;&gt;AR164,1,IF(AS164=misLíneas-2,0,AS164+1)))</f>
        <v/>
      </c>
      <c r="AT165" s="20" t="str" cm="1">
        <f t="array" aca="1" ref="AT165" ca="1">IF(OR(AS165=0,AS165=""),"",INDEX(misCriticidades,AR165)&amp;"-"&amp;IFERROR(MATCH(AS165,miOrdenTarjeta,0),0))</f>
        <v/>
      </c>
      <c r="AV165" s="20">
        <f t="shared" ca="1" si="69"/>
        <v>1</v>
      </c>
      <c r="AW165" s="20" t="str">
        <f t="shared" ca="1" si="60"/>
        <v/>
      </c>
      <c r="AX165" s="20" t="str" cm="1">
        <f t="array" aca="1" ref="AX165" ca="1">IF(AW165="","",IF(AW165&lt;&gt;AW164,1,IF(AX164=misLíneas-2,0,AX164+1)))</f>
        <v/>
      </c>
      <c r="AY165" s="20" t="str" cm="1">
        <f t="array" aca="1" ref="AY165" ca="1">IF(OR(AX165=0,AX165=""),"",INDEX(misCriticidades,AW165)&amp;"-"&amp;IFERROR(MATCH(AX165,miOrdenTarjeta,0),0))</f>
        <v/>
      </c>
    </row>
    <row r="166" spans="3:51" x14ac:dyDescent="0.25">
      <c r="C166" s="20">
        <f t="shared" ca="1" si="70"/>
        <v>1</v>
      </c>
      <c r="D166" s="20" t="str">
        <f t="shared" ca="1" si="71"/>
        <v/>
      </c>
      <c r="E166" s="20" t="str" cm="1">
        <f t="array" aca="1" ref="E166" ca="1">IF(D166="","",IF(D166&lt;&gt;D165,1,IF(E165=misLíneas-2,0,E165+1)))</f>
        <v/>
      </c>
      <c r="F166" s="20" t="str" cm="1">
        <f t="array" aca="1" ref="F166" ca="1">IF(OR(E166=0,E166=""),"",INDEX(misCriticidades,D166)&amp;"-"&amp;IFERROR(MATCH(E166,miOrdenTarjeta,0),0))</f>
        <v/>
      </c>
      <c r="H166" s="20">
        <f t="shared" ca="1" si="61"/>
        <v>7</v>
      </c>
      <c r="I166" s="20" t="str">
        <f t="shared" ca="1" si="72"/>
        <v/>
      </c>
      <c r="J166" s="20" t="str" cm="1">
        <f t="array" aca="1" ref="J166" ca="1">IF(I166="","",IF(I166&lt;&gt;I165,1,IF(J165=misLíneas-2,0,J165+1)))</f>
        <v/>
      </c>
      <c r="K166" s="20" t="str" cm="1">
        <f t="array" aca="1" ref="K166" ca="1">IF(OR(J166=0,J166=""),"",INDEX(misCriticidades,I166)&amp;"-"&amp;IFERROR(MATCH(J166,miOrdenTarjeta,0),0))</f>
        <v/>
      </c>
      <c r="M166" s="20">
        <f t="shared" ca="1" si="62"/>
        <v>1</v>
      </c>
      <c r="N166" s="20" t="str">
        <f t="shared" ca="1" si="73"/>
        <v/>
      </c>
      <c r="O166" s="20" t="str" cm="1">
        <f t="array" aca="1" ref="O166" ca="1">IF(N166="","",IF(N166&lt;&gt;N165,1,IF(O165=misLíneas-2,0,O165+1)))</f>
        <v/>
      </c>
      <c r="P166" s="20" t="str" cm="1">
        <f t="array" aca="1" ref="P166" ca="1">IF(OR(O166=0,O166=""),"",INDEX(misCriticidades,N166)&amp;"-"&amp;IFERROR(MATCH(O166,miOrdenTarjeta,0),0))</f>
        <v/>
      </c>
      <c r="R166" s="20">
        <f t="shared" ca="1" si="63"/>
        <v>17</v>
      </c>
      <c r="S166" s="20">
        <f t="shared" ca="1" si="74"/>
        <v>13</v>
      </c>
      <c r="T166" s="20" cm="1">
        <f t="array" aca="1" ref="T166" ca="1">IF(S166="","",IF(S166&lt;&gt;S165,1,IF(T165=misLíneas-2,0,T165+1)))</f>
        <v>4</v>
      </c>
      <c r="U166" s="20" t="str" cm="1">
        <f t="array" aca="1" ref="U166" ca="1">IF(OR(T166=0,T166=""),"",INDEX(misCriticidades,S166)&amp;"-"&amp;IFERROR(MATCH(T166,miOrdenTarjeta,0),0))</f>
        <v>2-4</v>
      </c>
      <c r="W166" s="20">
        <f t="shared" ca="1" si="64"/>
        <v>1</v>
      </c>
      <c r="X166" s="20" t="str">
        <f t="shared" ca="1" si="75"/>
        <v/>
      </c>
      <c r="Y166" s="20" t="str" cm="1">
        <f t="array" aca="1" ref="Y166" ca="1">IF(X166="","",IF(X166&lt;&gt;X165,1,IF(Y165=misLíneas-2,0,Y165+1)))</f>
        <v/>
      </c>
      <c r="Z166" s="20" t="str" cm="1">
        <f t="array" aca="1" ref="Z166" ca="1">IF(OR(Y166=0,Y166=""),"",INDEX(misCriticidades,X166)&amp;"-"&amp;IFERROR(MATCH(Y166,miOrdenTarjeta,0),0))</f>
        <v/>
      </c>
      <c r="AB166" s="20">
        <f t="shared" ca="1" si="65"/>
        <v>1</v>
      </c>
      <c r="AC166" s="20" t="str">
        <f t="shared" ca="1" si="56"/>
        <v/>
      </c>
      <c r="AD166" s="20" t="str" cm="1">
        <f t="array" aca="1" ref="AD166" ca="1">IF(AC166="","",IF(AC166&lt;&gt;AC165,1,IF(AD165=misLíneas-2,0,AD165+1)))</f>
        <v/>
      </c>
      <c r="AE166" s="20" t="str" cm="1">
        <f t="array" aca="1" ref="AE166" ca="1">IF(OR(AD166=0,AD166=""),"",INDEX(misCriticidades,AC166)&amp;"-"&amp;IFERROR(MATCH(AD166,miOrdenTarjeta,0),0))</f>
        <v/>
      </c>
      <c r="AG166" s="20">
        <f t="shared" ca="1" si="66"/>
        <v>1</v>
      </c>
      <c r="AH166" s="20" t="str">
        <f t="shared" ca="1" si="57"/>
        <v/>
      </c>
      <c r="AI166" s="20" t="str" cm="1">
        <f t="array" aca="1" ref="AI166" ca="1">IF(AH166="","",IF(AH166&lt;&gt;AH165,1,IF(AI165=misLíneas-2,0,AI165+1)))</f>
        <v/>
      </c>
      <c r="AJ166" s="20" t="str" cm="1">
        <f t="array" aca="1" ref="AJ166" ca="1">IF(OR(AI166=0,AI166=""),"",INDEX(misCriticidades,AH166)&amp;"-"&amp;IFERROR(MATCH(AI166,miOrdenTarjeta,0),0))</f>
        <v/>
      </c>
      <c r="AL166" s="20">
        <f t="shared" ca="1" si="67"/>
        <v>1</v>
      </c>
      <c r="AM166" s="20" t="str">
        <f t="shared" ca="1" si="58"/>
        <v/>
      </c>
      <c r="AN166" s="20" t="str" cm="1">
        <f t="array" aca="1" ref="AN166" ca="1">IF(AM166="","",IF(AM166&lt;&gt;AM165,1,IF(AN165=misLíneas-2,0,AN165+1)))</f>
        <v/>
      </c>
      <c r="AO166" s="20" t="str" cm="1">
        <f t="array" aca="1" ref="AO166" ca="1">IF(OR(AN166=0,AN166=""),"",INDEX(misCriticidades,AM166)&amp;"-"&amp;IFERROR(MATCH(AN166,miOrdenTarjeta,0),0))</f>
        <v/>
      </c>
      <c r="AQ166" s="20">
        <f t="shared" ca="1" si="68"/>
        <v>1</v>
      </c>
      <c r="AR166" s="20" t="str">
        <f t="shared" ca="1" si="59"/>
        <v/>
      </c>
      <c r="AS166" s="20" t="str" cm="1">
        <f t="array" aca="1" ref="AS166" ca="1">IF(AR166="","",IF(AR166&lt;&gt;AR165,1,IF(AS165=misLíneas-2,0,AS165+1)))</f>
        <v/>
      </c>
      <c r="AT166" s="20" t="str" cm="1">
        <f t="array" aca="1" ref="AT166" ca="1">IF(OR(AS166=0,AS166=""),"",INDEX(misCriticidades,AR166)&amp;"-"&amp;IFERROR(MATCH(AS166,miOrdenTarjeta,0),0))</f>
        <v/>
      </c>
      <c r="AV166" s="20">
        <f t="shared" ca="1" si="69"/>
        <v>1</v>
      </c>
      <c r="AW166" s="20" t="str">
        <f t="shared" ca="1" si="60"/>
        <v/>
      </c>
      <c r="AX166" s="20" t="str" cm="1">
        <f t="array" aca="1" ref="AX166" ca="1">IF(AW166="","",IF(AW166&lt;&gt;AW165,1,IF(AX165=misLíneas-2,0,AX165+1)))</f>
        <v/>
      </c>
      <c r="AY166" s="20" t="str" cm="1">
        <f t="array" aca="1" ref="AY166" ca="1">IF(OR(AX166=0,AX166=""),"",INDEX(misCriticidades,AW166)&amp;"-"&amp;IFERROR(MATCH(AX166,miOrdenTarjeta,0),0))</f>
        <v/>
      </c>
    </row>
    <row r="167" spans="3:51" x14ac:dyDescent="0.25">
      <c r="C167" s="20">
        <f t="shared" ca="1" si="70"/>
        <v>1</v>
      </c>
      <c r="D167" s="20" t="str">
        <f t="shared" ca="1" si="71"/>
        <v/>
      </c>
      <c r="E167" s="20" t="str" cm="1">
        <f t="array" aca="1" ref="E167" ca="1">IF(D167="","",IF(D167&lt;&gt;D166,1,IF(E166=misLíneas-2,0,E166+1)))</f>
        <v/>
      </c>
      <c r="F167" s="20" t="str" cm="1">
        <f t="array" aca="1" ref="F167" ca="1">IF(OR(E167=0,E167=""),"",INDEX(misCriticidades,D167)&amp;"-"&amp;IFERROR(MATCH(E167,miOrdenTarjeta,0),0))</f>
        <v/>
      </c>
      <c r="H167" s="20">
        <f t="shared" ca="1" si="61"/>
        <v>7</v>
      </c>
      <c r="I167" s="20" t="str">
        <f t="shared" ca="1" si="72"/>
        <v/>
      </c>
      <c r="J167" s="20" t="str" cm="1">
        <f t="array" aca="1" ref="J167" ca="1">IF(I167="","",IF(I167&lt;&gt;I166,1,IF(J166=misLíneas-2,0,J166+1)))</f>
        <v/>
      </c>
      <c r="K167" s="20" t="str" cm="1">
        <f t="array" aca="1" ref="K167" ca="1">IF(OR(J167=0,J167=""),"",INDEX(misCriticidades,I167)&amp;"-"&amp;IFERROR(MATCH(J167,miOrdenTarjeta,0),0))</f>
        <v/>
      </c>
      <c r="M167" s="20">
        <f t="shared" ca="1" si="62"/>
        <v>1</v>
      </c>
      <c r="N167" s="20" t="str">
        <f t="shared" ca="1" si="73"/>
        <v/>
      </c>
      <c r="O167" s="20" t="str" cm="1">
        <f t="array" aca="1" ref="O167" ca="1">IF(N167="","",IF(N167&lt;&gt;N166,1,IF(O166=misLíneas-2,0,O166+1)))</f>
        <v/>
      </c>
      <c r="P167" s="20" t="str" cm="1">
        <f t="array" aca="1" ref="P167" ca="1">IF(OR(O167=0,O167=""),"",INDEX(misCriticidades,N167)&amp;"-"&amp;IFERROR(MATCH(O167,miOrdenTarjeta,0),0))</f>
        <v/>
      </c>
      <c r="R167" s="20">
        <f t="shared" ca="1" si="63"/>
        <v>17</v>
      </c>
      <c r="S167" s="20">
        <f t="shared" ca="1" si="74"/>
        <v>13</v>
      </c>
      <c r="T167" s="20" cm="1">
        <f t="array" aca="1" ref="T167" ca="1">IF(S167="","",IF(S167&lt;&gt;S166,1,IF(T166=misLíneas-2,0,T166+1)))</f>
        <v>5</v>
      </c>
      <c r="U167" s="20" t="str" cm="1">
        <f t="array" aca="1" ref="U167" ca="1">IF(OR(T167=0,T167=""),"",INDEX(misCriticidades,S167)&amp;"-"&amp;IFERROR(MATCH(T167,miOrdenTarjeta,0),0))</f>
        <v>2-5</v>
      </c>
      <c r="W167" s="20">
        <f t="shared" ca="1" si="64"/>
        <v>1</v>
      </c>
      <c r="X167" s="20" t="str">
        <f t="shared" ca="1" si="75"/>
        <v/>
      </c>
      <c r="Y167" s="20" t="str" cm="1">
        <f t="array" aca="1" ref="Y167" ca="1">IF(X167="","",IF(X167&lt;&gt;X166,1,IF(Y166=misLíneas-2,0,Y166+1)))</f>
        <v/>
      </c>
      <c r="Z167" s="20" t="str" cm="1">
        <f t="array" aca="1" ref="Z167" ca="1">IF(OR(Y167=0,Y167=""),"",INDEX(misCriticidades,X167)&amp;"-"&amp;IFERROR(MATCH(Y167,miOrdenTarjeta,0),0))</f>
        <v/>
      </c>
      <c r="AB167" s="20">
        <f t="shared" ca="1" si="65"/>
        <v>1</v>
      </c>
      <c r="AC167" s="20" t="str">
        <f t="shared" ca="1" si="56"/>
        <v/>
      </c>
      <c r="AD167" s="20" t="str" cm="1">
        <f t="array" aca="1" ref="AD167" ca="1">IF(AC167="","",IF(AC167&lt;&gt;AC166,1,IF(AD166=misLíneas-2,0,AD166+1)))</f>
        <v/>
      </c>
      <c r="AE167" s="20" t="str" cm="1">
        <f t="array" aca="1" ref="AE167" ca="1">IF(OR(AD167=0,AD167=""),"",INDEX(misCriticidades,AC167)&amp;"-"&amp;IFERROR(MATCH(AD167,miOrdenTarjeta,0),0))</f>
        <v/>
      </c>
      <c r="AG167" s="20">
        <f t="shared" ca="1" si="66"/>
        <v>1</v>
      </c>
      <c r="AH167" s="20" t="str">
        <f t="shared" ca="1" si="57"/>
        <v/>
      </c>
      <c r="AI167" s="20" t="str" cm="1">
        <f t="array" aca="1" ref="AI167" ca="1">IF(AH167="","",IF(AH167&lt;&gt;AH166,1,IF(AI166=misLíneas-2,0,AI166+1)))</f>
        <v/>
      </c>
      <c r="AJ167" s="20" t="str" cm="1">
        <f t="array" aca="1" ref="AJ167" ca="1">IF(OR(AI167=0,AI167=""),"",INDEX(misCriticidades,AH167)&amp;"-"&amp;IFERROR(MATCH(AI167,miOrdenTarjeta,0),0))</f>
        <v/>
      </c>
      <c r="AL167" s="20">
        <f t="shared" ca="1" si="67"/>
        <v>1</v>
      </c>
      <c r="AM167" s="20" t="str">
        <f t="shared" ca="1" si="58"/>
        <v/>
      </c>
      <c r="AN167" s="20" t="str" cm="1">
        <f t="array" aca="1" ref="AN167" ca="1">IF(AM167="","",IF(AM167&lt;&gt;AM166,1,IF(AN166=misLíneas-2,0,AN166+1)))</f>
        <v/>
      </c>
      <c r="AO167" s="20" t="str" cm="1">
        <f t="array" aca="1" ref="AO167" ca="1">IF(OR(AN167=0,AN167=""),"",INDEX(misCriticidades,AM167)&amp;"-"&amp;IFERROR(MATCH(AN167,miOrdenTarjeta,0),0))</f>
        <v/>
      </c>
      <c r="AQ167" s="20">
        <f t="shared" ca="1" si="68"/>
        <v>1</v>
      </c>
      <c r="AR167" s="20" t="str">
        <f t="shared" ca="1" si="59"/>
        <v/>
      </c>
      <c r="AS167" s="20" t="str" cm="1">
        <f t="array" aca="1" ref="AS167" ca="1">IF(AR167="","",IF(AR167&lt;&gt;AR166,1,IF(AS166=misLíneas-2,0,AS166+1)))</f>
        <v/>
      </c>
      <c r="AT167" s="20" t="str" cm="1">
        <f t="array" aca="1" ref="AT167" ca="1">IF(OR(AS167=0,AS167=""),"",INDEX(misCriticidades,AR167)&amp;"-"&amp;IFERROR(MATCH(AS167,miOrdenTarjeta,0),0))</f>
        <v/>
      </c>
      <c r="AV167" s="20">
        <f t="shared" ca="1" si="69"/>
        <v>1</v>
      </c>
      <c r="AW167" s="20" t="str">
        <f t="shared" ca="1" si="60"/>
        <v/>
      </c>
      <c r="AX167" s="20" t="str" cm="1">
        <f t="array" aca="1" ref="AX167" ca="1">IF(AW167="","",IF(AW167&lt;&gt;AW166,1,IF(AX166=misLíneas-2,0,AX166+1)))</f>
        <v/>
      </c>
      <c r="AY167" s="20" t="str" cm="1">
        <f t="array" aca="1" ref="AY167" ca="1">IF(OR(AX167=0,AX167=""),"",INDEX(misCriticidades,AW167)&amp;"-"&amp;IFERROR(MATCH(AX167,miOrdenTarjeta,0),0))</f>
        <v/>
      </c>
    </row>
    <row r="168" spans="3:51" x14ac:dyDescent="0.25">
      <c r="C168" s="20">
        <f t="shared" ca="1" si="70"/>
        <v>1</v>
      </c>
      <c r="D168" s="20" t="str">
        <f t="shared" ca="1" si="71"/>
        <v/>
      </c>
      <c r="E168" s="20" t="str" cm="1">
        <f t="array" aca="1" ref="E168" ca="1">IF(D168="","",IF(D168&lt;&gt;D167,1,IF(E167=misLíneas-2,0,E167+1)))</f>
        <v/>
      </c>
      <c r="F168" s="20" t="str" cm="1">
        <f t="array" aca="1" ref="F168" ca="1">IF(OR(E168=0,E168=""),"",INDEX(misCriticidades,D168)&amp;"-"&amp;IFERROR(MATCH(E168,miOrdenTarjeta,0),0))</f>
        <v/>
      </c>
      <c r="H168" s="20">
        <f t="shared" ca="1" si="61"/>
        <v>7</v>
      </c>
      <c r="I168" s="20" t="str">
        <f t="shared" ca="1" si="72"/>
        <v/>
      </c>
      <c r="J168" s="20" t="str" cm="1">
        <f t="array" aca="1" ref="J168" ca="1">IF(I168="","",IF(I168&lt;&gt;I167,1,IF(J167=misLíneas-2,0,J167+1)))</f>
        <v/>
      </c>
      <c r="K168" s="20" t="str" cm="1">
        <f t="array" aca="1" ref="K168" ca="1">IF(OR(J168=0,J168=""),"",INDEX(misCriticidades,I168)&amp;"-"&amp;IFERROR(MATCH(J168,miOrdenTarjeta,0),0))</f>
        <v/>
      </c>
      <c r="M168" s="20">
        <f t="shared" ca="1" si="62"/>
        <v>1</v>
      </c>
      <c r="N168" s="20" t="str">
        <f t="shared" ca="1" si="73"/>
        <v/>
      </c>
      <c r="O168" s="20" t="str" cm="1">
        <f t="array" aca="1" ref="O168" ca="1">IF(N168="","",IF(N168&lt;&gt;N167,1,IF(O167=misLíneas-2,0,O167+1)))</f>
        <v/>
      </c>
      <c r="P168" s="20" t="str" cm="1">
        <f t="array" aca="1" ref="P168" ca="1">IF(OR(O168=0,O168=""),"",INDEX(misCriticidades,N168)&amp;"-"&amp;IFERROR(MATCH(O168,miOrdenTarjeta,0),0))</f>
        <v/>
      </c>
      <c r="R168" s="20">
        <f t="shared" ca="1" si="63"/>
        <v>17</v>
      </c>
      <c r="S168" s="20">
        <f t="shared" ca="1" si="74"/>
        <v>13</v>
      </c>
      <c r="T168" s="20" cm="1">
        <f t="array" aca="1" ref="T168" ca="1">IF(S168="","",IF(S168&lt;&gt;S167,1,IF(T167=misLíneas-2,0,T167+1)))</f>
        <v>6</v>
      </c>
      <c r="U168" s="20" t="str" cm="1">
        <f t="array" aca="1" ref="U168" ca="1">IF(OR(T168=0,T168=""),"",INDEX(misCriticidades,S168)&amp;"-"&amp;IFERROR(MATCH(T168,miOrdenTarjeta,0),0))</f>
        <v>2-6</v>
      </c>
      <c r="W168" s="20">
        <f t="shared" ca="1" si="64"/>
        <v>1</v>
      </c>
      <c r="X168" s="20" t="str">
        <f t="shared" ca="1" si="75"/>
        <v/>
      </c>
      <c r="Y168" s="20" t="str" cm="1">
        <f t="array" aca="1" ref="Y168" ca="1">IF(X168="","",IF(X168&lt;&gt;X167,1,IF(Y167=misLíneas-2,0,Y167+1)))</f>
        <v/>
      </c>
      <c r="Z168" s="20" t="str" cm="1">
        <f t="array" aca="1" ref="Z168" ca="1">IF(OR(Y168=0,Y168=""),"",INDEX(misCriticidades,X168)&amp;"-"&amp;IFERROR(MATCH(Y168,miOrdenTarjeta,0),0))</f>
        <v/>
      </c>
      <c r="AB168" s="20">
        <f t="shared" ca="1" si="65"/>
        <v>1</v>
      </c>
      <c r="AC168" s="20" t="str">
        <f t="shared" ca="1" si="56"/>
        <v/>
      </c>
      <c r="AD168" s="20" t="str" cm="1">
        <f t="array" aca="1" ref="AD168" ca="1">IF(AC168="","",IF(AC168&lt;&gt;AC167,1,IF(AD167=misLíneas-2,0,AD167+1)))</f>
        <v/>
      </c>
      <c r="AE168" s="20" t="str" cm="1">
        <f t="array" aca="1" ref="AE168" ca="1">IF(OR(AD168=0,AD168=""),"",INDEX(misCriticidades,AC168)&amp;"-"&amp;IFERROR(MATCH(AD168,miOrdenTarjeta,0),0))</f>
        <v/>
      </c>
      <c r="AG168" s="20">
        <f t="shared" ca="1" si="66"/>
        <v>1</v>
      </c>
      <c r="AH168" s="20" t="str">
        <f t="shared" ca="1" si="57"/>
        <v/>
      </c>
      <c r="AI168" s="20" t="str" cm="1">
        <f t="array" aca="1" ref="AI168" ca="1">IF(AH168="","",IF(AH168&lt;&gt;AH167,1,IF(AI167=misLíneas-2,0,AI167+1)))</f>
        <v/>
      </c>
      <c r="AJ168" s="20" t="str" cm="1">
        <f t="array" aca="1" ref="AJ168" ca="1">IF(OR(AI168=0,AI168=""),"",INDEX(misCriticidades,AH168)&amp;"-"&amp;IFERROR(MATCH(AI168,miOrdenTarjeta,0),0))</f>
        <v/>
      </c>
      <c r="AL168" s="20">
        <f t="shared" ca="1" si="67"/>
        <v>1</v>
      </c>
      <c r="AM168" s="20" t="str">
        <f t="shared" ca="1" si="58"/>
        <v/>
      </c>
      <c r="AN168" s="20" t="str" cm="1">
        <f t="array" aca="1" ref="AN168" ca="1">IF(AM168="","",IF(AM168&lt;&gt;AM167,1,IF(AN167=misLíneas-2,0,AN167+1)))</f>
        <v/>
      </c>
      <c r="AO168" s="20" t="str" cm="1">
        <f t="array" aca="1" ref="AO168" ca="1">IF(OR(AN168=0,AN168=""),"",INDEX(misCriticidades,AM168)&amp;"-"&amp;IFERROR(MATCH(AN168,miOrdenTarjeta,0),0))</f>
        <v/>
      </c>
      <c r="AQ168" s="20">
        <f t="shared" ca="1" si="68"/>
        <v>1</v>
      </c>
      <c r="AR168" s="20" t="str">
        <f t="shared" ca="1" si="59"/>
        <v/>
      </c>
      <c r="AS168" s="20" t="str" cm="1">
        <f t="array" aca="1" ref="AS168" ca="1">IF(AR168="","",IF(AR168&lt;&gt;AR167,1,IF(AS167=misLíneas-2,0,AS167+1)))</f>
        <v/>
      </c>
      <c r="AT168" s="20" t="str" cm="1">
        <f t="array" aca="1" ref="AT168" ca="1">IF(OR(AS168=0,AS168=""),"",INDEX(misCriticidades,AR168)&amp;"-"&amp;IFERROR(MATCH(AS168,miOrdenTarjeta,0),0))</f>
        <v/>
      </c>
      <c r="AV168" s="20">
        <f t="shared" ca="1" si="69"/>
        <v>1</v>
      </c>
      <c r="AW168" s="20" t="str">
        <f t="shared" ca="1" si="60"/>
        <v/>
      </c>
      <c r="AX168" s="20" t="str" cm="1">
        <f t="array" aca="1" ref="AX168" ca="1">IF(AW168="","",IF(AW168&lt;&gt;AW167,1,IF(AX167=misLíneas-2,0,AX167+1)))</f>
        <v/>
      </c>
      <c r="AY168" s="20" t="str" cm="1">
        <f t="array" aca="1" ref="AY168" ca="1">IF(OR(AX168=0,AX168=""),"",INDEX(misCriticidades,AW168)&amp;"-"&amp;IFERROR(MATCH(AX168,miOrdenTarjeta,0),0))</f>
        <v/>
      </c>
    </row>
    <row r="169" spans="3:51" x14ac:dyDescent="0.25">
      <c r="C169" s="20">
        <f t="shared" ca="1" si="70"/>
        <v>1</v>
      </c>
      <c r="D169" s="20" t="str">
        <f t="shared" ca="1" si="71"/>
        <v/>
      </c>
      <c r="E169" s="20" t="str" cm="1">
        <f t="array" aca="1" ref="E169" ca="1">IF(D169="","",IF(D169&lt;&gt;D168,1,IF(E168=misLíneas-2,0,E168+1)))</f>
        <v/>
      </c>
      <c r="F169" s="20" t="str" cm="1">
        <f t="array" aca="1" ref="F169" ca="1">IF(OR(E169=0,E169=""),"",INDEX(misCriticidades,D169)&amp;"-"&amp;IFERROR(MATCH(E169,miOrdenTarjeta,0),0))</f>
        <v/>
      </c>
      <c r="H169" s="20">
        <f t="shared" ca="1" si="61"/>
        <v>7</v>
      </c>
      <c r="I169" s="20" t="str">
        <f t="shared" ca="1" si="72"/>
        <v/>
      </c>
      <c r="J169" s="20" t="str" cm="1">
        <f t="array" aca="1" ref="J169" ca="1">IF(I169="","",IF(I169&lt;&gt;I168,1,IF(J168=misLíneas-2,0,J168+1)))</f>
        <v/>
      </c>
      <c r="K169" s="20" t="str" cm="1">
        <f t="array" aca="1" ref="K169" ca="1">IF(OR(J169=0,J169=""),"",INDEX(misCriticidades,I169)&amp;"-"&amp;IFERROR(MATCH(J169,miOrdenTarjeta,0),0))</f>
        <v/>
      </c>
      <c r="M169" s="20">
        <f t="shared" ca="1" si="62"/>
        <v>1</v>
      </c>
      <c r="N169" s="20" t="str">
        <f t="shared" ca="1" si="73"/>
        <v/>
      </c>
      <c r="O169" s="20" t="str" cm="1">
        <f t="array" aca="1" ref="O169" ca="1">IF(N169="","",IF(N169&lt;&gt;N168,1,IF(O168=misLíneas-2,0,O168+1)))</f>
        <v/>
      </c>
      <c r="P169" s="20" t="str" cm="1">
        <f t="array" aca="1" ref="P169" ca="1">IF(OR(O169=0,O169=""),"",INDEX(misCriticidades,N169)&amp;"-"&amp;IFERROR(MATCH(O169,miOrdenTarjeta,0),0))</f>
        <v/>
      </c>
      <c r="R169" s="20">
        <f t="shared" ca="1" si="63"/>
        <v>17</v>
      </c>
      <c r="S169" s="20">
        <f t="shared" ca="1" si="74"/>
        <v>13</v>
      </c>
      <c r="T169" s="20" cm="1">
        <f t="array" aca="1" ref="T169" ca="1">IF(S169="","",IF(S169&lt;&gt;S168,1,IF(T168=misLíneas-2,0,T168+1)))</f>
        <v>7</v>
      </c>
      <c r="U169" s="20" t="str" cm="1">
        <f t="array" aca="1" ref="U169" ca="1">IF(OR(T169=0,T169=""),"",INDEX(misCriticidades,S169)&amp;"-"&amp;IFERROR(MATCH(T169,miOrdenTarjeta,0),0))</f>
        <v>2-7</v>
      </c>
      <c r="W169" s="20">
        <f t="shared" ca="1" si="64"/>
        <v>1</v>
      </c>
      <c r="X169" s="20" t="str">
        <f t="shared" ca="1" si="75"/>
        <v/>
      </c>
      <c r="Y169" s="20" t="str" cm="1">
        <f t="array" aca="1" ref="Y169" ca="1">IF(X169="","",IF(X169&lt;&gt;X168,1,IF(Y168=misLíneas-2,0,Y168+1)))</f>
        <v/>
      </c>
      <c r="Z169" s="20" t="str" cm="1">
        <f t="array" aca="1" ref="Z169" ca="1">IF(OR(Y169=0,Y169=""),"",INDEX(misCriticidades,X169)&amp;"-"&amp;IFERROR(MATCH(Y169,miOrdenTarjeta,0),0))</f>
        <v/>
      </c>
      <c r="AB169" s="20">
        <f t="shared" ca="1" si="65"/>
        <v>1</v>
      </c>
      <c r="AC169" s="20" t="str">
        <f t="shared" ca="1" si="56"/>
        <v/>
      </c>
      <c r="AD169" s="20" t="str" cm="1">
        <f t="array" aca="1" ref="AD169" ca="1">IF(AC169="","",IF(AC169&lt;&gt;AC168,1,IF(AD168=misLíneas-2,0,AD168+1)))</f>
        <v/>
      </c>
      <c r="AE169" s="20" t="str" cm="1">
        <f t="array" aca="1" ref="AE169" ca="1">IF(OR(AD169=0,AD169=""),"",INDEX(misCriticidades,AC169)&amp;"-"&amp;IFERROR(MATCH(AD169,miOrdenTarjeta,0),0))</f>
        <v/>
      </c>
      <c r="AG169" s="20">
        <f t="shared" ca="1" si="66"/>
        <v>1</v>
      </c>
      <c r="AH169" s="20" t="str">
        <f t="shared" ca="1" si="57"/>
        <v/>
      </c>
      <c r="AI169" s="20" t="str" cm="1">
        <f t="array" aca="1" ref="AI169" ca="1">IF(AH169="","",IF(AH169&lt;&gt;AH168,1,IF(AI168=misLíneas-2,0,AI168+1)))</f>
        <v/>
      </c>
      <c r="AJ169" s="20" t="str" cm="1">
        <f t="array" aca="1" ref="AJ169" ca="1">IF(OR(AI169=0,AI169=""),"",INDEX(misCriticidades,AH169)&amp;"-"&amp;IFERROR(MATCH(AI169,miOrdenTarjeta,0),0))</f>
        <v/>
      </c>
      <c r="AL169" s="20">
        <f t="shared" ca="1" si="67"/>
        <v>1</v>
      </c>
      <c r="AM169" s="20" t="str">
        <f t="shared" ca="1" si="58"/>
        <v/>
      </c>
      <c r="AN169" s="20" t="str" cm="1">
        <f t="array" aca="1" ref="AN169" ca="1">IF(AM169="","",IF(AM169&lt;&gt;AM168,1,IF(AN168=misLíneas-2,0,AN168+1)))</f>
        <v/>
      </c>
      <c r="AO169" s="20" t="str" cm="1">
        <f t="array" aca="1" ref="AO169" ca="1">IF(OR(AN169=0,AN169=""),"",INDEX(misCriticidades,AM169)&amp;"-"&amp;IFERROR(MATCH(AN169,miOrdenTarjeta,0),0))</f>
        <v/>
      </c>
      <c r="AQ169" s="20">
        <f t="shared" ca="1" si="68"/>
        <v>1</v>
      </c>
      <c r="AR169" s="20" t="str">
        <f t="shared" ca="1" si="59"/>
        <v/>
      </c>
      <c r="AS169" s="20" t="str" cm="1">
        <f t="array" aca="1" ref="AS169" ca="1">IF(AR169="","",IF(AR169&lt;&gt;AR168,1,IF(AS168=misLíneas-2,0,AS168+1)))</f>
        <v/>
      </c>
      <c r="AT169" s="20" t="str" cm="1">
        <f t="array" aca="1" ref="AT169" ca="1">IF(OR(AS169=0,AS169=""),"",INDEX(misCriticidades,AR169)&amp;"-"&amp;IFERROR(MATCH(AS169,miOrdenTarjeta,0),0))</f>
        <v/>
      </c>
      <c r="AV169" s="20">
        <f t="shared" ca="1" si="69"/>
        <v>1</v>
      </c>
      <c r="AW169" s="20" t="str">
        <f t="shared" ca="1" si="60"/>
        <v/>
      </c>
      <c r="AX169" s="20" t="str" cm="1">
        <f t="array" aca="1" ref="AX169" ca="1">IF(AW169="","",IF(AW169&lt;&gt;AW168,1,IF(AX168=misLíneas-2,0,AX168+1)))</f>
        <v/>
      </c>
      <c r="AY169" s="20" t="str" cm="1">
        <f t="array" aca="1" ref="AY169" ca="1">IF(OR(AX169=0,AX169=""),"",INDEX(misCriticidades,AW169)&amp;"-"&amp;IFERROR(MATCH(AX169,miOrdenTarjeta,0),0))</f>
        <v/>
      </c>
    </row>
    <row r="170" spans="3:51" x14ac:dyDescent="0.25">
      <c r="C170" s="20">
        <f t="shared" ca="1" si="70"/>
        <v>1</v>
      </c>
      <c r="D170" s="20" t="str">
        <f t="shared" ca="1" si="71"/>
        <v/>
      </c>
      <c r="E170" s="20" t="str" cm="1">
        <f t="array" aca="1" ref="E170" ca="1">IF(D170="","",IF(D170&lt;&gt;D169,1,IF(E169=misLíneas-2,0,E169+1)))</f>
        <v/>
      </c>
      <c r="F170" s="20" t="str" cm="1">
        <f t="array" aca="1" ref="F170" ca="1">IF(OR(E170=0,E170=""),"",INDEX(misCriticidades,D170)&amp;"-"&amp;IFERROR(MATCH(E170,miOrdenTarjeta,0),0))</f>
        <v/>
      </c>
      <c r="H170" s="20">
        <f t="shared" ca="1" si="61"/>
        <v>7</v>
      </c>
      <c r="I170" s="20" t="str">
        <f t="shared" ca="1" si="72"/>
        <v/>
      </c>
      <c r="J170" s="20" t="str" cm="1">
        <f t="array" aca="1" ref="J170" ca="1">IF(I170="","",IF(I170&lt;&gt;I169,1,IF(J169=misLíneas-2,0,J169+1)))</f>
        <v/>
      </c>
      <c r="K170" s="20" t="str" cm="1">
        <f t="array" aca="1" ref="K170" ca="1">IF(OR(J170=0,J170=""),"",INDEX(misCriticidades,I170)&amp;"-"&amp;IFERROR(MATCH(J170,miOrdenTarjeta,0),0))</f>
        <v/>
      </c>
      <c r="M170" s="20">
        <f t="shared" ca="1" si="62"/>
        <v>1</v>
      </c>
      <c r="N170" s="20" t="str">
        <f t="shared" ca="1" si="73"/>
        <v/>
      </c>
      <c r="O170" s="20" t="str" cm="1">
        <f t="array" aca="1" ref="O170" ca="1">IF(N170="","",IF(N170&lt;&gt;N169,1,IF(O169=misLíneas-2,0,O169+1)))</f>
        <v/>
      </c>
      <c r="P170" s="20" t="str" cm="1">
        <f t="array" aca="1" ref="P170" ca="1">IF(OR(O170=0,O170=""),"",INDEX(misCriticidades,N170)&amp;"-"&amp;IFERROR(MATCH(O170,miOrdenTarjeta,0),0))</f>
        <v/>
      </c>
      <c r="R170" s="20">
        <f t="shared" ca="1" si="63"/>
        <v>17</v>
      </c>
      <c r="S170" s="20">
        <f t="shared" ca="1" si="74"/>
        <v>13</v>
      </c>
      <c r="T170" s="20" cm="1">
        <f t="array" aca="1" ref="T170" ca="1">IF(S170="","",IF(S170&lt;&gt;S169,1,IF(T169=misLíneas-2,0,T169+1)))</f>
        <v>8</v>
      </c>
      <c r="U170" s="20" t="str" cm="1">
        <f t="array" aca="1" ref="U170" ca="1">IF(OR(T170=0,T170=""),"",INDEX(misCriticidades,S170)&amp;"-"&amp;IFERROR(MATCH(T170,miOrdenTarjeta,0),0))</f>
        <v>2-8</v>
      </c>
      <c r="W170" s="20">
        <f t="shared" ca="1" si="64"/>
        <v>1</v>
      </c>
      <c r="X170" s="20" t="str">
        <f t="shared" ca="1" si="75"/>
        <v/>
      </c>
      <c r="Y170" s="20" t="str" cm="1">
        <f t="array" aca="1" ref="Y170" ca="1">IF(X170="","",IF(X170&lt;&gt;X169,1,IF(Y169=misLíneas-2,0,Y169+1)))</f>
        <v/>
      </c>
      <c r="Z170" s="20" t="str" cm="1">
        <f t="array" aca="1" ref="Z170" ca="1">IF(OR(Y170=0,Y170=""),"",INDEX(misCriticidades,X170)&amp;"-"&amp;IFERROR(MATCH(Y170,miOrdenTarjeta,0),0))</f>
        <v/>
      </c>
      <c r="AB170" s="20">
        <f t="shared" ca="1" si="65"/>
        <v>1</v>
      </c>
      <c r="AC170" s="20" t="str">
        <f t="shared" ca="1" si="56"/>
        <v/>
      </c>
      <c r="AD170" s="20" t="str" cm="1">
        <f t="array" aca="1" ref="AD170" ca="1">IF(AC170="","",IF(AC170&lt;&gt;AC169,1,IF(AD169=misLíneas-2,0,AD169+1)))</f>
        <v/>
      </c>
      <c r="AE170" s="20" t="str" cm="1">
        <f t="array" aca="1" ref="AE170" ca="1">IF(OR(AD170=0,AD170=""),"",INDEX(misCriticidades,AC170)&amp;"-"&amp;IFERROR(MATCH(AD170,miOrdenTarjeta,0),0))</f>
        <v/>
      </c>
      <c r="AG170" s="20">
        <f t="shared" ca="1" si="66"/>
        <v>1</v>
      </c>
      <c r="AH170" s="20" t="str">
        <f t="shared" ca="1" si="57"/>
        <v/>
      </c>
      <c r="AI170" s="20" t="str" cm="1">
        <f t="array" aca="1" ref="AI170" ca="1">IF(AH170="","",IF(AH170&lt;&gt;AH169,1,IF(AI169=misLíneas-2,0,AI169+1)))</f>
        <v/>
      </c>
      <c r="AJ170" s="20" t="str" cm="1">
        <f t="array" aca="1" ref="AJ170" ca="1">IF(OR(AI170=0,AI170=""),"",INDEX(misCriticidades,AH170)&amp;"-"&amp;IFERROR(MATCH(AI170,miOrdenTarjeta,0),0))</f>
        <v/>
      </c>
      <c r="AL170" s="20">
        <f t="shared" ca="1" si="67"/>
        <v>1</v>
      </c>
      <c r="AM170" s="20" t="str">
        <f t="shared" ca="1" si="58"/>
        <v/>
      </c>
      <c r="AN170" s="20" t="str" cm="1">
        <f t="array" aca="1" ref="AN170" ca="1">IF(AM170="","",IF(AM170&lt;&gt;AM169,1,IF(AN169=misLíneas-2,0,AN169+1)))</f>
        <v/>
      </c>
      <c r="AO170" s="20" t="str" cm="1">
        <f t="array" aca="1" ref="AO170" ca="1">IF(OR(AN170=0,AN170=""),"",INDEX(misCriticidades,AM170)&amp;"-"&amp;IFERROR(MATCH(AN170,miOrdenTarjeta,0),0))</f>
        <v/>
      </c>
      <c r="AQ170" s="20">
        <f t="shared" ca="1" si="68"/>
        <v>1</v>
      </c>
      <c r="AR170" s="20" t="str">
        <f t="shared" ca="1" si="59"/>
        <v/>
      </c>
      <c r="AS170" s="20" t="str" cm="1">
        <f t="array" aca="1" ref="AS170" ca="1">IF(AR170="","",IF(AR170&lt;&gt;AR169,1,IF(AS169=misLíneas-2,0,AS169+1)))</f>
        <v/>
      </c>
      <c r="AT170" s="20" t="str" cm="1">
        <f t="array" aca="1" ref="AT170" ca="1">IF(OR(AS170=0,AS170=""),"",INDEX(misCriticidades,AR170)&amp;"-"&amp;IFERROR(MATCH(AS170,miOrdenTarjeta,0),0))</f>
        <v/>
      </c>
      <c r="AV170" s="20">
        <f t="shared" ca="1" si="69"/>
        <v>1</v>
      </c>
      <c r="AW170" s="20" t="str">
        <f t="shared" ca="1" si="60"/>
        <v/>
      </c>
      <c r="AX170" s="20" t="str" cm="1">
        <f t="array" aca="1" ref="AX170" ca="1">IF(AW170="","",IF(AW170&lt;&gt;AW169,1,IF(AX169=misLíneas-2,0,AX169+1)))</f>
        <v/>
      </c>
      <c r="AY170" s="20" t="str" cm="1">
        <f t="array" aca="1" ref="AY170" ca="1">IF(OR(AX170=0,AX170=""),"",INDEX(misCriticidades,AW170)&amp;"-"&amp;IFERROR(MATCH(AX170,miOrdenTarjeta,0),0))</f>
        <v/>
      </c>
    </row>
    <row r="171" spans="3:51" x14ac:dyDescent="0.25">
      <c r="C171" s="20">
        <f t="shared" ca="1" si="70"/>
        <v>1</v>
      </c>
      <c r="D171" s="20" t="str">
        <f t="shared" ca="1" si="71"/>
        <v/>
      </c>
      <c r="E171" s="20" t="str" cm="1">
        <f t="array" aca="1" ref="E171" ca="1">IF(D171="","",IF(D171&lt;&gt;D170,1,IF(E170=misLíneas-2,0,E170+1)))</f>
        <v/>
      </c>
      <c r="F171" s="20" t="str" cm="1">
        <f t="array" aca="1" ref="F171" ca="1">IF(OR(E171=0,E171=""),"",INDEX(misCriticidades,D171)&amp;"-"&amp;IFERROR(MATCH(E171,miOrdenTarjeta,0),0))</f>
        <v/>
      </c>
      <c r="H171" s="20">
        <f t="shared" ca="1" si="61"/>
        <v>7</v>
      </c>
      <c r="I171" s="20" t="str">
        <f t="shared" ca="1" si="72"/>
        <v/>
      </c>
      <c r="J171" s="20" t="str" cm="1">
        <f t="array" aca="1" ref="J171" ca="1">IF(I171="","",IF(I171&lt;&gt;I170,1,IF(J170=misLíneas-2,0,J170+1)))</f>
        <v/>
      </c>
      <c r="K171" s="20" t="str" cm="1">
        <f t="array" aca="1" ref="K171" ca="1">IF(OR(J171=0,J171=""),"",INDEX(misCriticidades,I171)&amp;"-"&amp;IFERROR(MATCH(J171,miOrdenTarjeta,0),0))</f>
        <v/>
      </c>
      <c r="M171" s="20">
        <f t="shared" ca="1" si="62"/>
        <v>1</v>
      </c>
      <c r="N171" s="20" t="str">
        <f t="shared" ca="1" si="73"/>
        <v/>
      </c>
      <c r="O171" s="20" t="str" cm="1">
        <f t="array" aca="1" ref="O171" ca="1">IF(N171="","",IF(N171&lt;&gt;N170,1,IF(O170=misLíneas-2,0,O170+1)))</f>
        <v/>
      </c>
      <c r="P171" s="20" t="str" cm="1">
        <f t="array" aca="1" ref="P171" ca="1">IF(OR(O171=0,O171=""),"",INDEX(misCriticidades,N171)&amp;"-"&amp;IFERROR(MATCH(O171,miOrdenTarjeta,0),0))</f>
        <v/>
      </c>
      <c r="R171" s="20">
        <f t="shared" ca="1" si="63"/>
        <v>17</v>
      </c>
      <c r="S171" s="20">
        <f t="shared" ca="1" si="74"/>
        <v>13</v>
      </c>
      <c r="T171" s="20" cm="1">
        <f t="array" aca="1" ref="T171" ca="1">IF(S171="","",IF(S171&lt;&gt;S170,1,IF(T170=misLíneas-2,0,T170+1)))</f>
        <v>9</v>
      </c>
      <c r="U171" s="20" t="str" cm="1">
        <f t="array" aca="1" ref="U171" ca="1">IF(OR(T171=0,T171=""),"",INDEX(misCriticidades,S171)&amp;"-"&amp;IFERROR(MATCH(T171,miOrdenTarjeta,0),0))</f>
        <v>2-0</v>
      </c>
      <c r="W171" s="20">
        <f t="shared" ca="1" si="64"/>
        <v>1</v>
      </c>
      <c r="X171" s="20" t="str">
        <f t="shared" ca="1" si="75"/>
        <v/>
      </c>
      <c r="Y171" s="20" t="str" cm="1">
        <f t="array" aca="1" ref="Y171" ca="1">IF(X171="","",IF(X171&lt;&gt;X170,1,IF(Y170=misLíneas-2,0,Y170+1)))</f>
        <v/>
      </c>
      <c r="Z171" s="20" t="str" cm="1">
        <f t="array" aca="1" ref="Z171" ca="1">IF(OR(Y171=0,Y171=""),"",INDEX(misCriticidades,X171)&amp;"-"&amp;IFERROR(MATCH(Y171,miOrdenTarjeta,0),0))</f>
        <v/>
      </c>
      <c r="AB171" s="20">
        <f t="shared" ca="1" si="65"/>
        <v>1</v>
      </c>
      <c r="AC171" s="20" t="str">
        <f t="shared" ca="1" si="56"/>
        <v/>
      </c>
      <c r="AD171" s="20" t="str" cm="1">
        <f t="array" aca="1" ref="AD171" ca="1">IF(AC171="","",IF(AC171&lt;&gt;AC170,1,IF(AD170=misLíneas-2,0,AD170+1)))</f>
        <v/>
      </c>
      <c r="AE171" s="20" t="str" cm="1">
        <f t="array" aca="1" ref="AE171" ca="1">IF(OR(AD171=0,AD171=""),"",INDEX(misCriticidades,AC171)&amp;"-"&amp;IFERROR(MATCH(AD171,miOrdenTarjeta,0),0))</f>
        <v/>
      </c>
      <c r="AG171" s="20">
        <f t="shared" ca="1" si="66"/>
        <v>1</v>
      </c>
      <c r="AH171" s="20" t="str">
        <f t="shared" ca="1" si="57"/>
        <v/>
      </c>
      <c r="AI171" s="20" t="str" cm="1">
        <f t="array" aca="1" ref="AI171" ca="1">IF(AH171="","",IF(AH171&lt;&gt;AH170,1,IF(AI170=misLíneas-2,0,AI170+1)))</f>
        <v/>
      </c>
      <c r="AJ171" s="20" t="str" cm="1">
        <f t="array" aca="1" ref="AJ171" ca="1">IF(OR(AI171=0,AI171=""),"",INDEX(misCriticidades,AH171)&amp;"-"&amp;IFERROR(MATCH(AI171,miOrdenTarjeta,0),0))</f>
        <v/>
      </c>
      <c r="AL171" s="20">
        <f t="shared" ca="1" si="67"/>
        <v>1</v>
      </c>
      <c r="AM171" s="20" t="str">
        <f t="shared" ca="1" si="58"/>
        <v/>
      </c>
      <c r="AN171" s="20" t="str" cm="1">
        <f t="array" aca="1" ref="AN171" ca="1">IF(AM171="","",IF(AM171&lt;&gt;AM170,1,IF(AN170=misLíneas-2,0,AN170+1)))</f>
        <v/>
      </c>
      <c r="AO171" s="20" t="str" cm="1">
        <f t="array" aca="1" ref="AO171" ca="1">IF(OR(AN171=0,AN171=""),"",INDEX(misCriticidades,AM171)&amp;"-"&amp;IFERROR(MATCH(AN171,miOrdenTarjeta,0),0))</f>
        <v/>
      </c>
      <c r="AQ171" s="20">
        <f t="shared" ca="1" si="68"/>
        <v>1</v>
      </c>
      <c r="AR171" s="20" t="str">
        <f t="shared" ca="1" si="59"/>
        <v/>
      </c>
      <c r="AS171" s="20" t="str" cm="1">
        <f t="array" aca="1" ref="AS171" ca="1">IF(AR171="","",IF(AR171&lt;&gt;AR170,1,IF(AS170=misLíneas-2,0,AS170+1)))</f>
        <v/>
      </c>
      <c r="AT171" s="20" t="str" cm="1">
        <f t="array" aca="1" ref="AT171" ca="1">IF(OR(AS171=0,AS171=""),"",INDEX(misCriticidades,AR171)&amp;"-"&amp;IFERROR(MATCH(AS171,miOrdenTarjeta,0),0))</f>
        <v/>
      </c>
      <c r="AV171" s="20">
        <f t="shared" ca="1" si="69"/>
        <v>1</v>
      </c>
      <c r="AW171" s="20" t="str">
        <f t="shared" ca="1" si="60"/>
        <v/>
      </c>
      <c r="AX171" s="20" t="str" cm="1">
        <f t="array" aca="1" ref="AX171" ca="1">IF(AW171="","",IF(AW171&lt;&gt;AW170,1,IF(AX170=misLíneas-2,0,AX170+1)))</f>
        <v/>
      </c>
      <c r="AY171" s="20" t="str" cm="1">
        <f t="array" aca="1" ref="AY171" ca="1">IF(OR(AX171=0,AX171=""),"",INDEX(misCriticidades,AW171)&amp;"-"&amp;IFERROR(MATCH(AX171,miOrdenTarjeta,0),0))</f>
        <v/>
      </c>
    </row>
    <row r="172" spans="3:51" x14ac:dyDescent="0.25">
      <c r="C172" s="20">
        <f t="shared" ca="1" si="70"/>
        <v>1</v>
      </c>
      <c r="D172" s="20" t="str">
        <f t="shared" ca="1" si="71"/>
        <v/>
      </c>
      <c r="E172" s="20" t="str" cm="1">
        <f t="array" aca="1" ref="E172" ca="1">IF(D172="","",IF(D172&lt;&gt;D171,1,IF(E171=misLíneas-2,0,E171+1)))</f>
        <v/>
      </c>
      <c r="F172" s="20" t="str" cm="1">
        <f t="array" aca="1" ref="F172" ca="1">IF(OR(E172=0,E172=""),"",INDEX(misCriticidades,D172)&amp;"-"&amp;IFERROR(MATCH(E172,miOrdenTarjeta,0),0))</f>
        <v/>
      </c>
      <c r="H172" s="20">
        <f t="shared" ca="1" si="61"/>
        <v>7</v>
      </c>
      <c r="I172" s="20" t="str">
        <f t="shared" ca="1" si="72"/>
        <v/>
      </c>
      <c r="J172" s="20" t="str" cm="1">
        <f t="array" aca="1" ref="J172" ca="1">IF(I172="","",IF(I172&lt;&gt;I171,1,IF(J171=misLíneas-2,0,J171+1)))</f>
        <v/>
      </c>
      <c r="K172" s="20" t="str" cm="1">
        <f t="array" aca="1" ref="K172" ca="1">IF(OR(J172=0,J172=""),"",INDEX(misCriticidades,I172)&amp;"-"&amp;IFERROR(MATCH(J172,miOrdenTarjeta,0),0))</f>
        <v/>
      </c>
      <c r="M172" s="20">
        <f t="shared" ca="1" si="62"/>
        <v>1</v>
      </c>
      <c r="N172" s="20" t="str">
        <f t="shared" ca="1" si="73"/>
        <v/>
      </c>
      <c r="O172" s="20" t="str" cm="1">
        <f t="array" aca="1" ref="O172" ca="1">IF(N172="","",IF(N172&lt;&gt;N171,1,IF(O171=misLíneas-2,0,O171+1)))</f>
        <v/>
      </c>
      <c r="P172" s="20" t="str" cm="1">
        <f t="array" aca="1" ref="P172" ca="1">IF(OR(O172=0,O172=""),"",INDEX(misCriticidades,N172)&amp;"-"&amp;IFERROR(MATCH(O172,miOrdenTarjeta,0),0))</f>
        <v/>
      </c>
      <c r="R172" s="20">
        <f t="shared" ca="1" si="63"/>
        <v>17</v>
      </c>
      <c r="S172" s="20">
        <f t="shared" ca="1" si="74"/>
        <v>13</v>
      </c>
      <c r="T172" s="20" cm="1">
        <f t="array" aca="1" ref="T172" ca="1">IF(S172="","",IF(S172&lt;&gt;S171,1,IF(T171=misLíneas-2,0,T171+1)))</f>
        <v>0</v>
      </c>
      <c r="U172" s="20" t="str" cm="1">
        <f t="array" aca="1" ref="U172" ca="1">IF(OR(T172=0,T172=""),"",INDEX(misCriticidades,S172)&amp;"-"&amp;IFERROR(MATCH(T172,miOrdenTarjeta,0),0))</f>
        <v/>
      </c>
      <c r="W172" s="20">
        <f t="shared" ca="1" si="64"/>
        <v>1</v>
      </c>
      <c r="X172" s="20" t="str">
        <f t="shared" ca="1" si="75"/>
        <v/>
      </c>
      <c r="Y172" s="20" t="str" cm="1">
        <f t="array" aca="1" ref="Y172" ca="1">IF(X172="","",IF(X172&lt;&gt;X171,1,IF(Y171=misLíneas-2,0,Y171+1)))</f>
        <v/>
      </c>
      <c r="Z172" s="20" t="str" cm="1">
        <f t="array" aca="1" ref="Z172" ca="1">IF(OR(Y172=0,Y172=""),"",INDEX(misCriticidades,X172)&amp;"-"&amp;IFERROR(MATCH(Y172,miOrdenTarjeta,0),0))</f>
        <v/>
      </c>
      <c r="AB172" s="20">
        <f t="shared" ca="1" si="65"/>
        <v>1</v>
      </c>
      <c r="AC172" s="20" t="str">
        <f t="shared" ca="1" si="56"/>
        <v/>
      </c>
      <c r="AD172" s="20" t="str" cm="1">
        <f t="array" aca="1" ref="AD172" ca="1">IF(AC172="","",IF(AC172&lt;&gt;AC171,1,IF(AD171=misLíneas-2,0,AD171+1)))</f>
        <v/>
      </c>
      <c r="AE172" s="20" t="str" cm="1">
        <f t="array" aca="1" ref="AE172" ca="1">IF(OR(AD172=0,AD172=""),"",INDEX(misCriticidades,AC172)&amp;"-"&amp;IFERROR(MATCH(AD172,miOrdenTarjeta,0),0))</f>
        <v/>
      </c>
      <c r="AG172" s="20">
        <f t="shared" ca="1" si="66"/>
        <v>1</v>
      </c>
      <c r="AH172" s="20" t="str">
        <f t="shared" ca="1" si="57"/>
        <v/>
      </c>
      <c r="AI172" s="20" t="str" cm="1">
        <f t="array" aca="1" ref="AI172" ca="1">IF(AH172="","",IF(AH172&lt;&gt;AH171,1,IF(AI171=misLíneas-2,0,AI171+1)))</f>
        <v/>
      </c>
      <c r="AJ172" s="20" t="str" cm="1">
        <f t="array" aca="1" ref="AJ172" ca="1">IF(OR(AI172=0,AI172=""),"",INDEX(misCriticidades,AH172)&amp;"-"&amp;IFERROR(MATCH(AI172,miOrdenTarjeta,0),0))</f>
        <v/>
      </c>
      <c r="AL172" s="20">
        <f t="shared" ca="1" si="67"/>
        <v>1</v>
      </c>
      <c r="AM172" s="20" t="str">
        <f t="shared" ca="1" si="58"/>
        <v/>
      </c>
      <c r="AN172" s="20" t="str" cm="1">
        <f t="array" aca="1" ref="AN172" ca="1">IF(AM172="","",IF(AM172&lt;&gt;AM171,1,IF(AN171=misLíneas-2,0,AN171+1)))</f>
        <v/>
      </c>
      <c r="AO172" s="20" t="str" cm="1">
        <f t="array" aca="1" ref="AO172" ca="1">IF(OR(AN172=0,AN172=""),"",INDEX(misCriticidades,AM172)&amp;"-"&amp;IFERROR(MATCH(AN172,miOrdenTarjeta,0),0))</f>
        <v/>
      </c>
      <c r="AQ172" s="20">
        <f t="shared" ca="1" si="68"/>
        <v>1</v>
      </c>
      <c r="AR172" s="20" t="str">
        <f t="shared" ca="1" si="59"/>
        <v/>
      </c>
      <c r="AS172" s="20" t="str" cm="1">
        <f t="array" aca="1" ref="AS172" ca="1">IF(AR172="","",IF(AR172&lt;&gt;AR171,1,IF(AS171=misLíneas-2,0,AS171+1)))</f>
        <v/>
      </c>
      <c r="AT172" s="20" t="str" cm="1">
        <f t="array" aca="1" ref="AT172" ca="1">IF(OR(AS172=0,AS172=""),"",INDEX(misCriticidades,AR172)&amp;"-"&amp;IFERROR(MATCH(AS172,miOrdenTarjeta,0),0))</f>
        <v/>
      </c>
      <c r="AV172" s="20">
        <f t="shared" ca="1" si="69"/>
        <v>1</v>
      </c>
      <c r="AW172" s="20" t="str">
        <f t="shared" ca="1" si="60"/>
        <v/>
      </c>
      <c r="AX172" s="20" t="str" cm="1">
        <f t="array" aca="1" ref="AX172" ca="1">IF(AW172="","",IF(AW172&lt;&gt;AW171,1,IF(AX171=misLíneas-2,0,AX171+1)))</f>
        <v/>
      </c>
      <c r="AY172" s="20" t="str" cm="1">
        <f t="array" aca="1" ref="AY172" ca="1">IF(OR(AX172=0,AX172=""),"",INDEX(misCriticidades,AW172)&amp;"-"&amp;IFERROR(MATCH(AX172,miOrdenTarjeta,0),0))</f>
        <v/>
      </c>
    </row>
    <row r="173" spans="3:51" x14ac:dyDescent="0.25">
      <c r="C173" s="20">
        <f t="shared" ca="1" si="70"/>
        <v>1</v>
      </c>
      <c r="D173" s="20" t="str">
        <f t="shared" ca="1" si="71"/>
        <v/>
      </c>
      <c r="E173" s="20" t="str" cm="1">
        <f t="array" aca="1" ref="E173" ca="1">IF(D173="","",IF(D173&lt;&gt;D172,1,IF(E172=misLíneas-2,0,E172+1)))</f>
        <v/>
      </c>
      <c r="F173" s="20" t="str" cm="1">
        <f t="array" aca="1" ref="F173" ca="1">IF(OR(E173=0,E173=""),"",INDEX(misCriticidades,D173)&amp;"-"&amp;IFERROR(MATCH(E173,miOrdenTarjeta,0),0))</f>
        <v/>
      </c>
      <c r="H173" s="20">
        <f t="shared" ca="1" si="61"/>
        <v>7</v>
      </c>
      <c r="I173" s="20" t="str">
        <f t="shared" ca="1" si="72"/>
        <v/>
      </c>
      <c r="J173" s="20" t="str" cm="1">
        <f t="array" aca="1" ref="J173" ca="1">IF(I173="","",IF(I173&lt;&gt;I172,1,IF(J172=misLíneas-2,0,J172+1)))</f>
        <v/>
      </c>
      <c r="K173" s="20" t="str" cm="1">
        <f t="array" aca="1" ref="K173" ca="1">IF(OR(J173=0,J173=""),"",INDEX(misCriticidades,I173)&amp;"-"&amp;IFERROR(MATCH(J173,miOrdenTarjeta,0),0))</f>
        <v/>
      </c>
      <c r="M173" s="20">
        <f t="shared" ca="1" si="62"/>
        <v>1</v>
      </c>
      <c r="N173" s="20" t="str">
        <f t="shared" ca="1" si="73"/>
        <v/>
      </c>
      <c r="O173" s="20" t="str" cm="1">
        <f t="array" aca="1" ref="O173" ca="1">IF(N173="","",IF(N173&lt;&gt;N172,1,IF(O172=misLíneas-2,0,O172+1)))</f>
        <v/>
      </c>
      <c r="P173" s="20" t="str" cm="1">
        <f t="array" aca="1" ref="P173" ca="1">IF(OR(O173=0,O173=""),"",INDEX(misCriticidades,N173)&amp;"-"&amp;IFERROR(MATCH(O173,miOrdenTarjeta,0),0))</f>
        <v/>
      </c>
      <c r="R173" s="20">
        <f t="shared" ca="1" si="63"/>
        <v>18</v>
      </c>
      <c r="S173" s="20">
        <f t="shared" ca="1" si="74"/>
        <v>12</v>
      </c>
      <c r="T173" s="20" cm="1">
        <f t="array" aca="1" ref="T173" ca="1">IF(S173="","",IF(S173&lt;&gt;S172,1,IF(T172=misLíneas-2,0,T172+1)))</f>
        <v>1</v>
      </c>
      <c r="U173" s="20" t="str" cm="1">
        <f t="array" aca="1" ref="U173" ca="1">IF(OR(T173=0,T173=""),"",INDEX(misCriticidades,S173)&amp;"-"&amp;IFERROR(MATCH(T173,miOrdenTarjeta,0),0))</f>
        <v>1-1</v>
      </c>
      <c r="W173" s="20">
        <f t="shared" ca="1" si="64"/>
        <v>1</v>
      </c>
      <c r="X173" s="20" t="str">
        <f t="shared" ca="1" si="75"/>
        <v/>
      </c>
      <c r="Y173" s="20" t="str" cm="1">
        <f t="array" aca="1" ref="Y173" ca="1">IF(X173="","",IF(X173&lt;&gt;X172,1,IF(Y172=misLíneas-2,0,Y172+1)))</f>
        <v/>
      </c>
      <c r="Z173" s="20" t="str" cm="1">
        <f t="array" aca="1" ref="Z173" ca="1">IF(OR(Y173=0,Y173=""),"",INDEX(misCriticidades,X173)&amp;"-"&amp;IFERROR(MATCH(Y173,miOrdenTarjeta,0),0))</f>
        <v/>
      </c>
      <c r="AB173" s="20">
        <f t="shared" ca="1" si="65"/>
        <v>1</v>
      </c>
      <c r="AC173" s="20" t="str">
        <f t="shared" ca="1" si="56"/>
        <v/>
      </c>
      <c r="AD173" s="20" t="str" cm="1">
        <f t="array" aca="1" ref="AD173" ca="1">IF(AC173="","",IF(AC173&lt;&gt;AC172,1,IF(AD172=misLíneas-2,0,AD172+1)))</f>
        <v/>
      </c>
      <c r="AE173" s="20" t="str" cm="1">
        <f t="array" aca="1" ref="AE173" ca="1">IF(OR(AD173=0,AD173=""),"",INDEX(misCriticidades,AC173)&amp;"-"&amp;IFERROR(MATCH(AD173,miOrdenTarjeta,0),0))</f>
        <v/>
      </c>
      <c r="AG173" s="20">
        <f t="shared" ca="1" si="66"/>
        <v>1</v>
      </c>
      <c r="AH173" s="20" t="str">
        <f t="shared" ca="1" si="57"/>
        <v/>
      </c>
      <c r="AI173" s="20" t="str" cm="1">
        <f t="array" aca="1" ref="AI173" ca="1">IF(AH173="","",IF(AH173&lt;&gt;AH172,1,IF(AI172=misLíneas-2,0,AI172+1)))</f>
        <v/>
      </c>
      <c r="AJ173" s="20" t="str" cm="1">
        <f t="array" aca="1" ref="AJ173" ca="1">IF(OR(AI173=0,AI173=""),"",INDEX(misCriticidades,AH173)&amp;"-"&amp;IFERROR(MATCH(AI173,miOrdenTarjeta,0),0))</f>
        <v/>
      </c>
      <c r="AL173" s="20">
        <f t="shared" ca="1" si="67"/>
        <v>1</v>
      </c>
      <c r="AM173" s="20" t="str">
        <f t="shared" ca="1" si="58"/>
        <v/>
      </c>
      <c r="AN173" s="20" t="str" cm="1">
        <f t="array" aca="1" ref="AN173" ca="1">IF(AM173="","",IF(AM173&lt;&gt;AM172,1,IF(AN172=misLíneas-2,0,AN172+1)))</f>
        <v/>
      </c>
      <c r="AO173" s="20" t="str" cm="1">
        <f t="array" aca="1" ref="AO173" ca="1">IF(OR(AN173=0,AN173=""),"",INDEX(misCriticidades,AM173)&amp;"-"&amp;IFERROR(MATCH(AN173,miOrdenTarjeta,0),0))</f>
        <v/>
      </c>
      <c r="AQ173" s="20">
        <f t="shared" ca="1" si="68"/>
        <v>1</v>
      </c>
      <c r="AR173" s="20" t="str">
        <f t="shared" ca="1" si="59"/>
        <v/>
      </c>
      <c r="AS173" s="20" t="str" cm="1">
        <f t="array" aca="1" ref="AS173" ca="1">IF(AR173="","",IF(AR173&lt;&gt;AR172,1,IF(AS172=misLíneas-2,0,AS172+1)))</f>
        <v/>
      </c>
      <c r="AT173" s="20" t="str" cm="1">
        <f t="array" aca="1" ref="AT173" ca="1">IF(OR(AS173=0,AS173=""),"",INDEX(misCriticidades,AR173)&amp;"-"&amp;IFERROR(MATCH(AS173,miOrdenTarjeta,0),0))</f>
        <v/>
      </c>
      <c r="AV173" s="20">
        <f t="shared" ca="1" si="69"/>
        <v>1</v>
      </c>
      <c r="AW173" s="20" t="str">
        <f t="shared" ca="1" si="60"/>
        <v/>
      </c>
      <c r="AX173" s="20" t="str" cm="1">
        <f t="array" aca="1" ref="AX173" ca="1">IF(AW173="","",IF(AW173&lt;&gt;AW172,1,IF(AX172=misLíneas-2,0,AX172+1)))</f>
        <v/>
      </c>
      <c r="AY173" s="20" t="str" cm="1">
        <f t="array" aca="1" ref="AY173" ca="1">IF(OR(AX173=0,AX173=""),"",INDEX(misCriticidades,AW173)&amp;"-"&amp;IFERROR(MATCH(AX173,miOrdenTarjeta,0),0))</f>
        <v/>
      </c>
    </row>
    <row r="174" spans="3:51" x14ac:dyDescent="0.25">
      <c r="C174" s="20">
        <f t="shared" ca="1" si="70"/>
        <v>1</v>
      </c>
      <c r="D174" s="20" t="str">
        <f t="shared" ca="1" si="71"/>
        <v/>
      </c>
      <c r="E174" s="20" t="str" cm="1">
        <f t="array" aca="1" ref="E174" ca="1">IF(D174="","",IF(D174&lt;&gt;D173,1,IF(E173=misLíneas-2,0,E173+1)))</f>
        <v/>
      </c>
      <c r="F174" s="20" t="str" cm="1">
        <f t="array" aca="1" ref="F174" ca="1">IF(OR(E174=0,E174=""),"",INDEX(misCriticidades,D174)&amp;"-"&amp;IFERROR(MATCH(E174,miOrdenTarjeta,0),0))</f>
        <v/>
      </c>
      <c r="H174" s="20">
        <f t="shared" ca="1" si="61"/>
        <v>7</v>
      </c>
      <c r="I174" s="20" t="str">
        <f t="shared" ca="1" si="72"/>
        <v/>
      </c>
      <c r="J174" s="20" t="str" cm="1">
        <f t="array" aca="1" ref="J174" ca="1">IF(I174="","",IF(I174&lt;&gt;I173,1,IF(J173=misLíneas-2,0,J173+1)))</f>
        <v/>
      </c>
      <c r="K174" s="20" t="str" cm="1">
        <f t="array" aca="1" ref="K174" ca="1">IF(OR(J174=0,J174=""),"",INDEX(misCriticidades,I174)&amp;"-"&amp;IFERROR(MATCH(J174,miOrdenTarjeta,0),0))</f>
        <v/>
      </c>
      <c r="M174" s="20">
        <f t="shared" ca="1" si="62"/>
        <v>1</v>
      </c>
      <c r="N174" s="20" t="str">
        <f t="shared" ca="1" si="73"/>
        <v/>
      </c>
      <c r="O174" s="20" t="str" cm="1">
        <f t="array" aca="1" ref="O174" ca="1">IF(N174="","",IF(N174&lt;&gt;N173,1,IF(O173=misLíneas-2,0,O173+1)))</f>
        <v/>
      </c>
      <c r="P174" s="20" t="str" cm="1">
        <f t="array" aca="1" ref="P174" ca="1">IF(OR(O174=0,O174=""),"",INDEX(misCriticidades,N174)&amp;"-"&amp;IFERROR(MATCH(O174,miOrdenTarjeta,0),0))</f>
        <v/>
      </c>
      <c r="R174" s="20">
        <f t="shared" ca="1" si="63"/>
        <v>18</v>
      </c>
      <c r="S174" s="20">
        <f t="shared" ca="1" si="74"/>
        <v>12</v>
      </c>
      <c r="T174" s="20" cm="1">
        <f t="array" aca="1" ref="T174" ca="1">IF(S174="","",IF(S174&lt;&gt;S173,1,IF(T173=misLíneas-2,0,T173+1)))</f>
        <v>2</v>
      </c>
      <c r="U174" s="20" t="str" cm="1">
        <f t="array" aca="1" ref="U174" ca="1">IF(OR(T174=0,T174=""),"",INDEX(misCriticidades,S174)&amp;"-"&amp;IFERROR(MATCH(T174,miOrdenTarjeta,0),0))</f>
        <v>1-2</v>
      </c>
      <c r="W174" s="20">
        <f t="shared" ca="1" si="64"/>
        <v>1</v>
      </c>
      <c r="X174" s="20" t="str">
        <f t="shared" ca="1" si="75"/>
        <v/>
      </c>
      <c r="Y174" s="20" t="str" cm="1">
        <f t="array" aca="1" ref="Y174" ca="1">IF(X174="","",IF(X174&lt;&gt;X173,1,IF(Y173=misLíneas-2,0,Y173+1)))</f>
        <v/>
      </c>
      <c r="Z174" s="20" t="str" cm="1">
        <f t="array" aca="1" ref="Z174" ca="1">IF(OR(Y174=0,Y174=""),"",INDEX(misCriticidades,X174)&amp;"-"&amp;IFERROR(MATCH(Y174,miOrdenTarjeta,0),0))</f>
        <v/>
      </c>
      <c r="AB174" s="20">
        <f t="shared" ca="1" si="65"/>
        <v>1</v>
      </c>
      <c r="AC174" s="20" t="str">
        <f t="shared" ca="1" si="56"/>
        <v/>
      </c>
      <c r="AD174" s="20" t="str" cm="1">
        <f t="array" aca="1" ref="AD174" ca="1">IF(AC174="","",IF(AC174&lt;&gt;AC173,1,IF(AD173=misLíneas-2,0,AD173+1)))</f>
        <v/>
      </c>
      <c r="AE174" s="20" t="str" cm="1">
        <f t="array" aca="1" ref="AE174" ca="1">IF(OR(AD174=0,AD174=""),"",INDEX(misCriticidades,AC174)&amp;"-"&amp;IFERROR(MATCH(AD174,miOrdenTarjeta,0),0))</f>
        <v/>
      </c>
      <c r="AG174" s="20">
        <f t="shared" ca="1" si="66"/>
        <v>1</v>
      </c>
      <c r="AH174" s="20" t="str">
        <f t="shared" ca="1" si="57"/>
        <v/>
      </c>
      <c r="AI174" s="20" t="str" cm="1">
        <f t="array" aca="1" ref="AI174" ca="1">IF(AH174="","",IF(AH174&lt;&gt;AH173,1,IF(AI173=misLíneas-2,0,AI173+1)))</f>
        <v/>
      </c>
      <c r="AJ174" s="20" t="str" cm="1">
        <f t="array" aca="1" ref="AJ174" ca="1">IF(OR(AI174=0,AI174=""),"",INDEX(misCriticidades,AH174)&amp;"-"&amp;IFERROR(MATCH(AI174,miOrdenTarjeta,0),0))</f>
        <v/>
      </c>
      <c r="AL174" s="20">
        <f t="shared" ca="1" si="67"/>
        <v>1</v>
      </c>
      <c r="AM174" s="20" t="str">
        <f t="shared" ca="1" si="58"/>
        <v/>
      </c>
      <c r="AN174" s="20" t="str" cm="1">
        <f t="array" aca="1" ref="AN174" ca="1">IF(AM174="","",IF(AM174&lt;&gt;AM173,1,IF(AN173=misLíneas-2,0,AN173+1)))</f>
        <v/>
      </c>
      <c r="AO174" s="20" t="str" cm="1">
        <f t="array" aca="1" ref="AO174" ca="1">IF(OR(AN174=0,AN174=""),"",INDEX(misCriticidades,AM174)&amp;"-"&amp;IFERROR(MATCH(AN174,miOrdenTarjeta,0),0))</f>
        <v/>
      </c>
      <c r="AQ174" s="20">
        <f t="shared" ca="1" si="68"/>
        <v>1</v>
      </c>
      <c r="AR174" s="20" t="str">
        <f t="shared" ca="1" si="59"/>
        <v/>
      </c>
      <c r="AS174" s="20" t="str" cm="1">
        <f t="array" aca="1" ref="AS174" ca="1">IF(AR174="","",IF(AR174&lt;&gt;AR173,1,IF(AS173=misLíneas-2,0,AS173+1)))</f>
        <v/>
      </c>
      <c r="AT174" s="20" t="str" cm="1">
        <f t="array" aca="1" ref="AT174" ca="1">IF(OR(AS174=0,AS174=""),"",INDEX(misCriticidades,AR174)&amp;"-"&amp;IFERROR(MATCH(AS174,miOrdenTarjeta,0),0))</f>
        <v/>
      </c>
      <c r="AV174" s="20">
        <f t="shared" ca="1" si="69"/>
        <v>1</v>
      </c>
      <c r="AW174" s="20" t="str">
        <f t="shared" ca="1" si="60"/>
        <v/>
      </c>
      <c r="AX174" s="20" t="str" cm="1">
        <f t="array" aca="1" ref="AX174" ca="1">IF(AW174="","",IF(AW174&lt;&gt;AW173,1,IF(AX173=misLíneas-2,0,AX173+1)))</f>
        <v/>
      </c>
      <c r="AY174" s="20" t="str" cm="1">
        <f t="array" aca="1" ref="AY174" ca="1">IF(OR(AX174=0,AX174=""),"",INDEX(misCriticidades,AW174)&amp;"-"&amp;IFERROR(MATCH(AX174,miOrdenTarjeta,0),0))</f>
        <v/>
      </c>
    </row>
    <row r="175" spans="3:51" x14ac:dyDescent="0.25">
      <c r="C175" s="20">
        <f t="shared" ca="1" si="70"/>
        <v>1</v>
      </c>
      <c r="D175" s="20" t="str">
        <f t="shared" ca="1" si="71"/>
        <v/>
      </c>
      <c r="E175" s="20" t="str" cm="1">
        <f t="array" aca="1" ref="E175" ca="1">IF(D175="","",IF(D175&lt;&gt;D174,1,IF(E174=misLíneas-2,0,E174+1)))</f>
        <v/>
      </c>
      <c r="F175" s="20" t="str" cm="1">
        <f t="array" aca="1" ref="F175" ca="1">IF(OR(E175=0,E175=""),"",INDEX(misCriticidades,D175)&amp;"-"&amp;IFERROR(MATCH(E175,miOrdenTarjeta,0),0))</f>
        <v/>
      </c>
      <c r="H175" s="20">
        <f t="shared" ca="1" si="61"/>
        <v>7</v>
      </c>
      <c r="I175" s="20" t="str">
        <f t="shared" ca="1" si="72"/>
        <v/>
      </c>
      <c r="J175" s="20" t="str" cm="1">
        <f t="array" aca="1" ref="J175" ca="1">IF(I175="","",IF(I175&lt;&gt;I174,1,IF(J174=misLíneas-2,0,J174+1)))</f>
        <v/>
      </c>
      <c r="K175" s="20" t="str" cm="1">
        <f t="array" aca="1" ref="K175" ca="1">IF(OR(J175=0,J175=""),"",INDEX(misCriticidades,I175)&amp;"-"&amp;IFERROR(MATCH(J175,miOrdenTarjeta,0),0))</f>
        <v/>
      </c>
      <c r="M175" s="20">
        <f t="shared" ca="1" si="62"/>
        <v>1</v>
      </c>
      <c r="N175" s="20" t="str">
        <f t="shared" ca="1" si="73"/>
        <v/>
      </c>
      <c r="O175" s="20" t="str" cm="1">
        <f t="array" aca="1" ref="O175" ca="1">IF(N175="","",IF(N175&lt;&gt;N174,1,IF(O174=misLíneas-2,0,O174+1)))</f>
        <v/>
      </c>
      <c r="P175" s="20" t="str" cm="1">
        <f t="array" aca="1" ref="P175" ca="1">IF(OR(O175=0,O175=""),"",INDEX(misCriticidades,N175)&amp;"-"&amp;IFERROR(MATCH(O175,miOrdenTarjeta,0),0))</f>
        <v/>
      </c>
      <c r="R175" s="20">
        <f t="shared" ca="1" si="63"/>
        <v>18</v>
      </c>
      <c r="S175" s="20">
        <f t="shared" ca="1" si="74"/>
        <v>12</v>
      </c>
      <c r="T175" s="20" cm="1">
        <f t="array" aca="1" ref="T175" ca="1">IF(S175="","",IF(S175&lt;&gt;S174,1,IF(T174=misLíneas-2,0,T174+1)))</f>
        <v>3</v>
      </c>
      <c r="U175" s="20" t="str" cm="1">
        <f t="array" aca="1" ref="U175" ca="1">IF(OR(T175=0,T175=""),"",INDEX(misCriticidades,S175)&amp;"-"&amp;IFERROR(MATCH(T175,miOrdenTarjeta,0),0))</f>
        <v>1-3</v>
      </c>
      <c r="W175" s="20">
        <f t="shared" ca="1" si="64"/>
        <v>1</v>
      </c>
      <c r="X175" s="20" t="str">
        <f t="shared" ca="1" si="75"/>
        <v/>
      </c>
      <c r="Y175" s="20" t="str" cm="1">
        <f t="array" aca="1" ref="Y175" ca="1">IF(X175="","",IF(X175&lt;&gt;X174,1,IF(Y174=misLíneas-2,0,Y174+1)))</f>
        <v/>
      </c>
      <c r="Z175" s="20" t="str" cm="1">
        <f t="array" aca="1" ref="Z175" ca="1">IF(OR(Y175=0,Y175=""),"",INDEX(misCriticidades,X175)&amp;"-"&amp;IFERROR(MATCH(Y175,miOrdenTarjeta,0),0))</f>
        <v/>
      </c>
      <c r="AB175" s="20">
        <f t="shared" ca="1" si="65"/>
        <v>1</v>
      </c>
      <c r="AC175" s="20" t="str">
        <f t="shared" ca="1" si="56"/>
        <v/>
      </c>
      <c r="AD175" s="20" t="str" cm="1">
        <f t="array" aca="1" ref="AD175" ca="1">IF(AC175="","",IF(AC175&lt;&gt;AC174,1,IF(AD174=misLíneas-2,0,AD174+1)))</f>
        <v/>
      </c>
      <c r="AE175" s="20" t="str" cm="1">
        <f t="array" aca="1" ref="AE175" ca="1">IF(OR(AD175=0,AD175=""),"",INDEX(misCriticidades,AC175)&amp;"-"&amp;IFERROR(MATCH(AD175,miOrdenTarjeta,0),0))</f>
        <v/>
      </c>
      <c r="AG175" s="20">
        <f t="shared" ca="1" si="66"/>
        <v>1</v>
      </c>
      <c r="AH175" s="20" t="str">
        <f t="shared" ca="1" si="57"/>
        <v/>
      </c>
      <c r="AI175" s="20" t="str" cm="1">
        <f t="array" aca="1" ref="AI175" ca="1">IF(AH175="","",IF(AH175&lt;&gt;AH174,1,IF(AI174=misLíneas-2,0,AI174+1)))</f>
        <v/>
      </c>
      <c r="AJ175" s="20" t="str" cm="1">
        <f t="array" aca="1" ref="AJ175" ca="1">IF(OR(AI175=0,AI175=""),"",INDEX(misCriticidades,AH175)&amp;"-"&amp;IFERROR(MATCH(AI175,miOrdenTarjeta,0),0))</f>
        <v/>
      </c>
      <c r="AL175" s="20">
        <f t="shared" ca="1" si="67"/>
        <v>1</v>
      </c>
      <c r="AM175" s="20" t="str">
        <f t="shared" ca="1" si="58"/>
        <v/>
      </c>
      <c r="AN175" s="20" t="str" cm="1">
        <f t="array" aca="1" ref="AN175" ca="1">IF(AM175="","",IF(AM175&lt;&gt;AM174,1,IF(AN174=misLíneas-2,0,AN174+1)))</f>
        <v/>
      </c>
      <c r="AO175" s="20" t="str" cm="1">
        <f t="array" aca="1" ref="AO175" ca="1">IF(OR(AN175=0,AN175=""),"",INDEX(misCriticidades,AM175)&amp;"-"&amp;IFERROR(MATCH(AN175,miOrdenTarjeta,0),0))</f>
        <v/>
      </c>
      <c r="AQ175" s="20">
        <f t="shared" ca="1" si="68"/>
        <v>1</v>
      </c>
      <c r="AR175" s="20" t="str">
        <f t="shared" ca="1" si="59"/>
        <v/>
      </c>
      <c r="AS175" s="20" t="str" cm="1">
        <f t="array" aca="1" ref="AS175" ca="1">IF(AR175="","",IF(AR175&lt;&gt;AR174,1,IF(AS174=misLíneas-2,0,AS174+1)))</f>
        <v/>
      </c>
      <c r="AT175" s="20" t="str" cm="1">
        <f t="array" aca="1" ref="AT175" ca="1">IF(OR(AS175=0,AS175=""),"",INDEX(misCriticidades,AR175)&amp;"-"&amp;IFERROR(MATCH(AS175,miOrdenTarjeta,0),0))</f>
        <v/>
      </c>
      <c r="AV175" s="20">
        <f t="shared" ca="1" si="69"/>
        <v>1</v>
      </c>
      <c r="AW175" s="20" t="str">
        <f t="shared" ca="1" si="60"/>
        <v/>
      </c>
      <c r="AX175" s="20" t="str" cm="1">
        <f t="array" aca="1" ref="AX175" ca="1">IF(AW175="","",IF(AW175&lt;&gt;AW174,1,IF(AX174=misLíneas-2,0,AX174+1)))</f>
        <v/>
      </c>
      <c r="AY175" s="20" t="str" cm="1">
        <f t="array" aca="1" ref="AY175" ca="1">IF(OR(AX175=0,AX175=""),"",INDEX(misCriticidades,AW175)&amp;"-"&amp;IFERROR(MATCH(AX175,miOrdenTarjeta,0),0))</f>
        <v/>
      </c>
    </row>
    <row r="176" spans="3:51" x14ac:dyDescent="0.25">
      <c r="C176" s="20">
        <f t="shared" ca="1" si="70"/>
        <v>1</v>
      </c>
      <c r="D176" s="20" t="str">
        <f t="shared" ca="1" si="71"/>
        <v/>
      </c>
      <c r="E176" s="20" t="str" cm="1">
        <f t="array" aca="1" ref="E176" ca="1">IF(D176="","",IF(D176&lt;&gt;D175,1,IF(E175=misLíneas-2,0,E175+1)))</f>
        <v/>
      </c>
      <c r="F176" s="20" t="str" cm="1">
        <f t="array" aca="1" ref="F176" ca="1">IF(OR(E176=0,E176=""),"",INDEX(misCriticidades,D176)&amp;"-"&amp;IFERROR(MATCH(E176,miOrdenTarjeta,0),0))</f>
        <v/>
      </c>
      <c r="H176" s="20">
        <f t="shared" ca="1" si="61"/>
        <v>7</v>
      </c>
      <c r="I176" s="20" t="str">
        <f t="shared" ca="1" si="72"/>
        <v/>
      </c>
      <c r="J176" s="20" t="str" cm="1">
        <f t="array" aca="1" ref="J176" ca="1">IF(I176="","",IF(I176&lt;&gt;I175,1,IF(J175=misLíneas-2,0,J175+1)))</f>
        <v/>
      </c>
      <c r="K176" s="20" t="str" cm="1">
        <f t="array" aca="1" ref="K176" ca="1">IF(OR(J176=0,J176=""),"",INDEX(misCriticidades,I176)&amp;"-"&amp;IFERROR(MATCH(J176,miOrdenTarjeta,0),0))</f>
        <v/>
      </c>
      <c r="M176" s="20">
        <f t="shared" ca="1" si="62"/>
        <v>1</v>
      </c>
      <c r="N176" s="20" t="str">
        <f t="shared" ca="1" si="73"/>
        <v/>
      </c>
      <c r="O176" s="20" t="str" cm="1">
        <f t="array" aca="1" ref="O176" ca="1">IF(N176="","",IF(N176&lt;&gt;N175,1,IF(O175=misLíneas-2,0,O175+1)))</f>
        <v/>
      </c>
      <c r="P176" s="20" t="str" cm="1">
        <f t="array" aca="1" ref="P176" ca="1">IF(OR(O176=0,O176=""),"",INDEX(misCriticidades,N176)&amp;"-"&amp;IFERROR(MATCH(O176,miOrdenTarjeta,0),0))</f>
        <v/>
      </c>
      <c r="R176" s="20">
        <f t="shared" ca="1" si="63"/>
        <v>18</v>
      </c>
      <c r="S176" s="20">
        <f t="shared" ca="1" si="74"/>
        <v>12</v>
      </c>
      <c r="T176" s="20" cm="1">
        <f t="array" aca="1" ref="T176" ca="1">IF(S176="","",IF(S176&lt;&gt;S175,1,IF(T175=misLíneas-2,0,T175+1)))</f>
        <v>4</v>
      </c>
      <c r="U176" s="20" t="str" cm="1">
        <f t="array" aca="1" ref="U176" ca="1">IF(OR(T176=0,T176=""),"",INDEX(misCriticidades,S176)&amp;"-"&amp;IFERROR(MATCH(T176,miOrdenTarjeta,0),0))</f>
        <v>1-4</v>
      </c>
      <c r="W176" s="20">
        <f t="shared" ca="1" si="64"/>
        <v>1</v>
      </c>
      <c r="X176" s="20" t="str">
        <f t="shared" ca="1" si="75"/>
        <v/>
      </c>
      <c r="Y176" s="20" t="str" cm="1">
        <f t="array" aca="1" ref="Y176" ca="1">IF(X176="","",IF(X176&lt;&gt;X175,1,IF(Y175=misLíneas-2,0,Y175+1)))</f>
        <v/>
      </c>
      <c r="Z176" s="20" t="str" cm="1">
        <f t="array" aca="1" ref="Z176" ca="1">IF(OR(Y176=0,Y176=""),"",INDEX(misCriticidades,X176)&amp;"-"&amp;IFERROR(MATCH(Y176,miOrdenTarjeta,0),0))</f>
        <v/>
      </c>
      <c r="AB176" s="20">
        <f t="shared" ca="1" si="65"/>
        <v>1</v>
      </c>
      <c r="AC176" s="20" t="str">
        <f t="shared" ca="1" si="56"/>
        <v/>
      </c>
      <c r="AD176" s="20" t="str" cm="1">
        <f t="array" aca="1" ref="AD176" ca="1">IF(AC176="","",IF(AC176&lt;&gt;AC175,1,IF(AD175=misLíneas-2,0,AD175+1)))</f>
        <v/>
      </c>
      <c r="AE176" s="20" t="str" cm="1">
        <f t="array" aca="1" ref="AE176" ca="1">IF(OR(AD176=0,AD176=""),"",INDEX(misCriticidades,AC176)&amp;"-"&amp;IFERROR(MATCH(AD176,miOrdenTarjeta,0),0))</f>
        <v/>
      </c>
      <c r="AG176" s="20">
        <f t="shared" ca="1" si="66"/>
        <v>1</v>
      </c>
      <c r="AH176" s="20" t="str">
        <f t="shared" ca="1" si="57"/>
        <v/>
      </c>
      <c r="AI176" s="20" t="str" cm="1">
        <f t="array" aca="1" ref="AI176" ca="1">IF(AH176="","",IF(AH176&lt;&gt;AH175,1,IF(AI175=misLíneas-2,0,AI175+1)))</f>
        <v/>
      </c>
      <c r="AJ176" s="20" t="str" cm="1">
        <f t="array" aca="1" ref="AJ176" ca="1">IF(OR(AI176=0,AI176=""),"",INDEX(misCriticidades,AH176)&amp;"-"&amp;IFERROR(MATCH(AI176,miOrdenTarjeta,0),0))</f>
        <v/>
      </c>
      <c r="AL176" s="20">
        <f t="shared" ca="1" si="67"/>
        <v>1</v>
      </c>
      <c r="AM176" s="20" t="str">
        <f t="shared" ca="1" si="58"/>
        <v/>
      </c>
      <c r="AN176" s="20" t="str" cm="1">
        <f t="array" aca="1" ref="AN176" ca="1">IF(AM176="","",IF(AM176&lt;&gt;AM175,1,IF(AN175=misLíneas-2,0,AN175+1)))</f>
        <v/>
      </c>
      <c r="AO176" s="20" t="str" cm="1">
        <f t="array" aca="1" ref="AO176" ca="1">IF(OR(AN176=0,AN176=""),"",INDEX(misCriticidades,AM176)&amp;"-"&amp;IFERROR(MATCH(AN176,miOrdenTarjeta,0),0))</f>
        <v/>
      </c>
      <c r="AQ176" s="20">
        <f t="shared" ca="1" si="68"/>
        <v>1</v>
      </c>
      <c r="AR176" s="20" t="str">
        <f t="shared" ca="1" si="59"/>
        <v/>
      </c>
      <c r="AS176" s="20" t="str" cm="1">
        <f t="array" aca="1" ref="AS176" ca="1">IF(AR176="","",IF(AR176&lt;&gt;AR175,1,IF(AS175=misLíneas-2,0,AS175+1)))</f>
        <v/>
      </c>
      <c r="AT176" s="20" t="str" cm="1">
        <f t="array" aca="1" ref="AT176" ca="1">IF(OR(AS176=0,AS176=""),"",INDEX(misCriticidades,AR176)&amp;"-"&amp;IFERROR(MATCH(AS176,miOrdenTarjeta,0),0))</f>
        <v/>
      </c>
      <c r="AV176" s="20">
        <f t="shared" ca="1" si="69"/>
        <v>1</v>
      </c>
      <c r="AW176" s="20" t="str">
        <f t="shared" ca="1" si="60"/>
        <v/>
      </c>
      <c r="AX176" s="20" t="str" cm="1">
        <f t="array" aca="1" ref="AX176" ca="1">IF(AW176="","",IF(AW176&lt;&gt;AW175,1,IF(AX175=misLíneas-2,0,AX175+1)))</f>
        <v/>
      </c>
      <c r="AY176" s="20" t="str" cm="1">
        <f t="array" aca="1" ref="AY176" ca="1">IF(OR(AX176=0,AX176=""),"",INDEX(misCriticidades,AW176)&amp;"-"&amp;IFERROR(MATCH(AX176,miOrdenTarjeta,0),0))</f>
        <v/>
      </c>
    </row>
    <row r="177" spans="3:51" x14ac:dyDescent="0.25">
      <c r="C177" s="20">
        <f t="shared" ca="1" si="70"/>
        <v>1</v>
      </c>
      <c r="D177" s="20" t="str">
        <f t="shared" ca="1" si="71"/>
        <v/>
      </c>
      <c r="E177" s="20" t="str" cm="1">
        <f t="array" aca="1" ref="E177" ca="1">IF(D177="","",IF(D177&lt;&gt;D176,1,IF(E176=misLíneas-2,0,E176+1)))</f>
        <v/>
      </c>
      <c r="F177" s="20" t="str" cm="1">
        <f t="array" aca="1" ref="F177" ca="1">IF(OR(E177=0,E177=""),"",INDEX(misCriticidades,D177)&amp;"-"&amp;IFERROR(MATCH(E177,miOrdenTarjeta,0),0))</f>
        <v/>
      </c>
      <c r="H177" s="20">
        <f t="shared" ca="1" si="61"/>
        <v>7</v>
      </c>
      <c r="I177" s="20" t="str">
        <f t="shared" ca="1" si="72"/>
        <v/>
      </c>
      <c r="J177" s="20" t="str" cm="1">
        <f t="array" aca="1" ref="J177" ca="1">IF(I177="","",IF(I177&lt;&gt;I176,1,IF(J176=misLíneas-2,0,J176+1)))</f>
        <v/>
      </c>
      <c r="K177" s="20" t="str" cm="1">
        <f t="array" aca="1" ref="K177" ca="1">IF(OR(J177=0,J177=""),"",INDEX(misCriticidades,I177)&amp;"-"&amp;IFERROR(MATCH(J177,miOrdenTarjeta,0),0))</f>
        <v/>
      </c>
      <c r="M177" s="20">
        <f t="shared" ca="1" si="62"/>
        <v>1</v>
      </c>
      <c r="N177" s="20" t="str">
        <f t="shared" ca="1" si="73"/>
        <v/>
      </c>
      <c r="O177" s="20" t="str" cm="1">
        <f t="array" aca="1" ref="O177" ca="1">IF(N177="","",IF(N177&lt;&gt;N176,1,IF(O176=misLíneas-2,0,O176+1)))</f>
        <v/>
      </c>
      <c r="P177" s="20" t="str" cm="1">
        <f t="array" aca="1" ref="P177" ca="1">IF(OR(O177=0,O177=""),"",INDEX(misCriticidades,N177)&amp;"-"&amp;IFERROR(MATCH(O177,miOrdenTarjeta,0),0))</f>
        <v/>
      </c>
      <c r="R177" s="20">
        <f t="shared" ca="1" si="63"/>
        <v>18</v>
      </c>
      <c r="S177" s="20">
        <f t="shared" ca="1" si="74"/>
        <v>12</v>
      </c>
      <c r="T177" s="20" cm="1">
        <f t="array" aca="1" ref="T177" ca="1">IF(S177="","",IF(S177&lt;&gt;S176,1,IF(T176=misLíneas-2,0,T176+1)))</f>
        <v>5</v>
      </c>
      <c r="U177" s="20" t="str" cm="1">
        <f t="array" aca="1" ref="U177" ca="1">IF(OR(T177=0,T177=""),"",INDEX(misCriticidades,S177)&amp;"-"&amp;IFERROR(MATCH(T177,miOrdenTarjeta,0),0))</f>
        <v>1-5</v>
      </c>
      <c r="W177" s="20">
        <f t="shared" ca="1" si="64"/>
        <v>1</v>
      </c>
      <c r="X177" s="20" t="str">
        <f t="shared" ca="1" si="75"/>
        <v/>
      </c>
      <c r="Y177" s="20" t="str" cm="1">
        <f t="array" aca="1" ref="Y177" ca="1">IF(X177="","",IF(X177&lt;&gt;X176,1,IF(Y176=misLíneas-2,0,Y176+1)))</f>
        <v/>
      </c>
      <c r="Z177" s="20" t="str" cm="1">
        <f t="array" aca="1" ref="Z177" ca="1">IF(OR(Y177=0,Y177=""),"",INDEX(misCriticidades,X177)&amp;"-"&amp;IFERROR(MATCH(Y177,miOrdenTarjeta,0),0))</f>
        <v/>
      </c>
      <c r="AB177" s="20">
        <f t="shared" ca="1" si="65"/>
        <v>1</v>
      </c>
      <c r="AC177" s="20" t="str">
        <f t="shared" ca="1" si="56"/>
        <v/>
      </c>
      <c r="AD177" s="20" t="str" cm="1">
        <f t="array" aca="1" ref="AD177" ca="1">IF(AC177="","",IF(AC177&lt;&gt;AC176,1,IF(AD176=misLíneas-2,0,AD176+1)))</f>
        <v/>
      </c>
      <c r="AE177" s="20" t="str" cm="1">
        <f t="array" aca="1" ref="AE177" ca="1">IF(OR(AD177=0,AD177=""),"",INDEX(misCriticidades,AC177)&amp;"-"&amp;IFERROR(MATCH(AD177,miOrdenTarjeta,0),0))</f>
        <v/>
      </c>
      <c r="AG177" s="20">
        <f t="shared" ca="1" si="66"/>
        <v>1</v>
      </c>
      <c r="AH177" s="20" t="str">
        <f t="shared" ca="1" si="57"/>
        <v/>
      </c>
      <c r="AI177" s="20" t="str" cm="1">
        <f t="array" aca="1" ref="AI177" ca="1">IF(AH177="","",IF(AH177&lt;&gt;AH176,1,IF(AI176=misLíneas-2,0,AI176+1)))</f>
        <v/>
      </c>
      <c r="AJ177" s="20" t="str" cm="1">
        <f t="array" aca="1" ref="AJ177" ca="1">IF(OR(AI177=0,AI177=""),"",INDEX(misCriticidades,AH177)&amp;"-"&amp;IFERROR(MATCH(AI177,miOrdenTarjeta,0),0))</f>
        <v/>
      </c>
      <c r="AL177" s="20">
        <f t="shared" ca="1" si="67"/>
        <v>1</v>
      </c>
      <c r="AM177" s="20" t="str">
        <f t="shared" ca="1" si="58"/>
        <v/>
      </c>
      <c r="AN177" s="20" t="str" cm="1">
        <f t="array" aca="1" ref="AN177" ca="1">IF(AM177="","",IF(AM177&lt;&gt;AM176,1,IF(AN176=misLíneas-2,0,AN176+1)))</f>
        <v/>
      </c>
      <c r="AO177" s="20" t="str" cm="1">
        <f t="array" aca="1" ref="AO177" ca="1">IF(OR(AN177=0,AN177=""),"",INDEX(misCriticidades,AM177)&amp;"-"&amp;IFERROR(MATCH(AN177,miOrdenTarjeta,0),0))</f>
        <v/>
      </c>
      <c r="AQ177" s="20">
        <f t="shared" ca="1" si="68"/>
        <v>1</v>
      </c>
      <c r="AR177" s="20" t="str">
        <f t="shared" ca="1" si="59"/>
        <v/>
      </c>
      <c r="AS177" s="20" t="str" cm="1">
        <f t="array" aca="1" ref="AS177" ca="1">IF(AR177="","",IF(AR177&lt;&gt;AR176,1,IF(AS176=misLíneas-2,0,AS176+1)))</f>
        <v/>
      </c>
      <c r="AT177" s="20" t="str" cm="1">
        <f t="array" aca="1" ref="AT177" ca="1">IF(OR(AS177=0,AS177=""),"",INDEX(misCriticidades,AR177)&amp;"-"&amp;IFERROR(MATCH(AS177,miOrdenTarjeta,0),0))</f>
        <v/>
      </c>
      <c r="AV177" s="20">
        <f t="shared" ca="1" si="69"/>
        <v>1</v>
      </c>
      <c r="AW177" s="20" t="str">
        <f t="shared" ca="1" si="60"/>
        <v/>
      </c>
      <c r="AX177" s="20" t="str" cm="1">
        <f t="array" aca="1" ref="AX177" ca="1">IF(AW177="","",IF(AW177&lt;&gt;AW176,1,IF(AX176=misLíneas-2,0,AX176+1)))</f>
        <v/>
      </c>
      <c r="AY177" s="20" t="str" cm="1">
        <f t="array" aca="1" ref="AY177" ca="1">IF(OR(AX177=0,AX177=""),"",INDEX(misCriticidades,AW177)&amp;"-"&amp;IFERROR(MATCH(AX177,miOrdenTarjeta,0),0))</f>
        <v/>
      </c>
    </row>
    <row r="178" spans="3:51" x14ac:dyDescent="0.25">
      <c r="C178" s="20">
        <f t="shared" ca="1" si="70"/>
        <v>1</v>
      </c>
      <c r="D178" s="20" t="str">
        <f t="shared" ca="1" si="71"/>
        <v/>
      </c>
      <c r="E178" s="20" t="str" cm="1">
        <f t="array" aca="1" ref="E178" ca="1">IF(D178="","",IF(D178&lt;&gt;D177,1,IF(E177=misLíneas-2,0,E177+1)))</f>
        <v/>
      </c>
      <c r="F178" s="20" t="str" cm="1">
        <f t="array" aca="1" ref="F178" ca="1">IF(OR(E178=0,E178=""),"",INDEX(misCriticidades,D178)&amp;"-"&amp;IFERROR(MATCH(E178,miOrdenTarjeta,0),0))</f>
        <v/>
      </c>
      <c r="H178" s="20">
        <f t="shared" ca="1" si="61"/>
        <v>7</v>
      </c>
      <c r="I178" s="20" t="str">
        <f t="shared" ca="1" si="72"/>
        <v/>
      </c>
      <c r="J178" s="20" t="str" cm="1">
        <f t="array" aca="1" ref="J178" ca="1">IF(I178="","",IF(I178&lt;&gt;I177,1,IF(J177=misLíneas-2,0,J177+1)))</f>
        <v/>
      </c>
      <c r="K178" s="20" t="str" cm="1">
        <f t="array" aca="1" ref="K178" ca="1">IF(OR(J178=0,J178=""),"",INDEX(misCriticidades,I178)&amp;"-"&amp;IFERROR(MATCH(J178,miOrdenTarjeta,0),0))</f>
        <v/>
      </c>
      <c r="M178" s="20">
        <f t="shared" ca="1" si="62"/>
        <v>1</v>
      </c>
      <c r="N178" s="20" t="str">
        <f t="shared" ca="1" si="73"/>
        <v/>
      </c>
      <c r="O178" s="20" t="str" cm="1">
        <f t="array" aca="1" ref="O178" ca="1">IF(N178="","",IF(N178&lt;&gt;N177,1,IF(O177=misLíneas-2,0,O177+1)))</f>
        <v/>
      </c>
      <c r="P178" s="20" t="str" cm="1">
        <f t="array" aca="1" ref="P178" ca="1">IF(OR(O178=0,O178=""),"",INDEX(misCriticidades,N178)&amp;"-"&amp;IFERROR(MATCH(O178,miOrdenTarjeta,0),0))</f>
        <v/>
      </c>
      <c r="R178" s="20">
        <f t="shared" ca="1" si="63"/>
        <v>18</v>
      </c>
      <c r="S178" s="20">
        <f t="shared" ca="1" si="74"/>
        <v>12</v>
      </c>
      <c r="T178" s="20" cm="1">
        <f t="array" aca="1" ref="T178" ca="1">IF(S178="","",IF(S178&lt;&gt;S177,1,IF(T177=misLíneas-2,0,T177+1)))</f>
        <v>6</v>
      </c>
      <c r="U178" s="20" t="str" cm="1">
        <f t="array" aca="1" ref="U178" ca="1">IF(OR(T178=0,T178=""),"",INDEX(misCriticidades,S178)&amp;"-"&amp;IFERROR(MATCH(T178,miOrdenTarjeta,0),0))</f>
        <v>1-6</v>
      </c>
      <c r="W178" s="20">
        <f t="shared" ca="1" si="64"/>
        <v>1</v>
      </c>
      <c r="X178" s="20" t="str">
        <f t="shared" ca="1" si="75"/>
        <v/>
      </c>
      <c r="Y178" s="20" t="str" cm="1">
        <f t="array" aca="1" ref="Y178" ca="1">IF(X178="","",IF(X178&lt;&gt;X177,1,IF(Y177=misLíneas-2,0,Y177+1)))</f>
        <v/>
      </c>
      <c r="Z178" s="20" t="str" cm="1">
        <f t="array" aca="1" ref="Z178" ca="1">IF(OR(Y178=0,Y178=""),"",INDEX(misCriticidades,X178)&amp;"-"&amp;IFERROR(MATCH(Y178,miOrdenTarjeta,0),0))</f>
        <v/>
      </c>
      <c r="AB178" s="20">
        <f t="shared" ca="1" si="65"/>
        <v>1</v>
      </c>
      <c r="AC178" s="20" t="str">
        <f t="shared" ca="1" si="56"/>
        <v/>
      </c>
      <c r="AD178" s="20" t="str" cm="1">
        <f t="array" aca="1" ref="AD178" ca="1">IF(AC178="","",IF(AC178&lt;&gt;AC177,1,IF(AD177=misLíneas-2,0,AD177+1)))</f>
        <v/>
      </c>
      <c r="AE178" s="20" t="str" cm="1">
        <f t="array" aca="1" ref="AE178" ca="1">IF(OR(AD178=0,AD178=""),"",INDEX(misCriticidades,AC178)&amp;"-"&amp;IFERROR(MATCH(AD178,miOrdenTarjeta,0),0))</f>
        <v/>
      </c>
      <c r="AG178" s="20">
        <f t="shared" ca="1" si="66"/>
        <v>1</v>
      </c>
      <c r="AH178" s="20" t="str">
        <f t="shared" ca="1" si="57"/>
        <v/>
      </c>
      <c r="AI178" s="20" t="str" cm="1">
        <f t="array" aca="1" ref="AI178" ca="1">IF(AH178="","",IF(AH178&lt;&gt;AH177,1,IF(AI177=misLíneas-2,0,AI177+1)))</f>
        <v/>
      </c>
      <c r="AJ178" s="20" t="str" cm="1">
        <f t="array" aca="1" ref="AJ178" ca="1">IF(OR(AI178=0,AI178=""),"",INDEX(misCriticidades,AH178)&amp;"-"&amp;IFERROR(MATCH(AI178,miOrdenTarjeta,0),0))</f>
        <v/>
      </c>
      <c r="AL178" s="20">
        <f t="shared" ca="1" si="67"/>
        <v>1</v>
      </c>
      <c r="AM178" s="20" t="str">
        <f t="shared" ca="1" si="58"/>
        <v/>
      </c>
      <c r="AN178" s="20" t="str" cm="1">
        <f t="array" aca="1" ref="AN178" ca="1">IF(AM178="","",IF(AM178&lt;&gt;AM177,1,IF(AN177=misLíneas-2,0,AN177+1)))</f>
        <v/>
      </c>
      <c r="AO178" s="20" t="str" cm="1">
        <f t="array" aca="1" ref="AO178" ca="1">IF(OR(AN178=0,AN178=""),"",INDEX(misCriticidades,AM178)&amp;"-"&amp;IFERROR(MATCH(AN178,miOrdenTarjeta,0),0))</f>
        <v/>
      </c>
      <c r="AQ178" s="20">
        <f t="shared" ca="1" si="68"/>
        <v>1</v>
      </c>
      <c r="AR178" s="20" t="str">
        <f t="shared" ca="1" si="59"/>
        <v/>
      </c>
      <c r="AS178" s="20" t="str" cm="1">
        <f t="array" aca="1" ref="AS178" ca="1">IF(AR178="","",IF(AR178&lt;&gt;AR177,1,IF(AS177=misLíneas-2,0,AS177+1)))</f>
        <v/>
      </c>
      <c r="AT178" s="20" t="str" cm="1">
        <f t="array" aca="1" ref="AT178" ca="1">IF(OR(AS178=0,AS178=""),"",INDEX(misCriticidades,AR178)&amp;"-"&amp;IFERROR(MATCH(AS178,miOrdenTarjeta,0),0))</f>
        <v/>
      </c>
      <c r="AV178" s="20">
        <f t="shared" ca="1" si="69"/>
        <v>1</v>
      </c>
      <c r="AW178" s="20" t="str">
        <f t="shared" ca="1" si="60"/>
        <v/>
      </c>
      <c r="AX178" s="20" t="str" cm="1">
        <f t="array" aca="1" ref="AX178" ca="1">IF(AW178="","",IF(AW178&lt;&gt;AW177,1,IF(AX177=misLíneas-2,0,AX177+1)))</f>
        <v/>
      </c>
      <c r="AY178" s="20" t="str" cm="1">
        <f t="array" aca="1" ref="AY178" ca="1">IF(OR(AX178=0,AX178=""),"",INDEX(misCriticidades,AW178)&amp;"-"&amp;IFERROR(MATCH(AX178,miOrdenTarjeta,0),0))</f>
        <v/>
      </c>
    </row>
    <row r="179" spans="3:51" x14ac:dyDescent="0.25">
      <c r="C179" s="20">
        <f t="shared" ca="1" si="70"/>
        <v>1</v>
      </c>
      <c r="D179" s="20" t="str">
        <f t="shared" ca="1" si="71"/>
        <v/>
      </c>
      <c r="E179" s="20" t="str" cm="1">
        <f t="array" aca="1" ref="E179" ca="1">IF(D179="","",IF(D179&lt;&gt;D178,1,IF(E178=misLíneas-2,0,E178+1)))</f>
        <v/>
      </c>
      <c r="F179" s="20" t="str" cm="1">
        <f t="array" aca="1" ref="F179" ca="1">IF(OR(E179=0,E179=""),"",INDEX(misCriticidades,D179)&amp;"-"&amp;IFERROR(MATCH(E179,miOrdenTarjeta,0),0))</f>
        <v/>
      </c>
      <c r="H179" s="20">
        <f t="shared" ca="1" si="61"/>
        <v>7</v>
      </c>
      <c r="I179" s="20" t="str">
        <f t="shared" ca="1" si="72"/>
        <v/>
      </c>
      <c r="J179" s="20" t="str" cm="1">
        <f t="array" aca="1" ref="J179" ca="1">IF(I179="","",IF(I179&lt;&gt;I178,1,IF(J178=misLíneas-2,0,J178+1)))</f>
        <v/>
      </c>
      <c r="K179" s="20" t="str" cm="1">
        <f t="array" aca="1" ref="K179" ca="1">IF(OR(J179=0,J179=""),"",INDEX(misCriticidades,I179)&amp;"-"&amp;IFERROR(MATCH(J179,miOrdenTarjeta,0),0))</f>
        <v/>
      </c>
      <c r="M179" s="20">
        <f t="shared" ca="1" si="62"/>
        <v>1</v>
      </c>
      <c r="N179" s="20" t="str">
        <f t="shared" ca="1" si="73"/>
        <v/>
      </c>
      <c r="O179" s="20" t="str" cm="1">
        <f t="array" aca="1" ref="O179" ca="1">IF(N179="","",IF(N179&lt;&gt;N178,1,IF(O178=misLíneas-2,0,O178+1)))</f>
        <v/>
      </c>
      <c r="P179" s="20" t="str" cm="1">
        <f t="array" aca="1" ref="P179" ca="1">IF(OR(O179=0,O179=""),"",INDEX(misCriticidades,N179)&amp;"-"&amp;IFERROR(MATCH(O179,miOrdenTarjeta,0),0))</f>
        <v/>
      </c>
      <c r="R179" s="20">
        <f t="shared" ca="1" si="63"/>
        <v>18</v>
      </c>
      <c r="S179" s="20">
        <f t="shared" ca="1" si="74"/>
        <v>12</v>
      </c>
      <c r="T179" s="20" cm="1">
        <f t="array" aca="1" ref="T179" ca="1">IF(S179="","",IF(S179&lt;&gt;S178,1,IF(T178=misLíneas-2,0,T178+1)))</f>
        <v>7</v>
      </c>
      <c r="U179" s="20" t="str" cm="1">
        <f t="array" aca="1" ref="U179" ca="1">IF(OR(T179=0,T179=""),"",INDEX(misCriticidades,S179)&amp;"-"&amp;IFERROR(MATCH(T179,miOrdenTarjeta,0),0))</f>
        <v>1-7</v>
      </c>
      <c r="W179" s="20">
        <f t="shared" ca="1" si="64"/>
        <v>1</v>
      </c>
      <c r="X179" s="20" t="str">
        <f t="shared" ca="1" si="75"/>
        <v/>
      </c>
      <c r="Y179" s="20" t="str" cm="1">
        <f t="array" aca="1" ref="Y179" ca="1">IF(X179="","",IF(X179&lt;&gt;X178,1,IF(Y178=misLíneas-2,0,Y178+1)))</f>
        <v/>
      </c>
      <c r="Z179" s="20" t="str" cm="1">
        <f t="array" aca="1" ref="Z179" ca="1">IF(OR(Y179=0,Y179=""),"",INDEX(misCriticidades,X179)&amp;"-"&amp;IFERROR(MATCH(Y179,miOrdenTarjeta,0),0))</f>
        <v/>
      </c>
      <c r="AB179" s="20">
        <f t="shared" ca="1" si="65"/>
        <v>1</v>
      </c>
      <c r="AC179" s="20" t="str">
        <f t="shared" ca="1" si="56"/>
        <v/>
      </c>
      <c r="AD179" s="20" t="str" cm="1">
        <f t="array" aca="1" ref="AD179" ca="1">IF(AC179="","",IF(AC179&lt;&gt;AC178,1,IF(AD178=misLíneas-2,0,AD178+1)))</f>
        <v/>
      </c>
      <c r="AE179" s="20" t="str" cm="1">
        <f t="array" aca="1" ref="AE179" ca="1">IF(OR(AD179=0,AD179=""),"",INDEX(misCriticidades,AC179)&amp;"-"&amp;IFERROR(MATCH(AD179,miOrdenTarjeta,0),0))</f>
        <v/>
      </c>
      <c r="AG179" s="20">
        <f t="shared" ca="1" si="66"/>
        <v>1</v>
      </c>
      <c r="AH179" s="20" t="str">
        <f t="shared" ca="1" si="57"/>
        <v/>
      </c>
      <c r="AI179" s="20" t="str" cm="1">
        <f t="array" aca="1" ref="AI179" ca="1">IF(AH179="","",IF(AH179&lt;&gt;AH178,1,IF(AI178=misLíneas-2,0,AI178+1)))</f>
        <v/>
      </c>
      <c r="AJ179" s="20" t="str" cm="1">
        <f t="array" aca="1" ref="AJ179" ca="1">IF(OR(AI179=0,AI179=""),"",INDEX(misCriticidades,AH179)&amp;"-"&amp;IFERROR(MATCH(AI179,miOrdenTarjeta,0),0))</f>
        <v/>
      </c>
      <c r="AL179" s="20">
        <f t="shared" ca="1" si="67"/>
        <v>1</v>
      </c>
      <c r="AM179" s="20" t="str">
        <f t="shared" ca="1" si="58"/>
        <v/>
      </c>
      <c r="AN179" s="20" t="str" cm="1">
        <f t="array" aca="1" ref="AN179" ca="1">IF(AM179="","",IF(AM179&lt;&gt;AM178,1,IF(AN178=misLíneas-2,0,AN178+1)))</f>
        <v/>
      </c>
      <c r="AO179" s="20" t="str" cm="1">
        <f t="array" aca="1" ref="AO179" ca="1">IF(OR(AN179=0,AN179=""),"",INDEX(misCriticidades,AM179)&amp;"-"&amp;IFERROR(MATCH(AN179,miOrdenTarjeta,0),0))</f>
        <v/>
      </c>
      <c r="AQ179" s="20">
        <f t="shared" ca="1" si="68"/>
        <v>1</v>
      </c>
      <c r="AR179" s="20" t="str">
        <f t="shared" ca="1" si="59"/>
        <v/>
      </c>
      <c r="AS179" s="20" t="str" cm="1">
        <f t="array" aca="1" ref="AS179" ca="1">IF(AR179="","",IF(AR179&lt;&gt;AR178,1,IF(AS178=misLíneas-2,0,AS178+1)))</f>
        <v/>
      </c>
      <c r="AT179" s="20" t="str" cm="1">
        <f t="array" aca="1" ref="AT179" ca="1">IF(OR(AS179=0,AS179=""),"",INDEX(misCriticidades,AR179)&amp;"-"&amp;IFERROR(MATCH(AS179,miOrdenTarjeta,0),0))</f>
        <v/>
      </c>
      <c r="AV179" s="20">
        <f t="shared" ca="1" si="69"/>
        <v>1</v>
      </c>
      <c r="AW179" s="20" t="str">
        <f t="shared" ca="1" si="60"/>
        <v/>
      </c>
      <c r="AX179" s="20" t="str" cm="1">
        <f t="array" aca="1" ref="AX179" ca="1">IF(AW179="","",IF(AW179&lt;&gt;AW178,1,IF(AX178=misLíneas-2,0,AX178+1)))</f>
        <v/>
      </c>
      <c r="AY179" s="20" t="str" cm="1">
        <f t="array" aca="1" ref="AY179" ca="1">IF(OR(AX179=0,AX179=""),"",INDEX(misCriticidades,AW179)&amp;"-"&amp;IFERROR(MATCH(AX179,miOrdenTarjeta,0),0))</f>
        <v/>
      </c>
    </row>
    <row r="180" spans="3:51" x14ac:dyDescent="0.25">
      <c r="C180" s="20">
        <f t="shared" ca="1" si="70"/>
        <v>1</v>
      </c>
      <c r="D180" s="20" t="str">
        <f t="shared" ca="1" si="71"/>
        <v/>
      </c>
      <c r="E180" s="20" t="str" cm="1">
        <f t="array" aca="1" ref="E180" ca="1">IF(D180="","",IF(D180&lt;&gt;D179,1,IF(E179=misLíneas-2,0,E179+1)))</f>
        <v/>
      </c>
      <c r="F180" s="20" t="str" cm="1">
        <f t="array" aca="1" ref="F180" ca="1">IF(OR(E180=0,E180=""),"",INDEX(misCriticidades,D180)&amp;"-"&amp;IFERROR(MATCH(E180,miOrdenTarjeta,0),0))</f>
        <v/>
      </c>
      <c r="H180" s="20">
        <f t="shared" ca="1" si="61"/>
        <v>7</v>
      </c>
      <c r="I180" s="20" t="str">
        <f t="shared" ca="1" si="72"/>
        <v/>
      </c>
      <c r="J180" s="20" t="str" cm="1">
        <f t="array" aca="1" ref="J180" ca="1">IF(I180="","",IF(I180&lt;&gt;I179,1,IF(J179=misLíneas-2,0,J179+1)))</f>
        <v/>
      </c>
      <c r="K180" s="20" t="str" cm="1">
        <f t="array" aca="1" ref="K180" ca="1">IF(OR(J180=0,J180=""),"",INDEX(misCriticidades,I180)&amp;"-"&amp;IFERROR(MATCH(J180,miOrdenTarjeta,0),0))</f>
        <v/>
      </c>
      <c r="M180" s="20">
        <f t="shared" ca="1" si="62"/>
        <v>1</v>
      </c>
      <c r="N180" s="20" t="str">
        <f t="shared" ca="1" si="73"/>
        <v/>
      </c>
      <c r="O180" s="20" t="str" cm="1">
        <f t="array" aca="1" ref="O180" ca="1">IF(N180="","",IF(N180&lt;&gt;N179,1,IF(O179=misLíneas-2,0,O179+1)))</f>
        <v/>
      </c>
      <c r="P180" s="20" t="str" cm="1">
        <f t="array" aca="1" ref="P180" ca="1">IF(OR(O180=0,O180=""),"",INDEX(misCriticidades,N180)&amp;"-"&amp;IFERROR(MATCH(O180,miOrdenTarjeta,0),0))</f>
        <v/>
      </c>
      <c r="R180" s="20">
        <f t="shared" ca="1" si="63"/>
        <v>18</v>
      </c>
      <c r="S180" s="20">
        <f t="shared" ca="1" si="74"/>
        <v>12</v>
      </c>
      <c r="T180" s="20" cm="1">
        <f t="array" aca="1" ref="T180" ca="1">IF(S180="","",IF(S180&lt;&gt;S179,1,IF(T179=misLíneas-2,0,T179+1)))</f>
        <v>8</v>
      </c>
      <c r="U180" s="20" t="str" cm="1">
        <f t="array" aca="1" ref="U180" ca="1">IF(OR(T180=0,T180=""),"",INDEX(misCriticidades,S180)&amp;"-"&amp;IFERROR(MATCH(T180,miOrdenTarjeta,0),0))</f>
        <v>1-8</v>
      </c>
      <c r="W180" s="20">
        <f t="shared" ca="1" si="64"/>
        <v>1</v>
      </c>
      <c r="X180" s="20" t="str">
        <f t="shared" ca="1" si="75"/>
        <v/>
      </c>
      <c r="Y180" s="20" t="str" cm="1">
        <f t="array" aca="1" ref="Y180" ca="1">IF(X180="","",IF(X180&lt;&gt;X179,1,IF(Y179=misLíneas-2,0,Y179+1)))</f>
        <v/>
      </c>
      <c r="Z180" s="20" t="str" cm="1">
        <f t="array" aca="1" ref="Z180" ca="1">IF(OR(Y180=0,Y180=""),"",INDEX(misCriticidades,X180)&amp;"-"&amp;IFERROR(MATCH(Y180,miOrdenTarjeta,0),0))</f>
        <v/>
      </c>
      <c r="AB180" s="20">
        <f t="shared" ca="1" si="65"/>
        <v>1</v>
      </c>
      <c r="AC180" s="20" t="str">
        <f t="shared" ca="1" si="56"/>
        <v/>
      </c>
      <c r="AD180" s="20" t="str" cm="1">
        <f t="array" aca="1" ref="AD180" ca="1">IF(AC180="","",IF(AC180&lt;&gt;AC179,1,IF(AD179=misLíneas-2,0,AD179+1)))</f>
        <v/>
      </c>
      <c r="AE180" s="20" t="str" cm="1">
        <f t="array" aca="1" ref="AE180" ca="1">IF(OR(AD180=0,AD180=""),"",INDEX(misCriticidades,AC180)&amp;"-"&amp;IFERROR(MATCH(AD180,miOrdenTarjeta,0),0))</f>
        <v/>
      </c>
      <c r="AG180" s="20">
        <f t="shared" ca="1" si="66"/>
        <v>1</v>
      </c>
      <c r="AH180" s="20" t="str">
        <f t="shared" ca="1" si="57"/>
        <v/>
      </c>
      <c r="AI180" s="20" t="str" cm="1">
        <f t="array" aca="1" ref="AI180" ca="1">IF(AH180="","",IF(AH180&lt;&gt;AH179,1,IF(AI179=misLíneas-2,0,AI179+1)))</f>
        <v/>
      </c>
      <c r="AJ180" s="20" t="str" cm="1">
        <f t="array" aca="1" ref="AJ180" ca="1">IF(OR(AI180=0,AI180=""),"",INDEX(misCriticidades,AH180)&amp;"-"&amp;IFERROR(MATCH(AI180,miOrdenTarjeta,0),0))</f>
        <v/>
      </c>
      <c r="AL180" s="20">
        <f t="shared" ca="1" si="67"/>
        <v>1</v>
      </c>
      <c r="AM180" s="20" t="str">
        <f t="shared" ca="1" si="58"/>
        <v/>
      </c>
      <c r="AN180" s="20" t="str" cm="1">
        <f t="array" aca="1" ref="AN180" ca="1">IF(AM180="","",IF(AM180&lt;&gt;AM179,1,IF(AN179=misLíneas-2,0,AN179+1)))</f>
        <v/>
      </c>
      <c r="AO180" s="20" t="str" cm="1">
        <f t="array" aca="1" ref="AO180" ca="1">IF(OR(AN180=0,AN180=""),"",INDEX(misCriticidades,AM180)&amp;"-"&amp;IFERROR(MATCH(AN180,miOrdenTarjeta,0),0))</f>
        <v/>
      </c>
      <c r="AQ180" s="20">
        <f t="shared" ca="1" si="68"/>
        <v>1</v>
      </c>
      <c r="AR180" s="20" t="str">
        <f t="shared" ca="1" si="59"/>
        <v/>
      </c>
      <c r="AS180" s="20" t="str" cm="1">
        <f t="array" aca="1" ref="AS180" ca="1">IF(AR180="","",IF(AR180&lt;&gt;AR179,1,IF(AS179=misLíneas-2,0,AS179+1)))</f>
        <v/>
      </c>
      <c r="AT180" s="20" t="str" cm="1">
        <f t="array" aca="1" ref="AT180" ca="1">IF(OR(AS180=0,AS180=""),"",INDEX(misCriticidades,AR180)&amp;"-"&amp;IFERROR(MATCH(AS180,miOrdenTarjeta,0),0))</f>
        <v/>
      </c>
      <c r="AV180" s="20">
        <f t="shared" ca="1" si="69"/>
        <v>1</v>
      </c>
      <c r="AW180" s="20" t="str">
        <f t="shared" ca="1" si="60"/>
        <v/>
      </c>
      <c r="AX180" s="20" t="str" cm="1">
        <f t="array" aca="1" ref="AX180" ca="1">IF(AW180="","",IF(AW180&lt;&gt;AW179,1,IF(AX179=misLíneas-2,0,AX179+1)))</f>
        <v/>
      </c>
      <c r="AY180" s="20" t="str" cm="1">
        <f t="array" aca="1" ref="AY180" ca="1">IF(OR(AX180=0,AX180=""),"",INDEX(misCriticidades,AW180)&amp;"-"&amp;IFERROR(MATCH(AX180,miOrdenTarjeta,0),0))</f>
        <v/>
      </c>
    </row>
    <row r="181" spans="3:51" x14ac:dyDescent="0.25">
      <c r="C181" s="20">
        <f t="shared" ca="1" si="70"/>
        <v>1</v>
      </c>
      <c r="D181" s="20" t="str">
        <f t="shared" ca="1" si="71"/>
        <v/>
      </c>
      <c r="E181" s="20" t="str" cm="1">
        <f t="array" aca="1" ref="E181" ca="1">IF(D181="","",IF(D181&lt;&gt;D180,1,IF(E180=misLíneas-2,0,E180+1)))</f>
        <v/>
      </c>
      <c r="F181" s="20" t="str" cm="1">
        <f t="array" aca="1" ref="F181" ca="1">IF(OR(E181=0,E181=""),"",INDEX(misCriticidades,D181)&amp;"-"&amp;IFERROR(MATCH(E181,miOrdenTarjeta,0),0))</f>
        <v/>
      </c>
      <c r="H181" s="20">
        <f t="shared" ca="1" si="61"/>
        <v>7</v>
      </c>
      <c r="I181" s="20" t="str">
        <f t="shared" ca="1" si="72"/>
        <v/>
      </c>
      <c r="J181" s="20" t="str" cm="1">
        <f t="array" aca="1" ref="J181" ca="1">IF(I181="","",IF(I181&lt;&gt;I180,1,IF(J180=misLíneas-2,0,J180+1)))</f>
        <v/>
      </c>
      <c r="K181" s="20" t="str" cm="1">
        <f t="array" aca="1" ref="K181" ca="1">IF(OR(J181=0,J181=""),"",INDEX(misCriticidades,I181)&amp;"-"&amp;IFERROR(MATCH(J181,miOrdenTarjeta,0),0))</f>
        <v/>
      </c>
      <c r="M181" s="20">
        <f t="shared" ca="1" si="62"/>
        <v>1</v>
      </c>
      <c r="N181" s="20" t="str">
        <f t="shared" ca="1" si="73"/>
        <v/>
      </c>
      <c r="O181" s="20" t="str" cm="1">
        <f t="array" aca="1" ref="O181" ca="1">IF(N181="","",IF(N181&lt;&gt;N180,1,IF(O180=misLíneas-2,0,O180+1)))</f>
        <v/>
      </c>
      <c r="P181" s="20" t="str" cm="1">
        <f t="array" aca="1" ref="P181" ca="1">IF(OR(O181=0,O181=""),"",INDEX(misCriticidades,N181)&amp;"-"&amp;IFERROR(MATCH(O181,miOrdenTarjeta,0),0))</f>
        <v/>
      </c>
      <c r="R181" s="20">
        <f t="shared" ca="1" si="63"/>
        <v>18</v>
      </c>
      <c r="S181" s="20">
        <f t="shared" ca="1" si="74"/>
        <v>12</v>
      </c>
      <c r="T181" s="20" cm="1">
        <f t="array" aca="1" ref="T181" ca="1">IF(S181="","",IF(S181&lt;&gt;S180,1,IF(T180=misLíneas-2,0,T180+1)))</f>
        <v>9</v>
      </c>
      <c r="U181" s="20" t="str" cm="1">
        <f t="array" aca="1" ref="U181" ca="1">IF(OR(T181=0,T181=""),"",INDEX(misCriticidades,S181)&amp;"-"&amp;IFERROR(MATCH(T181,miOrdenTarjeta,0),0))</f>
        <v>1-0</v>
      </c>
      <c r="W181" s="20">
        <f t="shared" ca="1" si="64"/>
        <v>1</v>
      </c>
      <c r="X181" s="20" t="str">
        <f t="shared" ca="1" si="75"/>
        <v/>
      </c>
      <c r="Y181" s="20" t="str" cm="1">
        <f t="array" aca="1" ref="Y181" ca="1">IF(X181="","",IF(X181&lt;&gt;X180,1,IF(Y180=misLíneas-2,0,Y180+1)))</f>
        <v/>
      </c>
      <c r="Z181" s="20" t="str" cm="1">
        <f t="array" aca="1" ref="Z181" ca="1">IF(OR(Y181=0,Y181=""),"",INDEX(misCriticidades,X181)&amp;"-"&amp;IFERROR(MATCH(Y181,miOrdenTarjeta,0),0))</f>
        <v/>
      </c>
      <c r="AB181" s="20">
        <f t="shared" ca="1" si="65"/>
        <v>1</v>
      </c>
      <c r="AC181" s="20" t="str">
        <f t="shared" ca="1" si="56"/>
        <v/>
      </c>
      <c r="AD181" s="20" t="str" cm="1">
        <f t="array" aca="1" ref="AD181" ca="1">IF(AC181="","",IF(AC181&lt;&gt;AC180,1,IF(AD180=misLíneas-2,0,AD180+1)))</f>
        <v/>
      </c>
      <c r="AE181" s="20" t="str" cm="1">
        <f t="array" aca="1" ref="AE181" ca="1">IF(OR(AD181=0,AD181=""),"",INDEX(misCriticidades,AC181)&amp;"-"&amp;IFERROR(MATCH(AD181,miOrdenTarjeta,0),0))</f>
        <v/>
      </c>
      <c r="AG181" s="20">
        <f t="shared" ca="1" si="66"/>
        <v>1</v>
      </c>
      <c r="AH181" s="20" t="str">
        <f t="shared" ca="1" si="57"/>
        <v/>
      </c>
      <c r="AI181" s="20" t="str" cm="1">
        <f t="array" aca="1" ref="AI181" ca="1">IF(AH181="","",IF(AH181&lt;&gt;AH180,1,IF(AI180=misLíneas-2,0,AI180+1)))</f>
        <v/>
      </c>
      <c r="AJ181" s="20" t="str" cm="1">
        <f t="array" aca="1" ref="AJ181" ca="1">IF(OR(AI181=0,AI181=""),"",INDEX(misCriticidades,AH181)&amp;"-"&amp;IFERROR(MATCH(AI181,miOrdenTarjeta,0),0))</f>
        <v/>
      </c>
      <c r="AL181" s="20">
        <f t="shared" ca="1" si="67"/>
        <v>1</v>
      </c>
      <c r="AM181" s="20" t="str">
        <f t="shared" ca="1" si="58"/>
        <v/>
      </c>
      <c r="AN181" s="20" t="str" cm="1">
        <f t="array" aca="1" ref="AN181" ca="1">IF(AM181="","",IF(AM181&lt;&gt;AM180,1,IF(AN180=misLíneas-2,0,AN180+1)))</f>
        <v/>
      </c>
      <c r="AO181" s="20" t="str" cm="1">
        <f t="array" aca="1" ref="AO181" ca="1">IF(OR(AN181=0,AN181=""),"",INDEX(misCriticidades,AM181)&amp;"-"&amp;IFERROR(MATCH(AN181,miOrdenTarjeta,0),0))</f>
        <v/>
      </c>
      <c r="AQ181" s="20">
        <f t="shared" ca="1" si="68"/>
        <v>1</v>
      </c>
      <c r="AR181" s="20" t="str">
        <f t="shared" ca="1" si="59"/>
        <v/>
      </c>
      <c r="AS181" s="20" t="str" cm="1">
        <f t="array" aca="1" ref="AS181" ca="1">IF(AR181="","",IF(AR181&lt;&gt;AR180,1,IF(AS180=misLíneas-2,0,AS180+1)))</f>
        <v/>
      </c>
      <c r="AT181" s="20" t="str" cm="1">
        <f t="array" aca="1" ref="AT181" ca="1">IF(OR(AS181=0,AS181=""),"",INDEX(misCriticidades,AR181)&amp;"-"&amp;IFERROR(MATCH(AS181,miOrdenTarjeta,0),0))</f>
        <v/>
      </c>
      <c r="AV181" s="20">
        <f t="shared" ca="1" si="69"/>
        <v>1</v>
      </c>
      <c r="AW181" s="20" t="str">
        <f t="shared" ca="1" si="60"/>
        <v/>
      </c>
      <c r="AX181" s="20" t="str" cm="1">
        <f t="array" aca="1" ref="AX181" ca="1">IF(AW181="","",IF(AW181&lt;&gt;AW180,1,IF(AX180=misLíneas-2,0,AX180+1)))</f>
        <v/>
      </c>
      <c r="AY181" s="20" t="str" cm="1">
        <f t="array" aca="1" ref="AY181" ca="1">IF(OR(AX181=0,AX181=""),"",INDEX(misCriticidades,AW181)&amp;"-"&amp;IFERROR(MATCH(AX181,miOrdenTarjeta,0),0))</f>
        <v/>
      </c>
    </row>
    <row r="182" spans="3:51" x14ac:dyDescent="0.25">
      <c r="C182" s="20">
        <f t="shared" ca="1" si="70"/>
        <v>1</v>
      </c>
      <c r="D182" s="20" t="str">
        <f t="shared" ca="1" si="71"/>
        <v/>
      </c>
      <c r="E182" s="20" t="str" cm="1">
        <f t="array" aca="1" ref="E182" ca="1">IF(D182="","",IF(D182&lt;&gt;D181,1,IF(E181=misLíneas-2,0,E181+1)))</f>
        <v/>
      </c>
      <c r="F182" s="20" t="str" cm="1">
        <f t="array" aca="1" ref="F182" ca="1">IF(OR(E182=0,E182=""),"",INDEX(misCriticidades,D182)&amp;"-"&amp;IFERROR(MATCH(E182,miOrdenTarjeta,0),0))</f>
        <v/>
      </c>
      <c r="H182" s="20">
        <f t="shared" ca="1" si="61"/>
        <v>7</v>
      </c>
      <c r="I182" s="20" t="str">
        <f t="shared" ca="1" si="72"/>
        <v/>
      </c>
      <c r="J182" s="20" t="str" cm="1">
        <f t="array" aca="1" ref="J182" ca="1">IF(I182="","",IF(I182&lt;&gt;I181,1,IF(J181=misLíneas-2,0,J181+1)))</f>
        <v/>
      </c>
      <c r="K182" s="20" t="str" cm="1">
        <f t="array" aca="1" ref="K182" ca="1">IF(OR(J182=0,J182=""),"",INDEX(misCriticidades,I182)&amp;"-"&amp;IFERROR(MATCH(J182,miOrdenTarjeta,0),0))</f>
        <v/>
      </c>
      <c r="M182" s="20">
        <f t="shared" ca="1" si="62"/>
        <v>1</v>
      </c>
      <c r="N182" s="20" t="str">
        <f t="shared" ca="1" si="73"/>
        <v/>
      </c>
      <c r="O182" s="20" t="str" cm="1">
        <f t="array" aca="1" ref="O182" ca="1">IF(N182="","",IF(N182&lt;&gt;N181,1,IF(O181=misLíneas-2,0,O181+1)))</f>
        <v/>
      </c>
      <c r="P182" s="20" t="str" cm="1">
        <f t="array" aca="1" ref="P182" ca="1">IF(OR(O182=0,O182=""),"",INDEX(misCriticidades,N182)&amp;"-"&amp;IFERROR(MATCH(O182,miOrdenTarjeta,0),0))</f>
        <v/>
      </c>
      <c r="R182" s="20">
        <f t="shared" ca="1" si="63"/>
        <v>18</v>
      </c>
      <c r="S182" s="20">
        <f t="shared" ca="1" si="74"/>
        <v>12</v>
      </c>
      <c r="T182" s="20" cm="1">
        <f t="array" aca="1" ref="T182" ca="1">IF(S182="","",IF(S182&lt;&gt;S181,1,IF(T181=misLíneas-2,0,T181+1)))</f>
        <v>0</v>
      </c>
      <c r="U182" s="20" t="str" cm="1">
        <f t="array" aca="1" ref="U182" ca="1">IF(OR(T182=0,T182=""),"",INDEX(misCriticidades,S182)&amp;"-"&amp;IFERROR(MATCH(T182,miOrdenTarjeta,0),0))</f>
        <v/>
      </c>
      <c r="W182" s="20">
        <f t="shared" ca="1" si="64"/>
        <v>1</v>
      </c>
      <c r="X182" s="20" t="str">
        <f t="shared" ca="1" si="75"/>
        <v/>
      </c>
      <c r="Y182" s="20" t="str" cm="1">
        <f t="array" aca="1" ref="Y182" ca="1">IF(X182="","",IF(X182&lt;&gt;X181,1,IF(Y181=misLíneas-2,0,Y181+1)))</f>
        <v/>
      </c>
      <c r="Z182" s="20" t="str" cm="1">
        <f t="array" aca="1" ref="Z182" ca="1">IF(OR(Y182=0,Y182=""),"",INDEX(misCriticidades,X182)&amp;"-"&amp;IFERROR(MATCH(Y182,miOrdenTarjeta,0),0))</f>
        <v/>
      </c>
      <c r="AB182" s="20">
        <f t="shared" ca="1" si="65"/>
        <v>1</v>
      </c>
      <c r="AC182" s="20" t="str">
        <f t="shared" ca="1" si="56"/>
        <v/>
      </c>
      <c r="AD182" s="20" t="str" cm="1">
        <f t="array" aca="1" ref="AD182" ca="1">IF(AC182="","",IF(AC182&lt;&gt;AC181,1,IF(AD181=misLíneas-2,0,AD181+1)))</f>
        <v/>
      </c>
      <c r="AE182" s="20" t="str" cm="1">
        <f t="array" aca="1" ref="AE182" ca="1">IF(OR(AD182=0,AD182=""),"",INDEX(misCriticidades,AC182)&amp;"-"&amp;IFERROR(MATCH(AD182,miOrdenTarjeta,0),0))</f>
        <v/>
      </c>
      <c r="AG182" s="20">
        <f t="shared" ca="1" si="66"/>
        <v>1</v>
      </c>
      <c r="AH182" s="20" t="str">
        <f t="shared" ca="1" si="57"/>
        <v/>
      </c>
      <c r="AI182" s="20" t="str" cm="1">
        <f t="array" aca="1" ref="AI182" ca="1">IF(AH182="","",IF(AH182&lt;&gt;AH181,1,IF(AI181=misLíneas-2,0,AI181+1)))</f>
        <v/>
      </c>
      <c r="AJ182" s="20" t="str" cm="1">
        <f t="array" aca="1" ref="AJ182" ca="1">IF(OR(AI182=0,AI182=""),"",INDEX(misCriticidades,AH182)&amp;"-"&amp;IFERROR(MATCH(AI182,miOrdenTarjeta,0),0))</f>
        <v/>
      </c>
      <c r="AL182" s="20">
        <f t="shared" ca="1" si="67"/>
        <v>1</v>
      </c>
      <c r="AM182" s="20" t="str">
        <f t="shared" ca="1" si="58"/>
        <v/>
      </c>
      <c r="AN182" s="20" t="str" cm="1">
        <f t="array" aca="1" ref="AN182" ca="1">IF(AM182="","",IF(AM182&lt;&gt;AM181,1,IF(AN181=misLíneas-2,0,AN181+1)))</f>
        <v/>
      </c>
      <c r="AO182" s="20" t="str" cm="1">
        <f t="array" aca="1" ref="AO182" ca="1">IF(OR(AN182=0,AN182=""),"",INDEX(misCriticidades,AM182)&amp;"-"&amp;IFERROR(MATCH(AN182,miOrdenTarjeta,0),0))</f>
        <v/>
      </c>
      <c r="AQ182" s="20">
        <f t="shared" ca="1" si="68"/>
        <v>1</v>
      </c>
      <c r="AR182" s="20" t="str">
        <f t="shared" ca="1" si="59"/>
        <v/>
      </c>
      <c r="AS182" s="20" t="str" cm="1">
        <f t="array" aca="1" ref="AS182" ca="1">IF(AR182="","",IF(AR182&lt;&gt;AR181,1,IF(AS181=misLíneas-2,0,AS181+1)))</f>
        <v/>
      </c>
      <c r="AT182" s="20" t="str" cm="1">
        <f t="array" aca="1" ref="AT182" ca="1">IF(OR(AS182=0,AS182=""),"",INDEX(misCriticidades,AR182)&amp;"-"&amp;IFERROR(MATCH(AS182,miOrdenTarjeta,0),0))</f>
        <v/>
      </c>
      <c r="AV182" s="20">
        <f t="shared" ca="1" si="69"/>
        <v>1</v>
      </c>
      <c r="AW182" s="20" t="str">
        <f t="shared" ca="1" si="60"/>
        <v/>
      </c>
      <c r="AX182" s="20" t="str" cm="1">
        <f t="array" aca="1" ref="AX182" ca="1">IF(AW182="","",IF(AW182&lt;&gt;AW181,1,IF(AX181=misLíneas-2,0,AX181+1)))</f>
        <v/>
      </c>
      <c r="AY182" s="20" t="str" cm="1">
        <f t="array" aca="1" ref="AY182" ca="1">IF(OR(AX182=0,AX182=""),"",INDEX(misCriticidades,AW182)&amp;"-"&amp;IFERROR(MATCH(AX182,miOrdenTarjeta,0),0))</f>
        <v/>
      </c>
    </row>
    <row r="183" spans="3:51" x14ac:dyDescent="0.25">
      <c r="C183" s="20">
        <f t="shared" ca="1" si="70"/>
        <v>1</v>
      </c>
      <c r="D183" s="20" t="str">
        <f t="shared" ca="1" si="71"/>
        <v/>
      </c>
      <c r="E183" s="20" t="str" cm="1">
        <f t="array" aca="1" ref="E183" ca="1">IF(D183="","",IF(D183&lt;&gt;D182,1,IF(E182=misLíneas-2,0,E182+1)))</f>
        <v/>
      </c>
      <c r="F183" s="20" t="str" cm="1">
        <f t="array" aca="1" ref="F183" ca="1">IF(OR(E183=0,E183=""),"",INDEX(misCriticidades,D183)&amp;"-"&amp;IFERROR(MATCH(E183,miOrdenTarjeta,0),0))</f>
        <v/>
      </c>
      <c r="H183" s="20">
        <f t="shared" ca="1" si="61"/>
        <v>7</v>
      </c>
      <c r="I183" s="20" t="str">
        <f t="shared" ca="1" si="72"/>
        <v/>
      </c>
      <c r="J183" s="20" t="str" cm="1">
        <f t="array" aca="1" ref="J183" ca="1">IF(I183="","",IF(I183&lt;&gt;I182,1,IF(J182=misLíneas-2,0,J182+1)))</f>
        <v/>
      </c>
      <c r="K183" s="20" t="str" cm="1">
        <f t="array" aca="1" ref="K183" ca="1">IF(OR(J183=0,J183=""),"",INDEX(misCriticidades,I183)&amp;"-"&amp;IFERROR(MATCH(J183,miOrdenTarjeta,0),0))</f>
        <v/>
      </c>
      <c r="M183" s="20">
        <f t="shared" ca="1" si="62"/>
        <v>1</v>
      </c>
      <c r="N183" s="20" t="str">
        <f t="shared" ca="1" si="73"/>
        <v/>
      </c>
      <c r="O183" s="20" t="str" cm="1">
        <f t="array" aca="1" ref="O183" ca="1">IF(N183="","",IF(N183&lt;&gt;N182,1,IF(O182=misLíneas-2,0,O182+1)))</f>
        <v/>
      </c>
      <c r="P183" s="20" t="str" cm="1">
        <f t="array" aca="1" ref="P183" ca="1">IF(OR(O183=0,O183=""),"",INDEX(misCriticidades,N183)&amp;"-"&amp;IFERROR(MATCH(O183,miOrdenTarjeta,0),0))</f>
        <v/>
      </c>
      <c r="R183" s="20">
        <f t="shared" ca="1" si="63"/>
        <v>19</v>
      </c>
      <c r="S183" s="20">
        <f t="shared" ca="1" si="74"/>
        <v>11</v>
      </c>
      <c r="T183" s="20" cm="1">
        <f t="array" aca="1" ref="T183" ca="1">IF(S183="","",IF(S183&lt;&gt;S182,1,IF(T182=misLíneas-2,0,T182+1)))</f>
        <v>1</v>
      </c>
      <c r="U183" s="20" t="str" cm="1">
        <f t="array" aca="1" ref="U183" ca="1">IF(OR(T183=0,T183=""),"",INDEX(misCriticidades,S183)&amp;"-"&amp;IFERROR(MATCH(T183,miOrdenTarjeta,0),0))</f>
        <v>2-1</v>
      </c>
      <c r="W183" s="20">
        <f t="shared" ca="1" si="64"/>
        <v>1</v>
      </c>
      <c r="X183" s="20" t="str">
        <f t="shared" ca="1" si="75"/>
        <v/>
      </c>
      <c r="Y183" s="20" t="str" cm="1">
        <f t="array" aca="1" ref="Y183" ca="1">IF(X183="","",IF(X183&lt;&gt;X182,1,IF(Y182=misLíneas-2,0,Y182+1)))</f>
        <v/>
      </c>
      <c r="Z183" s="20" t="str" cm="1">
        <f t="array" aca="1" ref="Z183" ca="1">IF(OR(Y183=0,Y183=""),"",INDEX(misCriticidades,X183)&amp;"-"&amp;IFERROR(MATCH(Y183,miOrdenTarjeta,0),0))</f>
        <v/>
      </c>
      <c r="AB183" s="20">
        <f t="shared" ca="1" si="65"/>
        <v>1</v>
      </c>
      <c r="AC183" s="20" t="str">
        <f t="shared" ca="1" si="56"/>
        <v/>
      </c>
      <c r="AD183" s="20" t="str" cm="1">
        <f t="array" aca="1" ref="AD183" ca="1">IF(AC183="","",IF(AC183&lt;&gt;AC182,1,IF(AD182=misLíneas-2,0,AD182+1)))</f>
        <v/>
      </c>
      <c r="AE183" s="20" t="str" cm="1">
        <f t="array" aca="1" ref="AE183" ca="1">IF(OR(AD183=0,AD183=""),"",INDEX(misCriticidades,AC183)&amp;"-"&amp;IFERROR(MATCH(AD183,miOrdenTarjeta,0),0))</f>
        <v/>
      </c>
      <c r="AG183" s="20">
        <f t="shared" ca="1" si="66"/>
        <v>1</v>
      </c>
      <c r="AH183" s="20" t="str">
        <f t="shared" ca="1" si="57"/>
        <v/>
      </c>
      <c r="AI183" s="20" t="str" cm="1">
        <f t="array" aca="1" ref="AI183" ca="1">IF(AH183="","",IF(AH183&lt;&gt;AH182,1,IF(AI182=misLíneas-2,0,AI182+1)))</f>
        <v/>
      </c>
      <c r="AJ183" s="20" t="str" cm="1">
        <f t="array" aca="1" ref="AJ183" ca="1">IF(OR(AI183=0,AI183=""),"",INDEX(misCriticidades,AH183)&amp;"-"&amp;IFERROR(MATCH(AI183,miOrdenTarjeta,0),0))</f>
        <v/>
      </c>
      <c r="AL183" s="20">
        <f t="shared" ca="1" si="67"/>
        <v>1</v>
      </c>
      <c r="AM183" s="20" t="str">
        <f t="shared" ca="1" si="58"/>
        <v/>
      </c>
      <c r="AN183" s="20" t="str" cm="1">
        <f t="array" aca="1" ref="AN183" ca="1">IF(AM183="","",IF(AM183&lt;&gt;AM182,1,IF(AN182=misLíneas-2,0,AN182+1)))</f>
        <v/>
      </c>
      <c r="AO183" s="20" t="str" cm="1">
        <f t="array" aca="1" ref="AO183" ca="1">IF(OR(AN183=0,AN183=""),"",INDEX(misCriticidades,AM183)&amp;"-"&amp;IFERROR(MATCH(AN183,miOrdenTarjeta,0),0))</f>
        <v/>
      </c>
      <c r="AQ183" s="20">
        <f t="shared" ca="1" si="68"/>
        <v>1</v>
      </c>
      <c r="AR183" s="20" t="str">
        <f t="shared" ca="1" si="59"/>
        <v/>
      </c>
      <c r="AS183" s="20" t="str" cm="1">
        <f t="array" aca="1" ref="AS183" ca="1">IF(AR183="","",IF(AR183&lt;&gt;AR182,1,IF(AS182=misLíneas-2,0,AS182+1)))</f>
        <v/>
      </c>
      <c r="AT183" s="20" t="str" cm="1">
        <f t="array" aca="1" ref="AT183" ca="1">IF(OR(AS183=0,AS183=""),"",INDEX(misCriticidades,AR183)&amp;"-"&amp;IFERROR(MATCH(AS183,miOrdenTarjeta,0),0))</f>
        <v/>
      </c>
      <c r="AV183" s="20">
        <f t="shared" ca="1" si="69"/>
        <v>1</v>
      </c>
      <c r="AW183" s="20" t="str">
        <f t="shared" ca="1" si="60"/>
        <v/>
      </c>
      <c r="AX183" s="20" t="str" cm="1">
        <f t="array" aca="1" ref="AX183" ca="1">IF(AW183="","",IF(AW183&lt;&gt;AW182,1,IF(AX182=misLíneas-2,0,AX182+1)))</f>
        <v/>
      </c>
      <c r="AY183" s="20" t="str" cm="1">
        <f t="array" aca="1" ref="AY183" ca="1">IF(OR(AX183=0,AX183=""),"",INDEX(misCriticidades,AW183)&amp;"-"&amp;IFERROR(MATCH(AX183,miOrdenTarjeta,0),0))</f>
        <v/>
      </c>
    </row>
    <row r="184" spans="3:51" x14ac:dyDescent="0.25">
      <c r="C184" s="20">
        <f t="shared" ca="1" si="70"/>
        <v>1</v>
      </c>
      <c r="D184" s="20" t="str">
        <f t="shared" ca="1" si="71"/>
        <v/>
      </c>
      <c r="E184" s="20" t="str" cm="1">
        <f t="array" aca="1" ref="E184" ca="1">IF(D184="","",IF(D184&lt;&gt;D183,1,IF(E183=misLíneas-2,0,E183+1)))</f>
        <v/>
      </c>
      <c r="F184" s="20" t="str" cm="1">
        <f t="array" aca="1" ref="F184" ca="1">IF(OR(E184=0,E184=""),"",INDEX(misCriticidades,D184)&amp;"-"&amp;IFERROR(MATCH(E184,miOrdenTarjeta,0),0))</f>
        <v/>
      </c>
      <c r="H184" s="20">
        <f t="shared" ca="1" si="61"/>
        <v>7</v>
      </c>
      <c r="I184" s="20" t="str">
        <f t="shared" ca="1" si="72"/>
        <v/>
      </c>
      <c r="J184" s="20" t="str" cm="1">
        <f t="array" aca="1" ref="J184" ca="1">IF(I184="","",IF(I184&lt;&gt;I183,1,IF(J183=misLíneas-2,0,J183+1)))</f>
        <v/>
      </c>
      <c r="K184" s="20" t="str" cm="1">
        <f t="array" aca="1" ref="K184" ca="1">IF(OR(J184=0,J184=""),"",INDEX(misCriticidades,I184)&amp;"-"&amp;IFERROR(MATCH(J184,miOrdenTarjeta,0),0))</f>
        <v/>
      </c>
      <c r="M184" s="20">
        <f t="shared" ca="1" si="62"/>
        <v>1</v>
      </c>
      <c r="N184" s="20" t="str">
        <f t="shared" ca="1" si="73"/>
        <v/>
      </c>
      <c r="O184" s="20" t="str" cm="1">
        <f t="array" aca="1" ref="O184" ca="1">IF(N184="","",IF(N184&lt;&gt;N183,1,IF(O183=misLíneas-2,0,O183+1)))</f>
        <v/>
      </c>
      <c r="P184" s="20" t="str" cm="1">
        <f t="array" aca="1" ref="P184" ca="1">IF(OR(O184=0,O184=""),"",INDEX(misCriticidades,N184)&amp;"-"&amp;IFERROR(MATCH(O184,miOrdenTarjeta,0),0))</f>
        <v/>
      </c>
      <c r="R184" s="20">
        <f t="shared" ca="1" si="63"/>
        <v>19</v>
      </c>
      <c r="S184" s="20">
        <f t="shared" ca="1" si="74"/>
        <v>11</v>
      </c>
      <c r="T184" s="20" cm="1">
        <f t="array" aca="1" ref="T184" ca="1">IF(S184="","",IF(S184&lt;&gt;S183,1,IF(T183=misLíneas-2,0,T183+1)))</f>
        <v>2</v>
      </c>
      <c r="U184" s="20" t="str" cm="1">
        <f t="array" aca="1" ref="U184" ca="1">IF(OR(T184=0,T184=""),"",INDEX(misCriticidades,S184)&amp;"-"&amp;IFERROR(MATCH(T184,miOrdenTarjeta,0),0))</f>
        <v>2-2</v>
      </c>
      <c r="W184" s="20">
        <f t="shared" ca="1" si="64"/>
        <v>1</v>
      </c>
      <c r="X184" s="20" t="str">
        <f t="shared" ca="1" si="75"/>
        <v/>
      </c>
      <c r="Y184" s="20" t="str" cm="1">
        <f t="array" aca="1" ref="Y184" ca="1">IF(X184="","",IF(X184&lt;&gt;X183,1,IF(Y183=misLíneas-2,0,Y183+1)))</f>
        <v/>
      </c>
      <c r="Z184" s="20" t="str" cm="1">
        <f t="array" aca="1" ref="Z184" ca="1">IF(OR(Y184=0,Y184=""),"",INDEX(misCriticidades,X184)&amp;"-"&amp;IFERROR(MATCH(Y184,miOrdenTarjeta,0),0))</f>
        <v/>
      </c>
      <c r="AB184" s="20">
        <f t="shared" ca="1" si="65"/>
        <v>1</v>
      </c>
      <c r="AC184" s="20" t="str">
        <f t="shared" ca="1" si="56"/>
        <v/>
      </c>
      <c r="AD184" s="20" t="str" cm="1">
        <f t="array" aca="1" ref="AD184" ca="1">IF(AC184="","",IF(AC184&lt;&gt;AC183,1,IF(AD183=misLíneas-2,0,AD183+1)))</f>
        <v/>
      </c>
      <c r="AE184" s="20" t="str" cm="1">
        <f t="array" aca="1" ref="AE184" ca="1">IF(OR(AD184=0,AD184=""),"",INDEX(misCriticidades,AC184)&amp;"-"&amp;IFERROR(MATCH(AD184,miOrdenTarjeta,0),0))</f>
        <v/>
      </c>
      <c r="AG184" s="20">
        <f t="shared" ca="1" si="66"/>
        <v>1</v>
      </c>
      <c r="AH184" s="20" t="str">
        <f t="shared" ca="1" si="57"/>
        <v/>
      </c>
      <c r="AI184" s="20" t="str" cm="1">
        <f t="array" aca="1" ref="AI184" ca="1">IF(AH184="","",IF(AH184&lt;&gt;AH183,1,IF(AI183=misLíneas-2,0,AI183+1)))</f>
        <v/>
      </c>
      <c r="AJ184" s="20" t="str" cm="1">
        <f t="array" aca="1" ref="AJ184" ca="1">IF(OR(AI184=0,AI184=""),"",INDEX(misCriticidades,AH184)&amp;"-"&amp;IFERROR(MATCH(AI184,miOrdenTarjeta,0),0))</f>
        <v/>
      </c>
      <c r="AL184" s="20">
        <f t="shared" ca="1" si="67"/>
        <v>1</v>
      </c>
      <c r="AM184" s="20" t="str">
        <f t="shared" ca="1" si="58"/>
        <v/>
      </c>
      <c r="AN184" s="20" t="str" cm="1">
        <f t="array" aca="1" ref="AN184" ca="1">IF(AM184="","",IF(AM184&lt;&gt;AM183,1,IF(AN183=misLíneas-2,0,AN183+1)))</f>
        <v/>
      </c>
      <c r="AO184" s="20" t="str" cm="1">
        <f t="array" aca="1" ref="AO184" ca="1">IF(OR(AN184=0,AN184=""),"",INDEX(misCriticidades,AM184)&amp;"-"&amp;IFERROR(MATCH(AN184,miOrdenTarjeta,0),0))</f>
        <v/>
      </c>
      <c r="AQ184" s="20">
        <f t="shared" ca="1" si="68"/>
        <v>1</v>
      </c>
      <c r="AR184" s="20" t="str">
        <f t="shared" ca="1" si="59"/>
        <v/>
      </c>
      <c r="AS184" s="20" t="str" cm="1">
        <f t="array" aca="1" ref="AS184" ca="1">IF(AR184="","",IF(AR184&lt;&gt;AR183,1,IF(AS183=misLíneas-2,0,AS183+1)))</f>
        <v/>
      </c>
      <c r="AT184" s="20" t="str" cm="1">
        <f t="array" aca="1" ref="AT184" ca="1">IF(OR(AS184=0,AS184=""),"",INDEX(misCriticidades,AR184)&amp;"-"&amp;IFERROR(MATCH(AS184,miOrdenTarjeta,0),0))</f>
        <v/>
      </c>
      <c r="AV184" s="20">
        <f t="shared" ca="1" si="69"/>
        <v>1</v>
      </c>
      <c r="AW184" s="20" t="str">
        <f t="shared" ca="1" si="60"/>
        <v/>
      </c>
      <c r="AX184" s="20" t="str" cm="1">
        <f t="array" aca="1" ref="AX184" ca="1">IF(AW184="","",IF(AW184&lt;&gt;AW183,1,IF(AX183=misLíneas-2,0,AX183+1)))</f>
        <v/>
      </c>
      <c r="AY184" s="20" t="str" cm="1">
        <f t="array" aca="1" ref="AY184" ca="1">IF(OR(AX184=0,AX184=""),"",INDEX(misCriticidades,AW184)&amp;"-"&amp;IFERROR(MATCH(AX184,miOrdenTarjeta,0),0))</f>
        <v/>
      </c>
    </row>
    <row r="185" spans="3:51" x14ac:dyDescent="0.25">
      <c r="C185" s="20">
        <f t="shared" ca="1" si="70"/>
        <v>1</v>
      </c>
      <c r="D185" s="20" t="str">
        <f t="shared" ca="1" si="71"/>
        <v/>
      </c>
      <c r="E185" s="20" t="str" cm="1">
        <f t="array" aca="1" ref="E185" ca="1">IF(D185="","",IF(D185&lt;&gt;D184,1,IF(E184=misLíneas-2,0,E184+1)))</f>
        <v/>
      </c>
      <c r="F185" s="20" t="str" cm="1">
        <f t="array" aca="1" ref="F185" ca="1">IF(OR(E185=0,E185=""),"",INDEX(misCriticidades,D185)&amp;"-"&amp;IFERROR(MATCH(E185,miOrdenTarjeta,0),0))</f>
        <v/>
      </c>
      <c r="H185" s="20">
        <f t="shared" ca="1" si="61"/>
        <v>7</v>
      </c>
      <c r="I185" s="20" t="str">
        <f t="shared" ca="1" si="72"/>
        <v/>
      </c>
      <c r="J185" s="20" t="str" cm="1">
        <f t="array" aca="1" ref="J185" ca="1">IF(I185="","",IF(I185&lt;&gt;I184,1,IF(J184=misLíneas-2,0,J184+1)))</f>
        <v/>
      </c>
      <c r="K185" s="20" t="str" cm="1">
        <f t="array" aca="1" ref="K185" ca="1">IF(OR(J185=0,J185=""),"",INDEX(misCriticidades,I185)&amp;"-"&amp;IFERROR(MATCH(J185,miOrdenTarjeta,0),0))</f>
        <v/>
      </c>
      <c r="M185" s="20">
        <f t="shared" ca="1" si="62"/>
        <v>1</v>
      </c>
      <c r="N185" s="20" t="str">
        <f t="shared" ca="1" si="73"/>
        <v/>
      </c>
      <c r="O185" s="20" t="str" cm="1">
        <f t="array" aca="1" ref="O185" ca="1">IF(N185="","",IF(N185&lt;&gt;N184,1,IF(O184=misLíneas-2,0,O184+1)))</f>
        <v/>
      </c>
      <c r="P185" s="20" t="str" cm="1">
        <f t="array" aca="1" ref="P185" ca="1">IF(OR(O185=0,O185=""),"",INDEX(misCriticidades,N185)&amp;"-"&amp;IFERROR(MATCH(O185,miOrdenTarjeta,0),0))</f>
        <v/>
      </c>
      <c r="R185" s="20">
        <f t="shared" ca="1" si="63"/>
        <v>19</v>
      </c>
      <c r="S185" s="20">
        <f t="shared" ca="1" si="74"/>
        <v>11</v>
      </c>
      <c r="T185" s="20" cm="1">
        <f t="array" aca="1" ref="T185" ca="1">IF(S185="","",IF(S185&lt;&gt;S184,1,IF(T184=misLíneas-2,0,T184+1)))</f>
        <v>3</v>
      </c>
      <c r="U185" s="20" t="str" cm="1">
        <f t="array" aca="1" ref="U185" ca="1">IF(OR(T185=0,T185=""),"",INDEX(misCriticidades,S185)&amp;"-"&amp;IFERROR(MATCH(T185,miOrdenTarjeta,0),0))</f>
        <v>2-3</v>
      </c>
      <c r="W185" s="20">
        <f t="shared" ca="1" si="64"/>
        <v>1</v>
      </c>
      <c r="X185" s="20" t="str">
        <f t="shared" ca="1" si="75"/>
        <v/>
      </c>
      <c r="Y185" s="20" t="str" cm="1">
        <f t="array" aca="1" ref="Y185" ca="1">IF(X185="","",IF(X185&lt;&gt;X184,1,IF(Y184=misLíneas-2,0,Y184+1)))</f>
        <v/>
      </c>
      <c r="Z185" s="20" t="str" cm="1">
        <f t="array" aca="1" ref="Z185" ca="1">IF(OR(Y185=0,Y185=""),"",INDEX(misCriticidades,X185)&amp;"-"&amp;IFERROR(MATCH(Y185,miOrdenTarjeta,0),0))</f>
        <v/>
      </c>
      <c r="AB185" s="20">
        <f t="shared" ca="1" si="65"/>
        <v>1</v>
      </c>
      <c r="AC185" s="20" t="str">
        <f t="shared" ca="1" si="56"/>
        <v/>
      </c>
      <c r="AD185" s="20" t="str" cm="1">
        <f t="array" aca="1" ref="AD185" ca="1">IF(AC185="","",IF(AC185&lt;&gt;AC184,1,IF(AD184=misLíneas-2,0,AD184+1)))</f>
        <v/>
      </c>
      <c r="AE185" s="20" t="str" cm="1">
        <f t="array" aca="1" ref="AE185" ca="1">IF(OR(AD185=0,AD185=""),"",INDEX(misCriticidades,AC185)&amp;"-"&amp;IFERROR(MATCH(AD185,miOrdenTarjeta,0),0))</f>
        <v/>
      </c>
      <c r="AG185" s="20">
        <f t="shared" ca="1" si="66"/>
        <v>1</v>
      </c>
      <c r="AH185" s="20" t="str">
        <f t="shared" ca="1" si="57"/>
        <v/>
      </c>
      <c r="AI185" s="20" t="str" cm="1">
        <f t="array" aca="1" ref="AI185" ca="1">IF(AH185="","",IF(AH185&lt;&gt;AH184,1,IF(AI184=misLíneas-2,0,AI184+1)))</f>
        <v/>
      </c>
      <c r="AJ185" s="20" t="str" cm="1">
        <f t="array" aca="1" ref="AJ185" ca="1">IF(OR(AI185=0,AI185=""),"",INDEX(misCriticidades,AH185)&amp;"-"&amp;IFERROR(MATCH(AI185,miOrdenTarjeta,0),0))</f>
        <v/>
      </c>
      <c r="AL185" s="20">
        <f t="shared" ca="1" si="67"/>
        <v>1</v>
      </c>
      <c r="AM185" s="20" t="str">
        <f t="shared" ca="1" si="58"/>
        <v/>
      </c>
      <c r="AN185" s="20" t="str" cm="1">
        <f t="array" aca="1" ref="AN185" ca="1">IF(AM185="","",IF(AM185&lt;&gt;AM184,1,IF(AN184=misLíneas-2,0,AN184+1)))</f>
        <v/>
      </c>
      <c r="AO185" s="20" t="str" cm="1">
        <f t="array" aca="1" ref="AO185" ca="1">IF(OR(AN185=0,AN185=""),"",INDEX(misCriticidades,AM185)&amp;"-"&amp;IFERROR(MATCH(AN185,miOrdenTarjeta,0),0))</f>
        <v/>
      </c>
      <c r="AQ185" s="20">
        <f t="shared" ca="1" si="68"/>
        <v>1</v>
      </c>
      <c r="AR185" s="20" t="str">
        <f t="shared" ca="1" si="59"/>
        <v/>
      </c>
      <c r="AS185" s="20" t="str" cm="1">
        <f t="array" aca="1" ref="AS185" ca="1">IF(AR185="","",IF(AR185&lt;&gt;AR184,1,IF(AS184=misLíneas-2,0,AS184+1)))</f>
        <v/>
      </c>
      <c r="AT185" s="20" t="str" cm="1">
        <f t="array" aca="1" ref="AT185" ca="1">IF(OR(AS185=0,AS185=""),"",INDEX(misCriticidades,AR185)&amp;"-"&amp;IFERROR(MATCH(AS185,miOrdenTarjeta,0),0))</f>
        <v/>
      </c>
      <c r="AV185" s="20">
        <f t="shared" ca="1" si="69"/>
        <v>1</v>
      </c>
      <c r="AW185" s="20" t="str">
        <f t="shared" ca="1" si="60"/>
        <v/>
      </c>
      <c r="AX185" s="20" t="str" cm="1">
        <f t="array" aca="1" ref="AX185" ca="1">IF(AW185="","",IF(AW185&lt;&gt;AW184,1,IF(AX184=misLíneas-2,0,AX184+1)))</f>
        <v/>
      </c>
      <c r="AY185" s="20" t="str" cm="1">
        <f t="array" aca="1" ref="AY185" ca="1">IF(OR(AX185=0,AX185=""),"",INDEX(misCriticidades,AW185)&amp;"-"&amp;IFERROR(MATCH(AX185,miOrdenTarjeta,0),0))</f>
        <v/>
      </c>
    </row>
    <row r="186" spans="3:51" x14ac:dyDescent="0.25">
      <c r="C186" s="20">
        <f t="shared" ca="1" si="70"/>
        <v>1</v>
      </c>
      <c r="D186" s="20" t="str">
        <f t="shared" ca="1" si="71"/>
        <v/>
      </c>
      <c r="E186" s="20" t="str" cm="1">
        <f t="array" aca="1" ref="E186" ca="1">IF(D186="","",IF(D186&lt;&gt;D185,1,IF(E185=misLíneas-2,0,E185+1)))</f>
        <v/>
      </c>
      <c r="F186" s="20" t="str" cm="1">
        <f t="array" aca="1" ref="F186" ca="1">IF(OR(E186=0,E186=""),"",INDEX(misCriticidades,D186)&amp;"-"&amp;IFERROR(MATCH(E186,miOrdenTarjeta,0),0))</f>
        <v/>
      </c>
      <c r="H186" s="20">
        <f t="shared" ca="1" si="61"/>
        <v>7</v>
      </c>
      <c r="I186" s="20" t="str">
        <f t="shared" ca="1" si="72"/>
        <v/>
      </c>
      <c r="J186" s="20" t="str" cm="1">
        <f t="array" aca="1" ref="J186" ca="1">IF(I186="","",IF(I186&lt;&gt;I185,1,IF(J185=misLíneas-2,0,J185+1)))</f>
        <v/>
      </c>
      <c r="K186" s="20" t="str" cm="1">
        <f t="array" aca="1" ref="K186" ca="1">IF(OR(J186=0,J186=""),"",INDEX(misCriticidades,I186)&amp;"-"&amp;IFERROR(MATCH(J186,miOrdenTarjeta,0),0))</f>
        <v/>
      </c>
      <c r="M186" s="20">
        <f t="shared" ca="1" si="62"/>
        <v>1</v>
      </c>
      <c r="N186" s="20" t="str">
        <f t="shared" ca="1" si="73"/>
        <v/>
      </c>
      <c r="O186" s="20" t="str" cm="1">
        <f t="array" aca="1" ref="O186" ca="1">IF(N186="","",IF(N186&lt;&gt;N185,1,IF(O185=misLíneas-2,0,O185+1)))</f>
        <v/>
      </c>
      <c r="P186" s="20" t="str" cm="1">
        <f t="array" aca="1" ref="P186" ca="1">IF(OR(O186=0,O186=""),"",INDEX(misCriticidades,N186)&amp;"-"&amp;IFERROR(MATCH(O186,miOrdenTarjeta,0),0))</f>
        <v/>
      </c>
      <c r="R186" s="20">
        <f t="shared" ca="1" si="63"/>
        <v>19</v>
      </c>
      <c r="S186" s="20">
        <f t="shared" ca="1" si="74"/>
        <v>11</v>
      </c>
      <c r="T186" s="20" cm="1">
        <f t="array" aca="1" ref="T186" ca="1">IF(S186="","",IF(S186&lt;&gt;S185,1,IF(T185=misLíneas-2,0,T185+1)))</f>
        <v>4</v>
      </c>
      <c r="U186" s="20" t="str" cm="1">
        <f t="array" aca="1" ref="U186" ca="1">IF(OR(T186=0,T186=""),"",INDEX(misCriticidades,S186)&amp;"-"&amp;IFERROR(MATCH(T186,miOrdenTarjeta,0),0))</f>
        <v>2-4</v>
      </c>
      <c r="W186" s="20">
        <f t="shared" ca="1" si="64"/>
        <v>1</v>
      </c>
      <c r="X186" s="20" t="str">
        <f t="shared" ca="1" si="75"/>
        <v/>
      </c>
      <c r="Y186" s="20" t="str" cm="1">
        <f t="array" aca="1" ref="Y186" ca="1">IF(X186="","",IF(X186&lt;&gt;X185,1,IF(Y185=misLíneas-2,0,Y185+1)))</f>
        <v/>
      </c>
      <c r="Z186" s="20" t="str" cm="1">
        <f t="array" aca="1" ref="Z186" ca="1">IF(OR(Y186=0,Y186=""),"",INDEX(misCriticidades,X186)&amp;"-"&amp;IFERROR(MATCH(Y186,miOrdenTarjeta,0),0))</f>
        <v/>
      </c>
      <c r="AB186" s="20">
        <f t="shared" ca="1" si="65"/>
        <v>1</v>
      </c>
      <c r="AC186" s="20" t="str">
        <f t="shared" ca="1" si="56"/>
        <v/>
      </c>
      <c r="AD186" s="20" t="str" cm="1">
        <f t="array" aca="1" ref="AD186" ca="1">IF(AC186="","",IF(AC186&lt;&gt;AC185,1,IF(AD185=misLíneas-2,0,AD185+1)))</f>
        <v/>
      </c>
      <c r="AE186" s="20" t="str" cm="1">
        <f t="array" aca="1" ref="AE186" ca="1">IF(OR(AD186=0,AD186=""),"",INDEX(misCriticidades,AC186)&amp;"-"&amp;IFERROR(MATCH(AD186,miOrdenTarjeta,0),0))</f>
        <v/>
      </c>
      <c r="AG186" s="20">
        <f t="shared" ca="1" si="66"/>
        <v>1</v>
      </c>
      <c r="AH186" s="20" t="str">
        <f t="shared" ca="1" si="57"/>
        <v/>
      </c>
      <c r="AI186" s="20" t="str" cm="1">
        <f t="array" aca="1" ref="AI186" ca="1">IF(AH186="","",IF(AH186&lt;&gt;AH185,1,IF(AI185=misLíneas-2,0,AI185+1)))</f>
        <v/>
      </c>
      <c r="AJ186" s="20" t="str" cm="1">
        <f t="array" aca="1" ref="AJ186" ca="1">IF(OR(AI186=0,AI186=""),"",INDEX(misCriticidades,AH186)&amp;"-"&amp;IFERROR(MATCH(AI186,miOrdenTarjeta,0),0))</f>
        <v/>
      </c>
      <c r="AL186" s="20">
        <f t="shared" ca="1" si="67"/>
        <v>1</v>
      </c>
      <c r="AM186" s="20" t="str">
        <f t="shared" ca="1" si="58"/>
        <v/>
      </c>
      <c r="AN186" s="20" t="str" cm="1">
        <f t="array" aca="1" ref="AN186" ca="1">IF(AM186="","",IF(AM186&lt;&gt;AM185,1,IF(AN185=misLíneas-2,0,AN185+1)))</f>
        <v/>
      </c>
      <c r="AO186" s="20" t="str" cm="1">
        <f t="array" aca="1" ref="AO186" ca="1">IF(OR(AN186=0,AN186=""),"",INDEX(misCriticidades,AM186)&amp;"-"&amp;IFERROR(MATCH(AN186,miOrdenTarjeta,0),0))</f>
        <v/>
      </c>
      <c r="AQ186" s="20">
        <f t="shared" ca="1" si="68"/>
        <v>1</v>
      </c>
      <c r="AR186" s="20" t="str">
        <f t="shared" ca="1" si="59"/>
        <v/>
      </c>
      <c r="AS186" s="20" t="str" cm="1">
        <f t="array" aca="1" ref="AS186" ca="1">IF(AR186="","",IF(AR186&lt;&gt;AR185,1,IF(AS185=misLíneas-2,0,AS185+1)))</f>
        <v/>
      </c>
      <c r="AT186" s="20" t="str" cm="1">
        <f t="array" aca="1" ref="AT186" ca="1">IF(OR(AS186=0,AS186=""),"",INDEX(misCriticidades,AR186)&amp;"-"&amp;IFERROR(MATCH(AS186,miOrdenTarjeta,0),0))</f>
        <v/>
      </c>
      <c r="AV186" s="20">
        <f t="shared" ca="1" si="69"/>
        <v>1</v>
      </c>
      <c r="AW186" s="20" t="str">
        <f t="shared" ca="1" si="60"/>
        <v/>
      </c>
      <c r="AX186" s="20" t="str" cm="1">
        <f t="array" aca="1" ref="AX186" ca="1">IF(AW186="","",IF(AW186&lt;&gt;AW185,1,IF(AX185=misLíneas-2,0,AX185+1)))</f>
        <v/>
      </c>
      <c r="AY186" s="20" t="str" cm="1">
        <f t="array" aca="1" ref="AY186" ca="1">IF(OR(AX186=0,AX186=""),"",INDEX(misCriticidades,AW186)&amp;"-"&amp;IFERROR(MATCH(AX186,miOrdenTarjeta,0),0))</f>
        <v/>
      </c>
    </row>
    <row r="187" spans="3:51" x14ac:dyDescent="0.25">
      <c r="C187" s="20">
        <f t="shared" ca="1" si="70"/>
        <v>1</v>
      </c>
      <c r="D187" s="20" t="str">
        <f t="shared" ca="1" si="71"/>
        <v/>
      </c>
      <c r="E187" s="20" t="str" cm="1">
        <f t="array" aca="1" ref="E187" ca="1">IF(D187="","",IF(D187&lt;&gt;D186,1,IF(E186=misLíneas-2,0,E186+1)))</f>
        <v/>
      </c>
      <c r="F187" s="20" t="str" cm="1">
        <f t="array" aca="1" ref="F187" ca="1">IF(OR(E187=0,E187=""),"",INDEX(misCriticidades,D187)&amp;"-"&amp;IFERROR(MATCH(E187,miOrdenTarjeta,0),0))</f>
        <v/>
      </c>
      <c r="H187" s="20">
        <f t="shared" ca="1" si="61"/>
        <v>7</v>
      </c>
      <c r="I187" s="20" t="str">
        <f t="shared" ca="1" si="72"/>
        <v/>
      </c>
      <c r="J187" s="20" t="str" cm="1">
        <f t="array" aca="1" ref="J187" ca="1">IF(I187="","",IF(I187&lt;&gt;I186,1,IF(J186=misLíneas-2,0,J186+1)))</f>
        <v/>
      </c>
      <c r="K187" s="20" t="str" cm="1">
        <f t="array" aca="1" ref="K187" ca="1">IF(OR(J187=0,J187=""),"",INDEX(misCriticidades,I187)&amp;"-"&amp;IFERROR(MATCH(J187,miOrdenTarjeta,0),0))</f>
        <v/>
      </c>
      <c r="M187" s="20">
        <f t="shared" ca="1" si="62"/>
        <v>1</v>
      </c>
      <c r="N187" s="20" t="str">
        <f t="shared" ca="1" si="73"/>
        <v/>
      </c>
      <c r="O187" s="20" t="str" cm="1">
        <f t="array" aca="1" ref="O187" ca="1">IF(N187="","",IF(N187&lt;&gt;N186,1,IF(O186=misLíneas-2,0,O186+1)))</f>
        <v/>
      </c>
      <c r="P187" s="20" t="str" cm="1">
        <f t="array" aca="1" ref="P187" ca="1">IF(OR(O187=0,O187=""),"",INDEX(misCriticidades,N187)&amp;"-"&amp;IFERROR(MATCH(O187,miOrdenTarjeta,0),0))</f>
        <v/>
      </c>
      <c r="R187" s="20">
        <f t="shared" ca="1" si="63"/>
        <v>19</v>
      </c>
      <c r="S187" s="20">
        <f t="shared" ca="1" si="74"/>
        <v>11</v>
      </c>
      <c r="T187" s="20" cm="1">
        <f t="array" aca="1" ref="T187" ca="1">IF(S187="","",IF(S187&lt;&gt;S186,1,IF(T186=misLíneas-2,0,T186+1)))</f>
        <v>5</v>
      </c>
      <c r="U187" s="20" t="str" cm="1">
        <f t="array" aca="1" ref="U187" ca="1">IF(OR(T187=0,T187=""),"",INDEX(misCriticidades,S187)&amp;"-"&amp;IFERROR(MATCH(T187,miOrdenTarjeta,0),0))</f>
        <v>2-5</v>
      </c>
      <c r="W187" s="20">
        <f t="shared" ca="1" si="64"/>
        <v>1</v>
      </c>
      <c r="X187" s="20" t="str">
        <f t="shared" ca="1" si="75"/>
        <v/>
      </c>
      <c r="Y187" s="20" t="str" cm="1">
        <f t="array" aca="1" ref="Y187" ca="1">IF(X187="","",IF(X187&lt;&gt;X186,1,IF(Y186=misLíneas-2,0,Y186+1)))</f>
        <v/>
      </c>
      <c r="Z187" s="20" t="str" cm="1">
        <f t="array" aca="1" ref="Z187" ca="1">IF(OR(Y187=0,Y187=""),"",INDEX(misCriticidades,X187)&amp;"-"&amp;IFERROR(MATCH(Y187,miOrdenTarjeta,0),0))</f>
        <v/>
      </c>
      <c r="AB187" s="20">
        <f t="shared" ca="1" si="65"/>
        <v>1</v>
      </c>
      <c r="AC187" s="20" t="str">
        <f t="shared" ca="1" si="56"/>
        <v/>
      </c>
      <c r="AD187" s="20" t="str" cm="1">
        <f t="array" aca="1" ref="AD187" ca="1">IF(AC187="","",IF(AC187&lt;&gt;AC186,1,IF(AD186=misLíneas-2,0,AD186+1)))</f>
        <v/>
      </c>
      <c r="AE187" s="20" t="str" cm="1">
        <f t="array" aca="1" ref="AE187" ca="1">IF(OR(AD187=0,AD187=""),"",INDEX(misCriticidades,AC187)&amp;"-"&amp;IFERROR(MATCH(AD187,miOrdenTarjeta,0),0))</f>
        <v/>
      </c>
      <c r="AG187" s="20">
        <f t="shared" ca="1" si="66"/>
        <v>1</v>
      </c>
      <c r="AH187" s="20" t="str">
        <f t="shared" ca="1" si="57"/>
        <v/>
      </c>
      <c r="AI187" s="20" t="str" cm="1">
        <f t="array" aca="1" ref="AI187" ca="1">IF(AH187="","",IF(AH187&lt;&gt;AH186,1,IF(AI186=misLíneas-2,0,AI186+1)))</f>
        <v/>
      </c>
      <c r="AJ187" s="20" t="str" cm="1">
        <f t="array" aca="1" ref="AJ187" ca="1">IF(OR(AI187=0,AI187=""),"",INDEX(misCriticidades,AH187)&amp;"-"&amp;IFERROR(MATCH(AI187,miOrdenTarjeta,0),0))</f>
        <v/>
      </c>
      <c r="AL187" s="20">
        <f t="shared" ca="1" si="67"/>
        <v>1</v>
      </c>
      <c r="AM187" s="20" t="str">
        <f t="shared" ca="1" si="58"/>
        <v/>
      </c>
      <c r="AN187" s="20" t="str" cm="1">
        <f t="array" aca="1" ref="AN187" ca="1">IF(AM187="","",IF(AM187&lt;&gt;AM186,1,IF(AN186=misLíneas-2,0,AN186+1)))</f>
        <v/>
      </c>
      <c r="AO187" s="20" t="str" cm="1">
        <f t="array" aca="1" ref="AO187" ca="1">IF(OR(AN187=0,AN187=""),"",INDEX(misCriticidades,AM187)&amp;"-"&amp;IFERROR(MATCH(AN187,miOrdenTarjeta,0),0))</f>
        <v/>
      </c>
      <c r="AQ187" s="20">
        <f t="shared" ca="1" si="68"/>
        <v>1</v>
      </c>
      <c r="AR187" s="20" t="str">
        <f t="shared" ca="1" si="59"/>
        <v/>
      </c>
      <c r="AS187" s="20" t="str" cm="1">
        <f t="array" aca="1" ref="AS187" ca="1">IF(AR187="","",IF(AR187&lt;&gt;AR186,1,IF(AS186=misLíneas-2,0,AS186+1)))</f>
        <v/>
      </c>
      <c r="AT187" s="20" t="str" cm="1">
        <f t="array" aca="1" ref="AT187" ca="1">IF(OR(AS187=0,AS187=""),"",INDEX(misCriticidades,AR187)&amp;"-"&amp;IFERROR(MATCH(AS187,miOrdenTarjeta,0),0))</f>
        <v/>
      </c>
      <c r="AV187" s="20">
        <f t="shared" ca="1" si="69"/>
        <v>1</v>
      </c>
      <c r="AW187" s="20" t="str">
        <f t="shared" ca="1" si="60"/>
        <v/>
      </c>
      <c r="AX187" s="20" t="str" cm="1">
        <f t="array" aca="1" ref="AX187" ca="1">IF(AW187="","",IF(AW187&lt;&gt;AW186,1,IF(AX186=misLíneas-2,0,AX186+1)))</f>
        <v/>
      </c>
      <c r="AY187" s="20" t="str" cm="1">
        <f t="array" aca="1" ref="AY187" ca="1">IF(OR(AX187=0,AX187=""),"",INDEX(misCriticidades,AW187)&amp;"-"&amp;IFERROR(MATCH(AX187,miOrdenTarjeta,0),0))</f>
        <v/>
      </c>
    </row>
    <row r="188" spans="3:51" x14ac:dyDescent="0.25">
      <c r="C188" s="20">
        <f t="shared" ca="1" si="70"/>
        <v>1</v>
      </c>
      <c r="D188" s="20" t="str">
        <f t="shared" ca="1" si="71"/>
        <v/>
      </c>
      <c r="E188" s="20" t="str" cm="1">
        <f t="array" aca="1" ref="E188" ca="1">IF(D188="","",IF(D188&lt;&gt;D187,1,IF(E187=misLíneas-2,0,E187+1)))</f>
        <v/>
      </c>
      <c r="F188" s="20" t="str" cm="1">
        <f t="array" aca="1" ref="F188" ca="1">IF(OR(E188=0,E188=""),"",INDEX(misCriticidades,D188)&amp;"-"&amp;IFERROR(MATCH(E188,miOrdenTarjeta,0),0))</f>
        <v/>
      </c>
      <c r="H188" s="20">
        <f t="shared" ca="1" si="61"/>
        <v>7</v>
      </c>
      <c r="I188" s="20" t="str">
        <f t="shared" ca="1" si="72"/>
        <v/>
      </c>
      <c r="J188" s="20" t="str" cm="1">
        <f t="array" aca="1" ref="J188" ca="1">IF(I188="","",IF(I188&lt;&gt;I187,1,IF(J187=misLíneas-2,0,J187+1)))</f>
        <v/>
      </c>
      <c r="K188" s="20" t="str" cm="1">
        <f t="array" aca="1" ref="K188" ca="1">IF(OR(J188=0,J188=""),"",INDEX(misCriticidades,I188)&amp;"-"&amp;IFERROR(MATCH(J188,miOrdenTarjeta,0),0))</f>
        <v/>
      </c>
      <c r="M188" s="20">
        <f t="shared" ca="1" si="62"/>
        <v>1</v>
      </c>
      <c r="N188" s="20" t="str">
        <f t="shared" ca="1" si="73"/>
        <v/>
      </c>
      <c r="O188" s="20" t="str" cm="1">
        <f t="array" aca="1" ref="O188" ca="1">IF(N188="","",IF(N188&lt;&gt;N187,1,IF(O187=misLíneas-2,0,O187+1)))</f>
        <v/>
      </c>
      <c r="P188" s="20" t="str" cm="1">
        <f t="array" aca="1" ref="P188" ca="1">IF(OR(O188=0,O188=""),"",INDEX(misCriticidades,N188)&amp;"-"&amp;IFERROR(MATCH(O188,miOrdenTarjeta,0),0))</f>
        <v/>
      </c>
      <c r="R188" s="20">
        <f t="shared" ca="1" si="63"/>
        <v>19</v>
      </c>
      <c r="S188" s="20">
        <f t="shared" ca="1" si="74"/>
        <v>11</v>
      </c>
      <c r="T188" s="20" cm="1">
        <f t="array" aca="1" ref="T188" ca="1">IF(S188="","",IF(S188&lt;&gt;S187,1,IF(T187=misLíneas-2,0,T187+1)))</f>
        <v>6</v>
      </c>
      <c r="U188" s="20" t="str" cm="1">
        <f t="array" aca="1" ref="U188" ca="1">IF(OR(T188=0,T188=""),"",INDEX(misCriticidades,S188)&amp;"-"&amp;IFERROR(MATCH(T188,miOrdenTarjeta,0),0))</f>
        <v>2-6</v>
      </c>
      <c r="W188" s="20">
        <f t="shared" ca="1" si="64"/>
        <v>1</v>
      </c>
      <c r="X188" s="20" t="str">
        <f t="shared" ca="1" si="75"/>
        <v/>
      </c>
      <c r="Y188" s="20" t="str" cm="1">
        <f t="array" aca="1" ref="Y188" ca="1">IF(X188="","",IF(X188&lt;&gt;X187,1,IF(Y187=misLíneas-2,0,Y187+1)))</f>
        <v/>
      </c>
      <c r="Z188" s="20" t="str" cm="1">
        <f t="array" aca="1" ref="Z188" ca="1">IF(OR(Y188=0,Y188=""),"",INDEX(misCriticidades,X188)&amp;"-"&amp;IFERROR(MATCH(Y188,miOrdenTarjeta,0),0))</f>
        <v/>
      </c>
      <c r="AB188" s="20">
        <f t="shared" ca="1" si="65"/>
        <v>1</v>
      </c>
      <c r="AC188" s="20" t="str">
        <f t="shared" ca="1" si="56"/>
        <v/>
      </c>
      <c r="AD188" s="20" t="str" cm="1">
        <f t="array" aca="1" ref="AD188" ca="1">IF(AC188="","",IF(AC188&lt;&gt;AC187,1,IF(AD187=misLíneas-2,0,AD187+1)))</f>
        <v/>
      </c>
      <c r="AE188" s="20" t="str" cm="1">
        <f t="array" aca="1" ref="AE188" ca="1">IF(OR(AD188=0,AD188=""),"",INDEX(misCriticidades,AC188)&amp;"-"&amp;IFERROR(MATCH(AD188,miOrdenTarjeta,0),0))</f>
        <v/>
      </c>
      <c r="AG188" s="20">
        <f t="shared" ca="1" si="66"/>
        <v>1</v>
      </c>
      <c r="AH188" s="20" t="str">
        <f t="shared" ca="1" si="57"/>
        <v/>
      </c>
      <c r="AI188" s="20" t="str" cm="1">
        <f t="array" aca="1" ref="AI188" ca="1">IF(AH188="","",IF(AH188&lt;&gt;AH187,1,IF(AI187=misLíneas-2,0,AI187+1)))</f>
        <v/>
      </c>
      <c r="AJ188" s="20" t="str" cm="1">
        <f t="array" aca="1" ref="AJ188" ca="1">IF(OR(AI188=0,AI188=""),"",INDEX(misCriticidades,AH188)&amp;"-"&amp;IFERROR(MATCH(AI188,miOrdenTarjeta,0),0))</f>
        <v/>
      </c>
      <c r="AL188" s="20">
        <f t="shared" ca="1" si="67"/>
        <v>1</v>
      </c>
      <c r="AM188" s="20" t="str">
        <f t="shared" ca="1" si="58"/>
        <v/>
      </c>
      <c r="AN188" s="20" t="str" cm="1">
        <f t="array" aca="1" ref="AN188" ca="1">IF(AM188="","",IF(AM188&lt;&gt;AM187,1,IF(AN187=misLíneas-2,0,AN187+1)))</f>
        <v/>
      </c>
      <c r="AO188" s="20" t="str" cm="1">
        <f t="array" aca="1" ref="AO188" ca="1">IF(OR(AN188=0,AN188=""),"",INDEX(misCriticidades,AM188)&amp;"-"&amp;IFERROR(MATCH(AN188,miOrdenTarjeta,0),0))</f>
        <v/>
      </c>
      <c r="AQ188" s="20">
        <f t="shared" ca="1" si="68"/>
        <v>1</v>
      </c>
      <c r="AR188" s="20" t="str">
        <f t="shared" ca="1" si="59"/>
        <v/>
      </c>
      <c r="AS188" s="20" t="str" cm="1">
        <f t="array" aca="1" ref="AS188" ca="1">IF(AR188="","",IF(AR188&lt;&gt;AR187,1,IF(AS187=misLíneas-2,0,AS187+1)))</f>
        <v/>
      </c>
      <c r="AT188" s="20" t="str" cm="1">
        <f t="array" aca="1" ref="AT188" ca="1">IF(OR(AS188=0,AS188=""),"",INDEX(misCriticidades,AR188)&amp;"-"&amp;IFERROR(MATCH(AS188,miOrdenTarjeta,0),0))</f>
        <v/>
      </c>
      <c r="AV188" s="20">
        <f t="shared" ca="1" si="69"/>
        <v>1</v>
      </c>
      <c r="AW188" s="20" t="str">
        <f t="shared" ca="1" si="60"/>
        <v/>
      </c>
      <c r="AX188" s="20" t="str" cm="1">
        <f t="array" aca="1" ref="AX188" ca="1">IF(AW188="","",IF(AW188&lt;&gt;AW187,1,IF(AX187=misLíneas-2,0,AX187+1)))</f>
        <v/>
      </c>
      <c r="AY188" s="20" t="str" cm="1">
        <f t="array" aca="1" ref="AY188" ca="1">IF(OR(AX188=0,AX188=""),"",INDEX(misCriticidades,AW188)&amp;"-"&amp;IFERROR(MATCH(AX188,miOrdenTarjeta,0),0))</f>
        <v/>
      </c>
    </row>
    <row r="189" spans="3:51" x14ac:dyDescent="0.25">
      <c r="C189" s="20">
        <f t="shared" ca="1" si="70"/>
        <v>1</v>
      </c>
      <c r="D189" s="20" t="str">
        <f t="shared" ca="1" si="71"/>
        <v/>
      </c>
      <c r="E189" s="20" t="str" cm="1">
        <f t="array" aca="1" ref="E189" ca="1">IF(D189="","",IF(D189&lt;&gt;D188,1,IF(E188=misLíneas-2,0,E188+1)))</f>
        <v/>
      </c>
      <c r="F189" s="20" t="str" cm="1">
        <f t="array" aca="1" ref="F189" ca="1">IF(OR(E189=0,E189=""),"",INDEX(misCriticidades,D189)&amp;"-"&amp;IFERROR(MATCH(E189,miOrdenTarjeta,0),0))</f>
        <v/>
      </c>
      <c r="H189" s="20">
        <f t="shared" ca="1" si="61"/>
        <v>7</v>
      </c>
      <c r="I189" s="20" t="str">
        <f t="shared" ca="1" si="72"/>
        <v/>
      </c>
      <c r="J189" s="20" t="str" cm="1">
        <f t="array" aca="1" ref="J189" ca="1">IF(I189="","",IF(I189&lt;&gt;I188,1,IF(J188=misLíneas-2,0,J188+1)))</f>
        <v/>
      </c>
      <c r="K189" s="20" t="str" cm="1">
        <f t="array" aca="1" ref="K189" ca="1">IF(OR(J189=0,J189=""),"",INDEX(misCriticidades,I189)&amp;"-"&amp;IFERROR(MATCH(J189,miOrdenTarjeta,0),0))</f>
        <v/>
      </c>
      <c r="M189" s="20">
        <f t="shared" ca="1" si="62"/>
        <v>1</v>
      </c>
      <c r="N189" s="20" t="str">
        <f t="shared" ca="1" si="73"/>
        <v/>
      </c>
      <c r="O189" s="20" t="str" cm="1">
        <f t="array" aca="1" ref="O189" ca="1">IF(N189="","",IF(N189&lt;&gt;N188,1,IF(O188=misLíneas-2,0,O188+1)))</f>
        <v/>
      </c>
      <c r="P189" s="20" t="str" cm="1">
        <f t="array" aca="1" ref="P189" ca="1">IF(OR(O189=0,O189=""),"",INDEX(misCriticidades,N189)&amp;"-"&amp;IFERROR(MATCH(O189,miOrdenTarjeta,0),0))</f>
        <v/>
      </c>
      <c r="R189" s="20">
        <f t="shared" ca="1" si="63"/>
        <v>19</v>
      </c>
      <c r="S189" s="20">
        <f t="shared" ca="1" si="74"/>
        <v>11</v>
      </c>
      <c r="T189" s="20" cm="1">
        <f t="array" aca="1" ref="T189" ca="1">IF(S189="","",IF(S189&lt;&gt;S188,1,IF(T188=misLíneas-2,0,T188+1)))</f>
        <v>7</v>
      </c>
      <c r="U189" s="20" t="str" cm="1">
        <f t="array" aca="1" ref="U189" ca="1">IF(OR(T189=0,T189=""),"",INDEX(misCriticidades,S189)&amp;"-"&amp;IFERROR(MATCH(T189,miOrdenTarjeta,0),0))</f>
        <v>2-7</v>
      </c>
      <c r="W189" s="20">
        <f t="shared" ca="1" si="64"/>
        <v>1</v>
      </c>
      <c r="X189" s="20" t="str">
        <f t="shared" ca="1" si="75"/>
        <v/>
      </c>
      <c r="Y189" s="20" t="str" cm="1">
        <f t="array" aca="1" ref="Y189" ca="1">IF(X189="","",IF(X189&lt;&gt;X188,1,IF(Y188=misLíneas-2,0,Y188+1)))</f>
        <v/>
      </c>
      <c r="Z189" s="20" t="str" cm="1">
        <f t="array" aca="1" ref="Z189" ca="1">IF(OR(Y189=0,Y189=""),"",INDEX(misCriticidades,X189)&amp;"-"&amp;IFERROR(MATCH(Y189,miOrdenTarjeta,0),0))</f>
        <v/>
      </c>
      <c r="AB189" s="20">
        <f t="shared" ca="1" si="65"/>
        <v>1</v>
      </c>
      <c r="AC189" s="20" t="str">
        <f t="shared" ca="1" si="56"/>
        <v/>
      </c>
      <c r="AD189" s="20" t="str" cm="1">
        <f t="array" aca="1" ref="AD189" ca="1">IF(AC189="","",IF(AC189&lt;&gt;AC188,1,IF(AD188=misLíneas-2,0,AD188+1)))</f>
        <v/>
      </c>
      <c r="AE189" s="20" t="str" cm="1">
        <f t="array" aca="1" ref="AE189" ca="1">IF(OR(AD189=0,AD189=""),"",INDEX(misCriticidades,AC189)&amp;"-"&amp;IFERROR(MATCH(AD189,miOrdenTarjeta,0),0))</f>
        <v/>
      </c>
      <c r="AG189" s="20">
        <f t="shared" ca="1" si="66"/>
        <v>1</v>
      </c>
      <c r="AH189" s="20" t="str">
        <f t="shared" ca="1" si="57"/>
        <v/>
      </c>
      <c r="AI189" s="20" t="str" cm="1">
        <f t="array" aca="1" ref="AI189" ca="1">IF(AH189="","",IF(AH189&lt;&gt;AH188,1,IF(AI188=misLíneas-2,0,AI188+1)))</f>
        <v/>
      </c>
      <c r="AJ189" s="20" t="str" cm="1">
        <f t="array" aca="1" ref="AJ189" ca="1">IF(OR(AI189=0,AI189=""),"",INDEX(misCriticidades,AH189)&amp;"-"&amp;IFERROR(MATCH(AI189,miOrdenTarjeta,0),0))</f>
        <v/>
      </c>
      <c r="AL189" s="20">
        <f t="shared" ca="1" si="67"/>
        <v>1</v>
      </c>
      <c r="AM189" s="20" t="str">
        <f t="shared" ca="1" si="58"/>
        <v/>
      </c>
      <c r="AN189" s="20" t="str" cm="1">
        <f t="array" aca="1" ref="AN189" ca="1">IF(AM189="","",IF(AM189&lt;&gt;AM188,1,IF(AN188=misLíneas-2,0,AN188+1)))</f>
        <v/>
      </c>
      <c r="AO189" s="20" t="str" cm="1">
        <f t="array" aca="1" ref="AO189" ca="1">IF(OR(AN189=0,AN189=""),"",INDEX(misCriticidades,AM189)&amp;"-"&amp;IFERROR(MATCH(AN189,miOrdenTarjeta,0),0))</f>
        <v/>
      </c>
      <c r="AQ189" s="20">
        <f t="shared" ca="1" si="68"/>
        <v>1</v>
      </c>
      <c r="AR189" s="20" t="str">
        <f t="shared" ca="1" si="59"/>
        <v/>
      </c>
      <c r="AS189" s="20" t="str" cm="1">
        <f t="array" aca="1" ref="AS189" ca="1">IF(AR189="","",IF(AR189&lt;&gt;AR188,1,IF(AS188=misLíneas-2,0,AS188+1)))</f>
        <v/>
      </c>
      <c r="AT189" s="20" t="str" cm="1">
        <f t="array" aca="1" ref="AT189" ca="1">IF(OR(AS189=0,AS189=""),"",INDEX(misCriticidades,AR189)&amp;"-"&amp;IFERROR(MATCH(AS189,miOrdenTarjeta,0),0))</f>
        <v/>
      </c>
      <c r="AV189" s="20">
        <f t="shared" ca="1" si="69"/>
        <v>1</v>
      </c>
      <c r="AW189" s="20" t="str">
        <f t="shared" ca="1" si="60"/>
        <v/>
      </c>
      <c r="AX189" s="20" t="str" cm="1">
        <f t="array" aca="1" ref="AX189" ca="1">IF(AW189="","",IF(AW189&lt;&gt;AW188,1,IF(AX188=misLíneas-2,0,AX188+1)))</f>
        <v/>
      </c>
      <c r="AY189" s="20" t="str" cm="1">
        <f t="array" aca="1" ref="AY189" ca="1">IF(OR(AX189=0,AX189=""),"",INDEX(misCriticidades,AW189)&amp;"-"&amp;IFERROR(MATCH(AX189,miOrdenTarjeta,0),0))</f>
        <v/>
      </c>
    </row>
    <row r="190" spans="3:51" x14ac:dyDescent="0.25">
      <c r="C190" s="20">
        <f t="shared" ca="1" si="70"/>
        <v>1</v>
      </c>
      <c r="D190" s="20" t="str">
        <f t="shared" ca="1" si="71"/>
        <v/>
      </c>
      <c r="E190" s="20" t="str" cm="1">
        <f t="array" aca="1" ref="E190" ca="1">IF(D190="","",IF(D190&lt;&gt;D189,1,IF(E189=misLíneas-2,0,E189+1)))</f>
        <v/>
      </c>
      <c r="F190" s="20" t="str" cm="1">
        <f t="array" aca="1" ref="F190" ca="1">IF(OR(E190=0,E190=""),"",INDEX(misCriticidades,D190)&amp;"-"&amp;IFERROR(MATCH(E190,miOrdenTarjeta,0),0))</f>
        <v/>
      </c>
      <c r="H190" s="20">
        <f t="shared" ca="1" si="61"/>
        <v>7</v>
      </c>
      <c r="I190" s="20" t="str">
        <f t="shared" ca="1" si="72"/>
        <v/>
      </c>
      <c r="J190" s="20" t="str" cm="1">
        <f t="array" aca="1" ref="J190" ca="1">IF(I190="","",IF(I190&lt;&gt;I189,1,IF(J189=misLíneas-2,0,J189+1)))</f>
        <v/>
      </c>
      <c r="K190" s="20" t="str" cm="1">
        <f t="array" aca="1" ref="K190" ca="1">IF(OR(J190=0,J190=""),"",INDEX(misCriticidades,I190)&amp;"-"&amp;IFERROR(MATCH(J190,miOrdenTarjeta,0),0))</f>
        <v/>
      </c>
      <c r="M190" s="20">
        <f t="shared" ca="1" si="62"/>
        <v>1</v>
      </c>
      <c r="N190" s="20" t="str">
        <f t="shared" ca="1" si="73"/>
        <v/>
      </c>
      <c r="O190" s="20" t="str" cm="1">
        <f t="array" aca="1" ref="O190" ca="1">IF(N190="","",IF(N190&lt;&gt;N189,1,IF(O189=misLíneas-2,0,O189+1)))</f>
        <v/>
      </c>
      <c r="P190" s="20" t="str" cm="1">
        <f t="array" aca="1" ref="P190" ca="1">IF(OR(O190=0,O190=""),"",INDEX(misCriticidades,N190)&amp;"-"&amp;IFERROR(MATCH(O190,miOrdenTarjeta,0),0))</f>
        <v/>
      </c>
      <c r="R190" s="20">
        <f t="shared" ca="1" si="63"/>
        <v>19</v>
      </c>
      <c r="S190" s="20">
        <f t="shared" ca="1" si="74"/>
        <v>11</v>
      </c>
      <c r="T190" s="20" cm="1">
        <f t="array" aca="1" ref="T190" ca="1">IF(S190="","",IF(S190&lt;&gt;S189,1,IF(T189=misLíneas-2,0,T189+1)))</f>
        <v>8</v>
      </c>
      <c r="U190" s="20" t="str" cm="1">
        <f t="array" aca="1" ref="U190" ca="1">IF(OR(T190=0,T190=""),"",INDEX(misCriticidades,S190)&amp;"-"&amp;IFERROR(MATCH(T190,miOrdenTarjeta,0),0))</f>
        <v>2-8</v>
      </c>
      <c r="W190" s="20">
        <f t="shared" ca="1" si="64"/>
        <v>1</v>
      </c>
      <c r="X190" s="20" t="str">
        <f t="shared" ca="1" si="75"/>
        <v/>
      </c>
      <c r="Y190" s="20" t="str" cm="1">
        <f t="array" aca="1" ref="Y190" ca="1">IF(X190="","",IF(X190&lt;&gt;X189,1,IF(Y189=misLíneas-2,0,Y189+1)))</f>
        <v/>
      </c>
      <c r="Z190" s="20" t="str" cm="1">
        <f t="array" aca="1" ref="Z190" ca="1">IF(OR(Y190=0,Y190=""),"",INDEX(misCriticidades,X190)&amp;"-"&amp;IFERROR(MATCH(Y190,miOrdenTarjeta,0),0))</f>
        <v/>
      </c>
      <c r="AB190" s="20">
        <f t="shared" ca="1" si="65"/>
        <v>1</v>
      </c>
      <c r="AC190" s="20" t="str">
        <f t="shared" ca="1" si="56"/>
        <v/>
      </c>
      <c r="AD190" s="20" t="str" cm="1">
        <f t="array" aca="1" ref="AD190" ca="1">IF(AC190="","",IF(AC190&lt;&gt;AC189,1,IF(AD189=misLíneas-2,0,AD189+1)))</f>
        <v/>
      </c>
      <c r="AE190" s="20" t="str" cm="1">
        <f t="array" aca="1" ref="AE190" ca="1">IF(OR(AD190=0,AD190=""),"",INDEX(misCriticidades,AC190)&amp;"-"&amp;IFERROR(MATCH(AD190,miOrdenTarjeta,0),0))</f>
        <v/>
      </c>
      <c r="AG190" s="20">
        <f t="shared" ca="1" si="66"/>
        <v>1</v>
      </c>
      <c r="AH190" s="20" t="str">
        <f t="shared" ca="1" si="57"/>
        <v/>
      </c>
      <c r="AI190" s="20" t="str" cm="1">
        <f t="array" aca="1" ref="AI190" ca="1">IF(AH190="","",IF(AH190&lt;&gt;AH189,1,IF(AI189=misLíneas-2,0,AI189+1)))</f>
        <v/>
      </c>
      <c r="AJ190" s="20" t="str" cm="1">
        <f t="array" aca="1" ref="AJ190" ca="1">IF(OR(AI190=0,AI190=""),"",INDEX(misCriticidades,AH190)&amp;"-"&amp;IFERROR(MATCH(AI190,miOrdenTarjeta,0),0))</f>
        <v/>
      </c>
      <c r="AL190" s="20">
        <f t="shared" ca="1" si="67"/>
        <v>1</v>
      </c>
      <c r="AM190" s="20" t="str">
        <f t="shared" ca="1" si="58"/>
        <v/>
      </c>
      <c r="AN190" s="20" t="str" cm="1">
        <f t="array" aca="1" ref="AN190" ca="1">IF(AM190="","",IF(AM190&lt;&gt;AM189,1,IF(AN189=misLíneas-2,0,AN189+1)))</f>
        <v/>
      </c>
      <c r="AO190" s="20" t="str" cm="1">
        <f t="array" aca="1" ref="AO190" ca="1">IF(OR(AN190=0,AN190=""),"",INDEX(misCriticidades,AM190)&amp;"-"&amp;IFERROR(MATCH(AN190,miOrdenTarjeta,0),0))</f>
        <v/>
      </c>
      <c r="AQ190" s="20">
        <f t="shared" ca="1" si="68"/>
        <v>1</v>
      </c>
      <c r="AR190" s="20" t="str">
        <f t="shared" ca="1" si="59"/>
        <v/>
      </c>
      <c r="AS190" s="20" t="str" cm="1">
        <f t="array" aca="1" ref="AS190" ca="1">IF(AR190="","",IF(AR190&lt;&gt;AR189,1,IF(AS189=misLíneas-2,0,AS189+1)))</f>
        <v/>
      </c>
      <c r="AT190" s="20" t="str" cm="1">
        <f t="array" aca="1" ref="AT190" ca="1">IF(OR(AS190=0,AS190=""),"",INDEX(misCriticidades,AR190)&amp;"-"&amp;IFERROR(MATCH(AS190,miOrdenTarjeta,0),0))</f>
        <v/>
      </c>
      <c r="AV190" s="20">
        <f t="shared" ca="1" si="69"/>
        <v>1</v>
      </c>
      <c r="AW190" s="20" t="str">
        <f t="shared" ca="1" si="60"/>
        <v/>
      </c>
      <c r="AX190" s="20" t="str" cm="1">
        <f t="array" aca="1" ref="AX190" ca="1">IF(AW190="","",IF(AW190&lt;&gt;AW189,1,IF(AX189=misLíneas-2,0,AX189+1)))</f>
        <v/>
      </c>
      <c r="AY190" s="20" t="str" cm="1">
        <f t="array" aca="1" ref="AY190" ca="1">IF(OR(AX190=0,AX190=""),"",INDEX(misCriticidades,AW190)&amp;"-"&amp;IFERROR(MATCH(AX190,miOrdenTarjeta,0),0))</f>
        <v/>
      </c>
    </row>
    <row r="191" spans="3:51" x14ac:dyDescent="0.25">
      <c r="C191" s="20">
        <f t="shared" ca="1" si="70"/>
        <v>1</v>
      </c>
      <c r="D191" s="20" t="str">
        <f t="shared" ca="1" si="71"/>
        <v/>
      </c>
      <c r="E191" s="20" t="str" cm="1">
        <f t="array" aca="1" ref="E191" ca="1">IF(D191="","",IF(D191&lt;&gt;D190,1,IF(E190=misLíneas-2,0,E190+1)))</f>
        <v/>
      </c>
      <c r="F191" s="20" t="str" cm="1">
        <f t="array" aca="1" ref="F191" ca="1">IF(OR(E191=0,E191=""),"",INDEX(misCriticidades,D191)&amp;"-"&amp;IFERROR(MATCH(E191,miOrdenTarjeta,0),0))</f>
        <v/>
      </c>
      <c r="H191" s="20">
        <f t="shared" ca="1" si="61"/>
        <v>7</v>
      </c>
      <c r="I191" s="20" t="str">
        <f t="shared" ca="1" si="72"/>
        <v/>
      </c>
      <c r="J191" s="20" t="str" cm="1">
        <f t="array" aca="1" ref="J191" ca="1">IF(I191="","",IF(I191&lt;&gt;I190,1,IF(J190=misLíneas-2,0,J190+1)))</f>
        <v/>
      </c>
      <c r="K191" s="20" t="str" cm="1">
        <f t="array" aca="1" ref="K191" ca="1">IF(OR(J191=0,J191=""),"",INDEX(misCriticidades,I191)&amp;"-"&amp;IFERROR(MATCH(J191,miOrdenTarjeta,0),0))</f>
        <v/>
      </c>
      <c r="M191" s="20">
        <f t="shared" ca="1" si="62"/>
        <v>1</v>
      </c>
      <c r="N191" s="20" t="str">
        <f t="shared" ca="1" si="73"/>
        <v/>
      </c>
      <c r="O191" s="20" t="str" cm="1">
        <f t="array" aca="1" ref="O191" ca="1">IF(N191="","",IF(N191&lt;&gt;N190,1,IF(O190=misLíneas-2,0,O190+1)))</f>
        <v/>
      </c>
      <c r="P191" s="20" t="str" cm="1">
        <f t="array" aca="1" ref="P191" ca="1">IF(OR(O191=0,O191=""),"",INDEX(misCriticidades,N191)&amp;"-"&amp;IFERROR(MATCH(O191,miOrdenTarjeta,0),0))</f>
        <v/>
      </c>
      <c r="R191" s="20">
        <f t="shared" ca="1" si="63"/>
        <v>19</v>
      </c>
      <c r="S191" s="20">
        <f t="shared" ca="1" si="74"/>
        <v>11</v>
      </c>
      <c r="T191" s="20" cm="1">
        <f t="array" aca="1" ref="T191" ca="1">IF(S191="","",IF(S191&lt;&gt;S190,1,IF(T190=misLíneas-2,0,T190+1)))</f>
        <v>9</v>
      </c>
      <c r="U191" s="20" t="str" cm="1">
        <f t="array" aca="1" ref="U191" ca="1">IF(OR(T191=0,T191=""),"",INDEX(misCriticidades,S191)&amp;"-"&amp;IFERROR(MATCH(T191,miOrdenTarjeta,0),0))</f>
        <v>2-0</v>
      </c>
      <c r="W191" s="20">
        <f t="shared" ca="1" si="64"/>
        <v>1</v>
      </c>
      <c r="X191" s="20" t="str">
        <f t="shared" ca="1" si="75"/>
        <v/>
      </c>
      <c r="Y191" s="20" t="str" cm="1">
        <f t="array" aca="1" ref="Y191" ca="1">IF(X191="","",IF(X191&lt;&gt;X190,1,IF(Y190=misLíneas-2,0,Y190+1)))</f>
        <v/>
      </c>
      <c r="Z191" s="20" t="str" cm="1">
        <f t="array" aca="1" ref="Z191" ca="1">IF(OR(Y191=0,Y191=""),"",INDEX(misCriticidades,X191)&amp;"-"&amp;IFERROR(MATCH(Y191,miOrdenTarjeta,0),0))</f>
        <v/>
      </c>
      <c r="AB191" s="20">
        <f t="shared" ca="1" si="65"/>
        <v>1</v>
      </c>
      <c r="AC191" s="20" t="str">
        <f t="shared" ca="1" si="56"/>
        <v/>
      </c>
      <c r="AD191" s="20" t="str" cm="1">
        <f t="array" aca="1" ref="AD191" ca="1">IF(AC191="","",IF(AC191&lt;&gt;AC190,1,IF(AD190=misLíneas-2,0,AD190+1)))</f>
        <v/>
      </c>
      <c r="AE191" s="20" t="str" cm="1">
        <f t="array" aca="1" ref="AE191" ca="1">IF(OR(AD191=0,AD191=""),"",INDEX(misCriticidades,AC191)&amp;"-"&amp;IFERROR(MATCH(AD191,miOrdenTarjeta,0),0))</f>
        <v/>
      </c>
      <c r="AG191" s="20">
        <f t="shared" ca="1" si="66"/>
        <v>1</v>
      </c>
      <c r="AH191" s="20" t="str">
        <f t="shared" ca="1" si="57"/>
        <v/>
      </c>
      <c r="AI191" s="20" t="str" cm="1">
        <f t="array" aca="1" ref="AI191" ca="1">IF(AH191="","",IF(AH191&lt;&gt;AH190,1,IF(AI190=misLíneas-2,0,AI190+1)))</f>
        <v/>
      </c>
      <c r="AJ191" s="20" t="str" cm="1">
        <f t="array" aca="1" ref="AJ191" ca="1">IF(OR(AI191=0,AI191=""),"",INDEX(misCriticidades,AH191)&amp;"-"&amp;IFERROR(MATCH(AI191,miOrdenTarjeta,0),0))</f>
        <v/>
      </c>
      <c r="AL191" s="20">
        <f t="shared" ca="1" si="67"/>
        <v>1</v>
      </c>
      <c r="AM191" s="20" t="str">
        <f t="shared" ca="1" si="58"/>
        <v/>
      </c>
      <c r="AN191" s="20" t="str" cm="1">
        <f t="array" aca="1" ref="AN191" ca="1">IF(AM191="","",IF(AM191&lt;&gt;AM190,1,IF(AN190=misLíneas-2,0,AN190+1)))</f>
        <v/>
      </c>
      <c r="AO191" s="20" t="str" cm="1">
        <f t="array" aca="1" ref="AO191" ca="1">IF(OR(AN191=0,AN191=""),"",INDEX(misCriticidades,AM191)&amp;"-"&amp;IFERROR(MATCH(AN191,miOrdenTarjeta,0),0))</f>
        <v/>
      </c>
      <c r="AQ191" s="20">
        <f t="shared" ca="1" si="68"/>
        <v>1</v>
      </c>
      <c r="AR191" s="20" t="str">
        <f t="shared" ca="1" si="59"/>
        <v/>
      </c>
      <c r="AS191" s="20" t="str" cm="1">
        <f t="array" aca="1" ref="AS191" ca="1">IF(AR191="","",IF(AR191&lt;&gt;AR190,1,IF(AS190=misLíneas-2,0,AS190+1)))</f>
        <v/>
      </c>
      <c r="AT191" s="20" t="str" cm="1">
        <f t="array" aca="1" ref="AT191" ca="1">IF(OR(AS191=0,AS191=""),"",INDEX(misCriticidades,AR191)&amp;"-"&amp;IFERROR(MATCH(AS191,miOrdenTarjeta,0),0))</f>
        <v/>
      </c>
      <c r="AV191" s="20">
        <f t="shared" ca="1" si="69"/>
        <v>1</v>
      </c>
      <c r="AW191" s="20" t="str">
        <f t="shared" ca="1" si="60"/>
        <v/>
      </c>
      <c r="AX191" s="20" t="str" cm="1">
        <f t="array" aca="1" ref="AX191" ca="1">IF(AW191="","",IF(AW191&lt;&gt;AW190,1,IF(AX190=misLíneas-2,0,AX190+1)))</f>
        <v/>
      </c>
      <c r="AY191" s="20" t="str" cm="1">
        <f t="array" aca="1" ref="AY191" ca="1">IF(OR(AX191=0,AX191=""),"",INDEX(misCriticidades,AW191)&amp;"-"&amp;IFERROR(MATCH(AX191,miOrdenTarjeta,0),0))</f>
        <v/>
      </c>
    </row>
    <row r="192" spans="3:51" x14ac:dyDescent="0.25">
      <c r="C192" s="20">
        <f t="shared" ca="1" si="70"/>
        <v>1</v>
      </c>
      <c r="D192" s="20" t="str">
        <f t="shared" ca="1" si="71"/>
        <v/>
      </c>
      <c r="E192" s="20" t="str" cm="1">
        <f t="array" aca="1" ref="E192" ca="1">IF(D192="","",IF(D192&lt;&gt;D191,1,IF(E191=misLíneas-2,0,E191+1)))</f>
        <v/>
      </c>
      <c r="F192" s="20" t="str" cm="1">
        <f t="array" aca="1" ref="F192" ca="1">IF(OR(E192=0,E192=""),"",INDEX(misCriticidades,D192)&amp;"-"&amp;IFERROR(MATCH(E192,miOrdenTarjeta,0),0))</f>
        <v/>
      </c>
      <c r="H192" s="20">
        <f t="shared" ca="1" si="61"/>
        <v>7</v>
      </c>
      <c r="I192" s="20" t="str">
        <f t="shared" ca="1" si="72"/>
        <v/>
      </c>
      <c r="J192" s="20" t="str" cm="1">
        <f t="array" aca="1" ref="J192" ca="1">IF(I192="","",IF(I192&lt;&gt;I191,1,IF(J191=misLíneas-2,0,J191+1)))</f>
        <v/>
      </c>
      <c r="K192" s="20" t="str" cm="1">
        <f t="array" aca="1" ref="K192" ca="1">IF(OR(J192=0,J192=""),"",INDEX(misCriticidades,I192)&amp;"-"&amp;IFERROR(MATCH(J192,miOrdenTarjeta,0),0))</f>
        <v/>
      </c>
      <c r="M192" s="20">
        <f t="shared" ca="1" si="62"/>
        <v>1</v>
      </c>
      <c r="N192" s="20" t="str">
        <f t="shared" ca="1" si="73"/>
        <v/>
      </c>
      <c r="O192" s="20" t="str" cm="1">
        <f t="array" aca="1" ref="O192" ca="1">IF(N192="","",IF(N192&lt;&gt;N191,1,IF(O191=misLíneas-2,0,O191+1)))</f>
        <v/>
      </c>
      <c r="P192" s="20" t="str" cm="1">
        <f t="array" aca="1" ref="P192" ca="1">IF(OR(O192=0,O192=""),"",INDEX(misCriticidades,N192)&amp;"-"&amp;IFERROR(MATCH(O192,miOrdenTarjeta,0),0))</f>
        <v/>
      </c>
      <c r="R192" s="20">
        <f t="shared" ca="1" si="63"/>
        <v>19</v>
      </c>
      <c r="S192" s="20">
        <f t="shared" ca="1" si="74"/>
        <v>11</v>
      </c>
      <c r="T192" s="20" cm="1">
        <f t="array" aca="1" ref="T192" ca="1">IF(S192="","",IF(S192&lt;&gt;S191,1,IF(T191=misLíneas-2,0,T191+1)))</f>
        <v>0</v>
      </c>
      <c r="U192" s="20" t="str" cm="1">
        <f t="array" aca="1" ref="U192" ca="1">IF(OR(T192=0,T192=""),"",INDEX(misCriticidades,S192)&amp;"-"&amp;IFERROR(MATCH(T192,miOrdenTarjeta,0),0))</f>
        <v/>
      </c>
      <c r="W192" s="20">
        <f t="shared" ca="1" si="64"/>
        <v>1</v>
      </c>
      <c r="X192" s="20" t="str">
        <f t="shared" ca="1" si="75"/>
        <v/>
      </c>
      <c r="Y192" s="20" t="str" cm="1">
        <f t="array" aca="1" ref="Y192" ca="1">IF(X192="","",IF(X192&lt;&gt;X191,1,IF(Y191=misLíneas-2,0,Y191+1)))</f>
        <v/>
      </c>
      <c r="Z192" s="20" t="str" cm="1">
        <f t="array" aca="1" ref="Z192" ca="1">IF(OR(Y192=0,Y192=""),"",INDEX(misCriticidades,X192)&amp;"-"&amp;IFERROR(MATCH(Y192,miOrdenTarjeta,0),0))</f>
        <v/>
      </c>
      <c r="AB192" s="20">
        <f t="shared" ca="1" si="65"/>
        <v>1</v>
      </c>
      <c r="AC192" s="20" t="str">
        <f t="shared" ca="1" si="56"/>
        <v/>
      </c>
      <c r="AD192" s="20" t="str" cm="1">
        <f t="array" aca="1" ref="AD192" ca="1">IF(AC192="","",IF(AC192&lt;&gt;AC191,1,IF(AD191=misLíneas-2,0,AD191+1)))</f>
        <v/>
      </c>
      <c r="AE192" s="20" t="str" cm="1">
        <f t="array" aca="1" ref="AE192" ca="1">IF(OR(AD192=0,AD192=""),"",INDEX(misCriticidades,AC192)&amp;"-"&amp;IFERROR(MATCH(AD192,miOrdenTarjeta,0),0))</f>
        <v/>
      </c>
      <c r="AG192" s="20">
        <f t="shared" ca="1" si="66"/>
        <v>1</v>
      </c>
      <c r="AH192" s="20" t="str">
        <f t="shared" ca="1" si="57"/>
        <v/>
      </c>
      <c r="AI192" s="20" t="str" cm="1">
        <f t="array" aca="1" ref="AI192" ca="1">IF(AH192="","",IF(AH192&lt;&gt;AH191,1,IF(AI191=misLíneas-2,0,AI191+1)))</f>
        <v/>
      </c>
      <c r="AJ192" s="20" t="str" cm="1">
        <f t="array" aca="1" ref="AJ192" ca="1">IF(OR(AI192=0,AI192=""),"",INDEX(misCriticidades,AH192)&amp;"-"&amp;IFERROR(MATCH(AI192,miOrdenTarjeta,0),0))</f>
        <v/>
      </c>
      <c r="AL192" s="20">
        <f t="shared" ca="1" si="67"/>
        <v>1</v>
      </c>
      <c r="AM192" s="20" t="str">
        <f t="shared" ca="1" si="58"/>
        <v/>
      </c>
      <c r="AN192" s="20" t="str" cm="1">
        <f t="array" aca="1" ref="AN192" ca="1">IF(AM192="","",IF(AM192&lt;&gt;AM191,1,IF(AN191=misLíneas-2,0,AN191+1)))</f>
        <v/>
      </c>
      <c r="AO192" s="20" t="str" cm="1">
        <f t="array" aca="1" ref="AO192" ca="1">IF(OR(AN192=0,AN192=""),"",INDEX(misCriticidades,AM192)&amp;"-"&amp;IFERROR(MATCH(AN192,miOrdenTarjeta,0),0))</f>
        <v/>
      </c>
      <c r="AQ192" s="20">
        <f t="shared" ca="1" si="68"/>
        <v>1</v>
      </c>
      <c r="AR192" s="20" t="str">
        <f t="shared" ca="1" si="59"/>
        <v/>
      </c>
      <c r="AS192" s="20" t="str" cm="1">
        <f t="array" aca="1" ref="AS192" ca="1">IF(AR192="","",IF(AR192&lt;&gt;AR191,1,IF(AS191=misLíneas-2,0,AS191+1)))</f>
        <v/>
      </c>
      <c r="AT192" s="20" t="str" cm="1">
        <f t="array" aca="1" ref="AT192" ca="1">IF(OR(AS192=0,AS192=""),"",INDEX(misCriticidades,AR192)&amp;"-"&amp;IFERROR(MATCH(AS192,miOrdenTarjeta,0),0))</f>
        <v/>
      </c>
      <c r="AV192" s="20">
        <f t="shared" ca="1" si="69"/>
        <v>1</v>
      </c>
      <c r="AW192" s="20" t="str">
        <f t="shared" ca="1" si="60"/>
        <v/>
      </c>
      <c r="AX192" s="20" t="str" cm="1">
        <f t="array" aca="1" ref="AX192" ca="1">IF(AW192="","",IF(AW192&lt;&gt;AW191,1,IF(AX191=misLíneas-2,0,AX191+1)))</f>
        <v/>
      </c>
      <c r="AY192" s="20" t="str" cm="1">
        <f t="array" aca="1" ref="AY192" ca="1">IF(OR(AX192=0,AX192=""),"",INDEX(misCriticidades,AW192)&amp;"-"&amp;IFERROR(MATCH(AX192,miOrdenTarjeta,0),0))</f>
        <v/>
      </c>
    </row>
    <row r="193" spans="3:51" x14ac:dyDescent="0.25">
      <c r="C193" s="20">
        <f t="shared" ca="1" si="70"/>
        <v>1</v>
      </c>
      <c r="D193" s="20" t="str">
        <f t="shared" ca="1" si="71"/>
        <v/>
      </c>
      <c r="E193" s="20" t="str" cm="1">
        <f t="array" aca="1" ref="E193" ca="1">IF(D193="","",IF(D193&lt;&gt;D192,1,IF(E192=misLíneas-2,0,E192+1)))</f>
        <v/>
      </c>
      <c r="F193" s="20" t="str" cm="1">
        <f t="array" aca="1" ref="F193" ca="1">IF(OR(E193=0,E193=""),"",INDEX(misCriticidades,D193)&amp;"-"&amp;IFERROR(MATCH(E193,miOrdenTarjeta,0),0))</f>
        <v/>
      </c>
      <c r="H193" s="20">
        <f t="shared" ca="1" si="61"/>
        <v>7</v>
      </c>
      <c r="I193" s="20" t="str">
        <f t="shared" ca="1" si="72"/>
        <v/>
      </c>
      <c r="J193" s="20" t="str" cm="1">
        <f t="array" aca="1" ref="J193" ca="1">IF(I193="","",IF(I193&lt;&gt;I192,1,IF(J192=misLíneas-2,0,J192+1)))</f>
        <v/>
      </c>
      <c r="K193" s="20" t="str" cm="1">
        <f t="array" aca="1" ref="K193" ca="1">IF(OR(J193=0,J193=""),"",INDEX(misCriticidades,I193)&amp;"-"&amp;IFERROR(MATCH(J193,miOrdenTarjeta,0),0))</f>
        <v/>
      </c>
      <c r="M193" s="20">
        <f t="shared" ca="1" si="62"/>
        <v>1</v>
      </c>
      <c r="N193" s="20" t="str">
        <f t="shared" ca="1" si="73"/>
        <v/>
      </c>
      <c r="O193" s="20" t="str" cm="1">
        <f t="array" aca="1" ref="O193" ca="1">IF(N193="","",IF(N193&lt;&gt;N192,1,IF(O192=misLíneas-2,0,O192+1)))</f>
        <v/>
      </c>
      <c r="P193" s="20" t="str" cm="1">
        <f t="array" aca="1" ref="P193" ca="1">IF(OR(O193=0,O193=""),"",INDEX(misCriticidades,N193)&amp;"-"&amp;IFERROR(MATCH(O193,miOrdenTarjeta,0),0))</f>
        <v/>
      </c>
      <c r="R193" s="20">
        <f t="shared" ca="1" si="63"/>
        <v>20</v>
      </c>
      <c r="S193" s="20">
        <f t="shared" ca="1" si="74"/>
        <v>9</v>
      </c>
      <c r="T193" s="20" cm="1">
        <f t="array" aca="1" ref="T193" ca="1">IF(S193="","",IF(S193&lt;&gt;S192,1,IF(T192=misLíneas-2,0,T192+1)))</f>
        <v>1</v>
      </c>
      <c r="U193" s="20" t="str" cm="1">
        <f t="array" aca="1" ref="U193" ca="1">IF(OR(T193=0,T193=""),"",INDEX(misCriticidades,S193)&amp;"-"&amp;IFERROR(MATCH(T193,miOrdenTarjeta,0),0))</f>
        <v>2-1</v>
      </c>
      <c r="W193" s="20">
        <f t="shared" ca="1" si="64"/>
        <v>1</v>
      </c>
      <c r="X193" s="20" t="str">
        <f t="shared" ca="1" si="75"/>
        <v/>
      </c>
      <c r="Y193" s="20" t="str" cm="1">
        <f t="array" aca="1" ref="Y193" ca="1">IF(X193="","",IF(X193&lt;&gt;X192,1,IF(Y192=misLíneas-2,0,Y192+1)))</f>
        <v/>
      </c>
      <c r="Z193" s="20" t="str" cm="1">
        <f t="array" aca="1" ref="Z193" ca="1">IF(OR(Y193=0,Y193=""),"",INDEX(misCriticidades,X193)&amp;"-"&amp;IFERROR(MATCH(Y193,miOrdenTarjeta,0),0))</f>
        <v/>
      </c>
      <c r="AB193" s="20">
        <f t="shared" ca="1" si="65"/>
        <v>1</v>
      </c>
      <c r="AC193" s="20" t="str">
        <f t="shared" ca="1" si="56"/>
        <v/>
      </c>
      <c r="AD193" s="20" t="str" cm="1">
        <f t="array" aca="1" ref="AD193" ca="1">IF(AC193="","",IF(AC193&lt;&gt;AC192,1,IF(AD192=misLíneas-2,0,AD192+1)))</f>
        <v/>
      </c>
      <c r="AE193" s="20" t="str" cm="1">
        <f t="array" aca="1" ref="AE193" ca="1">IF(OR(AD193=0,AD193=""),"",INDEX(misCriticidades,AC193)&amp;"-"&amp;IFERROR(MATCH(AD193,miOrdenTarjeta,0),0))</f>
        <v/>
      </c>
      <c r="AG193" s="20">
        <f t="shared" ca="1" si="66"/>
        <v>1</v>
      </c>
      <c r="AH193" s="20" t="str">
        <f t="shared" ca="1" si="57"/>
        <v/>
      </c>
      <c r="AI193" s="20" t="str" cm="1">
        <f t="array" aca="1" ref="AI193" ca="1">IF(AH193="","",IF(AH193&lt;&gt;AH192,1,IF(AI192=misLíneas-2,0,AI192+1)))</f>
        <v/>
      </c>
      <c r="AJ193" s="20" t="str" cm="1">
        <f t="array" aca="1" ref="AJ193" ca="1">IF(OR(AI193=0,AI193=""),"",INDEX(misCriticidades,AH193)&amp;"-"&amp;IFERROR(MATCH(AI193,miOrdenTarjeta,0),0))</f>
        <v/>
      </c>
      <c r="AL193" s="20">
        <f t="shared" ca="1" si="67"/>
        <v>1</v>
      </c>
      <c r="AM193" s="20" t="str">
        <f t="shared" ca="1" si="58"/>
        <v/>
      </c>
      <c r="AN193" s="20" t="str" cm="1">
        <f t="array" aca="1" ref="AN193" ca="1">IF(AM193="","",IF(AM193&lt;&gt;AM192,1,IF(AN192=misLíneas-2,0,AN192+1)))</f>
        <v/>
      </c>
      <c r="AO193" s="20" t="str" cm="1">
        <f t="array" aca="1" ref="AO193" ca="1">IF(OR(AN193=0,AN193=""),"",INDEX(misCriticidades,AM193)&amp;"-"&amp;IFERROR(MATCH(AN193,miOrdenTarjeta,0),0))</f>
        <v/>
      </c>
      <c r="AQ193" s="20">
        <f t="shared" ca="1" si="68"/>
        <v>1</v>
      </c>
      <c r="AR193" s="20" t="str">
        <f t="shared" ca="1" si="59"/>
        <v/>
      </c>
      <c r="AS193" s="20" t="str" cm="1">
        <f t="array" aca="1" ref="AS193" ca="1">IF(AR193="","",IF(AR193&lt;&gt;AR192,1,IF(AS192=misLíneas-2,0,AS192+1)))</f>
        <v/>
      </c>
      <c r="AT193" s="20" t="str" cm="1">
        <f t="array" aca="1" ref="AT193" ca="1">IF(OR(AS193=0,AS193=""),"",INDEX(misCriticidades,AR193)&amp;"-"&amp;IFERROR(MATCH(AS193,miOrdenTarjeta,0),0))</f>
        <v/>
      </c>
      <c r="AV193" s="20">
        <f t="shared" ca="1" si="69"/>
        <v>1</v>
      </c>
      <c r="AW193" s="20" t="str">
        <f t="shared" ca="1" si="60"/>
        <v/>
      </c>
      <c r="AX193" s="20" t="str" cm="1">
        <f t="array" aca="1" ref="AX193" ca="1">IF(AW193="","",IF(AW193&lt;&gt;AW192,1,IF(AX192=misLíneas-2,0,AX192+1)))</f>
        <v/>
      </c>
      <c r="AY193" s="20" t="str" cm="1">
        <f t="array" aca="1" ref="AY193" ca="1">IF(OR(AX193=0,AX193=""),"",INDEX(misCriticidades,AW193)&amp;"-"&amp;IFERROR(MATCH(AX193,miOrdenTarjeta,0),0))</f>
        <v/>
      </c>
    </row>
    <row r="194" spans="3:51" x14ac:dyDescent="0.25">
      <c r="C194" s="20">
        <f t="shared" ca="1" si="70"/>
        <v>1</v>
      </c>
      <c r="D194" s="20" t="str">
        <f t="shared" ca="1" si="71"/>
        <v/>
      </c>
      <c r="E194" s="20" t="str" cm="1">
        <f t="array" aca="1" ref="E194" ca="1">IF(D194="","",IF(D194&lt;&gt;D193,1,IF(E193=misLíneas-2,0,E193+1)))</f>
        <v/>
      </c>
      <c r="F194" s="20" t="str" cm="1">
        <f t="array" aca="1" ref="F194" ca="1">IF(OR(E194=0,E194=""),"",INDEX(misCriticidades,D194)&amp;"-"&amp;IFERROR(MATCH(E194,miOrdenTarjeta,0),0))</f>
        <v/>
      </c>
      <c r="H194" s="20">
        <f t="shared" ca="1" si="61"/>
        <v>7</v>
      </c>
      <c r="I194" s="20" t="str">
        <f t="shared" ca="1" si="72"/>
        <v/>
      </c>
      <c r="J194" s="20" t="str" cm="1">
        <f t="array" aca="1" ref="J194" ca="1">IF(I194="","",IF(I194&lt;&gt;I193,1,IF(J193=misLíneas-2,0,J193+1)))</f>
        <v/>
      </c>
      <c r="K194" s="20" t="str" cm="1">
        <f t="array" aca="1" ref="K194" ca="1">IF(OR(J194=0,J194=""),"",INDEX(misCriticidades,I194)&amp;"-"&amp;IFERROR(MATCH(J194,miOrdenTarjeta,0),0))</f>
        <v/>
      </c>
      <c r="M194" s="20">
        <f t="shared" ca="1" si="62"/>
        <v>1</v>
      </c>
      <c r="N194" s="20" t="str">
        <f t="shared" ca="1" si="73"/>
        <v/>
      </c>
      <c r="O194" s="20" t="str" cm="1">
        <f t="array" aca="1" ref="O194" ca="1">IF(N194="","",IF(N194&lt;&gt;N193,1,IF(O193=misLíneas-2,0,O193+1)))</f>
        <v/>
      </c>
      <c r="P194" s="20" t="str" cm="1">
        <f t="array" aca="1" ref="P194" ca="1">IF(OR(O194=0,O194=""),"",INDEX(misCriticidades,N194)&amp;"-"&amp;IFERROR(MATCH(O194,miOrdenTarjeta,0),0))</f>
        <v/>
      </c>
      <c r="R194" s="20">
        <f t="shared" ca="1" si="63"/>
        <v>20</v>
      </c>
      <c r="S194" s="20">
        <f t="shared" ca="1" si="74"/>
        <v>9</v>
      </c>
      <c r="T194" s="20" cm="1">
        <f t="array" aca="1" ref="T194" ca="1">IF(S194="","",IF(S194&lt;&gt;S193,1,IF(T193=misLíneas-2,0,T193+1)))</f>
        <v>2</v>
      </c>
      <c r="U194" s="20" t="str" cm="1">
        <f t="array" aca="1" ref="U194" ca="1">IF(OR(T194=0,T194=""),"",INDEX(misCriticidades,S194)&amp;"-"&amp;IFERROR(MATCH(T194,miOrdenTarjeta,0),0))</f>
        <v>2-2</v>
      </c>
      <c r="W194" s="20">
        <f t="shared" ca="1" si="64"/>
        <v>1</v>
      </c>
      <c r="X194" s="20" t="str">
        <f t="shared" ca="1" si="75"/>
        <v/>
      </c>
      <c r="Y194" s="20" t="str" cm="1">
        <f t="array" aca="1" ref="Y194" ca="1">IF(X194="","",IF(X194&lt;&gt;X193,1,IF(Y193=misLíneas-2,0,Y193+1)))</f>
        <v/>
      </c>
      <c r="Z194" s="20" t="str" cm="1">
        <f t="array" aca="1" ref="Z194" ca="1">IF(OR(Y194=0,Y194=""),"",INDEX(misCriticidades,X194)&amp;"-"&amp;IFERROR(MATCH(Y194,miOrdenTarjeta,0),0))</f>
        <v/>
      </c>
      <c r="AB194" s="20">
        <f t="shared" ca="1" si="65"/>
        <v>1</v>
      </c>
      <c r="AC194" s="20" t="str">
        <f t="shared" ca="1" si="56"/>
        <v/>
      </c>
      <c r="AD194" s="20" t="str" cm="1">
        <f t="array" aca="1" ref="AD194" ca="1">IF(AC194="","",IF(AC194&lt;&gt;AC193,1,IF(AD193=misLíneas-2,0,AD193+1)))</f>
        <v/>
      </c>
      <c r="AE194" s="20" t="str" cm="1">
        <f t="array" aca="1" ref="AE194" ca="1">IF(OR(AD194=0,AD194=""),"",INDEX(misCriticidades,AC194)&amp;"-"&amp;IFERROR(MATCH(AD194,miOrdenTarjeta,0),0))</f>
        <v/>
      </c>
      <c r="AG194" s="20">
        <f t="shared" ca="1" si="66"/>
        <v>1</v>
      </c>
      <c r="AH194" s="20" t="str">
        <f t="shared" ca="1" si="57"/>
        <v/>
      </c>
      <c r="AI194" s="20" t="str" cm="1">
        <f t="array" aca="1" ref="AI194" ca="1">IF(AH194="","",IF(AH194&lt;&gt;AH193,1,IF(AI193=misLíneas-2,0,AI193+1)))</f>
        <v/>
      </c>
      <c r="AJ194" s="20" t="str" cm="1">
        <f t="array" aca="1" ref="AJ194" ca="1">IF(OR(AI194=0,AI194=""),"",INDEX(misCriticidades,AH194)&amp;"-"&amp;IFERROR(MATCH(AI194,miOrdenTarjeta,0),0))</f>
        <v/>
      </c>
      <c r="AL194" s="20">
        <f t="shared" ca="1" si="67"/>
        <v>1</v>
      </c>
      <c r="AM194" s="20" t="str">
        <f t="shared" ca="1" si="58"/>
        <v/>
      </c>
      <c r="AN194" s="20" t="str" cm="1">
        <f t="array" aca="1" ref="AN194" ca="1">IF(AM194="","",IF(AM194&lt;&gt;AM193,1,IF(AN193=misLíneas-2,0,AN193+1)))</f>
        <v/>
      </c>
      <c r="AO194" s="20" t="str" cm="1">
        <f t="array" aca="1" ref="AO194" ca="1">IF(OR(AN194=0,AN194=""),"",INDEX(misCriticidades,AM194)&amp;"-"&amp;IFERROR(MATCH(AN194,miOrdenTarjeta,0),0))</f>
        <v/>
      </c>
      <c r="AQ194" s="20">
        <f t="shared" ca="1" si="68"/>
        <v>1</v>
      </c>
      <c r="AR194" s="20" t="str">
        <f t="shared" ca="1" si="59"/>
        <v/>
      </c>
      <c r="AS194" s="20" t="str" cm="1">
        <f t="array" aca="1" ref="AS194" ca="1">IF(AR194="","",IF(AR194&lt;&gt;AR193,1,IF(AS193=misLíneas-2,0,AS193+1)))</f>
        <v/>
      </c>
      <c r="AT194" s="20" t="str" cm="1">
        <f t="array" aca="1" ref="AT194" ca="1">IF(OR(AS194=0,AS194=""),"",INDEX(misCriticidades,AR194)&amp;"-"&amp;IFERROR(MATCH(AS194,miOrdenTarjeta,0),0))</f>
        <v/>
      </c>
      <c r="AV194" s="20">
        <f t="shared" ca="1" si="69"/>
        <v>1</v>
      </c>
      <c r="AW194" s="20" t="str">
        <f t="shared" ca="1" si="60"/>
        <v/>
      </c>
      <c r="AX194" s="20" t="str" cm="1">
        <f t="array" aca="1" ref="AX194" ca="1">IF(AW194="","",IF(AW194&lt;&gt;AW193,1,IF(AX193=misLíneas-2,0,AX193+1)))</f>
        <v/>
      </c>
      <c r="AY194" s="20" t="str" cm="1">
        <f t="array" aca="1" ref="AY194" ca="1">IF(OR(AX194=0,AX194=""),"",INDEX(misCriticidades,AW194)&amp;"-"&amp;IFERROR(MATCH(AX194,miOrdenTarjeta,0),0))</f>
        <v/>
      </c>
    </row>
    <row r="195" spans="3:51" x14ac:dyDescent="0.25">
      <c r="C195" s="20">
        <f t="shared" ca="1" si="70"/>
        <v>1</v>
      </c>
      <c r="D195" s="20" t="str">
        <f ca="1">IF(C195&gt;C194,IFERROR(IF(F$1="v",SMALL(B$2:B$101,C195),LARGE(B$2:B$101,C195)),""),D194)</f>
        <v/>
      </c>
      <c r="E195" s="20" t="str" cm="1">
        <f t="array" aca="1" ref="E195" ca="1">IF(D195="","",IF(D195&lt;&gt;D194,1,IF(E194=misLíneas-2,0,E194+1)))</f>
        <v/>
      </c>
      <c r="F195" s="20" t="str" cm="1">
        <f t="array" aca="1" ref="F195" ca="1">IF(OR(E195=0,E195=""),"",INDEX(misCriticidades,D195)&amp;"-"&amp;IFERROR(MATCH(E195,miOrdenTarjeta,0),0))</f>
        <v/>
      </c>
      <c r="H195" s="20">
        <f t="shared" ca="1" si="61"/>
        <v>7</v>
      </c>
      <c r="I195" s="20" t="str">
        <f ca="1">IF(H195&gt;H194,IFERROR(IF(K$1="v",SMALL(G$2:G$101,H195),LARGE(G$2:G$101,H195)),""),I194)</f>
        <v/>
      </c>
      <c r="J195" s="20" t="str" cm="1">
        <f t="array" aca="1" ref="J195" ca="1">IF(I195="","",IF(I195&lt;&gt;I194,1,IF(J194=misLíneas-2,0,J194+1)))</f>
        <v/>
      </c>
      <c r="K195" s="20" t="str" cm="1">
        <f t="array" aca="1" ref="K195" ca="1">IF(OR(J195=0,J195=""),"",INDEX(misCriticidades,I195)&amp;"-"&amp;IFERROR(MATCH(J195,miOrdenTarjeta,0),0))</f>
        <v/>
      </c>
      <c r="M195" s="20">
        <f t="shared" ca="1" si="62"/>
        <v>1</v>
      </c>
      <c r="N195" s="20" t="str">
        <f ca="1">IF(M195&gt;M194,IFERROR(IF(P$1="v",SMALL(L$2:L$101,M195),LARGE(L$2:L$101,M195)),""),N194)</f>
        <v/>
      </c>
      <c r="O195" s="20" t="str" cm="1">
        <f t="array" aca="1" ref="O195" ca="1">IF(N195="","",IF(N195&lt;&gt;N194,1,IF(O194=misLíneas-2,0,O194+1)))</f>
        <v/>
      </c>
      <c r="P195" s="20" t="str" cm="1">
        <f t="array" aca="1" ref="P195" ca="1">IF(OR(O195=0,O195=""),"",INDEX(misCriticidades,N195)&amp;"-"&amp;IFERROR(MATCH(O195,miOrdenTarjeta,0),0))</f>
        <v/>
      </c>
      <c r="R195" s="20">
        <f t="shared" ca="1" si="63"/>
        <v>20</v>
      </c>
      <c r="S195" s="20">
        <f ca="1">IF(R195&gt;R194,IFERROR(IF(U$1="v",SMALL(Q$2:Q$101,R195),LARGE(Q$2:Q$101,R195)),""),S194)</f>
        <v>9</v>
      </c>
      <c r="T195" s="20" cm="1">
        <f t="array" aca="1" ref="T195" ca="1">IF(S195="","",IF(S195&lt;&gt;S194,1,IF(T194=misLíneas-2,0,T194+1)))</f>
        <v>3</v>
      </c>
      <c r="U195" s="20" t="str" cm="1">
        <f t="array" aca="1" ref="U195" ca="1">IF(OR(T195=0,T195=""),"",INDEX(misCriticidades,S195)&amp;"-"&amp;IFERROR(MATCH(T195,miOrdenTarjeta,0),0))</f>
        <v>2-3</v>
      </c>
      <c r="W195" s="20">
        <f t="shared" ca="1" si="64"/>
        <v>1</v>
      </c>
      <c r="X195" s="20" t="str">
        <f ca="1">IF(W195&gt;W194,IFERROR(IF(Z$1="v",SMALL(V$2:V$101,W195),LARGE(V$2:V$101,W195)),""),X194)</f>
        <v/>
      </c>
      <c r="Y195" s="20" t="str" cm="1">
        <f t="array" aca="1" ref="Y195" ca="1">IF(X195="","",IF(X195&lt;&gt;X194,1,IF(Y194=misLíneas-2,0,Y194+1)))</f>
        <v/>
      </c>
      <c r="Z195" s="20" t="str" cm="1">
        <f t="array" aca="1" ref="Z195" ca="1">IF(OR(Y195=0,Y195=""),"",INDEX(misCriticidades,X195)&amp;"-"&amp;IFERROR(MATCH(Y195,miOrdenTarjeta,0),0))</f>
        <v/>
      </c>
      <c r="AB195" s="20">
        <f t="shared" ca="1" si="65"/>
        <v>1</v>
      </c>
      <c r="AC195" s="20" t="str">
        <f ca="1">IF(AB195&gt;AB194,IFERROR(IF(AE$1="v",SMALL(AA$2:AA$101,AB195),LARGE(AA$2:AA$101,AB195)),""),AC194)</f>
        <v/>
      </c>
      <c r="AD195" s="20" t="str" cm="1">
        <f t="array" aca="1" ref="AD195" ca="1">IF(AC195="","",IF(AC195&lt;&gt;AC194,1,IF(AD194=misLíneas-2,0,AD194+1)))</f>
        <v/>
      </c>
      <c r="AE195" s="20" t="str" cm="1">
        <f t="array" aca="1" ref="AE195" ca="1">IF(OR(AD195=0,AD195=""),"",INDEX(misCriticidades,AC195)&amp;"-"&amp;IFERROR(MATCH(AD195,miOrdenTarjeta,0),0))</f>
        <v/>
      </c>
      <c r="AG195" s="20">
        <f t="shared" ca="1" si="66"/>
        <v>1</v>
      </c>
      <c r="AH195" s="20" t="str">
        <f ca="1">IF(AG195&gt;AG194,IFERROR(IF(AJ$1="v",SMALL(AF$2:AF$101,AG195),LARGE(AF$2:AF$101,AG195)),""),AH194)</f>
        <v/>
      </c>
      <c r="AI195" s="20" t="str" cm="1">
        <f t="array" aca="1" ref="AI195" ca="1">IF(AH195="","",IF(AH195&lt;&gt;AH194,1,IF(AI194=misLíneas-2,0,AI194+1)))</f>
        <v/>
      </c>
      <c r="AJ195" s="20" t="str" cm="1">
        <f t="array" aca="1" ref="AJ195" ca="1">IF(OR(AI195=0,AI195=""),"",INDEX(misCriticidades,AH195)&amp;"-"&amp;IFERROR(MATCH(AI195,miOrdenTarjeta,0),0))</f>
        <v/>
      </c>
      <c r="AL195" s="20">
        <f t="shared" ca="1" si="67"/>
        <v>1</v>
      </c>
      <c r="AM195" s="20" t="str">
        <f ca="1">IF(AL195&gt;AL194,IFERROR(IF(AO$1="v",SMALL(AK$2:AK$101,AL195),LARGE(AK$2:AK$101,AL195)),""),AM194)</f>
        <v/>
      </c>
      <c r="AN195" s="20" t="str" cm="1">
        <f t="array" aca="1" ref="AN195" ca="1">IF(AM195="","",IF(AM195&lt;&gt;AM194,1,IF(AN194=misLíneas-2,0,AN194+1)))</f>
        <v/>
      </c>
      <c r="AO195" s="20" t="str" cm="1">
        <f t="array" aca="1" ref="AO195" ca="1">IF(OR(AN195=0,AN195=""),"",INDEX(misCriticidades,AM195)&amp;"-"&amp;IFERROR(MATCH(AN195,miOrdenTarjeta,0),0))</f>
        <v/>
      </c>
      <c r="AQ195" s="20">
        <f t="shared" ca="1" si="68"/>
        <v>1</v>
      </c>
      <c r="AR195" s="20" t="str">
        <f ca="1">IF(AQ195&gt;AQ194,IFERROR(IF(AT$1="v",SMALL(AP$2:AP$101,AQ195),LARGE(AP$2:AP$101,AQ195)),""),AR194)</f>
        <v/>
      </c>
      <c r="AS195" s="20" t="str" cm="1">
        <f t="array" aca="1" ref="AS195" ca="1">IF(AR195="","",IF(AR195&lt;&gt;AR194,1,IF(AS194=misLíneas-2,0,AS194+1)))</f>
        <v/>
      </c>
      <c r="AT195" s="20" t="str" cm="1">
        <f t="array" aca="1" ref="AT195" ca="1">IF(OR(AS195=0,AS195=""),"",INDEX(misCriticidades,AR195)&amp;"-"&amp;IFERROR(MATCH(AS195,miOrdenTarjeta,0),0))</f>
        <v/>
      </c>
      <c r="AV195" s="20">
        <f t="shared" ca="1" si="69"/>
        <v>1</v>
      </c>
      <c r="AW195" s="20" t="str">
        <f ca="1">IF(AV195&gt;AV194,IFERROR(IF(AY$1="v",SMALL(AU$2:AU$101,AV195),LARGE(AU$2:AU$101,AV195)),""),AW194)</f>
        <v/>
      </c>
      <c r="AX195" s="20" t="str" cm="1">
        <f t="array" aca="1" ref="AX195" ca="1">IF(AW195="","",IF(AW195&lt;&gt;AW194,1,IF(AX194=misLíneas-2,0,AX194+1)))</f>
        <v/>
      </c>
      <c r="AY195" s="20" t="str" cm="1">
        <f t="array" aca="1" ref="AY195" ca="1">IF(OR(AX195=0,AX195=""),"",INDEX(misCriticidades,AW195)&amp;"-"&amp;IFERROR(MATCH(AX195,miOrdenTarjeta,0),0))</f>
        <v/>
      </c>
    </row>
    <row r="196" spans="3:51" x14ac:dyDescent="0.25">
      <c r="C196" s="20">
        <f t="shared" ca="1" si="70"/>
        <v>1</v>
      </c>
      <c r="D196" s="20" t="str">
        <f ca="1">IF(C196&gt;C195,IFERROR(IF(F$1="v",SMALL(B$2:B$101,C196),LARGE(B$2:B$101,C196)),""),D195)</f>
        <v/>
      </c>
      <c r="E196" s="20" t="str" cm="1">
        <f t="array" aca="1" ref="E196" ca="1">IF(D196="","",IF(D196&lt;&gt;D195,1,IF(E195=misLíneas-2,0,E195+1)))</f>
        <v/>
      </c>
      <c r="F196" s="20" t="str" cm="1">
        <f t="array" aca="1" ref="F196" ca="1">IF(OR(E196=0,E196=""),"",INDEX(misCriticidades,D196)&amp;"-"&amp;IFERROR(MATCH(E196,miOrdenTarjeta,0),0))</f>
        <v/>
      </c>
      <c r="H196" s="20">
        <f ca="1">H195--(J195=0)</f>
        <v>7</v>
      </c>
      <c r="I196" s="20" t="str">
        <f ca="1">IF(H196&gt;H195,IFERROR(IF(K$1="v",SMALL(G$2:G$101,H196),LARGE(G$2:G$101,H196)),""),I195)</f>
        <v/>
      </c>
      <c r="J196" s="20" t="str" cm="1">
        <f t="array" aca="1" ref="J196" ca="1">IF(I196="","",IF(I196&lt;&gt;I195,1,IF(J195=misLíneas-2,0,J195+1)))</f>
        <v/>
      </c>
      <c r="K196" s="20" t="str" cm="1">
        <f t="array" aca="1" ref="K196" ca="1">IF(OR(J196=0,J196=""),"",INDEX(misCriticidades,I196)&amp;"-"&amp;IFERROR(MATCH(J196,miOrdenTarjeta,0),0))</f>
        <v/>
      </c>
      <c r="M196" s="20">
        <f ca="1">M195--(O195=0)</f>
        <v>1</v>
      </c>
      <c r="N196" s="20" t="str">
        <f ca="1">IF(M196&gt;M195,IFERROR(IF(P$1="v",SMALL(L$2:L$101,M196),LARGE(L$2:L$101,M196)),""),N195)</f>
        <v/>
      </c>
      <c r="O196" s="20" t="str" cm="1">
        <f t="array" aca="1" ref="O196" ca="1">IF(N196="","",IF(N196&lt;&gt;N195,1,IF(O195=misLíneas-2,0,O195+1)))</f>
        <v/>
      </c>
      <c r="P196" s="20" t="str" cm="1">
        <f t="array" aca="1" ref="P196" ca="1">IF(OR(O196=0,O196=""),"",INDEX(misCriticidades,N196)&amp;"-"&amp;IFERROR(MATCH(O196,miOrdenTarjeta,0),0))</f>
        <v/>
      </c>
      <c r="R196" s="20">
        <f ca="1">R195--(T195=0)</f>
        <v>20</v>
      </c>
      <c r="S196" s="20">
        <f ca="1">IF(R196&gt;R195,IFERROR(IF(U$1="v",SMALL(Q$2:Q$101,R196),LARGE(Q$2:Q$101,R196)),""),S195)</f>
        <v>9</v>
      </c>
      <c r="T196" s="20" cm="1">
        <f t="array" aca="1" ref="T196" ca="1">IF(S196="","",IF(S196&lt;&gt;S195,1,IF(T195=misLíneas-2,0,T195+1)))</f>
        <v>4</v>
      </c>
      <c r="U196" s="20" t="str" cm="1">
        <f t="array" aca="1" ref="U196" ca="1">IF(OR(T196=0,T196=""),"",INDEX(misCriticidades,S196)&amp;"-"&amp;IFERROR(MATCH(T196,miOrdenTarjeta,0),0))</f>
        <v>2-4</v>
      </c>
      <c r="W196" s="20">
        <f ca="1">W195--(Y195=0)</f>
        <v>1</v>
      </c>
      <c r="X196" s="20" t="str">
        <f ca="1">IF(W196&gt;W195,IFERROR(IF(Z$1="v",SMALL(V$2:V$101,W196),LARGE(V$2:V$101,W196)),""),X195)</f>
        <v/>
      </c>
      <c r="Y196" s="20" t="str" cm="1">
        <f t="array" aca="1" ref="Y196" ca="1">IF(X196="","",IF(X196&lt;&gt;X195,1,IF(Y195=misLíneas-2,0,Y195+1)))</f>
        <v/>
      </c>
      <c r="Z196" s="20" t="str" cm="1">
        <f t="array" aca="1" ref="Z196" ca="1">IF(OR(Y196=0,Y196=""),"",INDEX(misCriticidades,X196)&amp;"-"&amp;IFERROR(MATCH(Y196,miOrdenTarjeta,0),0))</f>
        <v/>
      </c>
      <c r="AB196" s="20">
        <f ca="1">AB195--(AD195=0)</f>
        <v>1</v>
      </c>
      <c r="AC196" s="20" t="str">
        <f ca="1">IF(AB196&gt;AB195,IFERROR(IF(AE$1="v",SMALL(AA$2:AA$101,AB196),LARGE(AA$2:AA$101,AB196)),""),AC195)</f>
        <v/>
      </c>
      <c r="AD196" s="20" t="str" cm="1">
        <f t="array" aca="1" ref="AD196" ca="1">IF(AC196="","",IF(AC196&lt;&gt;AC195,1,IF(AD195=misLíneas-2,0,AD195+1)))</f>
        <v/>
      </c>
      <c r="AE196" s="20" t="str" cm="1">
        <f t="array" aca="1" ref="AE196" ca="1">IF(OR(AD196=0,AD196=""),"",INDEX(misCriticidades,AC196)&amp;"-"&amp;IFERROR(MATCH(AD196,miOrdenTarjeta,0),0))</f>
        <v/>
      </c>
      <c r="AG196" s="20">
        <f ca="1">AG195--(AI195=0)</f>
        <v>1</v>
      </c>
      <c r="AH196" s="20" t="str">
        <f ca="1">IF(AG196&gt;AG195,IFERROR(IF(AJ$1="v",SMALL(AF$2:AF$101,AG196),LARGE(AF$2:AF$101,AG196)),""),AH195)</f>
        <v/>
      </c>
      <c r="AI196" s="20" t="str" cm="1">
        <f t="array" aca="1" ref="AI196" ca="1">IF(AH196="","",IF(AH196&lt;&gt;AH195,1,IF(AI195=misLíneas-2,0,AI195+1)))</f>
        <v/>
      </c>
      <c r="AJ196" s="20" t="str" cm="1">
        <f t="array" aca="1" ref="AJ196" ca="1">IF(OR(AI196=0,AI196=""),"",INDEX(misCriticidades,AH196)&amp;"-"&amp;IFERROR(MATCH(AI196,miOrdenTarjeta,0),0))</f>
        <v/>
      </c>
      <c r="AL196" s="20">
        <f ca="1">AL195--(AN195=0)</f>
        <v>1</v>
      </c>
      <c r="AM196" s="20" t="str">
        <f ca="1">IF(AL196&gt;AL195,IFERROR(IF(AO$1="v",SMALL(AK$2:AK$101,AL196),LARGE(AK$2:AK$101,AL196)),""),AM195)</f>
        <v/>
      </c>
      <c r="AN196" s="20" t="str" cm="1">
        <f t="array" aca="1" ref="AN196" ca="1">IF(AM196="","",IF(AM196&lt;&gt;AM195,1,IF(AN195=misLíneas-2,0,AN195+1)))</f>
        <v/>
      </c>
      <c r="AO196" s="20" t="str" cm="1">
        <f t="array" aca="1" ref="AO196" ca="1">IF(OR(AN196=0,AN196=""),"",INDEX(misCriticidades,AM196)&amp;"-"&amp;IFERROR(MATCH(AN196,miOrdenTarjeta,0),0))</f>
        <v/>
      </c>
      <c r="AQ196" s="20">
        <f ca="1">AQ195--(AS195=0)</f>
        <v>1</v>
      </c>
      <c r="AR196" s="20" t="str">
        <f ca="1">IF(AQ196&gt;AQ195,IFERROR(IF(AT$1="v",SMALL(AP$2:AP$101,AQ196),LARGE(AP$2:AP$101,AQ196)),""),AR195)</f>
        <v/>
      </c>
      <c r="AS196" s="20" t="str" cm="1">
        <f t="array" aca="1" ref="AS196" ca="1">IF(AR196="","",IF(AR196&lt;&gt;AR195,1,IF(AS195=misLíneas-2,0,AS195+1)))</f>
        <v/>
      </c>
      <c r="AT196" s="20" t="str" cm="1">
        <f t="array" aca="1" ref="AT196" ca="1">IF(OR(AS196=0,AS196=""),"",INDEX(misCriticidades,AR196)&amp;"-"&amp;IFERROR(MATCH(AS196,miOrdenTarjeta,0),0))</f>
        <v/>
      </c>
      <c r="AV196" s="20">
        <f ca="1">AV195--(AX195=0)</f>
        <v>1</v>
      </c>
      <c r="AW196" s="20" t="str">
        <f ca="1">IF(AV196&gt;AV195,IFERROR(IF(AY$1="v",SMALL(AU$2:AU$101,AV196),LARGE(AU$2:AU$101,AV196)),""),AW195)</f>
        <v/>
      </c>
      <c r="AX196" s="20" t="str" cm="1">
        <f t="array" aca="1" ref="AX196" ca="1">IF(AW196="","",IF(AW196&lt;&gt;AW195,1,IF(AX195=misLíneas-2,0,AX195+1)))</f>
        <v/>
      </c>
      <c r="AY196" s="20" t="str" cm="1">
        <f t="array" aca="1" ref="AY196" ca="1">IF(OR(AX196=0,AX196=""),"",INDEX(misCriticidades,AW196)&amp;"-"&amp;IFERROR(MATCH(AX196,miOrdenTarjeta,0),0))</f>
        <v/>
      </c>
    </row>
    <row r="197" spans="3:51" x14ac:dyDescent="0.25">
      <c r="C197" s="20">
        <f t="shared" ca="1" si="70"/>
        <v>1</v>
      </c>
      <c r="D197" s="20" t="str">
        <f ca="1">IF(C197&gt;C196,IFERROR(IF(F$1="v",SMALL(B$2:B$101,C197),LARGE(B$2:B$101,C197)),""),D196)</f>
        <v/>
      </c>
      <c r="E197" s="20" t="str" cm="1">
        <f t="array" aca="1" ref="E197" ca="1">IF(D197="","",IF(D197&lt;&gt;D196,1,IF(E196=misLíneas-2,0,E196+1)))</f>
        <v/>
      </c>
      <c r="F197" s="20" t="str" cm="1">
        <f t="array" aca="1" ref="F197" ca="1">IF(OR(E197=0,E197=""),"",INDEX(misCriticidades,D197)&amp;"-"&amp;IFERROR(MATCH(E197,miOrdenTarjeta,0),0))</f>
        <v/>
      </c>
      <c r="H197" s="20">
        <f ca="1">H196--(J196=0)</f>
        <v>7</v>
      </c>
      <c r="I197" s="20" t="str">
        <f ca="1">IF(H197&gt;H196,IFERROR(IF(K$1="v",SMALL(G$2:G$101,H197),LARGE(G$2:G$101,H197)),""),I196)</f>
        <v/>
      </c>
      <c r="J197" s="20" t="str" cm="1">
        <f t="array" aca="1" ref="J197" ca="1">IF(I197="","",IF(I197&lt;&gt;I196,1,IF(J196=misLíneas-2,0,J196+1)))</f>
        <v/>
      </c>
      <c r="K197" s="20" t="str" cm="1">
        <f t="array" aca="1" ref="K197" ca="1">IF(OR(J197=0,J197=""),"",INDEX(misCriticidades,I197)&amp;"-"&amp;IFERROR(MATCH(J197,miOrdenTarjeta,0),0))</f>
        <v/>
      </c>
      <c r="M197" s="20">
        <f ca="1">M196--(O196=0)</f>
        <v>1</v>
      </c>
      <c r="N197" s="20" t="str">
        <f ca="1">IF(M197&gt;M196,IFERROR(IF(P$1="v",SMALL(L$2:L$101,M197),LARGE(L$2:L$101,M197)),""),N196)</f>
        <v/>
      </c>
      <c r="O197" s="20" t="str" cm="1">
        <f t="array" aca="1" ref="O197" ca="1">IF(N197="","",IF(N197&lt;&gt;N196,1,IF(O196=misLíneas-2,0,O196+1)))</f>
        <v/>
      </c>
      <c r="P197" s="20" t="str" cm="1">
        <f t="array" aca="1" ref="P197" ca="1">IF(OR(O197=0,O197=""),"",INDEX(misCriticidades,N197)&amp;"-"&amp;IFERROR(MATCH(O197,miOrdenTarjeta,0),0))</f>
        <v/>
      </c>
      <c r="R197" s="20">
        <f ca="1">R196--(T196=0)</f>
        <v>20</v>
      </c>
      <c r="S197" s="20">
        <f ca="1">IF(R197&gt;R196,IFERROR(IF(U$1="v",SMALL(Q$2:Q$101,R197),LARGE(Q$2:Q$101,R197)),""),S196)</f>
        <v>9</v>
      </c>
      <c r="T197" s="20" cm="1">
        <f t="array" aca="1" ref="T197" ca="1">IF(S197="","",IF(S197&lt;&gt;S196,1,IF(T196=misLíneas-2,0,T196+1)))</f>
        <v>5</v>
      </c>
      <c r="U197" s="20" t="str" cm="1">
        <f t="array" aca="1" ref="U197" ca="1">IF(OR(T197=0,T197=""),"",INDEX(misCriticidades,S197)&amp;"-"&amp;IFERROR(MATCH(T197,miOrdenTarjeta,0),0))</f>
        <v>2-5</v>
      </c>
      <c r="W197" s="20">
        <f ca="1">W196--(Y196=0)</f>
        <v>1</v>
      </c>
      <c r="X197" s="20" t="str">
        <f ca="1">IF(W197&gt;W196,IFERROR(IF(Z$1="v",SMALL(V$2:V$101,W197),LARGE(V$2:V$101,W197)),""),X196)</f>
        <v/>
      </c>
      <c r="Y197" s="20" t="str" cm="1">
        <f t="array" aca="1" ref="Y197" ca="1">IF(X197="","",IF(X197&lt;&gt;X196,1,IF(Y196=misLíneas-2,0,Y196+1)))</f>
        <v/>
      </c>
      <c r="Z197" s="20" t="str" cm="1">
        <f t="array" aca="1" ref="Z197" ca="1">IF(OR(Y197=0,Y197=""),"",INDEX(misCriticidades,X197)&amp;"-"&amp;IFERROR(MATCH(Y197,miOrdenTarjeta,0),0))</f>
        <v/>
      </c>
      <c r="AB197" s="20">
        <f ca="1">AB196--(AD196=0)</f>
        <v>1</v>
      </c>
      <c r="AC197" s="20" t="str">
        <f ca="1">IF(AB197&gt;AB196,IFERROR(IF(AE$1="v",SMALL(AA$2:AA$101,AB197),LARGE(AA$2:AA$101,AB197)),""),AC196)</f>
        <v/>
      </c>
      <c r="AD197" s="20" t="str" cm="1">
        <f t="array" aca="1" ref="AD197" ca="1">IF(AC197="","",IF(AC197&lt;&gt;AC196,1,IF(AD196=misLíneas-2,0,AD196+1)))</f>
        <v/>
      </c>
      <c r="AE197" s="20" t="str" cm="1">
        <f t="array" aca="1" ref="AE197" ca="1">IF(OR(AD197=0,AD197=""),"",INDEX(misCriticidades,AC197)&amp;"-"&amp;IFERROR(MATCH(AD197,miOrdenTarjeta,0),0))</f>
        <v/>
      </c>
      <c r="AG197" s="20">
        <f ca="1">AG196--(AI196=0)</f>
        <v>1</v>
      </c>
      <c r="AH197" s="20" t="str">
        <f ca="1">IF(AG197&gt;AG196,IFERROR(IF(AJ$1="v",SMALL(AF$2:AF$101,AG197),LARGE(AF$2:AF$101,AG197)),""),AH196)</f>
        <v/>
      </c>
      <c r="AI197" s="20" t="str" cm="1">
        <f t="array" aca="1" ref="AI197" ca="1">IF(AH197="","",IF(AH197&lt;&gt;AH196,1,IF(AI196=misLíneas-2,0,AI196+1)))</f>
        <v/>
      </c>
      <c r="AJ197" s="20" t="str" cm="1">
        <f t="array" aca="1" ref="AJ197" ca="1">IF(OR(AI197=0,AI197=""),"",INDEX(misCriticidades,AH197)&amp;"-"&amp;IFERROR(MATCH(AI197,miOrdenTarjeta,0),0))</f>
        <v/>
      </c>
      <c r="AL197" s="20">
        <f ca="1">AL196--(AN196=0)</f>
        <v>1</v>
      </c>
      <c r="AM197" s="20" t="str">
        <f ca="1">IF(AL197&gt;AL196,IFERROR(IF(AO$1="v",SMALL(AK$2:AK$101,AL197),LARGE(AK$2:AK$101,AL197)),""),AM196)</f>
        <v/>
      </c>
      <c r="AN197" s="20" t="str" cm="1">
        <f t="array" aca="1" ref="AN197" ca="1">IF(AM197="","",IF(AM197&lt;&gt;AM196,1,IF(AN196=misLíneas-2,0,AN196+1)))</f>
        <v/>
      </c>
      <c r="AO197" s="20" t="str" cm="1">
        <f t="array" aca="1" ref="AO197" ca="1">IF(OR(AN197=0,AN197=""),"",INDEX(misCriticidades,AM197)&amp;"-"&amp;IFERROR(MATCH(AN197,miOrdenTarjeta,0),0))</f>
        <v/>
      </c>
      <c r="AQ197" s="20">
        <f ca="1">AQ196--(AS196=0)</f>
        <v>1</v>
      </c>
      <c r="AR197" s="20" t="str">
        <f ca="1">IF(AQ197&gt;AQ196,IFERROR(IF(AT$1="v",SMALL(AP$2:AP$101,AQ197),LARGE(AP$2:AP$101,AQ197)),""),AR196)</f>
        <v/>
      </c>
      <c r="AS197" s="20" t="str" cm="1">
        <f t="array" aca="1" ref="AS197" ca="1">IF(AR197="","",IF(AR197&lt;&gt;AR196,1,IF(AS196=misLíneas-2,0,AS196+1)))</f>
        <v/>
      </c>
      <c r="AT197" s="20" t="str" cm="1">
        <f t="array" aca="1" ref="AT197" ca="1">IF(OR(AS197=0,AS197=""),"",INDEX(misCriticidades,AR197)&amp;"-"&amp;IFERROR(MATCH(AS197,miOrdenTarjeta,0),0))</f>
        <v/>
      </c>
      <c r="AV197" s="20">
        <f ca="1">AV196--(AX196=0)</f>
        <v>1</v>
      </c>
      <c r="AW197" s="20" t="str">
        <f ca="1">IF(AV197&gt;AV196,IFERROR(IF(AY$1="v",SMALL(AU$2:AU$101,AV197),LARGE(AU$2:AU$101,AV197)),""),AW196)</f>
        <v/>
      </c>
      <c r="AX197" s="20" t="str" cm="1">
        <f t="array" aca="1" ref="AX197" ca="1">IF(AW197="","",IF(AW197&lt;&gt;AW196,1,IF(AX196=misLíneas-2,0,AX196+1)))</f>
        <v/>
      </c>
      <c r="AY197" s="20" t="str" cm="1">
        <f t="array" aca="1" ref="AY197" ca="1">IF(OR(AX197=0,AX197=""),"",INDEX(misCriticidades,AW197)&amp;"-"&amp;IFERROR(MATCH(AX197,miOrdenTarjeta,0),0))</f>
        <v/>
      </c>
    </row>
    <row r="198" spans="3:51" x14ac:dyDescent="0.25">
      <c r="C198" s="20">
        <f t="shared" ca="1" si="70"/>
        <v>1</v>
      </c>
      <c r="D198" s="20" t="str">
        <f ca="1">IF(C198&gt;C197,IFERROR(IF(F$1="v",SMALL(B$2:B$101,C198),LARGE(B$2:B$101,C198)),""),D197)</f>
        <v/>
      </c>
      <c r="E198" s="20" t="str" cm="1">
        <f t="array" aca="1" ref="E198" ca="1">IF(D198="","",IF(D198&lt;&gt;D197,1,IF(E197=misLíneas-2,0,E197+1)))</f>
        <v/>
      </c>
      <c r="F198" s="20" t="str" cm="1">
        <f t="array" aca="1" ref="F198" ca="1">IF(OR(E198=0,E198=""),"",INDEX(misCriticidades,D198)&amp;"-"&amp;IFERROR(MATCH(E198,miOrdenTarjeta,0),0))</f>
        <v/>
      </c>
      <c r="H198" s="20">
        <f ca="1">H197--(J197=0)</f>
        <v>7</v>
      </c>
      <c r="I198" s="20" t="str">
        <f ca="1">IF(H198&gt;H197,IFERROR(IF(K$1="v",SMALL(G$2:G$101,H198),LARGE(G$2:G$101,H198)),""),I197)</f>
        <v/>
      </c>
      <c r="J198" s="20" t="str" cm="1">
        <f t="array" aca="1" ref="J198" ca="1">IF(I198="","",IF(I198&lt;&gt;I197,1,IF(J197=misLíneas-2,0,J197+1)))</f>
        <v/>
      </c>
      <c r="K198" s="20" t="str" cm="1">
        <f t="array" aca="1" ref="K198" ca="1">IF(OR(J198=0,J198=""),"",INDEX(misCriticidades,I198)&amp;"-"&amp;IFERROR(MATCH(J198,miOrdenTarjeta,0),0))</f>
        <v/>
      </c>
      <c r="M198" s="20">
        <f ca="1">M197--(O197=0)</f>
        <v>1</v>
      </c>
      <c r="N198" s="20" t="str">
        <f ca="1">IF(M198&gt;M197,IFERROR(IF(P$1="v",SMALL(L$2:L$101,M198),LARGE(L$2:L$101,M198)),""),N197)</f>
        <v/>
      </c>
      <c r="O198" s="20" t="str" cm="1">
        <f t="array" aca="1" ref="O198" ca="1">IF(N198="","",IF(N198&lt;&gt;N197,1,IF(O197=misLíneas-2,0,O197+1)))</f>
        <v/>
      </c>
      <c r="P198" s="20" t="str" cm="1">
        <f t="array" aca="1" ref="P198" ca="1">IF(OR(O198=0,O198=""),"",INDEX(misCriticidades,N198)&amp;"-"&amp;IFERROR(MATCH(O198,miOrdenTarjeta,0),0))</f>
        <v/>
      </c>
      <c r="R198" s="20">
        <f ca="1">R197--(T197=0)</f>
        <v>20</v>
      </c>
      <c r="S198" s="20">
        <f ca="1">IF(R198&gt;R197,IFERROR(IF(U$1="v",SMALL(Q$2:Q$101,R198),LARGE(Q$2:Q$101,R198)),""),S197)</f>
        <v>9</v>
      </c>
      <c r="T198" s="20" cm="1">
        <f t="array" aca="1" ref="T198" ca="1">IF(S198="","",IF(S198&lt;&gt;S197,1,IF(T197=misLíneas-2,0,T197+1)))</f>
        <v>6</v>
      </c>
      <c r="U198" s="20" t="str" cm="1">
        <f t="array" aca="1" ref="U198" ca="1">IF(OR(T198=0,T198=""),"",INDEX(misCriticidades,S198)&amp;"-"&amp;IFERROR(MATCH(T198,miOrdenTarjeta,0),0))</f>
        <v>2-6</v>
      </c>
      <c r="W198" s="20">
        <f ca="1">W197--(Y197=0)</f>
        <v>1</v>
      </c>
      <c r="X198" s="20" t="str">
        <f ca="1">IF(W198&gt;W197,IFERROR(IF(Z$1="v",SMALL(V$2:V$101,W198),LARGE(V$2:V$101,W198)),""),X197)</f>
        <v/>
      </c>
      <c r="Y198" s="20" t="str" cm="1">
        <f t="array" aca="1" ref="Y198" ca="1">IF(X198="","",IF(X198&lt;&gt;X197,1,IF(Y197=misLíneas-2,0,Y197+1)))</f>
        <v/>
      </c>
      <c r="Z198" s="20" t="str" cm="1">
        <f t="array" aca="1" ref="Z198" ca="1">IF(OR(Y198=0,Y198=""),"",INDEX(misCriticidades,X198)&amp;"-"&amp;IFERROR(MATCH(Y198,miOrdenTarjeta,0),0))</f>
        <v/>
      </c>
      <c r="AB198" s="20">
        <f ca="1">AB197--(AD197=0)</f>
        <v>1</v>
      </c>
      <c r="AC198" s="20" t="str">
        <f ca="1">IF(AB198&gt;AB197,IFERROR(IF(AE$1="v",SMALL(AA$2:AA$101,AB198),LARGE(AA$2:AA$101,AB198)),""),AC197)</f>
        <v/>
      </c>
      <c r="AD198" s="20" t="str" cm="1">
        <f t="array" aca="1" ref="AD198" ca="1">IF(AC198="","",IF(AC198&lt;&gt;AC197,1,IF(AD197=misLíneas-2,0,AD197+1)))</f>
        <v/>
      </c>
      <c r="AE198" s="20" t="str" cm="1">
        <f t="array" aca="1" ref="AE198" ca="1">IF(OR(AD198=0,AD198=""),"",INDEX(misCriticidades,AC198)&amp;"-"&amp;IFERROR(MATCH(AD198,miOrdenTarjeta,0),0))</f>
        <v/>
      </c>
      <c r="AG198" s="20">
        <f ca="1">AG197--(AI197=0)</f>
        <v>1</v>
      </c>
      <c r="AH198" s="20" t="str">
        <f ca="1">IF(AG198&gt;AG197,IFERROR(IF(AJ$1="v",SMALL(AF$2:AF$101,AG198),LARGE(AF$2:AF$101,AG198)),""),AH197)</f>
        <v/>
      </c>
      <c r="AI198" s="20" t="str" cm="1">
        <f t="array" aca="1" ref="AI198" ca="1">IF(AH198="","",IF(AH198&lt;&gt;AH197,1,IF(AI197=misLíneas-2,0,AI197+1)))</f>
        <v/>
      </c>
      <c r="AJ198" s="20" t="str" cm="1">
        <f t="array" aca="1" ref="AJ198" ca="1">IF(OR(AI198=0,AI198=""),"",INDEX(misCriticidades,AH198)&amp;"-"&amp;IFERROR(MATCH(AI198,miOrdenTarjeta,0),0))</f>
        <v/>
      </c>
      <c r="AL198" s="20">
        <f ca="1">AL197--(AN197=0)</f>
        <v>1</v>
      </c>
      <c r="AM198" s="20" t="str">
        <f ca="1">IF(AL198&gt;AL197,IFERROR(IF(AO$1="v",SMALL(AK$2:AK$101,AL198),LARGE(AK$2:AK$101,AL198)),""),AM197)</f>
        <v/>
      </c>
      <c r="AN198" s="20" t="str" cm="1">
        <f t="array" aca="1" ref="AN198" ca="1">IF(AM198="","",IF(AM198&lt;&gt;AM197,1,IF(AN197=misLíneas-2,0,AN197+1)))</f>
        <v/>
      </c>
      <c r="AO198" s="20" t="str" cm="1">
        <f t="array" aca="1" ref="AO198" ca="1">IF(OR(AN198=0,AN198=""),"",INDEX(misCriticidades,AM198)&amp;"-"&amp;IFERROR(MATCH(AN198,miOrdenTarjeta,0),0))</f>
        <v/>
      </c>
      <c r="AQ198" s="20">
        <f ca="1">AQ197--(AS197=0)</f>
        <v>1</v>
      </c>
      <c r="AR198" s="20" t="str">
        <f ca="1">IF(AQ198&gt;AQ197,IFERROR(IF(AT$1="v",SMALL(AP$2:AP$101,AQ198),LARGE(AP$2:AP$101,AQ198)),""),AR197)</f>
        <v/>
      </c>
      <c r="AS198" s="20" t="str" cm="1">
        <f t="array" aca="1" ref="AS198" ca="1">IF(AR198="","",IF(AR198&lt;&gt;AR197,1,IF(AS197=misLíneas-2,0,AS197+1)))</f>
        <v/>
      </c>
      <c r="AT198" s="20" t="str" cm="1">
        <f t="array" aca="1" ref="AT198" ca="1">IF(OR(AS198=0,AS198=""),"",INDEX(misCriticidades,AR198)&amp;"-"&amp;IFERROR(MATCH(AS198,miOrdenTarjeta,0),0))</f>
        <v/>
      </c>
      <c r="AV198" s="20">
        <f ca="1">AV197--(AX197=0)</f>
        <v>1</v>
      </c>
      <c r="AW198" s="20" t="str">
        <f ca="1">IF(AV198&gt;AV197,IFERROR(IF(AY$1="v",SMALL(AU$2:AU$101,AV198),LARGE(AU$2:AU$101,AV198)),""),AW197)</f>
        <v/>
      </c>
      <c r="AX198" s="20" t="str" cm="1">
        <f t="array" aca="1" ref="AX198" ca="1">IF(AW198="","",IF(AW198&lt;&gt;AW197,1,IF(AX197=misLíneas-2,0,AX197+1)))</f>
        <v/>
      </c>
      <c r="AY198" s="20" t="str" cm="1">
        <f t="array" aca="1" ref="AY198" ca="1">IF(OR(AX198=0,AX198=""),"",INDEX(misCriticidades,AW198)&amp;"-"&amp;IFERROR(MATCH(AX198,miOrdenTarjeta,0),0))</f>
        <v/>
      </c>
    </row>
    <row r="199" spans="3:51" x14ac:dyDescent="0.25"/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55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CFDF4-8FB6-4448-B66A-810E642941BB}">
  <sheetPr codeName="Hoja6">
    <tabColor rgb="FFF8CBAD"/>
    <pageSetUpPr fitToPage="1"/>
  </sheetPr>
  <dimension ref="A1:G33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5" zeroHeight="1" x14ac:dyDescent="0.25"/>
  <cols>
    <col min="1" max="7" width="32.42578125" style="2" customWidth="1"/>
    <col min="8" max="16384" width="10.85546875" style="2" hidden="1"/>
  </cols>
  <sheetData>
    <row r="1" spans="1:7" x14ac:dyDescent="0.25">
      <c r="A1" s="27">
        <f>IFERROR(MATCH(miIdioma,misIdiomas,0),1)</f>
        <v>1</v>
      </c>
      <c r="B1" s="2" t="s">
        <v>16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</row>
    <row r="2" spans="1:7" x14ac:dyDescent="0.25">
      <c r="A2" s="32" t="str" cm="1">
        <f t="array" ref="A2">INDEX(TablaIdiomas[#This Row],1,$A$1)&amp;""</f>
        <v>Tablero KANBAN</v>
      </c>
      <c r="B2" s="2" t="s">
        <v>36</v>
      </c>
      <c r="C2" s="2" t="s">
        <v>37</v>
      </c>
      <c r="D2" s="2" t="s">
        <v>38</v>
      </c>
      <c r="E2" s="2" t="s">
        <v>39</v>
      </c>
      <c r="F2" s="2" t="s">
        <v>40</v>
      </c>
      <c r="G2" s="2" t="s">
        <v>41</v>
      </c>
    </row>
    <row r="3" spans="1:7" x14ac:dyDescent="0.25">
      <c r="A3" s="36" t="str" cm="1">
        <f t="array" ref="A3">INDEX(TablaIdiomas[#This Row],1,$A$1)&amp;""</f>
        <v>Idioma</v>
      </c>
      <c r="B3" s="2" t="s">
        <v>42</v>
      </c>
      <c r="C3" s="2" t="s">
        <v>43</v>
      </c>
      <c r="D3" s="2" t="s">
        <v>44</v>
      </c>
      <c r="E3" s="2" t="s">
        <v>45</v>
      </c>
      <c r="F3" s="2" t="s">
        <v>46</v>
      </c>
      <c r="G3" s="2" t="s">
        <v>47</v>
      </c>
    </row>
    <row r="4" spans="1:7" x14ac:dyDescent="0.25">
      <c r="A4" s="32" t="str" cm="1">
        <f t="array" ref="A4">INDEX(TablaIdiomas[#This Row],1,$A$1)&amp;""</f>
        <v>AVISO:</v>
      </c>
      <c r="B4" s="2" t="s">
        <v>48</v>
      </c>
      <c r="C4" s="2" t="s">
        <v>49</v>
      </c>
      <c r="D4" s="2" t="s">
        <v>50</v>
      </c>
      <c r="E4" s="2" t="s">
        <v>51</v>
      </c>
      <c r="F4" s="2" t="s">
        <v>52</v>
      </c>
      <c r="G4" s="2" t="s">
        <v>48</v>
      </c>
    </row>
    <row r="5" spans="1:7" x14ac:dyDescent="0.25">
      <c r="A5" s="36" t="str" cm="1">
        <f t="array" ref="A5">INDEX(TablaIdiomas[#This Row],1,$A$1)&amp;""</f>
        <v>Es preciso traducir</v>
      </c>
      <c r="B5" s="2" t="s">
        <v>53</v>
      </c>
      <c r="C5" s="2" t="s">
        <v>54</v>
      </c>
      <c r="D5" s="2" t="s">
        <v>55</v>
      </c>
      <c r="E5" s="2" t="s">
        <v>56</v>
      </c>
      <c r="F5" s="2" t="s">
        <v>57</v>
      </c>
      <c r="G5" s="2" t="s">
        <v>58</v>
      </c>
    </row>
    <row r="6" spans="1:7" x14ac:dyDescent="0.25">
      <c r="A6" s="32" t="str" cm="1">
        <f t="array" ref="A6">INDEX(TablaIdiomas[#This Row],1,$A$1)&amp;""</f>
        <v>Estados y Criticidad</v>
      </c>
      <c r="B6" s="2" t="s">
        <v>59</v>
      </c>
      <c r="C6" s="2" t="s">
        <v>60</v>
      </c>
      <c r="D6" s="2" t="s">
        <v>61</v>
      </c>
      <c r="E6" s="2" t="s">
        <v>62</v>
      </c>
      <c r="F6" s="2" t="s">
        <v>63</v>
      </c>
      <c r="G6" s="2" t="s">
        <v>64</v>
      </c>
    </row>
    <row r="7" spans="1:7" x14ac:dyDescent="0.25">
      <c r="A7" s="36" t="str" cm="1">
        <f t="array" ref="A7">INDEX(TablaIdiomas[#This Row],1,$A$1)&amp;""</f>
        <v>Estados</v>
      </c>
      <c r="B7" s="2" t="s">
        <v>65</v>
      </c>
      <c r="C7" s="2" t="s">
        <v>66</v>
      </c>
      <c r="D7" s="2" t="s">
        <v>67</v>
      </c>
      <c r="E7" s="2" t="s">
        <v>68</v>
      </c>
      <c r="F7" s="2" t="s">
        <v>69</v>
      </c>
      <c r="G7" s="2" t="s">
        <v>65</v>
      </c>
    </row>
    <row r="8" spans="1:7" x14ac:dyDescent="0.25">
      <c r="A8" s="32" t="str" cm="1">
        <f t="array" ref="A8">INDEX(TablaIdiomas[#This Row],1,$A$1)&amp;""</f>
        <v>Criticidad</v>
      </c>
      <c r="B8" s="2" t="s">
        <v>70</v>
      </c>
      <c r="C8" s="2" t="s">
        <v>71</v>
      </c>
      <c r="D8" s="2" t="s">
        <v>72</v>
      </c>
      <c r="E8" s="2" t="s">
        <v>73</v>
      </c>
      <c r="F8" s="2" t="s">
        <v>74</v>
      </c>
      <c r="G8" s="2" t="s">
        <v>75</v>
      </c>
    </row>
    <row r="9" spans="1:7" x14ac:dyDescent="0.25">
      <c r="A9" s="36" t="str" cm="1">
        <f t="array" ref="A9">INDEX(TablaIdiomas[#This Row],1,$A$1)&amp;""</f>
        <v>Miembros del equipo</v>
      </c>
      <c r="B9" s="2" t="s">
        <v>76</v>
      </c>
      <c r="C9" s="2" t="s">
        <v>77</v>
      </c>
      <c r="D9" s="2" t="s">
        <v>78</v>
      </c>
      <c r="E9" s="2" t="s">
        <v>79</v>
      </c>
      <c r="F9" s="2" t="s">
        <v>80</v>
      </c>
      <c r="G9" s="2" t="s">
        <v>81</v>
      </c>
    </row>
    <row r="10" spans="1:7" x14ac:dyDescent="0.25">
      <c r="A10" s="32" t="str" cm="1">
        <f t="array" ref="A10">INDEX(TablaIdiomas[#This Row],1,$A$1)&amp;""</f>
        <v>Estado final</v>
      </c>
      <c r="B10" s="2" t="s">
        <v>82</v>
      </c>
      <c r="C10" s="2" t="s">
        <v>83</v>
      </c>
      <c r="D10" s="2" t="s">
        <v>84</v>
      </c>
      <c r="E10" s="2" t="s">
        <v>85</v>
      </c>
      <c r="F10" s="2" t="s">
        <v>86</v>
      </c>
      <c r="G10" s="2" t="s">
        <v>82</v>
      </c>
    </row>
    <row r="11" spans="1:7" x14ac:dyDescent="0.25">
      <c r="A11" s="36" t="str" cm="1">
        <f t="array" ref="A11">INDEX(TablaIdiomas[#This Row],1,$A$1)&amp;""</f>
        <v>Nombre archivo en Excel para la Web</v>
      </c>
      <c r="B11" s="2" t="s">
        <v>87</v>
      </c>
      <c r="C11" s="2" t="s">
        <v>88</v>
      </c>
      <c r="D11" s="2" t="s">
        <v>89</v>
      </c>
      <c r="E11" s="2" t="s">
        <v>90</v>
      </c>
      <c r="F11" s="2" t="s">
        <v>91</v>
      </c>
      <c r="G11" s="2" t="s">
        <v>92</v>
      </c>
    </row>
    <row r="12" spans="1:7" x14ac:dyDescent="0.25">
      <c r="A12" s="32" t="str" cm="1">
        <f t="array" ref="A12">INDEX(TablaIdiomas[#This Row],1,$A$1)&amp;""</f>
        <v>Tarea</v>
      </c>
      <c r="B12" s="2" t="s">
        <v>93</v>
      </c>
      <c r="C12" s="2" t="s">
        <v>94</v>
      </c>
      <c r="D12" s="2" t="s">
        <v>95</v>
      </c>
      <c r="E12" s="2" t="s">
        <v>96</v>
      </c>
      <c r="F12" s="2" t="s">
        <v>97</v>
      </c>
      <c r="G12" s="2" t="s">
        <v>98</v>
      </c>
    </row>
    <row r="13" spans="1:7" x14ac:dyDescent="0.25">
      <c r="A13" s="36" t="str" cm="1">
        <f t="array" ref="A13">INDEX(TablaIdiomas[#This Row],1,$A$1)&amp;""</f>
        <v>Descripción</v>
      </c>
      <c r="B13" s="2" t="s">
        <v>99</v>
      </c>
      <c r="C13" s="2" t="s">
        <v>100</v>
      </c>
      <c r="D13" s="2" t="s">
        <v>100</v>
      </c>
      <c r="E13" s="2" t="s">
        <v>101</v>
      </c>
      <c r="F13" s="2" t="s">
        <v>102</v>
      </c>
      <c r="G13" s="2" t="s">
        <v>103</v>
      </c>
    </row>
    <row r="14" spans="1:7" x14ac:dyDescent="0.25">
      <c r="A14" s="32" t="str" cm="1">
        <f t="array" ref="A14">INDEX(TablaIdiomas[#This Row],1,$A$1)&amp;""</f>
        <v>Inicio</v>
      </c>
      <c r="B14" s="2" t="s">
        <v>104</v>
      </c>
      <c r="C14" s="2" t="s">
        <v>105</v>
      </c>
      <c r="D14" s="2" t="s">
        <v>106</v>
      </c>
      <c r="E14" s="2" t="s">
        <v>107</v>
      </c>
      <c r="F14" s="2" t="s">
        <v>105</v>
      </c>
      <c r="G14" s="2" t="s">
        <v>108</v>
      </c>
    </row>
    <row r="15" spans="1:7" x14ac:dyDescent="0.25">
      <c r="A15" s="36" t="str" cm="1">
        <f t="array" ref="A15">INDEX(TablaIdiomas[#This Row],1,$A$1)&amp;""</f>
        <v>Previsto</v>
      </c>
      <c r="B15" s="2" t="s">
        <v>109</v>
      </c>
      <c r="C15" s="2" t="s">
        <v>110</v>
      </c>
      <c r="D15" s="2" t="s">
        <v>111</v>
      </c>
      <c r="E15" s="2" t="s">
        <v>112</v>
      </c>
      <c r="F15" s="2" t="s">
        <v>113</v>
      </c>
      <c r="G15" s="2" t="s">
        <v>114</v>
      </c>
    </row>
    <row r="16" spans="1:7" x14ac:dyDescent="0.25">
      <c r="A16" s="32" t="str" cm="1">
        <f t="array" ref="A16">INDEX(TablaIdiomas[#This Row],1,$A$1)&amp;""</f>
        <v>Final</v>
      </c>
      <c r="B16" s="2" t="s">
        <v>115</v>
      </c>
      <c r="C16" s="2" t="s">
        <v>115</v>
      </c>
      <c r="D16" s="2" t="s">
        <v>116</v>
      </c>
      <c r="E16" s="2" t="s">
        <v>116</v>
      </c>
      <c r="F16" s="2" t="s">
        <v>116</v>
      </c>
      <c r="G16" s="2" t="s">
        <v>115</v>
      </c>
    </row>
    <row r="17" spans="1:7" x14ac:dyDescent="0.25">
      <c r="A17" s="36" t="str" cm="1">
        <f t="array" ref="A17">INDEX(TablaIdiomas[#This Row],1,$A$1)&amp;""</f>
        <v>Duración</v>
      </c>
      <c r="B17" s="2" t="s">
        <v>117</v>
      </c>
      <c r="C17" s="2" t="s">
        <v>118</v>
      </c>
      <c r="D17" s="2" t="s">
        <v>119</v>
      </c>
      <c r="E17" s="2" t="s">
        <v>120</v>
      </c>
      <c r="F17" s="2" t="s">
        <v>121</v>
      </c>
      <c r="G17" s="2" t="s">
        <v>122</v>
      </c>
    </row>
    <row r="18" spans="1:7" x14ac:dyDescent="0.25">
      <c r="A18" s="32" t="str" cm="1">
        <f t="array" ref="A18">INDEX(TablaIdiomas[#This Row],1,$A$1)&amp;""</f>
        <v>Retraso</v>
      </c>
      <c r="B18" s="2" t="s">
        <v>123</v>
      </c>
      <c r="C18" s="2" t="s">
        <v>124</v>
      </c>
      <c r="D18" s="2" t="s">
        <v>125</v>
      </c>
      <c r="E18" s="2" t="s">
        <v>126</v>
      </c>
      <c r="F18" s="2" t="s">
        <v>127</v>
      </c>
      <c r="G18" s="2" t="s">
        <v>128</v>
      </c>
    </row>
    <row r="19" spans="1:7" x14ac:dyDescent="0.25">
      <c r="A19" s="36" t="str" cm="1">
        <f t="array" ref="A19">INDEX(TablaIdiomas[#This Row],1,$A$1)&amp;""</f>
        <v>Asignado</v>
      </c>
      <c r="B19" s="2" t="s">
        <v>129</v>
      </c>
      <c r="C19" s="2" t="s">
        <v>130</v>
      </c>
      <c r="D19" s="2" t="s">
        <v>131</v>
      </c>
      <c r="E19" s="2" t="s">
        <v>132</v>
      </c>
      <c r="F19" s="2" t="s">
        <v>133</v>
      </c>
      <c r="G19" s="2" t="s">
        <v>134</v>
      </c>
    </row>
    <row r="20" spans="1:7" x14ac:dyDescent="0.25">
      <c r="A20" s="32" t="str" cm="1">
        <f t="array" ref="A20">INDEX(TablaIdiomas[#This Row],1,$A$1)&amp;""</f>
        <v>Filtro</v>
      </c>
      <c r="B20" s="2" t="s">
        <v>135</v>
      </c>
      <c r="C20" s="2" t="s">
        <v>136</v>
      </c>
      <c r="D20" s="2" t="s">
        <v>137</v>
      </c>
      <c r="E20" s="2" t="s">
        <v>135</v>
      </c>
      <c r="F20" s="2" t="s">
        <v>136</v>
      </c>
      <c r="G20" s="2" t="s">
        <v>135</v>
      </c>
    </row>
    <row r="21" spans="1:7" x14ac:dyDescent="0.25">
      <c r="A21" s="36" t="str" cm="1">
        <f t="array" ref="A21">INDEX(TablaIdiomas[#This Row],1,$A$1)&amp;""</f>
        <v>Celda</v>
      </c>
      <c r="B21" s="2" t="s">
        <v>138</v>
      </c>
      <c r="C21" s="2" t="s">
        <v>139</v>
      </c>
      <c r="D21" s="2" t="s">
        <v>140</v>
      </c>
      <c r="E21" s="2" t="s">
        <v>141</v>
      </c>
      <c r="F21" s="2" t="s">
        <v>142</v>
      </c>
      <c r="G21" s="2" t="s">
        <v>143</v>
      </c>
    </row>
    <row r="22" spans="1:7" x14ac:dyDescent="0.25">
      <c r="A22" s="32" t="str" cm="1">
        <f t="array" ref="A22">INDEX(TablaIdiomas[#This Row],1,$A$1)&amp;""</f>
        <v>Tarjetas con</v>
      </c>
      <c r="B22" s="2" t="s">
        <v>144</v>
      </c>
      <c r="C22" s="2" t="s">
        <v>145</v>
      </c>
      <c r="D22" s="2" t="s">
        <v>146</v>
      </c>
      <c r="E22" s="2" t="s">
        <v>147</v>
      </c>
      <c r="F22" s="2" t="s">
        <v>148</v>
      </c>
      <c r="G22" s="2" t="s">
        <v>149</v>
      </c>
    </row>
    <row r="23" spans="1:7" x14ac:dyDescent="0.25">
      <c r="A23" s="36" t="str" cm="1">
        <f t="array" ref="A23">INDEX(TablaIdiomas[#This Row],1,$A$1)&amp;""</f>
        <v>líneas</v>
      </c>
      <c r="B23" s="2" t="s">
        <v>150</v>
      </c>
      <c r="C23" s="2" t="s">
        <v>151</v>
      </c>
      <c r="D23" s="2" t="s">
        <v>152</v>
      </c>
      <c r="E23" s="2" t="s">
        <v>153</v>
      </c>
      <c r="F23" s="2" t="s">
        <v>154</v>
      </c>
      <c r="G23" s="2" t="s">
        <v>155</v>
      </c>
    </row>
    <row r="24" spans="1:7" x14ac:dyDescent="0.25">
      <c r="A24" s="32" t="str" cm="1">
        <f t="array" ref="A24">INDEX(TablaIdiomas[#This Row],1,$A$1)&amp;""</f>
        <v>tareas asignadas a</v>
      </c>
      <c r="B24" s="2" t="s">
        <v>156</v>
      </c>
      <c r="C24" s="2" t="s">
        <v>157</v>
      </c>
      <c r="D24" s="2" t="s">
        <v>158</v>
      </c>
      <c r="E24" s="2" t="s">
        <v>159</v>
      </c>
      <c r="F24" s="2" t="s">
        <v>160</v>
      </c>
      <c r="G24" s="2" t="s">
        <v>161</v>
      </c>
    </row>
    <row r="25" spans="1:7" x14ac:dyDescent="0.25">
      <c r="A25" s="36" t="str" cm="1">
        <f t="array" ref="A25">INDEX(TablaIdiomas[#This Row],1,$A$1)&amp;""</f>
        <v>Con criticidad</v>
      </c>
      <c r="B25" s="2" t="s">
        <v>162</v>
      </c>
      <c r="C25" s="2" t="s">
        <v>163</v>
      </c>
      <c r="D25" s="2" t="s">
        <v>164</v>
      </c>
      <c r="E25" s="2" t="s">
        <v>165</v>
      </c>
      <c r="F25" s="2" t="s">
        <v>166</v>
      </c>
      <c r="G25" s="2" t="s">
        <v>167</v>
      </c>
    </row>
    <row r="26" spans="1:7" x14ac:dyDescent="0.25">
      <c r="A26" s="32" t="str" cm="1">
        <f t="array" ref="A26">INDEX(TablaIdiomas[#This Row],1,$A$1)&amp;""</f>
        <v>Con inicio desde</v>
      </c>
      <c r="B26" s="2" t="s">
        <v>168</v>
      </c>
      <c r="C26" s="2" t="s">
        <v>169</v>
      </c>
      <c r="D26" s="2" t="s">
        <v>170</v>
      </c>
      <c r="E26" s="2" t="s">
        <v>171</v>
      </c>
      <c r="F26" s="2" t="s">
        <v>172</v>
      </c>
      <c r="G26" s="2" t="s">
        <v>173</v>
      </c>
    </row>
    <row r="27" spans="1:7" x14ac:dyDescent="0.25">
      <c r="A27" s="36" t="str" cm="1">
        <f t="array" ref="A27">INDEX(TablaIdiomas[#This Row],1,$A$1)&amp;""</f>
        <v>Con el texto</v>
      </c>
      <c r="B27" s="2" t="s">
        <v>174</v>
      </c>
      <c r="C27" s="2" t="s">
        <v>175</v>
      </c>
      <c r="D27" s="2" t="s">
        <v>176</v>
      </c>
      <c r="E27" s="2" t="s">
        <v>177</v>
      </c>
      <c r="F27" s="2" t="s">
        <v>178</v>
      </c>
      <c r="G27" s="2" t="s">
        <v>179</v>
      </c>
    </row>
    <row r="28" spans="1:7" x14ac:dyDescent="0.25">
      <c r="A28" s="32" t="str" cm="1">
        <f t="array" ref="A28">INDEX(TablaIdiomas[#This Row],1,$A$1)&amp;""</f>
        <v>Con un retraso &gt;</v>
      </c>
      <c r="B28" s="2" t="s">
        <v>180</v>
      </c>
      <c r="C28" s="2" t="s">
        <v>181</v>
      </c>
      <c r="D28" s="2" t="s">
        <v>182</v>
      </c>
      <c r="E28" s="2" t="s">
        <v>183</v>
      </c>
      <c r="F28" s="2" t="s">
        <v>184</v>
      </c>
      <c r="G28" s="2" t="s">
        <v>185</v>
      </c>
    </row>
    <row r="29" spans="1:7" x14ac:dyDescent="0.25">
      <c r="A29" s="36" t="str" cm="1">
        <f t="array" ref="A29">INDEX(TablaIdiomas[#This Row],1,$A$1)&amp;""</f>
        <v>días</v>
      </c>
      <c r="B29" s="2" t="s">
        <v>186</v>
      </c>
      <c r="C29" s="2" t="s">
        <v>187</v>
      </c>
      <c r="D29" s="2" t="s">
        <v>188</v>
      </c>
      <c r="E29" s="2" t="s">
        <v>189</v>
      </c>
      <c r="F29" s="2" t="s">
        <v>190</v>
      </c>
      <c r="G29" s="2" t="s">
        <v>191</v>
      </c>
    </row>
    <row r="30" spans="1:7" x14ac:dyDescent="0.25">
      <c r="A30" s="32" t="str" cm="1">
        <f t="array" ref="A30">INDEX(TablaIdiomas[#This Row],1,$A$1)&amp;""</f>
        <v>Orden en tarjetas</v>
      </c>
      <c r="B30" s="2" t="s">
        <v>192</v>
      </c>
      <c r="C30" s="2" t="s">
        <v>193</v>
      </c>
      <c r="D30" s="2" t="s">
        <v>194</v>
      </c>
      <c r="E30" s="2" t="s">
        <v>195</v>
      </c>
      <c r="F30" s="2" t="s">
        <v>196</v>
      </c>
      <c r="G30" s="2" t="s">
        <v>197</v>
      </c>
    </row>
    <row r="31" spans="1:7" x14ac:dyDescent="0.25">
      <c r="A31" s="36" t="str" cm="1">
        <f t="array" ref="A31">INDEX(TablaIdiomas[#This Row],1,$A$1)&amp;""</f>
        <v>Cambiar números del 2 al 8</v>
      </c>
      <c r="B31" s="2" t="s">
        <v>198</v>
      </c>
      <c r="C31" s="2" t="s">
        <v>199</v>
      </c>
      <c r="D31" s="2" t="s">
        <v>200</v>
      </c>
      <c r="E31" s="2" t="s">
        <v>201</v>
      </c>
      <c r="F31" s="2" t="s">
        <v>202</v>
      </c>
      <c r="G31" s="2" t="s">
        <v>203</v>
      </c>
    </row>
    <row r="32" spans="1:7" x14ac:dyDescent="0.25">
      <c r="A32" s="32" t="str" cm="1">
        <f t="array" ref="A32">INDEX(TablaIdiomas[#This Row],1,$A$1)&amp;""</f>
        <v>No duplicar los números</v>
      </c>
      <c r="B32" s="2" t="s">
        <v>204</v>
      </c>
      <c r="C32" s="2" t="s">
        <v>205</v>
      </c>
      <c r="D32" s="2" t="s">
        <v>206</v>
      </c>
      <c r="E32" s="2" t="s">
        <v>207</v>
      </c>
      <c r="F32" s="2" t="s">
        <v>208</v>
      </c>
      <c r="G32" s="2" t="s">
        <v>209</v>
      </c>
    </row>
    <row r="33" spans="1:7" x14ac:dyDescent="0.25">
      <c r="A33" s="36" t="str" cm="1">
        <f t="array" ref="A33">INDEX(TablaIdiomas[#This Row],1,$A$1)&amp;""</f>
        <v>Con una duración &gt;</v>
      </c>
      <c r="B33" s="2" t="s">
        <v>210</v>
      </c>
      <c r="C33" s="2" t="s">
        <v>211</v>
      </c>
      <c r="D33" s="2" t="s">
        <v>212</v>
      </c>
      <c r="E33" s="2" t="s">
        <v>213</v>
      </c>
      <c r="F33" s="2" t="s">
        <v>214</v>
      </c>
      <c r="G33" s="2" t="s">
        <v>215</v>
      </c>
    </row>
  </sheetData>
  <sheetProtection sheet="1" objects="1" scenarios="1" autoFilter="0"/>
  <pageMargins left="0.70866141732283472" right="0.70866141732283472" top="0.74803149606299213" bottom="0.74803149606299213" header="0.31496062992125984" footer="0.31496062992125984"/>
  <pageSetup paperSize="9" scale="98" fitToWidth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37</vt:i4>
      </vt:variant>
    </vt:vector>
  </HeadingPairs>
  <TitlesOfParts>
    <vt:vector size="43" baseType="lpstr">
      <vt:lpstr>KANBAN</vt:lpstr>
      <vt:lpstr>Datos</vt:lpstr>
      <vt:lpstr>Configura</vt:lpstr>
      <vt:lpstr>Tareas</vt:lpstr>
      <vt:lpstr>Formulas</vt:lpstr>
      <vt:lpstr>Idiomas</vt:lpstr>
      <vt:lpstr>Archivo_Edita_Nombre</vt:lpstr>
      <vt:lpstr>Configura!Área_de_impresión</vt:lpstr>
      <vt:lpstr>Datos!Área_de_impresión</vt:lpstr>
      <vt:lpstr>Formulas!Área_de_impresión</vt:lpstr>
      <vt:lpstr>Idiomas!Área_de_impresión</vt:lpstr>
      <vt:lpstr>KANBAN!Área_de_impresión</vt:lpstr>
      <vt:lpstr>Tareas!Área_de_impresión</vt:lpstr>
      <vt:lpstr>DatosKanban</vt:lpstr>
      <vt:lpstr>ListaCriticidad</vt:lpstr>
      <vt:lpstr>ListaEstados</vt:lpstr>
      <vt:lpstr>ListaUsuarios</vt:lpstr>
      <vt:lpstr>miAsignado</vt:lpstr>
      <vt:lpstr>miCabeceraFinal</vt:lpstr>
      <vt:lpstr>miCabeceraInicio</vt:lpstr>
      <vt:lpstr>miCabeceraPrevisto</vt:lpstr>
      <vt:lpstr>miCabeceraRetraso</vt:lpstr>
      <vt:lpstr>miCabeceraTarea</vt:lpstr>
      <vt:lpstr>miDuración</vt:lpstr>
      <vt:lpstr>miEstadoFinal</vt:lpstr>
      <vt:lpstr>miFechaInicio</vt:lpstr>
      <vt:lpstr>miIdioma</vt:lpstr>
      <vt:lpstr>miNúmLíneas</vt:lpstr>
      <vt:lpstr>miOrdenTarjeta</vt:lpstr>
      <vt:lpstr>miRetraso</vt:lpstr>
      <vt:lpstr>misAsignados</vt:lpstr>
      <vt:lpstr>misCriticidades</vt:lpstr>
      <vt:lpstr>misDatosTareas</vt:lpstr>
      <vt:lpstr>misEstados</vt:lpstr>
      <vt:lpstr>misFechasInicio</vt:lpstr>
      <vt:lpstr>misFiltros</vt:lpstr>
      <vt:lpstr>miTexto</vt:lpstr>
      <vt:lpstr>Configura!Títulos_a_imprimir</vt:lpstr>
      <vt:lpstr>Datos!Títulos_a_imprimir</vt:lpstr>
      <vt:lpstr>Formulas!Títulos_a_imprimir</vt:lpstr>
      <vt:lpstr>Idiomas!Títulos_a_imprimir</vt:lpstr>
      <vt:lpstr>KANBAN!Títulos_a_imprimir</vt:lpstr>
      <vt:lpstr>Tareas!Títulos_a_imprimir</vt:lpstr>
    </vt:vector>
  </TitlesOfParts>
  <Manager>Pedro Wave</Manager>
  <Company>#ExcelPedroWave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Tablero Kanban personalizable</dc:title>
  <dc:subject>Excel para la Web</dc:subject>
  <dc:creator>Pedro Wave</dc:creator>
  <cp:keywords/>
  <dc:description>https://pedrowave.blogspot.com</dc:description>
  <cp:lastModifiedBy>Ian Escobar</cp:lastModifiedBy>
  <cp:revision>0</cp:revision>
  <dcterms:created xsi:type="dcterms:W3CDTF">2022-12-26T11:27:14Z</dcterms:created>
  <dcterms:modified xsi:type="dcterms:W3CDTF">2025-07-18T15:28:46Z</dcterms:modified>
  <cp:category/>
  <cp:contentStatus/>
</cp:coreProperties>
</file>
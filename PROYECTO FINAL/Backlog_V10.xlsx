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sandavb/Documents/"/>
    </mc:Choice>
  </mc:AlternateContent>
  <xr:revisionPtr revIDLastSave="0" documentId="8_{C258192F-D077-734C-966B-561BC5CFFA28}" xr6:coauthVersionLast="47" xr6:coauthVersionMax="47" xr10:uidLastSave="{00000000-0000-0000-0000-000000000000}"/>
  <bookViews>
    <workbookView xWindow="0" yWindow="0" windowWidth="33600" windowHeight="21000" activeTab="2" xr2:uid="{00000000-000D-0000-FFFF-FFFF00000000}"/>
  </bookViews>
  <sheets>
    <sheet name="Backlog" sheetId="1" r:id="rId1"/>
    <sheet name="sprint" sheetId="2" r:id="rId2"/>
    <sheet name="burdonchart" sheetId="3" r:id="rId3"/>
    <sheet name="Conclucione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uri="GoogleSheetsCustomDataVersion2">
      <go:sheetsCustomData xmlns:go="http://customooxmlschemas.google.com/" r:id="rId9" roundtripDataChecksum="umbVZyOcx52yre52oR6StKY4AhwVaEfQZSgxcWGFbfY="/>
    </ext>
  </extLst>
</workbook>
</file>

<file path=xl/calcChain.xml><?xml version="1.0" encoding="utf-8"?>
<calcChain xmlns="http://schemas.openxmlformats.org/spreadsheetml/2006/main">
  <c r="C29" i="3" l="1"/>
  <c r="C28" i="3" l="1"/>
  <c r="D28" i="3" s="1"/>
  <c r="AZ24" i="3"/>
  <c r="AZ23" i="3"/>
  <c r="AZ22" i="3"/>
  <c r="AZ21" i="3"/>
  <c r="AZ19" i="3"/>
  <c r="AZ20" i="3"/>
  <c r="AZ18" i="3"/>
  <c r="AZ17" i="3"/>
  <c r="AZ16" i="3"/>
  <c r="AZ15" i="3"/>
  <c r="AZ14" i="3"/>
  <c r="AZ13" i="3"/>
  <c r="AZ12" i="3"/>
  <c r="AZ11" i="3"/>
  <c r="AZ10" i="3"/>
  <c r="AZ9" i="3"/>
  <c r="AZ8" i="3"/>
  <c r="AZ7" i="3"/>
  <c r="AZ6" i="3"/>
  <c r="AZ5" i="3"/>
  <c r="AZ4" i="3"/>
  <c r="E28" i="3" l="1"/>
  <c r="F28" i="3" s="1"/>
  <c r="G28" i="3" s="1"/>
  <c r="H28" i="3" s="1"/>
  <c r="I28" i="3" s="1"/>
  <c r="J28" i="3" s="1"/>
  <c r="K28" i="3" s="1"/>
  <c r="L28" i="3" s="1"/>
  <c r="M28" i="3" s="1"/>
  <c r="N28" i="3" s="1"/>
  <c r="O28" i="3" s="1"/>
  <c r="P28" i="3" s="1"/>
  <c r="Q28" i="3" s="1"/>
  <c r="R28" i="3" s="1"/>
  <c r="S28" i="3" s="1"/>
  <c r="T28" i="3" s="1"/>
  <c r="U28" i="3" s="1"/>
  <c r="V28" i="3" s="1"/>
  <c r="W28" i="3" s="1"/>
  <c r="X28" i="3" s="1"/>
  <c r="Y28" i="3" s="1"/>
  <c r="Z28" i="3" s="1"/>
  <c r="AA28" i="3" s="1"/>
  <c r="AB28" i="3" s="1"/>
  <c r="AC28" i="3" s="1"/>
  <c r="AD28" i="3" s="1"/>
  <c r="AE28" i="3" s="1"/>
  <c r="AF28" i="3" s="1"/>
  <c r="AG28" i="3" s="1"/>
  <c r="AH28" i="3" s="1"/>
  <c r="AI28" i="3" s="1"/>
  <c r="AJ28" i="3" s="1"/>
  <c r="AK28" i="3" s="1"/>
  <c r="AL28" i="3" s="1"/>
  <c r="AM28" i="3" s="1"/>
  <c r="AN28" i="3" s="1"/>
  <c r="AO28" i="3" s="1"/>
  <c r="AP28" i="3" s="1"/>
  <c r="AQ28" i="3" s="1"/>
  <c r="AR28" i="3" s="1"/>
  <c r="AS28" i="3" s="1"/>
  <c r="AT28" i="3" s="1"/>
  <c r="AU28" i="3" s="1"/>
  <c r="AV28" i="3" s="1"/>
  <c r="AW28" i="3" s="1"/>
  <c r="AX28" i="3" s="1"/>
  <c r="AY28" i="3" s="1"/>
  <c r="D29" i="3"/>
  <c r="E29" i="3" s="1"/>
  <c r="F29" i="3" s="1"/>
  <c r="G29" i="3" s="1"/>
  <c r="H29" i="3" s="1"/>
  <c r="I29" i="3" s="1"/>
  <c r="J29" i="3" s="1"/>
  <c r="K29" i="3" s="1"/>
  <c r="L29" i="3" s="1"/>
  <c r="M29" i="3" s="1"/>
  <c r="N29" i="3" s="1"/>
  <c r="O29" i="3" s="1"/>
  <c r="P29" i="3" s="1"/>
  <c r="Q29" i="3" s="1"/>
  <c r="R29" i="3" s="1"/>
  <c r="S29" i="3" s="1"/>
  <c r="T29" i="3" s="1"/>
  <c r="U29" i="3" s="1"/>
  <c r="V29" i="3" s="1"/>
  <c r="W29" i="3" s="1"/>
  <c r="X29" i="3" s="1"/>
  <c r="Y29" i="3" s="1"/>
  <c r="Z29" i="3" s="1"/>
  <c r="AA29" i="3" s="1"/>
  <c r="AB29" i="3" l="1"/>
  <c r="AC29" i="3" s="1"/>
  <c r="AD29" i="3" s="1"/>
  <c r="AE29" i="3" s="1"/>
  <c r="AF29" i="3" s="1"/>
  <c r="AG29" i="3" s="1"/>
  <c r="AH29" i="3" s="1"/>
  <c r="AI29" i="3" s="1"/>
  <c r="AJ29" i="3" s="1"/>
  <c r="AK29" i="3" s="1"/>
  <c r="AL29" i="3" s="1"/>
  <c r="AM29" i="3" s="1"/>
  <c r="AN29" i="3" s="1"/>
  <c r="AO29" i="3" s="1"/>
  <c r="AP29" i="3" s="1"/>
  <c r="AQ29" i="3" s="1"/>
  <c r="AR29" i="3" s="1"/>
  <c r="AS29" i="3" s="1"/>
  <c r="AT29" i="3" s="1"/>
  <c r="AU29" i="3" s="1"/>
  <c r="AV29" i="3" s="1"/>
  <c r="AW29" i="3" s="1"/>
  <c r="AX29" i="3" s="1"/>
  <c r="AY29" i="3" s="1"/>
</calcChain>
</file>

<file path=xl/sharedStrings.xml><?xml version="1.0" encoding="utf-8"?>
<sst xmlns="http://schemas.openxmlformats.org/spreadsheetml/2006/main" count="255" uniqueCount="139">
  <si>
    <t>t</t>
  </si>
  <si>
    <t>Tema</t>
  </si>
  <si>
    <t>Como un..</t>
  </si>
  <si>
    <t>necesito</t>
  </si>
  <si>
    <t>notas</t>
  </si>
  <si>
    <t>prioridad</t>
  </si>
  <si>
    <t>estatus</t>
  </si>
  <si>
    <t>REQ001</t>
  </si>
  <si>
    <t>Seguridad al ingreso</t>
  </si>
  <si>
    <t>Administrador</t>
  </si>
  <si>
    <t>Credenciales para el administrador ingreso al sistema</t>
  </si>
  <si>
    <t>controlar que solo el administrador ingrese al sistema</t>
  </si>
  <si>
    <t>Alta</t>
  </si>
  <si>
    <t>no iniciada</t>
  </si>
  <si>
    <t>REQ002</t>
  </si>
  <si>
    <t>Base de datos</t>
  </si>
  <si>
    <t>Digitalizar datos ya obtenidos</t>
  </si>
  <si>
    <t>REQ003</t>
  </si>
  <si>
    <t>REQ004</t>
  </si>
  <si>
    <t>Tener atributos como, nombre, CI, correo, fecha de compra, numero telefónico</t>
  </si>
  <si>
    <t>Buscar con mayo facilidad a clientes potenciales en la base de datos</t>
  </si>
  <si>
    <t>REQ005</t>
  </si>
  <si>
    <t>modificar mensajes en base a lo que el administrador necesite</t>
  </si>
  <si>
    <t>REQ006</t>
  </si>
  <si>
    <t xml:space="preserve"> Enviar mensaje automáticos en base a los datos de los clientes que necesito</t>
  </si>
  <si>
    <t>ID</t>
  </si>
  <si>
    <t>Necesito</t>
  </si>
  <si>
    <t>así podre...</t>
  </si>
  <si>
    <t>Prioridad</t>
  </si>
  <si>
    <t>Status</t>
  </si>
  <si>
    <t>Ingresar al sistema</t>
  </si>
  <si>
    <t>Crear formulario de ingreso con campos obligatorios (nombre, teléfono, fechas de compra, Correo)</t>
  </si>
  <si>
    <t>No inicializado</t>
  </si>
  <si>
    <t>Tareas</t>
  </si>
  <si>
    <t>Asignado</t>
  </si>
  <si>
    <t>Estimado</t>
  </si>
  <si>
    <t>REQ001-1</t>
  </si>
  <si>
    <t>Santiago Nogales</t>
  </si>
  <si>
    <t>REQ001-2</t>
  </si>
  <si>
    <t>REQ001-3</t>
  </si>
  <si>
    <t>Asignar mensajes y editar</t>
  </si>
  <si>
    <t>Diseñar menú para asignar mensajes a fechas y generar reportes</t>
  </si>
  <si>
    <t>REQ002-1</t>
  </si>
  <si>
    <t>Alejandro De La Cruz</t>
  </si>
  <si>
    <t>REQ002-2</t>
  </si>
  <si>
    <t>REQ002-3</t>
  </si>
  <si>
    <t>Cargar los datos a la base de datos</t>
  </si>
  <si>
    <t>Implementar búsqueda por teléfono (solo números) y opciones de edición/borrado</t>
  </si>
  <si>
    <t>REQ003-1</t>
  </si>
  <si>
    <t>REQ003-2</t>
  </si>
  <si>
    <t>REQ003-3</t>
  </si>
  <si>
    <t>Filtrado de clientes por fechas</t>
  </si>
  <si>
    <t>REQ004-1</t>
  </si>
  <si>
    <t>Ian Escobar</t>
  </si>
  <si>
    <t>REQ004-2</t>
  </si>
  <si>
    <t>Añadir opciones de filtro</t>
  </si>
  <si>
    <t>REQ004-3</t>
  </si>
  <si>
    <t>Desarrollar sistema de envío automático al coincidir la fecha actual con fechas registradas</t>
  </si>
  <si>
    <t>REQ005-1</t>
  </si>
  <si>
    <t>REQ005-2</t>
  </si>
  <si>
    <t xml:space="preserve">Se verifica la ortografía y se añaden emojis para un mensaje más dinámico y entendible </t>
  </si>
  <si>
    <t>REQ005-3</t>
  </si>
  <si>
    <t>El administrador verificará que los mensajes sean los adecuados para ser enviados</t>
  </si>
  <si>
    <t>REQ006-1</t>
  </si>
  <si>
    <t>REQ006-2</t>
  </si>
  <si>
    <t>REQ006-3</t>
  </si>
  <si>
    <t>Total de Horas</t>
  </si>
  <si>
    <t>Horas Estimadas</t>
  </si>
  <si>
    <t>Horas Estimadas
Restantes</t>
  </si>
  <si>
    <t>Recomendaciones</t>
  </si>
  <si>
    <t>Concluciones</t>
  </si>
  <si>
    <t>1. Implementar Criterios de Aceptación y Definición de "Terminado"
Qué hacer:
Para cada subtarea, agregar una columna con criterios de aceptación medibles (ej.: *"REQ001-3: El sistema muestra 'Acceso con éxito' solo si las credenciales son válidas"*).
Beneficio:
Reduce ambigüedades y asegura que las tareas se completen con el estándar esperado.
2. Adoptar Herramientas Visuales para Monitoreo Continuo
Qué hacer:
Usar un gráfico de Burndown (en Excel, Jira o herramientas como ClickUp) para comparar horas trabajadas vs. horas planificadas diariamente.
Complementar con un tablero Kanban (To Do/Doing/Done) para visibilidad del estado de las tareas.
Beneficio:
Identifica rápidamente desviaciones (ej.: tareas estancadas) y permite ajustar recursos o prioridades.</t>
  </si>
  <si>
    <t xml:space="preserve">
Documentación Organizada pero con Oportunidades de Mejora
El formato actual permite identificar claramente los requisitos, tareas y responsables, pero podría optimizarse para facilitar el seguimiento y la medición del progreso real.
Seguimiento de Horas vs. Progreso Real
Aunque se registran las horas trabajadas, no existe una correlación clara entre el tiempo invertido y el avance en las funcionalidades pero nos permite mantener un seguimiento.</t>
  </si>
  <si>
    <t>SPRINT 1</t>
  </si>
  <si>
    <t>Botones funcionales</t>
  </si>
  <si>
    <t xml:space="preserve">Cambio de IDE </t>
  </si>
  <si>
    <t>Necesitamos trasladarnos de id C++ a Java ya que no es GUI</t>
  </si>
  <si>
    <t>En proceso</t>
  </si>
  <si>
    <t>REQ007</t>
  </si>
  <si>
    <t xml:space="preserve">Cambiar de Ide </t>
  </si>
  <si>
    <t>REQ007-1</t>
  </si>
  <si>
    <t>REQ007-2</t>
  </si>
  <si>
    <t>REQ007-3</t>
  </si>
  <si>
    <t>REQ008</t>
  </si>
  <si>
    <t>tener acceso a los contactos adquiriendo facilidad para visualizar los clientes</t>
  </si>
  <si>
    <t>media</t>
  </si>
  <si>
    <t>Terminado</t>
  </si>
  <si>
    <t>SPRINT 2</t>
  </si>
  <si>
    <t>SPRINT 3</t>
  </si>
  <si>
    <t>SPRINT 4</t>
  </si>
  <si>
    <t>Tener una interfaz mas amigable y fluida que completa la visión del cliente</t>
  </si>
  <si>
    <t>Filtración atributos de clientes</t>
  </si>
  <si>
    <t>Creación de mensajes</t>
  </si>
  <si>
    <t>Tener mensajes plantillas en base a la ocasión</t>
  </si>
  <si>
    <t>Conexión con medios de mensajería</t>
  </si>
  <si>
    <t>Conectar aplicaciones de mensajería como WhatsApp al programa</t>
  </si>
  <si>
    <t>Envió automático de mensajes</t>
  </si>
  <si>
    <t>enviar mensajes adecuados a los nuevos clientes</t>
  </si>
  <si>
    <t>tener facilidad para visualizar los datos desde cualquier medio tecnológico</t>
  </si>
  <si>
    <t>Edición de base de datos</t>
  </si>
  <si>
    <t>Editar y actualizar datos de clientes ya obtenidos</t>
  </si>
  <si>
    <t>tener una base de datos editable en tiempo real con información verificada</t>
  </si>
  <si>
    <t>Creación de buscador dentro de la interfaz en la base de datos</t>
  </si>
  <si>
    <t>Permitir que los atributos del cliente se puedan editar mediante a un botón de "edición"</t>
  </si>
  <si>
    <t>obtener una interfaz mas dinámica que complemente la visión del emprendedor</t>
  </si>
  <si>
    <t>Cambio IDE desarrollo. De c++ a java</t>
  </si>
  <si>
    <t>Visualización dinámica</t>
  </si>
  <si>
    <t>Crear filtro de búsqueda por fecha con formato numérico (de/mm/aaaa)</t>
  </si>
  <si>
    <t xml:space="preserve">Creación de filtros dentro de los atributos del cliente </t>
  </si>
  <si>
    <t xml:space="preserve">Creación de un mensaje que permita restaurar los filtros </t>
  </si>
  <si>
    <t>Programación de mensajes</t>
  </si>
  <si>
    <t xml:space="preserve">Se crean mensajes pregerminados con la información necesaria para poder enviarla </t>
  </si>
  <si>
    <t>Implementar botones que muestren la conexión con el medio de mensajería "WhatsApp"</t>
  </si>
  <si>
    <t>permitir mediante ir o SMS de seguridad la conexión con el medio de mensajería</t>
  </si>
  <si>
    <t xml:space="preserve">mostrar mensaje de conexión exitosa </t>
  </si>
  <si>
    <t>Creación de interfaz amigable y entendible para que se puedan ingresar datos del administrador</t>
  </si>
  <si>
    <t>Creación de las credenciales para que el administrador pueda iniciar sesión</t>
  </si>
  <si>
    <t>Verificar que el administrador pueda ingresar al sistema con dichas credenciales mediante un mensaje de "acceso con éxito"</t>
  </si>
  <si>
    <t xml:space="preserve">Creación de atributos de los clientes dentro de la interfaz </t>
  </si>
  <si>
    <t>Digitalización de la base de datos física en la interfaz</t>
  </si>
  <si>
    <t>Búsqueda de clientes registrados</t>
  </si>
  <si>
    <t>Creación de campos en base a los atributos del cliente</t>
  </si>
  <si>
    <t>Durante el proceso de desarrollo del producto software, CONCLUSIÓN DEL ESFUERZO CALCULADO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</si>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</sst>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5" x14ac:knownFonts="1">
    <font>
      <sz val="10"/>
      <color rgb="FF000000"/>
      <name val="Arial"/>
      <scheme val="minor"/>
    </font>
    <font>
      <b/>
      <sz val="12"/>
      <color rgb="FFFF0000"/>
      <name val="Arial"/>
      <family val="2"/>
    </font>
    <font>
      <sz val="12"/>
      <color rgb="FFFF0000"/>
      <name val="Arial"/>
      <family val="2"/>
    </font>
    <font>
      <sz val="10"/>
      <color theme="1"/>
      <name val="Calibri"/>
      <family val="2"/>
    </font>
    <font>
      <sz val="10"/>
      <color theme="1"/>
      <name val="Arial"/>
      <family val="2"/>
    </font>
    <font>
      <sz val="10"/>
      <color rgb="FF2F5496"/>
      <name val="Arial"/>
      <family val="2"/>
    </font>
    <font>
      <sz val="10"/>
      <color rgb="FF000000"/>
      <name val="Calibri"/>
      <family val="2"/>
    </font>
    <font>
      <b/>
      <sz val="10"/>
      <color theme="1"/>
      <name val="Arial"/>
      <family val="2"/>
    </font>
    <font>
      <b/>
      <sz val="10"/>
      <color rgb="FF2F5496"/>
      <name val="Arial"/>
      <family val="2"/>
    </font>
    <font>
      <sz val="10"/>
      <color theme="1"/>
      <name val="Arial"/>
      <family val="2"/>
      <scheme val="minor"/>
    </font>
    <font>
      <sz val="10"/>
      <color rgb="FF0000FF"/>
      <name val="Arial"/>
      <family val="2"/>
    </font>
    <font>
      <sz val="10"/>
      <color rgb="FF2F5496"/>
      <name val="Arial"/>
      <family val="2"/>
    </font>
    <font>
      <sz val="10"/>
      <color rgb="FF000000"/>
      <name val="Arial"/>
      <family val="2"/>
      <scheme val="minor"/>
    </font>
    <font>
      <sz val="8"/>
      <name val="Arial"/>
      <family val="2"/>
      <scheme val="minor"/>
    </font>
    <font>
      <b/>
      <sz val="14"/>
      <color rgb="FF000000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B4C6E7"/>
        <bgColor rgb="FFB4C6E7"/>
      </patternFill>
    </fill>
    <fill>
      <patternFill patternType="solid">
        <fgColor rgb="FF6AA84F"/>
        <bgColor rgb="FF6AA84F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</fills>
  <borders count="17">
    <border>
      <left/>
      <right/>
      <top/>
      <bottom/>
      <diagonal/>
    </border>
    <border>
      <left style="thin">
        <color rgb="FF7B7B7B"/>
      </left>
      <right/>
      <top style="thin">
        <color rgb="FF7B7B7B"/>
      </top>
      <bottom style="thin">
        <color rgb="FF7B7B7B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7B7B7B"/>
      </left>
      <right style="thin">
        <color rgb="FF7B7B7B"/>
      </right>
      <top style="thin">
        <color rgb="FF7B7B7B"/>
      </top>
      <bottom style="thin">
        <color rgb="FF7B7B7B"/>
      </bottom>
      <diagonal/>
    </border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7B7B7B"/>
      </right>
      <top/>
      <bottom/>
      <diagonal/>
    </border>
  </borders>
  <cellStyleXfs count="2">
    <xf numFmtId="0" fontId="0" fillId="0" borderId="0"/>
    <xf numFmtId="0" fontId="12" fillId="0" borderId="4"/>
  </cellStyleXfs>
  <cellXfs count="50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4" fillId="0" borderId="2" xfId="0" applyFont="1" applyBorder="1"/>
    <xf numFmtId="0" fontId="5" fillId="0" borderId="2" xfId="0" applyFont="1" applyBorder="1"/>
    <xf numFmtId="0" fontId="5" fillId="0" borderId="0" xfId="0" applyFont="1"/>
    <xf numFmtId="0" fontId="6" fillId="0" borderId="3" xfId="0" applyFont="1" applyBorder="1"/>
    <xf numFmtId="0" fontId="4" fillId="0" borderId="0" xfId="0" applyFont="1"/>
    <xf numFmtId="0" fontId="7" fillId="0" borderId="0" xfId="0" applyFont="1" applyAlignment="1">
      <alignment horizontal="center"/>
    </xf>
    <xf numFmtId="0" fontId="4" fillId="2" borderId="4" xfId="0" applyFont="1" applyFill="1" applyBorder="1"/>
    <xf numFmtId="0" fontId="5" fillId="2" borderId="4" xfId="0" applyFont="1" applyFill="1" applyBorder="1"/>
    <xf numFmtId="0" fontId="7" fillId="0" borderId="0" xfId="0" applyFont="1"/>
    <xf numFmtId="0" fontId="8" fillId="0" borderId="0" xfId="0" applyFont="1"/>
    <xf numFmtId="0" fontId="3" fillId="0" borderId="3" xfId="0" applyFont="1" applyBorder="1" applyAlignment="1">
      <alignment vertical="center" wrapText="1"/>
    </xf>
    <xf numFmtId="0" fontId="5" fillId="0" borderId="0" xfId="0" applyFont="1" applyAlignment="1">
      <alignment horizontal="right"/>
    </xf>
    <xf numFmtId="0" fontId="9" fillId="0" borderId="0" xfId="0" applyFont="1"/>
    <xf numFmtId="0" fontId="10" fillId="0" borderId="0" xfId="0" applyFont="1"/>
    <xf numFmtId="0" fontId="4" fillId="3" borderId="4" xfId="0" applyFont="1" applyFill="1" applyBorder="1" applyAlignment="1">
      <alignment horizontal="right"/>
    </xf>
    <xf numFmtId="0" fontId="4" fillId="0" borderId="0" xfId="0" applyFont="1" applyAlignment="1">
      <alignment horizontal="right"/>
    </xf>
    <xf numFmtId="0" fontId="4" fillId="4" borderId="4" xfId="0" applyFont="1" applyFill="1" applyBorder="1" applyAlignment="1">
      <alignment horizontal="right"/>
    </xf>
    <xf numFmtId="0" fontId="4" fillId="5" borderId="4" xfId="0" applyFont="1" applyFill="1" applyBorder="1"/>
    <xf numFmtId="0" fontId="12" fillId="0" borderId="0" xfId="0" applyFont="1"/>
    <xf numFmtId="0" fontId="11" fillId="0" borderId="0" xfId="0" applyFont="1"/>
    <xf numFmtId="0" fontId="12" fillId="0" borderId="4" xfId="1"/>
    <xf numFmtId="0" fontId="5" fillId="0" borderId="4" xfId="1" applyFont="1"/>
    <xf numFmtId="0" fontId="11" fillId="0" borderId="4" xfId="0" applyFont="1" applyBorder="1"/>
    <xf numFmtId="0" fontId="11" fillId="0" borderId="16" xfId="0" applyFont="1" applyBorder="1"/>
    <xf numFmtId="0" fontId="5" fillId="0" borderId="4" xfId="0" applyFont="1" applyBorder="1"/>
    <xf numFmtId="0" fontId="5" fillId="0" borderId="16" xfId="0" applyFont="1" applyBorder="1"/>
    <xf numFmtId="0" fontId="5" fillId="0" borderId="16" xfId="1" applyFont="1" applyBorder="1"/>
    <xf numFmtId="0" fontId="14" fillId="0" borderId="4" xfId="1" applyFont="1"/>
    <xf numFmtId="0" fontId="3" fillId="0" borderId="4" xfId="0" applyFont="1" applyBorder="1" applyAlignment="1">
      <alignment vertical="center" wrapText="1"/>
    </xf>
    <xf numFmtId="14" fontId="4" fillId="0" borderId="0" xfId="0" applyNumberFormat="1" applyFont="1"/>
    <xf numFmtId="0" fontId="12" fillId="0" borderId="5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12" fillId="0" borderId="8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10" xfId="0" applyFont="1" applyBorder="1" applyAlignment="1">
      <alignment horizontal="left" vertical="top" wrapText="1"/>
    </xf>
    <xf numFmtId="0" fontId="12" fillId="0" borderId="11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12" xfId="0" applyFont="1" applyBorder="1" applyAlignment="1">
      <alignment horizontal="left" vertical="top" wrapText="1"/>
    </xf>
    <xf numFmtId="0" fontId="12" fillId="0" borderId="13" xfId="0" applyFont="1" applyBorder="1" applyAlignment="1">
      <alignment horizontal="left" vertical="top" wrapText="1"/>
    </xf>
    <xf numFmtId="0" fontId="12" fillId="0" borderId="14" xfId="0" applyFont="1" applyBorder="1" applyAlignment="1">
      <alignment horizontal="left" vertical="top" wrapText="1"/>
    </xf>
    <xf numFmtId="0" fontId="12" fillId="0" borderId="1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center" wrapText="1"/>
    </xf>
    <xf numFmtId="0" fontId="12" fillId="0" borderId="4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</cellXfs>
  <cellStyles count="2">
    <cellStyle name="Normal" xfId="0" builtinId="0"/>
    <cellStyle name="Normal 2" xfId="1" xr:uid="{7B108714-E2D7-C040-B7BB-95E1655FF0FE}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00FF00"/>
          <bgColor rgb="FF00FF00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5">
    <tableStyle name="burdonchart-style" pivot="0" count="3" xr9:uid="{00000000-0011-0000-FFFF-FFFF00000000}">
      <tableStyleElement type="headerRow" dxfId="11"/>
      <tableStyleElement type="firstRowStripe" dxfId="10"/>
      <tableStyleElement type="secondRowStripe" dxfId="9"/>
    </tableStyle>
    <tableStyle name="burdonchart-style 2" pivot="0" count="2" xr9:uid="{00000000-0011-0000-FFFF-FFFF01000000}">
      <tableStyleElement type="firstRowStripe" dxfId="8"/>
      <tableStyleElement type="secondRowStripe" dxfId="7"/>
    </tableStyle>
    <tableStyle name="burdonchart-style 3" pivot="0" count="2" xr9:uid="{00000000-0011-0000-FFFF-FFFF02000000}">
      <tableStyleElement type="firstRowStripe" dxfId="6"/>
      <tableStyleElement type="secondRowStripe" dxfId="5"/>
    </tableStyle>
    <tableStyle name="burdonchart-style 4" pivot="0" count="2" xr9:uid="{00000000-0011-0000-FFFF-FFFF03000000}">
      <tableStyleElement type="firstRowStripe" dxfId="4"/>
      <tableStyleElement type="secondRowStripe" dxfId="3"/>
    </tableStyle>
    <tableStyle name="burdonchart-style 5" pivot="0" count="2" xr9:uid="{00000000-0011-0000-FFFF-FFFF04000000}"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9841400647593468E-2"/>
          <c:y val="4.6368943956950265E-2"/>
          <c:w val="0.89890387327888732"/>
          <c:h val="0.88410078184738516"/>
        </c:manualLayout>
      </c:layout>
      <c:lineChart>
        <c:grouping val="standard"/>
        <c:varyColors val="1"/>
        <c:ser>
          <c:idx val="0"/>
          <c:order val="0"/>
          <c:spPr>
            <a:ln w="28575" cmpd="sng">
              <a:solidFill>
                <a:schemeClr val="accent1"/>
              </a:solidFill>
            </a:ln>
          </c:spPr>
          <c:marker>
            <c:symbol val="none"/>
          </c:marker>
          <c:val>
            <c:numRef>
              <c:f>burdonchart!$B$28:$AY$28</c:f>
              <c:numCache>
                <c:formatCode>General</c:formatCode>
                <c:ptCount val="50"/>
                <c:pt idx="0">
                  <c:v>0</c:v>
                </c:pt>
                <c:pt idx="1">
                  <c:v>70</c:v>
                </c:pt>
                <c:pt idx="2">
                  <c:v>62</c:v>
                </c:pt>
                <c:pt idx="3">
                  <c:v>54</c:v>
                </c:pt>
                <c:pt idx="4">
                  <c:v>54</c:v>
                </c:pt>
                <c:pt idx="5">
                  <c:v>54</c:v>
                </c:pt>
                <c:pt idx="6">
                  <c:v>54</c:v>
                </c:pt>
                <c:pt idx="7">
                  <c:v>54</c:v>
                </c:pt>
                <c:pt idx="8">
                  <c:v>54</c:v>
                </c:pt>
                <c:pt idx="9">
                  <c:v>54</c:v>
                </c:pt>
                <c:pt idx="10">
                  <c:v>54</c:v>
                </c:pt>
                <c:pt idx="11">
                  <c:v>54</c:v>
                </c:pt>
                <c:pt idx="12">
                  <c:v>54</c:v>
                </c:pt>
                <c:pt idx="13">
                  <c:v>54</c:v>
                </c:pt>
                <c:pt idx="14">
                  <c:v>54</c:v>
                </c:pt>
                <c:pt idx="15">
                  <c:v>53</c:v>
                </c:pt>
                <c:pt idx="16">
                  <c:v>52</c:v>
                </c:pt>
                <c:pt idx="17">
                  <c:v>52</c:v>
                </c:pt>
                <c:pt idx="18">
                  <c:v>52</c:v>
                </c:pt>
                <c:pt idx="19">
                  <c:v>51</c:v>
                </c:pt>
                <c:pt idx="20">
                  <c:v>51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49</c:v>
                </c:pt>
                <c:pt idx="26">
                  <c:v>47</c:v>
                </c:pt>
                <c:pt idx="27">
                  <c:v>44</c:v>
                </c:pt>
                <c:pt idx="28">
                  <c:v>41</c:v>
                </c:pt>
                <c:pt idx="29">
                  <c:v>38</c:v>
                </c:pt>
                <c:pt idx="30">
                  <c:v>36</c:v>
                </c:pt>
                <c:pt idx="31">
                  <c:v>34</c:v>
                </c:pt>
                <c:pt idx="32">
                  <c:v>32</c:v>
                </c:pt>
                <c:pt idx="33">
                  <c:v>31</c:v>
                </c:pt>
                <c:pt idx="34">
                  <c:v>29</c:v>
                </c:pt>
                <c:pt idx="35">
                  <c:v>28</c:v>
                </c:pt>
                <c:pt idx="36">
                  <c:v>27</c:v>
                </c:pt>
                <c:pt idx="37">
                  <c:v>25</c:v>
                </c:pt>
                <c:pt idx="38">
                  <c:v>24</c:v>
                </c:pt>
                <c:pt idx="39">
                  <c:v>23</c:v>
                </c:pt>
                <c:pt idx="40">
                  <c:v>22</c:v>
                </c:pt>
                <c:pt idx="41">
                  <c:v>20</c:v>
                </c:pt>
                <c:pt idx="42">
                  <c:v>19</c:v>
                </c:pt>
                <c:pt idx="43">
                  <c:v>17</c:v>
                </c:pt>
                <c:pt idx="44">
                  <c:v>16</c:v>
                </c:pt>
                <c:pt idx="45">
                  <c:v>15</c:v>
                </c:pt>
                <c:pt idx="46">
                  <c:v>11</c:v>
                </c:pt>
                <c:pt idx="47">
                  <c:v>9</c:v>
                </c:pt>
                <c:pt idx="48">
                  <c:v>8</c:v>
                </c:pt>
                <c:pt idx="49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37-7541-BDA1-97970C56D370}"/>
            </c:ext>
          </c:extLst>
        </c:ser>
        <c:ser>
          <c:idx val="1"/>
          <c:order val="1"/>
          <c:spPr>
            <a:ln w="28575" cmpd="sng">
              <a:solidFill>
                <a:schemeClr val="accent2"/>
              </a:solidFill>
            </a:ln>
          </c:spPr>
          <c:marker>
            <c:symbol val="none"/>
          </c:marker>
          <c:val>
            <c:numRef>
              <c:f>burdonchart!$B$29:$AY$29</c:f>
              <c:numCache>
                <c:formatCode>General</c:formatCode>
                <c:ptCount val="50"/>
                <c:pt idx="0">
                  <c:v>0</c:v>
                </c:pt>
                <c:pt idx="1">
                  <c:v>70</c:v>
                </c:pt>
                <c:pt idx="2">
                  <c:v>68.708333333333329</c:v>
                </c:pt>
                <c:pt idx="3">
                  <c:v>67.583333333333329</c:v>
                </c:pt>
                <c:pt idx="4">
                  <c:v>66.458333333333329</c:v>
                </c:pt>
                <c:pt idx="5">
                  <c:v>65.333333333333329</c:v>
                </c:pt>
                <c:pt idx="6">
                  <c:v>64.208333333333329</c:v>
                </c:pt>
                <c:pt idx="7">
                  <c:v>63.083333333333329</c:v>
                </c:pt>
                <c:pt idx="8">
                  <c:v>61.958333333333329</c:v>
                </c:pt>
                <c:pt idx="9">
                  <c:v>60.833333333333329</c:v>
                </c:pt>
                <c:pt idx="10">
                  <c:v>59.708333333333329</c:v>
                </c:pt>
                <c:pt idx="11">
                  <c:v>58.583333333333329</c:v>
                </c:pt>
                <c:pt idx="12">
                  <c:v>57.458333333333329</c:v>
                </c:pt>
                <c:pt idx="13">
                  <c:v>56.333333333333329</c:v>
                </c:pt>
                <c:pt idx="14">
                  <c:v>55.208333333333329</c:v>
                </c:pt>
                <c:pt idx="15">
                  <c:v>54.104166666666664</c:v>
                </c:pt>
                <c:pt idx="16">
                  <c:v>53.020833333333329</c:v>
                </c:pt>
                <c:pt idx="17">
                  <c:v>51.937499999999993</c:v>
                </c:pt>
                <c:pt idx="18">
                  <c:v>50.854166666666657</c:v>
                </c:pt>
                <c:pt idx="19">
                  <c:v>49.791666666666657</c:v>
                </c:pt>
                <c:pt idx="20">
                  <c:v>48.729166666666657</c:v>
                </c:pt>
                <c:pt idx="21">
                  <c:v>47.687499999999993</c:v>
                </c:pt>
                <c:pt idx="22">
                  <c:v>46.645833333333329</c:v>
                </c:pt>
                <c:pt idx="23">
                  <c:v>45.604166666666664</c:v>
                </c:pt>
                <c:pt idx="24">
                  <c:v>44.5625</c:v>
                </c:pt>
                <c:pt idx="25">
                  <c:v>43.541666666666664</c:v>
                </c:pt>
                <c:pt idx="26">
                  <c:v>42.5625</c:v>
                </c:pt>
                <c:pt idx="27">
                  <c:v>41.645833333333336</c:v>
                </c:pt>
                <c:pt idx="28">
                  <c:v>40.791666666666671</c:v>
                </c:pt>
                <c:pt idx="29">
                  <c:v>40.000000000000007</c:v>
                </c:pt>
                <c:pt idx="30">
                  <c:v>39.250000000000007</c:v>
                </c:pt>
                <c:pt idx="31">
                  <c:v>38.541666666666671</c:v>
                </c:pt>
                <c:pt idx="32">
                  <c:v>37.875000000000007</c:v>
                </c:pt>
                <c:pt idx="33">
                  <c:v>37.229166666666671</c:v>
                </c:pt>
                <c:pt idx="34">
                  <c:v>36.625000000000007</c:v>
                </c:pt>
                <c:pt idx="35">
                  <c:v>36.041666666666671</c:v>
                </c:pt>
                <c:pt idx="36">
                  <c:v>35.479166666666671</c:v>
                </c:pt>
                <c:pt idx="37">
                  <c:v>34.958333333333336</c:v>
                </c:pt>
                <c:pt idx="38">
                  <c:v>34.458333333333336</c:v>
                </c:pt>
                <c:pt idx="39">
                  <c:v>33.979166666666671</c:v>
                </c:pt>
                <c:pt idx="40">
                  <c:v>33.520833333333336</c:v>
                </c:pt>
                <c:pt idx="41">
                  <c:v>33.104166666666671</c:v>
                </c:pt>
                <c:pt idx="42">
                  <c:v>32.708333333333336</c:v>
                </c:pt>
                <c:pt idx="43">
                  <c:v>32.354166666666671</c:v>
                </c:pt>
                <c:pt idx="44">
                  <c:v>32.020833333333336</c:v>
                </c:pt>
                <c:pt idx="45">
                  <c:v>31.708333333333336</c:v>
                </c:pt>
                <c:pt idx="46">
                  <c:v>31.479166666666668</c:v>
                </c:pt>
                <c:pt idx="47">
                  <c:v>31.291666666666668</c:v>
                </c:pt>
                <c:pt idx="48">
                  <c:v>31.125</c:v>
                </c:pt>
                <c:pt idx="49">
                  <c:v>30.958333333333332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37-7541-BDA1-97970C56D3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156114"/>
        <c:axId val="1031540984"/>
      </c:lineChart>
      <c:catAx>
        <c:axId val="1551561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 lang="es-EC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31540984"/>
        <c:crosses val="autoZero"/>
        <c:auto val="1"/>
        <c:lblAlgn val="ctr"/>
        <c:lblOffset val="100"/>
        <c:noMultiLvlLbl val="1"/>
      </c:catAx>
      <c:valAx>
        <c:axId val="103154098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endParaRPr lang="es-EC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crossAx val="155156114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solidFill>
      <a:schemeClr val="dk1"/>
    </a:solidFill>
    <a:ln w="12700" cap="flat" cmpd="sng" algn="ctr">
      <a:solidFill>
        <a:schemeClr val="dk1">
          <a:shade val="15000"/>
        </a:schemeClr>
      </a:solidFill>
      <a:prstDash val="solid"/>
      <a:miter lim="800000"/>
    </a:ln>
    <a:effectLst/>
  </c:spPr>
  <c:txPr>
    <a:bodyPr/>
    <a:lstStyle/>
    <a:p>
      <a:pPr>
        <a:defRPr sz="2000">
          <a:solidFill>
            <a:schemeClr val="lt1"/>
          </a:solidFill>
          <a:latin typeface="+mn-lt"/>
          <a:ea typeface="+mn-ea"/>
          <a:cs typeface="+mn-cs"/>
        </a:defRPr>
      </a:pPr>
      <a:endParaRPr lang="es-EC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388326</xdr:colOff>
      <xdr:row>42</xdr:row>
      <xdr:rowOff>78152</xdr:rowOff>
    </xdr:from>
    <xdr:ext cx="19296674" cy="12812347"/>
    <xdr:graphicFrame macro="">
      <xdr:nvGraphicFramePr>
        <xdr:cNvPr id="2" name="Chart 1" title="Gráfico">
          <a:extLst>
            <a:ext uri="{FF2B5EF4-FFF2-40B4-BE49-F238E27FC236}">
              <a16:creationId xmlns:a16="http://schemas.microsoft.com/office/drawing/2014/main" id="{9D1A1A47-8C3F-404C-85D1-B833B1F3AF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Z4:AZ6" headerRowCount="0">
  <tableColumns count="1">
    <tableColumn id="1" xr3:uid="{00000000-0010-0000-0000-000001000000}" name="Column1"/>
  </tableColumns>
  <tableStyleInfo name="burdonchart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Z7:AZ9" headerRowCount="0">
  <tableColumns count="1">
    <tableColumn id="1" xr3:uid="{00000000-0010-0000-0100-000001000000}" name="Column1"/>
  </tableColumns>
  <tableStyleInfo name="burdonchart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Z10:AZ12" headerRowCount="0">
  <tableColumns count="1">
    <tableColumn id="1" xr3:uid="{00000000-0010-0000-0200-000001000000}" name="Column1"/>
  </tableColumns>
  <tableStyleInfo name="burdonchart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AZ13:AZ15" headerRowCount="0">
  <tableColumns count="1">
    <tableColumn id="1" xr3:uid="{00000000-0010-0000-0300-000001000000}" name="Column1"/>
  </tableColumns>
  <tableStyleInfo name="burdonchart-style 4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AZ16:AZ19" headerRowCount="0" totalsRowCount="1">
  <tableColumns count="1">
    <tableColumn id="1" xr3:uid="{00000000-0010-0000-0400-000001000000}" name="Column1" totalsRowFunction="custom" totalsRowDxfId="0">
      <totalsRowFormula>SUM(D19:AY19)</totalsRowFormula>
    </tableColumn>
  </tableColumns>
  <tableStyleInfo name="burdonchart-style 5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2"/>
  <sheetViews>
    <sheetView zoomScale="130" zoomScaleNormal="130" workbookViewId="0">
      <selection activeCell="E4" sqref="E4"/>
    </sheetView>
  </sheetViews>
  <sheetFormatPr baseColWidth="10" defaultColWidth="12.6640625" defaultRowHeight="15" customHeight="1" x14ac:dyDescent="0.15"/>
  <cols>
    <col min="1" max="1" width="12.5" customWidth="1"/>
    <col min="2" max="2" width="27.83203125" customWidth="1"/>
    <col min="3" max="3" width="21.5" customWidth="1"/>
    <col min="4" max="4" width="40.6640625" customWidth="1"/>
    <col min="5" max="5" width="76.1640625" customWidth="1"/>
    <col min="6" max="26" width="12.5" customWidth="1"/>
  </cols>
  <sheetData>
    <row r="1" spans="1:26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27</v>
      </c>
      <c r="F1" s="1" t="s">
        <v>4</v>
      </c>
      <c r="G1" s="1" t="s">
        <v>5</v>
      </c>
      <c r="H1" s="1" t="s">
        <v>6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15">
      <c r="A2" s="3" t="s">
        <v>7</v>
      </c>
      <c r="B2" s="4" t="s">
        <v>8</v>
      </c>
      <c r="C2" s="5" t="s">
        <v>9</v>
      </c>
      <c r="D2" s="5" t="s">
        <v>10</v>
      </c>
      <c r="E2" s="5" t="s">
        <v>11</v>
      </c>
      <c r="F2" s="5"/>
      <c r="G2" s="6" t="s">
        <v>12</v>
      </c>
      <c r="H2" s="6" t="s">
        <v>86</v>
      </c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5.75" customHeight="1" x14ac:dyDescent="0.15">
      <c r="A3" s="3" t="s">
        <v>14</v>
      </c>
      <c r="B3" s="4" t="s">
        <v>15</v>
      </c>
      <c r="C3" s="5" t="s">
        <v>9</v>
      </c>
      <c r="D3" s="5" t="s">
        <v>16</v>
      </c>
      <c r="E3" s="5" t="s">
        <v>98</v>
      </c>
      <c r="F3" s="5"/>
      <c r="G3" s="6" t="s">
        <v>12</v>
      </c>
      <c r="H3" s="6" t="s">
        <v>86</v>
      </c>
    </row>
    <row r="4" spans="1:26" ht="15.75" customHeight="1" x14ac:dyDescent="0.15">
      <c r="A4" s="3" t="s">
        <v>17</v>
      </c>
      <c r="B4" s="4" t="s">
        <v>99</v>
      </c>
      <c r="C4" s="5" t="s">
        <v>9</v>
      </c>
      <c r="D4" s="5" t="s">
        <v>100</v>
      </c>
      <c r="E4" s="5" t="s">
        <v>101</v>
      </c>
      <c r="F4" s="5"/>
      <c r="G4" s="6" t="s">
        <v>12</v>
      </c>
      <c r="H4" s="6" t="s">
        <v>86</v>
      </c>
    </row>
    <row r="5" spans="1:26" ht="15.75" customHeight="1" x14ac:dyDescent="0.15">
      <c r="A5" s="3" t="s">
        <v>18</v>
      </c>
      <c r="B5" s="4" t="s">
        <v>75</v>
      </c>
      <c r="C5" s="5" t="s">
        <v>9</v>
      </c>
      <c r="D5" s="5" t="s">
        <v>76</v>
      </c>
      <c r="E5" s="5" t="s">
        <v>90</v>
      </c>
      <c r="F5" s="5"/>
      <c r="G5" s="6" t="s">
        <v>12</v>
      </c>
      <c r="H5" s="6" t="s">
        <v>86</v>
      </c>
    </row>
    <row r="6" spans="1:26" ht="15.75" customHeight="1" x14ac:dyDescent="0.15">
      <c r="A6" s="3" t="s">
        <v>21</v>
      </c>
      <c r="B6" s="4" t="s">
        <v>91</v>
      </c>
      <c r="C6" s="5" t="s">
        <v>9</v>
      </c>
      <c r="D6" s="5" t="s">
        <v>19</v>
      </c>
      <c r="E6" s="5" t="s">
        <v>20</v>
      </c>
      <c r="F6" s="5"/>
      <c r="G6" s="6" t="s">
        <v>12</v>
      </c>
      <c r="H6" s="6" t="s">
        <v>77</v>
      </c>
    </row>
    <row r="7" spans="1:26" ht="15.75" customHeight="1" x14ac:dyDescent="0.2">
      <c r="A7" s="3" t="s">
        <v>23</v>
      </c>
      <c r="B7" s="4" t="s">
        <v>92</v>
      </c>
      <c r="C7" s="5" t="s">
        <v>9</v>
      </c>
      <c r="D7" s="5" t="s">
        <v>93</v>
      </c>
      <c r="E7" s="8" t="s">
        <v>22</v>
      </c>
      <c r="F7" s="5"/>
      <c r="G7" s="6" t="s">
        <v>85</v>
      </c>
      <c r="H7" s="6" t="s">
        <v>77</v>
      </c>
    </row>
    <row r="8" spans="1:26" ht="15.75" customHeight="1" x14ac:dyDescent="0.15">
      <c r="A8" s="3" t="s">
        <v>78</v>
      </c>
      <c r="B8" s="15" t="s">
        <v>94</v>
      </c>
      <c r="C8" s="5" t="s">
        <v>9</v>
      </c>
      <c r="D8" s="5" t="s">
        <v>95</v>
      </c>
      <c r="E8" s="5" t="s">
        <v>84</v>
      </c>
      <c r="F8" s="5"/>
      <c r="G8" s="6" t="s">
        <v>85</v>
      </c>
      <c r="H8" s="6" t="s">
        <v>13</v>
      </c>
    </row>
    <row r="9" spans="1:26" ht="15.75" customHeight="1" x14ac:dyDescent="0.15">
      <c r="A9" s="3" t="s">
        <v>83</v>
      </c>
      <c r="B9" s="4" t="s">
        <v>96</v>
      </c>
      <c r="C9" s="5" t="s">
        <v>9</v>
      </c>
      <c r="D9" s="5" t="s">
        <v>24</v>
      </c>
      <c r="E9" s="5" t="s">
        <v>97</v>
      </c>
      <c r="F9" s="5"/>
      <c r="G9" s="6" t="s">
        <v>85</v>
      </c>
      <c r="H9" s="6" t="s">
        <v>13</v>
      </c>
    </row>
    <row r="10" spans="1:26" ht="15.75" customHeight="1" x14ac:dyDescent="0.15">
      <c r="A10" s="9"/>
    </row>
    <row r="11" spans="1:26" ht="15.75" customHeight="1" x14ac:dyDescent="0.15"/>
    <row r="12" spans="1:26" ht="15.75" customHeight="1" x14ac:dyDescent="0.15"/>
    <row r="13" spans="1:26" ht="15.75" customHeight="1" x14ac:dyDescent="0.15"/>
    <row r="14" spans="1:26" ht="15.75" customHeight="1" x14ac:dyDescent="0.15"/>
    <row r="15" spans="1:26" ht="15.75" customHeight="1" x14ac:dyDescent="0.15"/>
    <row r="16" spans="1:26" ht="15.75" customHeight="1" x14ac:dyDescent="0.15"/>
    <row r="17" ht="15.75" customHeight="1" x14ac:dyDescent="0.15"/>
    <row r="18" ht="15.75" customHeight="1" x14ac:dyDescent="0.15"/>
    <row r="19" ht="15.75" customHeight="1" x14ac:dyDescent="0.15"/>
    <row r="20" ht="15.75" customHeight="1" x14ac:dyDescent="0.15"/>
    <row r="21" ht="15.75" customHeight="1" x14ac:dyDescent="0.15"/>
    <row r="22" ht="15.75" customHeight="1" x14ac:dyDescent="0.15"/>
    <row r="23" ht="15.75" customHeight="1" x14ac:dyDescent="0.15"/>
    <row r="24" ht="15.75" customHeight="1" x14ac:dyDescent="0.15"/>
    <row r="25" ht="15.75" customHeight="1" x14ac:dyDescent="0.15"/>
    <row r="26" ht="15.75" customHeight="1" x14ac:dyDescent="0.15"/>
    <row r="27" ht="15.75" customHeight="1" x14ac:dyDescent="0.15"/>
    <row r="28" ht="15.75" customHeight="1" x14ac:dyDescent="0.15"/>
    <row r="29" ht="15.75" customHeight="1" x14ac:dyDescent="0.15"/>
    <row r="30" ht="15.75" customHeight="1" x14ac:dyDescent="0.15"/>
    <row r="31" ht="15.75" customHeight="1" x14ac:dyDescent="0.15"/>
    <row r="32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  <row r="1001" ht="15.75" customHeight="1" x14ac:dyDescent="0.15"/>
    <row r="1002" ht="15.75" customHeight="1" x14ac:dyDescent="0.15"/>
  </sheetData>
  <phoneticPr fontId="13" type="noConversion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985"/>
  <sheetViews>
    <sheetView topLeftCell="A21" zoomScale="116" workbookViewId="0">
      <selection activeCell="B55" sqref="B55"/>
    </sheetView>
  </sheetViews>
  <sheetFormatPr baseColWidth="10" defaultColWidth="12.6640625" defaultRowHeight="15" customHeight="1" x14ac:dyDescent="0.15"/>
  <cols>
    <col min="1" max="1" width="12.5" customWidth="1"/>
    <col min="2" max="2" width="100.5" bestFit="1" customWidth="1"/>
    <col min="3" max="3" width="48.6640625" customWidth="1"/>
    <col min="4" max="4" width="18.5" customWidth="1"/>
    <col min="5" max="5" width="20.5" customWidth="1"/>
    <col min="6" max="6" width="76.1640625" customWidth="1"/>
    <col min="7" max="7" width="15.33203125" customWidth="1"/>
    <col min="8" max="26" width="12.5" customWidth="1"/>
  </cols>
  <sheetData>
    <row r="1" spans="1:26" ht="15.75" customHeight="1" x14ac:dyDescent="0.2">
      <c r="A1" s="32" t="s">
        <v>73</v>
      </c>
    </row>
    <row r="2" spans="1:26" ht="15.75" customHeight="1" x14ac:dyDescent="0.15"/>
    <row r="3" spans="1:26" ht="15.75" customHeight="1" x14ac:dyDescent="0.15">
      <c r="A3" s="10" t="s">
        <v>25</v>
      </c>
      <c r="B3" s="10" t="s">
        <v>1</v>
      </c>
      <c r="C3" s="10" t="s">
        <v>2</v>
      </c>
      <c r="D3" s="10" t="s">
        <v>26</v>
      </c>
      <c r="E3" s="10" t="s">
        <v>27</v>
      </c>
      <c r="F3" s="10" t="s">
        <v>4</v>
      </c>
      <c r="G3" s="10" t="s">
        <v>28</v>
      </c>
      <c r="H3" s="10" t="s">
        <v>29</v>
      </c>
    </row>
    <row r="4" spans="1:26" ht="15.75" customHeight="1" x14ac:dyDescent="0.15">
      <c r="A4" s="11" t="s">
        <v>7</v>
      </c>
      <c r="B4" s="11" t="s">
        <v>8</v>
      </c>
      <c r="C4" s="11" t="s">
        <v>9</v>
      </c>
      <c r="D4" s="11" t="s">
        <v>30</v>
      </c>
      <c r="E4" s="11" t="s">
        <v>31</v>
      </c>
      <c r="F4" s="12"/>
      <c r="G4" s="11" t="s">
        <v>12</v>
      </c>
      <c r="H4" s="11" t="s">
        <v>86</v>
      </c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5.75" customHeight="1" x14ac:dyDescent="0.15">
      <c r="A5" s="7"/>
      <c r="B5" s="13" t="s">
        <v>33</v>
      </c>
      <c r="C5" s="7"/>
      <c r="D5" s="7"/>
      <c r="E5" s="7"/>
      <c r="F5" s="14" t="s">
        <v>34</v>
      </c>
      <c r="G5" s="7"/>
      <c r="H5" s="14" t="s">
        <v>35</v>
      </c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5.75" customHeight="1" x14ac:dyDescent="0.15">
      <c r="A6" s="7" t="s">
        <v>36</v>
      </c>
      <c r="B6" s="29" t="s">
        <v>115</v>
      </c>
      <c r="C6" s="27"/>
      <c r="D6" s="27"/>
      <c r="E6" s="28"/>
      <c r="F6" s="15" t="s">
        <v>37</v>
      </c>
      <c r="G6" s="7"/>
      <c r="H6" s="16">
        <v>5</v>
      </c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5.75" customHeight="1" x14ac:dyDescent="0.15">
      <c r="A7" s="7" t="s">
        <v>38</v>
      </c>
      <c r="B7" s="7" t="s">
        <v>116</v>
      </c>
      <c r="C7" s="7"/>
      <c r="D7" s="7"/>
      <c r="E7" s="7"/>
      <c r="F7" s="7" t="s">
        <v>37</v>
      </c>
      <c r="G7" s="7"/>
      <c r="H7" s="16">
        <v>5</v>
      </c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5.75" customHeight="1" x14ac:dyDescent="0.15">
      <c r="A8" s="7" t="s">
        <v>39</v>
      </c>
      <c r="B8" s="7" t="s">
        <v>117</v>
      </c>
      <c r="C8" s="24"/>
      <c r="D8" s="24"/>
      <c r="E8" s="24"/>
      <c r="F8" s="7" t="s">
        <v>37</v>
      </c>
      <c r="G8" s="7"/>
      <c r="H8" s="7">
        <v>3</v>
      </c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5.75" customHeight="1" x14ac:dyDescent="0.15">
      <c r="A9" s="11" t="s">
        <v>14</v>
      </c>
      <c r="B9" s="11" t="s">
        <v>15</v>
      </c>
      <c r="C9" s="11" t="s">
        <v>9</v>
      </c>
      <c r="D9" s="11" t="s">
        <v>40</v>
      </c>
      <c r="E9" s="11" t="s">
        <v>41</v>
      </c>
      <c r="F9" s="12"/>
      <c r="G9" s="11" t="s">
        <v>12</v>
      </c>
      <c r="H9" s="11" t="s">
        <v>86</v>
      </c>
    </row>
    <row r="10" spans="1:26" ht="15.75" customHeight="1" x14ac:dyDescent="0.15">
      <c r="A10" s="7"/>
      <c r="B10" s="13" t="s">
        <v>33</v>
      </c>
      <c r="C10" s="7"/>
      <c r="D10" s="7"/>
      <c r="E10" s="7"/>
      <c r="F10" s="14" t="s">
        <v>34</v>
      </c>
      <c r="G10" s="7"/>
      <c r="H10" s="14" t="s">
        <v>35</v>
      </c>
    </row>
    <row r="11" spans="1:26" ht="15.75" customHeight="1" x14ac:dyDescent="0.15">
      <c r="A11" s="7" t="s">
        <v>42</v>
      </c>
      <c r="B11" s="29" t="s">
        <v>118</v>
      </c>
      <c r="C11" s="27"/>
      <c r="D11" s="27"/>
      <c r="E11" s="28"/>
      <c r="F11" s="15" t="s">
        <v>43</v>
      </c>
      <c r="G11" s="7"/>
      <c r="H11" s="16">
        <v>5</v>
      </c>
    </row>
    <row r="12" spans="1:26" ht="15.75" customHeight="1" x14ac:dyDescent="0.15">
      <c r="A12" s="7" t="s">
        <v>44</v>
      </c>
      <c r="B12" s="29" t="s">
        <v>119</v>
      </c>
      <c r="C12" s="27"/>
      <c r="D12" s="27"/>
      <c r="E12" s="28"/>
      <c r="F12" s="15" t="s">
        <v>43</v>
      </c>
      <c r="G12" s="7"/>
      <c r="H12" s="16">
        <v>3</v>
      </c>
    </row>
    <row r="13" spans="1:26" ht="15.75" customHeight="1" x14ac:dyDescent="0.15">
      <c r="A13" s="7" t="s">
        <v>45</v>
      </c>
      <c r="B13" s="29" t="s">
        <v>46</v>
      </c>
      <c r="C13" s="29"/>
      <c r="D13" s="29"/>
      <c r="E13" s="30"/>
      <c r="F13" s="15" t="s">
        <v>43</v>
      </c>
      <c r="G13" s="7"/>
      <c r="H13" s="7">
        <v>3</v>
      </c>
    </row>
    <row r="14" spans="1:26" ht="15.75" customHeight="1" x14ac:dyDescent="0.15">
      <c r="A14" s="11" t="s">
        <v>17</v>
      </c>
      <c r="B14" s="11" t="s">
        <v>99</v>
      </c>
      <c r="C14" s="11" t="s">
        <v>9</v>
      </c>
      <c r="D14" s="11" t="s">
        <v>120</v>
      </c>
      <c r="E14" s="11" t="s">
        <v>47</v>
      </c>
      <c r="F14" s="12"/>
      <c r="G14" s="12" t="s">
        <v>12</v>
      </c>
      <c r="H14" s="11" t="s">
        <v>86</v>
      </c>
    </row>
    <row r="15" spans="1:26" ht="15.75" customHeight="1" x14ac:dyDescent="0.15">
      <c r="A15" s="7"/>
      <c r="B15" s="13" t="s">
        <v>33</v>
      </c>
      <c r="C15" s="7"/>
      <c r="D15" s="7"/>
      <c r="E15" s="7"/>
      <c r="F15" s="14" t="s">
        <v>34</v>
      </c>
      <c r="G15" s="7"/>
      <c r="H15" s="14" t="s">
        <v>35</v>
      </c>
    </row>
    <row r="16" spans="1:26" ht="15.75" customHeight="1" x14ac:dyDescent="0.15">
      <c r="A16" s="7" t="s">
        <v>48</v>
      </c>
      <c r="B16" s="7" t="s">
        <v>121</v>
      </c>
      <c r="C16" s="24"/>
      <c r="D16" s="24"/>
      <c r="E16" s="24"/>
      <c r="F16" s="7" t="s">
        <v>37</v>
      </c>
      <c r="G16" s="7"/>
      <c r="H16" s="16">
        <v>5</v>
      </c>
    </row>
    <row r="17" spans="1:8" ht="15.75" customHeight="1" x14ac:dyDescent="0.15">
      <c r="A17" s="7" t="s">
        <v>49</v>
      </c>
      <c r="B17" s="7" t="s">
        <v>102</v>
      </c>
      <c r="C17" s="24"/>
      <c r="D17" s="24"/>
      <c r="E17" s="24"/>
      <c r="F17" s="7" t="s">
        <v>37</v>
      </c>
      <c r="G17" s="7"/>
      <c r="H17" s="16">
        <v>3</v>
      </c>
    </row>
    <row r="18" spans="1:8" ht="15.75" customHeight="1" x14ac:dyDescent="0.15">
      <c r="A18" s="7" t="s">
        <v>50</v>
      </c>
      <c r="B18" s="7" t="s">
        <v>103</v>
      </c>
      <c r="C18" s="24"/>
      <c r="D18" s="24"/>
      <c r="E18" s="24"/>
      <c r="F18" s="7" t="s">
        <v>37</v>
      </c>
      <c r="G18" s="7"/>
      <c r="H18" s="7">
        <v>3</v>
      </c>
    </row>
    <row r="19" spans="1:8" ht="15.75" customHeight="1" x14ac:dyDescent="0.15">
      <c r="A19" s="7"/>
      <c r="B19" s="7"/>
      <c r="C19" s="24"/>
      <c r="D19" s="24"/>
      <c r="E19" s="24"/>
      <c r="F19" s="7"/>
      <c r="G19" s="7"/>
      <c r="H19" s="7"/>
    </row>
    <row r="20" spans="1:8" s="25" customFormat="1" ht="18" x14ac:dyDescent="0.2">
      <c r="A20" s="32" t="s">
        <v>87</v>
      </c>
    </row>
    <row r="21" spans="1:8" s="25" customFormat="1" ht="18" x14ac:dyDescent="0.2">
      <c r="A21" s="32"/>
    </row>
    <row r="22" spans="1:8" ht="15.75" customHeight="1" x14ac:dyDescent="0.15">
      <c r="A22" s="11" t="s">
        <v>18</v>
      </c>
      <c r="B22" s="11" t="s">
        <v>75</v>
      </c>
      <c r="C22" s="11" t="s">
        <v>9</v>
      </c>
      <c r="D22" s="11" t="s">
        <v>79</v>
      </c>
      <c r="E22" s="11" t="s">
        <v>104</v>
      </c>
      <c r="F22" s="12"/>
      <c r="G22" s="12" t="s">
        <v>12</v>
      </c>
      <c r="H22" s="12" t="s">
        <v>77</v>
      </c>
    </row>
    <row r="23" spans="1:8" ht="15.75" customHeight="1" x14ac:dyDescent="0.15">
      <c r="A23" s="7"/>
      <c r="B23" s="13" t="s">
        <v>33</v>
      </c>
      <c r="C23" s="7"/>
      <c r="D23" s="7"/>
      <c r="E23" s="7"/>
      <c r="F23" s="14" t="s">
        <v>34</v>
      </c>
      <c r="G23" s="7"/>
      <c r="H23" s="14" t="s">
        <v>35</v>
      </c>
    </row>
    <row r="24" spans="1:8" ht="15.75" customHeight="1" x14ac:dyDescent="0.15">
      <c r="A24" s="7" t="s">
        <v>52</v>
      </c>
      <c r="B24" s="26" t="s">
        <v>105</v>
      </c>
      <c r="C24" s="26"/>
      <c r="D24" s="26"/>
      <c r="E24" s="31"/>
      <c r="F24" s="15" t="s">
        <v>53</v>
      </c>
      <c r="G24" s="7"/>
      <c r="H24" s="16">
        <v>5</v>
      </c>
    </row>
    <row r="25" spans="1:8" ht="15.75" customHeight="1" x14ac:dyDescent="0.15">
      <c r="A25" s="7" t="s">
        <v>54</v>
      </c>
      <c r="B25" s="26" t="s">
        <v>74</v>
      </c>
      <c r="C25" s="26"/>
      <c r="D25" s="26"/>
      <c r="E25" s="31"/>
      <c r="F25" s="15" t="s">
        <v>53</v>
      </c>
      <c r="G25" s="7"/>
      <c r="H25" s="16">
        <v>3</v>
      </c>
    </row>
    <row r="26" spans="1:8" ht="15.75" customHeight="1" x14ac:dyDescent="0.15">
      <c r="A26" s="7" t="s">
        <v>56</v>
      </c>
      <c r="B26" s="26" t="s">
        <v>106</v>
      </c>
      <c r="C26" s="25"/>
      <c r="D26" s="25"/>
      <c r="E26" s="25"/>
      <c r="F26" s="15" t="s">
        <v>53</v>
      </c>
      <c r="G26" s="7"/>
      <c r="H26" s="7">
        <v>3</v>
      </c>
    </row>
    <row r="27" spans="1:8" ht="15.75" customHeight="1" x14ac:dyDescent="0.15">
      <c r="A27" s="7"/>
      <c r="B27" s="26"/>
      <c r="C27" s="25"/>
      <c r="D27" s="25"/>
      <c r="E27" s="25"/>
      <c r="F27" s="33"/>
      <c r="G27" s="7"/>
      <c r="H27" s="7"/>
    </row>
    <row r="28" spans="1:8" s="25" customFormat="1" ht="18" x14ac:dyDescent="0.2">
      <c r="A28" s="32" t="s">
        <v>88</v>
      </c>
    </row>
    <row r="29" spans="1:8" ht="15.75" customHeight="1" x14ac:dyDescent="0.15">
      <c r="A29" s="7"/>
      <c r="B29" s="26"/>
      <c r="C29" s="25"/>
      <c r="D29" s="25"/>
      <c r="E29" s="25"/>
      <c r="F29" s="33"/>
      <c r="G29" s="7"/>
      <c r="H29" s="7"/>
    </row>
    <row r="30" spans="1:8" ht="15.75" customHeight="1" x14ac:dyDescent="0.15">
      <c r="A30" s="11" t="s">
        <v>21</v>
      </c>
      <c r="B30" s="11" t="s">
        <v>91</v>
      </c>
      <c r="C30" s="11" t="s">
        <v>9</v>
      </c>
      <c r="D30" s="11" t="s">
        <v>51</v>
      </c>
      <c r="E30" s="11" t="s">
        <v>107</v>
      </c>
      <c r="F30" s="12"/>
      <c r="G30" s="12" t="s">
        <v>12</v>
      </c>
      <c r="H30" s="11" t="s">
        <v>86</v>
      </c>
    </row>
    <row r="31" spans="1:8" ht="15.75" customHeight="1" x14ac:dyDescent="0.15">
      <c r="A31" s="7"/>
      <c r="B31" s="13" t="s">
        <v>33</v>
      </c>
      <c r="C31" s="7"/>
      <c r="D31" s="7"/>
      <c r="E31" s="7"/>
      <c r="F31" s="14" t="s">
        <v>34</v>
      </c>
      <c r="G31" s="7"/>
      <c r="H31" s="14" t="s">
        <v>35</v>
      </c>
    </row>
    <row r="32" spans="1:8" ht="15.75" customHeight="1" x14ac:dyDescent="0.15">
      <c r="A32" s="7" t="s">
        <v>58</v>
      </c>
      <c r="B32" s="29" t="s">
        <v>108</v>
      </c>
      <c r="C32" s="27"/>
      <c r="D32" s="27"/>
      <c r="E32" s="28"/>
      <c r="F32" s="15" t="s">
        <v>53</v>
      </c>
      <c r="G32" s="7"/>
      <c r="H32" s="16">
        <v>5</v>
      </c>
    </row>
    <row r="33" spans="1:8" ht="15.75" customHeight="1" x14ac:dyDescent="0.15">
      <c r="A33" s="7" t="s">
        <v>59</v>
      </c>
      <c r="B33" s="29" t="s">
        <v>55</v>
      </c>
      <c r="C33" s="29"/>
      <c r="D33" s="29"/>
      <c r="E33" s="30"/>
      <c r="F33" s="15" t="s">
        <v>53</v>
      </c>
      <c r="G33" s="7"/>
      <c r="H33" s="16">
        <v>3</v>
      </c>
    </row>
    <row r="34" spans="1:8" ht="15.75" customHeight="1" x14ac:dyDescent="0.15">
      <c r="A34" s="7" t="s">
        <v>61</v>
      </c>
      <c r="B34" s="29" t="s">
        <v>109</v>
      </c>
      <c r="C34" s="27"/>
      <c r="D34" s="27"/>
      <c r="E34" s="28"/>
      <c r="F34" s="15" t="s">
        <v>53</v>
      </c>
      <c r="G34" s="7"/>
      <c r="H34" s="7">
        <v>3</v>
      </c>
    </row>
    <row r="35" spans="1:8" ht="15.75" customHeight="1" x14ac:dyDescent="0.15">
      <c r="A35" s="11" t="s">
        <v>23</v>
      </c>
      <c r="B35" s="11" t="s">
        <v>92</v>
      </c>
      <c r="C35" s="11" t="s">
        <v>9</v>
      </c>
      <c r="D35" s="11" t="s">
        <v>110</v>
      </c>
      <c r="E35" s="11" t="s">
        <v>57</v>
      </c>
      <c r="F35" s="12"/>
      <c r="G35" s="12" t="s">
        <v>85</v>
      </c>
      <c r="H35" s="12" t="s">
        <v>77</v>
      </c>
    </row>
    <row r="36" spans="1:8" ht="15.75" customHeight="1" x14ac:dyDescent="0.15">
      <c r="A36" s="7"/>
      <c r="B36" s="13" t="s">
        <v>33</v>
      </c>
      <c r="C36" s="7"/>
      <c r="D36" s="7"/>
      <c r="E36" s="7"/>
      <c r="F36" s="14" t="s">
        <v>34</v>
      </c>
      <c r="G36" s="7"/>
      <c r="H36" s="14" t="s">
        <v>35</v>
      </c>
    </row>
    <row r="37" spans="1:8" ht="15.75" customHeight="1" x14ac:dyDescent="0.15">
      <c r="A37" s="7" t="s">
        <v>63</v>
      </c>
      <c r="B37" s="7" t="s">
        <v>111</v>
      </c>
      <c r="F37" s="15" t="s">
        <v>37</v>
      </c>
      <c r="G37" s="7"/>
      <c r="H37" s="16">
        <v>5</v>
      </c>
    </row>
    <row r="38" spans="1:8" ht="15.75" customHeight="1" x14ac:dyDescent="0.15">
      <c r="A38" s="7" t="s">
        <v>64</v>
      </c>
      <c r="B38" s="7" t="s">
        <v>60</v>
      </c>
      <c r="F38" s="15" t="s">
        <v>53</v>
      </c>
      <c r="G38" s="7"/>
      <c r="H38" s="16">
        <v>2</v>
      </c>
    </row>
    <row r="39" spans="1:8" ht="15.75" customHeight="1" x14ac:dyDescent="0.15">
      <c r="A39" s="7" t="s">
        <v>65</v>
      </c>
      <c r="B39" s="24" t="s">
        <v>62</v>
      </c>
      <c r="F39" s="15" t="s">
        <v>43</v>
      </c>
      <c r="G39" s="7"/>
      <c r="H39" s="7">
        <v>1</v>
      </c>
    </row>
    <row r="40" spans="1:8" ht="15.75" customHeight="1" x14ac:dyDescent="0.15">
      <c r="A40" s="7"/>
      <c r="B40" s="24"/>
      <c r="F40" s="33"/>
      <c r="G40" s="7"/>
      <c r="H40" s="7"/>
    </row>
    <row r="41" spans="1:8" ht="15.75" customHeight="1" x14ac:dyDescent="0.2">
      <c r="A41" s="32" t="s">
        <v>89</v>
      </c>
      <c r="B41" s="24"/>
      <c r="F41" s="33"/>
      <c r="G41" s="7"/>
      <c r="H41" s="7"/>
    </row>
    <row r="42" spans="1:8" ht="15.75" customHeight="1" x14ac:dyDescent="0.15">
      <c r="A42" s="7"/>
      <c r="B42" s="24"/>
      <c r="F42" s="33"/>
      <c r="G42" s="7"/>
      <c r="H42" s="7"/>
    </row>
    <row r="43" spans="1:8" ht="15.75" customHeight="1" x14ac:dyDescent="0.15">
      <c r="A43" s="11" t="s">
        <v>78</v>
      </c>
      <c r="B43" s="11" t="s">
        <v>94</v>
      </c>
      <c r="C43" s="11" t="s">
        <v>9</v>
      </c>
      <c r="D43" s="11" t="s">
        <v>110</v>
      </c>
      <c r="E43" s="11" t="s">
        <v>57</v>
      </c>
      <c r="F43" s="12"/>
      <c r="G43" s="12" t="s">
        <v>85</v>
      </c>
      <c r="H43" s="12" t="s">
        <v>32</v>
      </c>
    </row>
    <row r="44" spans="1:8" ht="15.75" customHeight="1" x14ac:dyDescent="0.15">
      <c r="A44" s="7"/>
      <c r="B44" s="13" t="s">
        <v>33</v>
      </c>
      <c r="C44" s="7"/>
      <c r="D44" s="7"/>
      <c r="E44" s="7"/>
      <c r="F44" s="14" t="s">
        <v>34</v>
      </c>
      <c r="G44" s="7"/>
      <c r="H44" s="14" t="s">
        <v>35</v>
      </c>
    </row>
    <row r="45" spans="1:8" ht="15.75" customHeight="1" x14ac:dyDescent="0.15">
      <c r="A45" s="7" t="s">
        <v>80</v>
      </c>
      <c r="B45" s="7" t="s">
        <v>112</v>
      </c>
      <c r="F45" s="15" t="s">
        <v>37</v>
      </c>
      <c r="G45" s="7"/>
      <c r="H45" s="16">
        <v>4</v>
      </c>
    </row>
    <row r="46" spans="1:8" ht="15.75" customHeight="1" x14ac:dyDescent="0.15">
      <c r="A46" s="7" t="s">
        <v>81</v>
      </c>
      <c r="B46" s="7" t="s">
        <v>113</v>
      </c>
      <c r="F46" s="15" t="s">
        <v>53</v>
      </c>
      <c r="G46" s="7"/>
      <c r="H46" s="16">
        <v>2</v>
      </c>
    </row>
    <row r="47" spans="1:8" ht="15.75" customHeight="1" x14ac:dyDescent="0.15">
      <c r="A47" s="7" t="s">
        <v>82</v>
      </c>
      <c r="B47" s="7" t="s">
        <v>114</v>
      </c>
      <c r="F47" s="15" t="s">
        <v>43</v>
      </c>
      <c r="G47" s="7"/>
      <c r="H47" s="7">
        <v>1</v>
      </c>
    </row>
    <row r="48" spans="1: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C1003"/>
  <sheetViews>
    <sheetView tabSelected="1" topLeftCell="E1" zoomScale="42" workbookViewId="0">
      <selection activeCell="A25" sqref="A25:XFD27"/>
    </sheetView>
  </sheetViews>
  <sheetFormatPr baseColWidth="10" defaultColWidth="12.6640625" defaultRowHeight="15" customHeight="1" x14ac:dyDescent="0.15"/>
  <cols>
    <col min="1" max="1" width="12.5" customWidth="1"/>
    <col min="2" max="2" width="21.83203125" customWidth="1"/>
    <col min="3" max="3" width="19.33203125" bestFit="1" customWidth="1"/>
    <col min="4" max="4" width="19.1640625" bestFit="1" customWidth="1"/>
    <col min="5" max="5" width="7.33203125" bestFit="1" customWidth="1"/>
    <col min="6" max="9" width="6.33203125" bestFit="1" customWidth="1"/>
    <col min="10" max="18" width="7.33203125" bestFit="1" customWidth="1"/>
    <col min="19" max="22" width="6.33203125" bestFit="1" customWidth="1"/>
    <col min="23" max="31" width="7.33203125" bestFit="1" customWidth="1"/>
    <col min="32" max="35" width="6.33203125" bestFit="1" customWidth="1"/>
    <col min="36" max="44" width="7.33203125" bestFit="1" customWidth="1"/>
    <col min="45" max="51" width="6.33203125" bestFit="1" customWidth="1"/>
    <col min="52" max="69" width="12.5" customWidth="1"/>
  </cols>
  <sheetData>
    <row r="1" spans="1:52" ht="15.75" customHeight="1" x14ac:dyDescent="0.15">
      <c r="A1" s="17"/>
    </row>
    <row r="2" spans="1:52" ht="15.75" customHeight="1" x14ac:dyDescent="0.15">
      <c r="D2" s="23" t="s">
        <v>123</v>
      </c>
      <c r="G2" t="s">
        <v>124</v>
      </c>
      <c r="J2" t="s">
        <v>125</v>
      </c>
      <c r="M2" t="s">
        <v>126</v>
      </c>
      <c r="P2" t="s">
        <v>127</v>
      </c>
      <c r="S2" t="s">
        <v>128</v>
      </c>
      <c r="V2" t="s">
        <v>129</v>
      </c>
      <c r="Y2" t="s">
        <v>130</v>
      </c>
      <c r="AB2" t="s">
        <v>131</v>
      </c>
      <c r="AE2" t="s">
        <v>132</v>
      </c>
      <c r="AH2" t="s">
        <v>133</v>
      </c>
      <c r="AK2" t="s">
        <v>134</v>
      </c>
      <c r="AN2" t="s">
        <v>135</v>
      </c>
      <c r="AQ2" t="s">
        <v>136</v>
      </c>
      <c r="AT2" t="s">
        <v>137</v>
      </c>
      <c r="AW2" t="s">
        <v>138</v>
      </c>
    </row>
    <row r="3" spans="1:52" ht="15.75" customHeight="1" x14ac:dyDescent="0.15">
      <c r="B3" s="9"/>
      <c r="C3" s="9" t="s">
        <v>35</v>
      </c>
      <c r="D3" s="34">
        <v>45775</v>
      </c>
      <c r="E3" s="34">
        <v>45777</v>
      </c>
      <c r="F3" s="34">
        <v>45779</v>
      </c>
      <c r="G3" s="34">
        <v>45782</v>
      </c>
      <c r="H3" s="34">
        <v>45784</v>
      </c>
      <c r="I3" s="34">
        <v>45786</v>
      </c>
      <c r="J3" s="34">
        <v>45789</v>
      </c>
      <c r="K3" s="34">
        <v>45791</v>
      </c>
      <c r="L3" s="34">
        <v>45793</v>
      </c>
      <c r="M3" s="34">
        <v>45796</v>
      </c>
      <c r="N3" s="34">
        <v>45798</v>
      </c>
      <c r="O3" s="34">
        <v>45800</v>
      </c>
      <c r="P3" s="34">
        <v>45803</v>
      </c>
      <c r="Q3" s="34">
        <v>45805</v>
      </c>
      <c r="R3" s="34">
        <v>45807</v>
      </c>
      <c r="S3" s="34">
        <v>45810</v>
      </c>
      <c r="T3" s="34">
        <v>45812</v>
      </c>
      <c r="U3" s="34">
        <v>45814</v>
      </c>
      <c r="V3" s="34">
        <v>45817</v>
      </c>
      <c r="W3" s="34">
        <v>45819</v>
      </c>
      <c r="X3" s="34">
        <v>45821</v>
      </c>
      <c r="Y3" s="34">
        <v>45824</v>
      </c>
      <c r="Z3" s="34">
        <v>45826</v>
      </c>
      <c r="AA3" s="34">
        <v>45828</v>
      </c>
      <c r="AB3" s="34">
        <v>45831</v>
      </c>
      <c r="AC3" s="34">
        <v>45833</v>
      </c>
      <c r="AD3" s="34">
        <v>45835</v>
      </c>
      <c r="AE3" s="34">
        <v>45838</v>
      </c>
      <c r="AF3" s="34">
        <v>45840</v>
      </c>
      <c r="AG3" s="34">
        <v>45842</v>
      </c>
      <c r="AH3" s="34">
        <v>45845</v>
      </c>
      <c r="AI3" s="34">
        <v>45847</v>
      </c>
      <c r="AJ3" s="34">
        <v>45849</v>
      </c>
      <c r="AK3" s="34">
        <v>45852</v>
      </c>
      <c r="AL3" s="34">
        <v>45854</v>
      </c>
      <c r="AM3" s="34">
        <v>45856</v>
      </c>
      <c r="AN3" s="34">
        <v>45859</v>
      </c>
      <c r="AO3" s="34">
        <v>45861</v>
      </c>
      <c r="AP3" s="34">
        <v>45863</v>
      </c>
      <c r="AQ3" s="34">
        <v>45866</v>
      </c>
      <c r="AR3" s="34">
        <v>45868</v>
      </c>
      <c r="AS3" s="34">
        <v>45870</v>
      </c>
      <c r="AT3" s="34">
        <v>45873</v>
      </c>
      <c r="AU3" s="34">
        <v>45875</v>
      </c>
      <c r="AV3" s="34">
        <v>45877</v>
      </c>
      <c r="AW3" s="34"/>
      <c r="AX3" s="34"/>
      <c r="AY3" s="34"/>
      <c r="AZ3" s="9" t="s">
        <v>66</v>
      </c>
    </row>
    <row r="4" spans="1:52" ht="15.75" customHeight="1" x14ac:dyDescent="0.15">
      <c r="B4" s="18" t="s">
        <v>36</v>
      </c>
      <c r="C4" s="19">
        <v>5</v>
      </c>
      <c r="D4" s="20">
        <v>0</v>
      </c>
      <c r="E4" s="20">
        <v>0</v>
      </c>
      <c r="F4" s="20">
        <v>0</v>
      </c>
      <c r="G4" s="20">
        <v>0</v>
      </c>
      <c r="H4" s="20">
        <v>0</v>
      </c>
      <c r="I4" s="20">
        <v>0</v>
      </c>
      <c r="J4" s="20">
        <v>0</v>
      </c>
      <c r="K4" s="20">
        <v>0</v>
      </c>
      <c r="L4" s="20">
        <v>0</v>
      </c>
      <c r="M4" s="20">
        <v>0</v>
      </c>
      <c r="N4" s="20">
        <v>0</v>
      </c>
      <c r="O4" s="20">
        <v>0</v>
      </c>
      <c r="P4" s="20">
        <v>0</v>
      </c>
      <c r="Q4" s="20">
        <v>0</v>
      </c>
      <c r="R4" s="20">
        <v>0</v>
      </c>
      <c r="S4" s="20">
        <v>0</v>
      </c>
      <c r="T4" s="20">
        <v>0</v>
      </c>
      <c r="U4" s="20">
        <v>0</v>
      </c>
      <c r="V4" s="20">
        <v>0</v>
      </c>
      <c r="W4" s="20">
        <v>0</v>
      </c>
      <c r="X4" s="20">
        <v>0</v>
      </c>
      <c r="Y4" s="20">
        <v>0</v>
      </c>
      <c r="Z4" s="20">
        <v>0</v>
      </c>
      <c r="AA4" s="20">
        <v>0</v>
      </c>
      <c r="AB4" s="20">
        <v>0</v>
      </c>
      <c r="AC4" s="20">
        <v>0</v>
      </c>
      <c r="AD4" s="20">
        <v>0</v>
      </c>
      <c r="AE4" s="20">
        <v>0</v>
      </c>
      <c r="AF4" s="20">
        <v>0</v>
      </c>
      <c r="AG4" s="20">
        <v>0</v>
      </c>
      <c r="AH4" s="20">
        <v>0</v>
      </c>
      <c r="AI4" s="20">
        <v>0</v>
      </c>
      <c r="AJ4" s="20">
        <v>0</v>
      </c>
      <c r="AK4" s="20">
        <v>0</v>
      </c>
      <c r="AL4" s="20">
        <v>0</v>
      </c>
      <c r="AM4" s="20">
        <v>0</v>
      </c>
      <c r="AN4" s="20">
        <v>0</v>
      </c>
      <c r="AO4" s="20">
        <v>0</v>
      </c>
      <c r="AP4" s="20">
        <v>0</v>
      </c>
      <c r="AQ4" s="20">
        <v>0</v>
      </c>
      <c r="AR4" s="20">
        <v>0</v>
      </c>
      <c r="AS4" s="20">
        <v>0</v>
      </c>
      <c r="AT4" s="20">
        <v>0</v>
      </c>
      <c r="AU4" s="20">
        <v>0</v>
      </c>
      <c r="AV4" s="20">
        <v>0</v>
      </c>
      <c r="AW4" s="20">
        <v>0</v>
      </c>
      <c r="AX4" s="20">
        <v>0</v>
      </c>
      <c r="AY4" s="20">
        <v>0</v>
      </c>
      <c r="AZ4" s="21">
        <f t="shared" ref="AZ4:AZ24" si="0">SUM(D4:AY4)</f>
        <v>0</v>
      </c>
    </row>
    <row r="5" spans="1:52" ht="15.75" customHeight="1" x14ac:dyDescent="0.15">
      <c r="B5" s="18" t="s">
        <v>38</v>
      </c>
      <c r="C5" s="19">
        <v>3</v>
      </c>
      <c r="D5" s="20">
        <v>1</v>
      </c>
      <c r="E5" s="20">
        <v>1</v>
      </c>
      <c r="F5" s="20">
        <v>0</v>
      </c>
      <c r="G5" s="20">
        <v>0</v>
      </c>
      <c r="H5" s="20">
        <v>0</v>
      </c>
      <c r="I5" s="20">
        <v>0</v>
      </c>
      <c r="J5" s="20">
        <v>0</v>
      </c>
      <c r="K5" s="20">
        <v>0</v>
      </c>
      <c r="L5" s="20">
        <v>0</v>
      </c>
      <c r="M5" s="20">
        <v>0</v>
      </c>
      <c r="N5" s="20">
        <v>0</v>
      </c>
      <c r="O5" s="20">
        <v>0</v>
      </c>
      <c r="P5" s="20">
        <v>0</v>
      </c>
      <c r="Q5" s="20">
        <v>0</v>
      </c>
      <c r="R5" s="20">
        <v>0</v>
      </c>
      <c r="S5" s="20">
        <v>0</v>
      </c>
      <c r="T5" s="20">
        <v>0</v>
      </c>
      <c r="U5" s="20">
        <v>0</v>
      </c>
      <c r="V5" s="20">
        <v>0</v>
      </c>
      <c r="W5" s="20">
        <v>0</v>
      </c>
      <c r="X5" s="20">
        <v>0</v>
      </c>
      <c r="Y5" s="20">
        <v>0</v>
      </c>
      <c r="Z5" s="20">
        <v>0</v>
      </c>
      <c r="AA5" s="20">
        <v>0</v>
      </c>
      <c r="AB5" s="20">
        <v>1</v>
      </c>
      <c r="AC5" s="20">
        <v>0</v>
      </c>
      <c r="AD5" s="20">
        <v>0</v>
      </c>
      <c r="AE5" s="20">
        <v>0</v>
      </c>
      <c r="AF5" s="20">
        <v>0</v>
      </c>
      <c r="AG5" s="20">
        <v>0</v>
      </c>
      <c r="AH5" s="20">
        <v>0</v>
      </c>
      <c r="AI5" s="20">
        <v>0</v>
      </c>
      <c r="AJ5" s="20">
        <v>0</v>
      </c>
      <c r="AK5" s="20">
        <v>0</v>
      </c>
      <c r="AL5" s="20">
        <v>0</v>
      </c>
      <c r="AM5" s="20">
        <v>0</v>
      </c>
      <c r="AN5" s="20">
        <v>0</v>
      </c>
      <c r="AO5" s="20">
        <v>0</v>
      </c>
      <c r="AP5" s="20">
        <v>0</v>
      </c>
      <c r="AQ5" s="20">
        <v>0</v>
      </c>
      <c r="AR5" s="20">
        <v>0</v>
      </c>
      <c r="AS5" s="20">
        <v>0</v>
      </c>
      <c r="AT5" s="20">
        <v>0</v>
      </c>
      <c r="AU5" s="20">
        <v>0</v>
      </c>
      <c r="AV5" s="20">
        <v>0</v>
      </c>
      <c r="AW5" s="20">
        <v>0</v>
      </c>
      <c r="AX5" s="20">
        <v>0</v>
      </c>
      <c r="AY5" s="20">
        <v>0</v>
      </c>
      <c r="AZ5" s="21">
        <f t="shared" si="0"/>
        <v>3</v>
      </c>
    </row>
    <row r="6" spans="1:52" ht="15.75" customHeight="1" x14ac:dyDescent="0.15">
      <c r="B6" s="18" t="s">
        <v>39</v>
      </c>
      <c r="C6" s="19">
        <v>3</v>
      </c>
      <c r="D6" s="20">
        <v>0</v>
      </c>
      <c r="E6" s="20">
        <v>0</v>
      </c>
      <c r="F6" s="20">
        <v>0</v>
      </c>
      <c r="G6" s="20">
        <v>0</v>
      </c>
      <c r="H6" s="20">
        <v>0</v>
      </c>
      <c r="I6" s="20">
        <v>0</v>
      </c>
      <c r="J6" s="20">
        <v>0</v>
      </c>
      <c r="K6" s="20">
        <v>0</v>
      </c>
      <c r="L6" s="20">
        <v>0</v>
      </c>
      <c r="M6" s="20">
        <v>0</v>
      </c>
      <c r="N6" s="20">
        <v>0</v>
      </c>
      <c r="O6" s="20">
        <v>0</v>
      </c>
      <c r="P6" s="20">
        <v>0</v>
      </c>
      <c r="Q6" s="20">
        <v>0</v>
      </c>
      <c r="R6" s="20">
        <v>0</v>
      </c>
      <c r="S6" s="20">
        <v>0</v>
      </c>
      <c r="T6" s="20">
        <v>0</v>
      </c>
      <c r="U6" s="20">
        <v>0</v>
      </c>
      <c r="V6" s="20">
        <v>0</v>
      </c>
      <c r="W6" s="20">
        <v>0</v>
      </c>
      <c r="X6" s="20">
        <v>0</v>
      </c>
      <c r="Y6" s="20">
        <v>0</v>
      </c>
      <c r="Z6" s="20">
        <v>0</v>
      </c>
      <c r="AA6" s="20">
        <v>0</v>
      </c>
      <c r="AB6" s="20">
        <v>0</v>
      </c>
      <c r="AC6" s="20">
        <v>1</v>
      </c>
      <c r="AD6" s="20">
        <v>1</v>
      </c>
      <c r="AE6" s="20">
        <v>0</v>
      </c>
      <c r="AF6" s="20">
        <v>0</v>
      </c>
      <c r="AG6" s="20">
        <v>0</v>
      </c>
      <c r="AH6" s="20">
        <v>0</v>
      </c>
      <c r="AI6" s="20">
        <v>0</v>
      </c>
      <c r="AJ6" s="20">
        <v>0</v>
      </c>
      <c r="AK6" s="20">
        <v>0</v>
      </c>
      <c r="AL6" s="20">
        <v>0</v>
      </c>
      <c r="AM6" s="20">
        <v>0</v>
      </c>
      <c r="AN6" s="20">
        <v>0</v>
      </c>
      <c r="AO6" s="20">
        <v>0</v>
      </c>
      <c r="AP6" s="20">
        <v>0</v>
      </c>
      <c r="AQ6" s="20">
        <v>0</v>
      </c>
      <c r="AR6" s="20">
        <v>0</v>
      </c>
      <c r="AS6" s="20">
        <v>0</v>
      </c>
      <c r="AT6" s="20">
        <v>0</v>
      </c>
      <c r="AU6" s="20">
        <v>0</v>
      </c>
      <c r="AV6" s="20">
        <v>0</v>
      </c>
      <c r="AW6" s="20">
        <v>0</v>
      </c>
      <c r="AX6" s="20">
        <v>0</v>
      </c>
      <c r="AY6" s="20">
        <v>0</v>
      </c>
      <c r="AZ6" s="21">
        <f t="shared" si="0"/>
        <v>2</v>
      </c>
    </row>
    <row r="7" spans="1:52" ht="15.75" customHeight="1" x14ac:dyDescent="0.15">
      <c r="B7" s="18" t="s">
        <v>42</v>
      </c>
      <c r="C7" s="19">
        <v>5</v>
      </c>
      <c r="D7" s="20">
        <v>1</v>
      </c>
      <c r="E7" s="20">
        <v>1</v>
      </c>
      <c r="F7" s="20">
        <v>0</v>
      </c>
      <c r="G7" s="20">
        <v>0</v>
      </c>
      <c r="H7" s="20">
        <v>0</v>
      </c>
      <c r="I7" s="20">
        <v>0</v>
      </c>
      <c r="J7" s="20">
        <v>0</v>
      </c>
      <c r="K7" s="20">
        <v>0</v>
      </c>
      <c r="L7" s="20">
        <v>0</v>
      </c>
      <c r="M7" s="20">
        <v>0</v>
      </c>
      <c r="N7" s="20">
        <v>0</v>
      </c>
      <c r="O7" s="20">
        <v>0</v>
      </c>
      <c r="P7" s="20">
        <v>0</v>
      </c>
      <c r="Q7" s="20">
        <v>0</v>
      </c>
      <c r="R7" s="20">
        <v>0</v>
      </c>
      <c r="S7" s="20">
        <v>0</v>
      </c>
      <c r="T7" s="20">
        <v>0</v>
      </c>
      <c r="U7" s="20">
        <v>0</v>
      </c>
      <c r="V7" s="20">
        <v>0</v>
      </c>
      <c r="W7" s="20">
        <v>0</v>
      </c>
      <c r="X7" s="20">
        <v>0</v>
      </c>
      <c r="Y7" s="20">
        <v>0</v>
      </c>
      <c r="Z7" s="20">
        <v>0</v>
      </c>
      <c r="AA7" s="20">
        <v>0</v>
      </c>
      <c r="AB7" s="20">
        <v>0</v>
      </c>
      <c r="AC7" s="20">
        <v>0</v>
      </c>
      <c r="AD7" s="20">
        <v>0</v>
      </c>
      <c r="AE7" s="20">
        <v>1</v>
      </c>
      <c r="AF7" s="20">
        <v>0</v>
      </c>
      <c r="AG7" s="20">
        <v>0</v>
      </c>
      <c r="AH7" s="20">
        <v>0</v>
      </c>
      <c r="AI7" s="20">
        <v>0</v>
      </c>
      <c r="AJ7" s="20">
        <v>0</v>
      </c>
      <c r="AK7" s="20">
        <v>0</v>
      </c>
      <c r="AL7" s="20">
        <v>0</v>
      </c>
      <c r="AM7" s="20">
        <v>0</v>
      </c>
      <c r="AN7" s="20">
        <v>0</v>
      </c>
      <c r="AO7" s="20">
        <v>0</v>
      </c>
      <c r="AP7" s="20">
        <v>0</v>
      </c>
      <c r="AQ7" s="20">
        <v>0</v>
      </c>
      <c r="AR7" s="20">
        <v>0</v>
      </c>
      <c r="AS7" s="20">
        <v>0</v>
      </c>
      <c r="AT7" s="20">
        <v>0</v>
      </c>
      <c r="AU7" s="20">
        <v>0</v>
      </c>
      <c r="AV7" s="20">
        <v>0</v>
      </c>
      <c r="AW7" s="20">
        <v>0</v>
      </c>
      <c r="AX7" s="20">
        <v>1</v>
      </c>
      <c r="AY7" s="20">
        <v>0</v>
      </c>
      <c r="AZ7" s="21">
        <f t="shared" si="0"/>
        <v>4</v>
      </c>
    </row>
    <row r="8" spans="1:52" ht="15.75" customHeight="1" x14ac:dyDescent="0.15">
      <c r="B8" s="18" t="s">
        <v>44</v>
      </c>
      <c r="C8" s="19">
        <v>3</v>
      </c>
      <c r="D8" s="20">
        <v>0</v>
      </c>
      <c r="E8" s="20">
        <v>0</v>
      </c>
      <c r="F8" s="20">
        <v>0</v>
      </c>
      <c r="G8" s="20">
        <v>0</v>
      </c>
      <c r="H8" s="20">
        <v>0</v>
      </c>
      <c r="I8" s="20">
        <v>0</v>
      </c>
      <c r="J8" s="20">
        <v>0</v>
      </c>
      <c r="K8" s="20">
        <v>0</v>
      </c>
      <c r="L8" s="20">
        <v>0</v>
      </c>
      <c r="M8" s="20">
        <v>0</v>
      </c>
      <c r="N8" s="20">
        <v>0</v>
      </c>
      <c r="O8" s="20">
        <v>0</v>
      </c>
      <c r="P8" s="20">
        <v>0</v>
      </c>
      <c r="Q8" s="20">
        <v>0</v>
      </c>
      <c r="R8" s="20">
        <v>0</v>
      </c>
      <c r="S8" s="20">
        <v>0</v>
      </c>
      <c r="T8" s="20">
        <v>0</v>
      </c>
      <c r="U8" s="20">
        <v>0</v>
      </c>
      <c r="V8" s="20">
        <v>0</v>
      </c>
      <c r="W8" s="20">
        <v>0</v>
      </c>
      <c r="X8" s="20">
        <v>0</v>
      </c>
      <c r="Y8" s="20">
        <v>0</v>
      </c>
      <c r="Z8" s="20">
        <v>0</v>
      </c>
      <c r="AA8" s="20">
        <v>0</v>
      </c>
      <c r="AB8" s="20">
        <v>0</v>
      </c>
      <c r="AC8" s="20">
        <v>0</v>
      </c>
      <c r="AD8" s="20">
        <v>0</v>
      </c>
      <c r="AE8" s="20">
        <v>0</v>
      </c>
      <c r="AF8" s="20">
        <v>1</v>
      </c>
      <c r="AG8" s="20">
        <v>0</v>
      </c>
      <c r="AH8" s="20">
        <v>0</v>
      </c>
      <c r="AI8" s="20">
        <v>0</v>
      </c>
      <c r="AJ8" s="20">
        <v>0</v>
      </c>
      <c r="AK8" s="20">
        <v>0</v>
      </c>
      <c r="AL8" s="20">
        <v>0</v>
      </c>
      <c r="AM8" s="20">
        <v>0</v>
      </c>
      <c r="AN8" s="20">
        <v>0</v>
      </c>
      <c r="AO8" s="20">
        <v>0</v>
      </c>
      <c r="AP8" s="20">
        <v>0</v>
      </c>
      <c r="AQ8" s="20">
        <v>0</v>
      </c>
      <c r="AR8" s="20">
        <v>0</v>
      </c>
      <c r="AS8" s="20">
        <v>0</v>
      </c>
      <c r="AT8" s="20">
        <v>0</v>
      </c>
      <c r="AU8" s="20">
        <v>0</v>
      </c>
      <c r="AV8" s="20">
        <v>1</v>
      </c>
      <c r="AW8" s="20">
        <v>0</v>
      </c>
      <c r="AX8" s="20">
        <v>0</v>
      </c>
      <c r="AY8" s="20">
        <v>0</v>
      </c>
      <c r="AZ8" s="21">
        <f t="shared" si="0"/>
        <v>2</v>
      </c>
    </row>
    <row r="9" spans="1:52" ht="15.75" customHeight="1" x14ac:dyDescent="0.15">
      <c r="B9" s="18" t="s">
        <v>45</v>
      </c>
      <c r="C9" s="19">
        <v>3</v>
      </c>
      <c r="D9" s="20">
        <v>1</v>
      </c>
      <c r="E9" s="20">
        <v>1</v>
      </c>
      <c r="F9" s="20">
        <v>0</v>
      </c>
      <c r="G9" s="20">
        <v>0</v>
      </c>
      <c r="H9" s="20">
        <v>0</v>
      </c>
      <c r="I9" s="20">
        <v>0</v>
      </c>
      <c r="J9" s="20">
        <v>0</v>
      </c>
      <c r="K9" s="20">
        <v>0</v>
      </c>
      <c r="L9" s="20">
        <v>0</v>
      </c>
      <c r="M9" s="20">
        <v>0</v>
      </c>
      <c r="N9" s="20">
        <v>0</v>
      </c>
      <c r="O9" s="20">
        <v>0</v>
      </c>
      <c r="P9" s="20">
        <v>0</v>
      </c>
      <c r="Q9" s="20">
        <v>0</v>
      </c>
      <c r="R9" s="20">
        <v>0</v>
      </c>
      <c r="S9" s="20">
        <v>0</v>
      </c>
      <c r="T9" s="20">
        <v>0</v>
      </c>
      <c r="U9" s="20">
        <v>0</v>
      </c>
      <c r="V9" s="20">
        <v>0</v>
      </c>
      <c r="W9" s="20">
        <v>0</v>
      </c>
      <c r="X9" s="20">
        <v>0</v>
      </c>
      <c r="Y9" s="20">
        <v>0</v>
      </c>
      <c r="Z9" s="20">
        <v>0</v>
      </c>
      <c r="AA9" s="20">
        <v>0</v>
      </c>
      <c r="AB9" s="20">
        <v>0</v>
      </c>
      <c r="AC9" s="20">
        <v>0</v>
      </c>
      <c r="AD9" s="20">
        <v>0</v>
      </c>
      <c r="AE9" s="20">
        <v>0</v>
      </c>
      <c r="AF9" s="20">
        <v>0</v>
      </c>
      <c r="AG9" s="20">
        <v>1</v>
      </c>
      <c r="AH9" s="20">
        <v>0</v>
      </c>
      <c r="AI9" s="20">
        <v>0</v>
      </c>
      <c r="AJ9" s="20">
        <v>0</v>
      </c>
      <c r="AK9" s="20">
        <v>0</v>
      </c>
      <c r="AL9" s="20">
        <v>0</v>
      </c>
      <c r="AM9" s="20">
        <v>0</v>
      </c>
      <c r="AN9" s="20">
        <v>0</v>
      </c>
      <c r="AO9" s="20">
        <v>0</v>
      </c>
      <c r="AP9" s="20">
        <v>0</v>
      </c>
      <c r="AQ9" s="20">
        <v>0</v>
      </c>
      <c r="AR9" s="20">
        <v>0</v>
      </c>
      <c r="AS9" s="20">
        <v>0</v>
      </c>
      <c r="AT9" s="20">
        <v>0</v>
      </c>
      <c r="AU9" s="20">
        <v>0</v>
      </c>
      <c r="AV9" s="20">
        <v>1</v>
      </c>
      <c r="AW9" s="20">
        <v>0</v>
      </c>
      <c r="AX9" s="20">
        <v>0</v>
      </c>
      <c r="AY9" s="20">
        <v>0</v>
      </c>
      <c r="AZ9" s="21">
        <f t="shared" si="0"/>
        <v>4</v>
      </c>
    </row>
    <row r="10" spans="1:52" ht="15.75" customHeight="1" x14ac:dyDescent="0.15">
      <c r="B10" s="18" t="s">
        <v>48</v>
      </c>
      <c r="C10" s="19">
        <v>5</v>
      </c>
      <c r="D10" s="20">
        <v>0</v>
      </c>
      <c r="E10" s="20">
        <v>0</v>
      </c>
      <c r="F10" s="20">
        <v>0</v>
      </c>
      <c r="G10" s="20">
        <v>0</v>
      </c>
      <c r="H10" s="20">
        <v>0</v>
      </c>
      <c r="I10" s="20">
        <v>0</v>
      </c>
      <c r="J10" s="20">
        <v>0</v>
      </c>
      <c r="K10" s="20">
        <v>0</v>
      </c>
      <c r="L10" s="20">
        <v>0</v>
      </c>
      <c r="M10" s="20">
        <v>0</v>
      </c>
      <c r="N10" s="20">
        <v>0</v>
      </c>
      <c r="O10" s="20">
        <v>0</v>
      </c>
      <c r="P10" s="20">
        <v>0</v>
      </c>
      <c r="Q10" s="20">
        <v>0</v>
      </c>
      <c r="R10" s="20">
        <v>0</v>
      </c>
      <c r="S10" s="20">
        <v>0</v>
      </c>
      <c r="T10" s="20">
        <v>0</v>
      </c>
      <c r="U10" s="20">
        <v>0</v>
      </c>
      <c r="V10" s="20">
        <v>0</v>
      </c>
      <c r="W10" s="20">
        <v>0</v>
      </c>
      <c r="X10" s="20">
        <v>0</v>
      </c>
      <c r="Y10" s="20">
        <v>0</v>
      </c>
      <c r="Z10" s="20">
        <v>0</v>
      </c>
      <c r="AA10" s="20">
        <v>0</v>
      </c>
      <c r="AB10" s="20">
        <v>1</v>
      </c>
      <c r="AC10" s="20">
        <v>0</v>
      </c>
      <c r="AD10" s="20">
        <v>0</v>
      </c>
      <c r="AE10" s="20">
        <v>0</v>
      </c>
      <c r="AF10" s="20">
        <v>0</v>
      </c>
      <c r="AG10" s="20">
        <v>0</v>
      </c>
      <c r="AH10" s="20">
        <v>1</v>
      </c>
      <c r="AI10" s="20">
        <v>1</v>
      </c>
      <c r="AJ10" s="20">
        <v>0</v>
      </c>
      <c r="AK10" s="20">
        <v>0</v>
      </c>
      <c r="AL10" s="20">
        <v>0</v>
      </c>
      <c r="AM10" s="20">
        <v>0</v>
      </c>
      <c r="AN10" s="20">
        <v>0</v>
      </c>
      <c r="AO10" s="20">
        <v>0</v>
      </c>
      <c r="AP10" s="20">
        <v>0</v>
      </c>
      <c r="AQ10" s="20">
        <v>0</v>
      </c>
      <c r="AR10" s="20">
        <v>0</v>
      </c>
      <c r="AS10" s="20">
        <v>0</v>
      </c>
      <c r="AT10" s="20">
        <v>0</v>
      </c>
      <c r="AU10" s="20">
        <v>0</v>
      </c>
      <c r="AV10" s="20">
        <v>1</v>
      </c>
      <c r="AW10" s="20">
        <v>0</v>
      </c>
      <c r="AX10" s="20">
        <v>0</v>
      </c>
      <c r="AY10" s="20">
        <v>0</v>
      </c>
      <c r="AZ10" s="21">
        <f t="shared" si="0"/>
        <v>4</v>
      </c>
    </row>
    <row r="11" spans="1:52" ht="15.75" customHeight="1" x14ac:dyDescent="0.15">
      <c r="B11" s="18" t="s">
        <v>49</v>
      </c>
      <c r="C11" s="19">
        <v>3</v>
      </c>
      <c r="D11" s="20">
        <v>0</v>
      </c>
      <c r="E11" s="20">
        <v>0</v>
      </c>
      <c r="F11" s="20">
        <v>0</v>
      </c>
      <c r="G11" s="20">
        <v>0</v>
      </c>
      <c r="H11" s="20">
        <v>0</v>
      </c>
      <c r="I11" s="20">
        <v>0</v>
      </c>
      <c r="J11" s="20">
        <v>0</v>
      </c>
      <c r="K11" s="20">
        <v>0</v>
      </c>
      <c r="L11" s="20">
        <v>0</v>
      </c>
      <c r="M11" s="20">
        <v>0</v>
      </c>
      <c r="N11" s="20">
        <v>0</v>
      </c>
      <c r="O11" s="20">
        <v>0</v>
      </c>
      <c r="P11" s="20">
        <v>0</v>
      </c>
      <c r="Q11" s="20">
        <v>0</v>
      </c>
      <c r="R11" s="20">
        <v>0</v>
      </c>
      <c r="S11" s="20">
        <v>0</v>
      </c>
      <c r="T11" s="20">
        <v>0</v>
      </c>
      <c r="U11" s="20">
        <v>0</v>
      </c>
      <c r="V11" s="20">
        <v>0</v>
      </c>
      <c r="W11" s="20">
        <v>0</v>
      </c>
      <c r="X11" s="20">
        <v>0</v>
      </c>
      <c r="Y11" s="20">
        <v>0</v>
      </c>
      <c r="Z11" s="20">
        <v>0</v>
      </c>
      <c r="AA11" s="20">
        <v>0</v>
      </c>
      <c r="AB11" s="20">
        <v>0</v>
      </c>
      <c r="AC11" s="20">
        <v>1</v>
      </c>
      <c r="AD11" s="20">
        <v>0</v>
      </c>
      <c r="AE11" s="20">
        <v>0</v>
      </c>
      <c r="AF11" s="20">
        <v>0</v>
      </c>
      <c r="AG11" s="20">
        <v>0</v>
      </c>
      <c r="AH11" s="20">
        <v>0</v>
      </c>
      <c r="AI11" s="20">
        <v>0</v>
      </c>
      <c r="AJ11" s="20">
        <v>1</v>
      </c>
      <c r="AK11" s="20">
        <v>0</v>
      </c>
      <c r="AL11" s="20">
        <v>0</v>
      </c>
      <c r="AM11" s="20">
        <v>0</v>
      </c>
      <c r="AN11" s="20">
        <v>0</v>
      </c>
      <c r="AO11" s="20">
        <v>0</v>
      </c>
      <c r="AP11" s="20">
        <v>0</v>
      </c>
      <c r="AQ11" s="20">
        <v>0</v>
      </c>
      <c r="AR11" s="20">
        <v>0</v>
      </c>
      <c r="AS11" s="20">
        <v>0</v>
      </c>
      <c r="AT11" s="20">
        <v>0</v>
      </c>
      <c r="AU11" s="20">
        <v>0</v>
      </c>
      <c r="AV11" s="20">
        <v>0</v>
      </c>
      <c r="AW11" s="20">
        <v>0</v>
      </c>
      <c r="AX11" s="20">
        <v>0</v>
      </c>
      <c r="AY11" s="20">
        <v>0</v>
      </c>
      <c r="AZ11" s="21">
        <f t="shared" si="0"/>
        <v>2</v>
      </c>
    </row>
    <row r="12" spans="1:52" ht="15.75" customHeight="1" x14ac:dyDescent="0.15">
      <c r="B12" s="18" t="s">
        <v>50</v>
      </c>
      <c r="C12" s="19">
        <v>3</v>
      </c>
      <c r="D12" s="20">
        <v>1</v>
      </c>
      <c r="E12" s="20">
        <v>1</v>
      </c>
      <c r="F12" s="20">
        <v>0</v>
      </c>
      <c r="G12" s="20">
        <v>0</v>
      </c>
      <c r="H12" s="20">
        <v>0</v>
      </c>
      <c r="I12" s="20">
        <v>0</v>
      </c>
      <c r="J12" s="20">
        <v>0</v>
      </c>
      <c r="K12" s="20">
        <v>0</v>
      </c>
      <c r="L12" s="20">
        <v>0</v>
      </c>
      <c r="M12" s="20">
        <v>0</v>
      </c>
      <c r="N12" s="20">
        <v>0</v>
      </c>
      <c r="O12" s="20">
        <v>0</v>
      </c>
      <c r="P12" s="20">
        <v>0</v>
      </c>
      <c r="Q12" s="20">
        <v>0</v>
      </c>
      <c r="R12" s="20">
        <v>0</v>
      </c>
      <c r="S12" s="20">
        <v>0</v>
      </c>
      <c r="T12" s="20">
        <v>0</v>
      </c>
      <c r="U12" s="20">
        <v>0</v>
      </c>
      <c r="V12" s="20">
        <v>0</v>
      </c>
      <c r="W12" s="20">
        <v>0</v>
      </c>
      <c r="X12" s="20">
        <v>0</v>
      </c>
      <c r="Y12" s="20">
        <v>0</v>
      </c>
      <c r="Z12" s="20">
        <v>0</v>
      </c>
      <c r="AA12" s="20">
        <v>0</v>
      </c>
      <c r="AB12" s="20">
        <v>0</v>
      </c>
      <c r="AC12" s="20">
        <v>0</v>
      </c>
      <c r="AD12" s="20">
        <v>1</v>
      </c>
      <c r="AE12" s="20">
        <v>0</v>
      </c>
      <c r="AF12" s="20">
        <v>0</v>
      </c>
      <c r="AG12" s="20">
        <v>0</v>
      </c>
      <c r="AH12" s="20">
        <v>0</v>
      </c>
      <c r="AI12" s="20">
        <v>0</v>
      </c>
      <c r="AJ12" s="20">
        <v>0</v>
      </c>
      <c r="AK12" s="20">
        <v>1</v>
      </c>
      <c r="AL12" s="20">
        <v>0</v>
      </c>
      <c r="AM12" s="20">
        <v>0</v>
      </c>
      <c r="AN12" s="20">
        <v>0</v>
      </c>
      <c r="AO12" s="20">
        <v>0</v>
      </c>
      <c r="AP12" s="20">
        <v>0</v>
      </c>
      <c r="AQ12" s="20">
        <v>1</v>
      </c>
      <c r="AR12" s="20">
        <v>0</v>
      </c>
      <c r="AS12" s="20">
        <v>0</v>
      </c>
      <c r="AT12" s="20">
        <v>0</v>
      </c>
      <c r="AU12" s="20">
        <v>0</v>
      </c>
      <c r="AV12" s="20">
        <v>0</v>
      </c>
      <c r="AW12" s="20">
        <v>1</v>
      </c>
      <c r="AX12" s="20">
        <v>0</v>
      </c>
      <c r="AY12" s="20">
        <v>0</v>
      </c>
      <c r="AZ12" s="21">
        <f t="shared" si="0"/>
        <v>6</v>
      </c>
    </row>
    <row r="13" spans="1:52" ht="15.75" customHeight="1" x14ac:dyDescent="0.15">
      <c r="B13" s="18" t="s">
        <v>52</v>
      </c>
      <c r="C13" s="19">
        <v>5</v>
      </c>
      <c r="D13" s="20">
        <v>0</v>
      </c>
      <c r="E13" s="20">
        <v>0</v>
      </c>
      <c r="F13" s="20">
        <v>0</v>
      </c>
      <c r="G13" s="20">
        <v>0</v>
      </c>
      <c r="H13" s="20">
        <v>0</v>
      </c>
      <c r="I13" s="20">
        <v>0</v>
      </c>
      <c r="J13" s="20">
        <v>0</v>
      </c>
      <c r="K13" s="20">
        <v>0</v>
      </c>
      <c r="L13" s="20">
        <v>0</v>
      </c>
      <c r="M13" s="20">
        <v>0</v>
      </c>
      <c r="N13" s="20">
        <v>0</v>
      </c>
      <c r="O13" s="20">
        <v>0</v>
      </c>
      <c r="P13" s="20">
        <v>0</v>
      </c>
      <c r="Q13" s="20">
        <v>0</v>
      </c>
      <c r="R13" s="20">
        <v>0</v>
      </c>
      <c r="S13" s="20">
        <v>0</v>
      </c>
      <c r="T13" s="20">
        <v>0</v>
      </c>
      <c r="U13" s="20">
        <v>0</v>
      </c>
      <c r="V13" s="20">
        <v>0</v>
      </c>
      <c r="W13" s="20">
        <v>0</v>
      </c>
      <c r="X13" s="20">
        <v>0</v>
      </c>
      <c r="Y13" s="20">
        <v>0</v>
      </c>
      <c r="Z13" s="20">
        <v>0</v>
      </c>
      <c r="AA13" s="20">
        <v>0</v>
      </c>
      <c r="AB13" s="20">
        <v>0</v>
      </c>
      <c r="AC13" s="20">
        <v>0</v>
      </c>
      <c r="AD13" s="20">
        <v>0</v>
      </c>
      <c r="AE13" s="20">
        <v>1</v>
      </c>
      <c r="AF13" s="20">
        <v>0</v>
      </c>
      <c r="AG13" s="20">
        <v>0</v>
      </c>
      <c r="AH13" s="20">
        <v>0</v>
      </c>
      <c r="AI13" s="20">
        <v>0</v>
      </c>
      <c r="AJ13" s="20">
        <v>0</v>
      </c>
      <c r="AK13" s="20">
        <v>0</v>
      </c>
      <c r="AL13" s="20">
        <v>1</v>
      </c>
      <c r="AM13" s="20">
        <v>0</v>
      </c>
      <c r="AN13" s="20">
        <v>0</v>
      </c>
      <c r="AO13" s="20">
        <v>0</v>
      </c>
      <c r="AP13" s="20">
        <v>0</v>
      </c>
      <c r="AQ13" s="20">
        <v>0</v>
      </c>
      <c r="AR13" s="20">
        <v>0</v>
      </c>
      <c r="AS13" s="20">
        <v>0</v>
      </c>
      <c r="AT13" s="20">
        <v>0</v>
      </c>
      <c r="AU13" s="20">
        <v>0</v>
      </c>
      <c r="AV13" s="20">
        <v>0</v>
      </c>
      <c r="AW13" s="20">
        <v>0</v>
      </c>
      <c r="AX13" s="20">
        <v>0</v>
      </c>
      <c r="AY13" s="20">
        <v>0</v>
      </c>
      <c r="AZ13" s="21">
        <f t="shared" si="0"/>
        <v>2</v>
      </c>
    </row>
    <row r="14" spans="1:52" ht="15.75" customHeight="1" x14ac:dyDescent="0.15">
      <c r="B14" s="18" t="s">
        <v>54</v>
      </c>
      <c r="C14" s="19">
        <v>3</v>
      </c>
      <c r="D14" s="20">
        <v>0</v>
      </c>
      <c r="E14" s="20">
        <v>0</v>
      </c>
      <c r="F14" s="20">
        <v>0</v>
      </c>
      <c r="G14" s="20">
        <v>0</v>
      </c>
      <c r="H14" s="20">
        <v>0</v>
      </c>
      <c r="I14" s="20">
        <v>0</v>
      </c>
      <c r="J14" s="20">
        <v>0</v>
      </c>
      <c r="K14" s="20">
        <v>0</v>
      </c>
      <c r="L14" s="20">
        <v>0</v>
      </c>
      <c r="M14" s="20">
        <v>0</v>
      </c>
      <c r="N14" s="20">
        <v>0</v>
      </c>
      <c r="O14" s="20">
        <v>0</v>
      </c>
      <c r="P14" s="20">
        <v>0</v>
      </c>
      <c r="Q14" s="20">
        <v>0</v>
      </c>
      <c r="R14" s="20">
        <v>0</v>
      </c>
      <c r="S14" s="20">
        <v>0</v>
      </c>
      <c r="T14" s="20">
        <v>0</v>
      </c>
      <c r="U14" s="20">
        <v>0</v>
      </c>
      <c r="V14" s="20">
        <v>0</v>
      </c>
      <c r="W14" s="20">
        <v>0</v>
      </c>
      <c r="X14" s="20">
        <v>0</v>
      </c>
      <c r="Y14" s="20">
        <v>0</v>
      </c>
      <c r="Z14" s="20">
        <v>0</v>
      </c>
      <c r="AA14" s="20">
        <v>0</v>
      </c>
      <c r="AB14" s="20">
        <v>0</v>
      </c>
      <c r="AC14" s="20">
        <v>0</v>
      </c>
      <c r="AD14" s="20">
        <v>0</v>
      </c>
      <c r="AE14" s="20">
        <v>0</v>
      </c>
      <c r="AF14" s="20">
        <v>1</v>
      </c>
      <c r="AG14" s="20">
        <v>0</v>
      </c>
      <c r="AH14" s="20">
        <v>0</v>
      </c>
      <c r="AI14" s="20">
        <v>0</v>
      </c>
      <c r="AJ14" s="20">
        <v>0</v>
      </c>
      <c r="AK14" s="20">
        <v>0</v>
      </c>
      <c r="AL14" s="20">
        <v>0</v>
      </c>
      <c r="AM14" s="20">
        <v>1</v>
      </c>
      <c r="AN14" s="20">
        <v>0</v>
      </c>
      <c r="AO14" s="20">
        <v>0</v>
      </c>
      <c r="AP14" s="20">
        <v>0</v>
      </c>
      <c r="AQ14" s="20">
        <v>0</v>
      </c>
      <c r="AR14" s="20">
        <v>0</v>
      </c>
      <c r="AS14" s="20">
        <v>0</v>
      </c>
      <c r="AT14" s="20">
        <v>0</v>
      </c>
      <c r="AU14" s="20">
        <v>0</v>
      </c>
      <c r="AV14" s="20">
        <v>0</v>
      </c>
      <c r="AW14" s="20">
        <v>0</v>
      </c>
      <c r="AX14" s="20">
        <v>0</v>
      </c>
      <c r="AY14" s="20">
        <v>0</v>
      </c>
      <c r="AZ14" s="21">
        <f t="shared" si="0"/>
        <v>2</v>
      </c>
    </row>
    <row r="15" spans="1:52" ht="15.75" customHeight="1" x14ac:dyDescent="0.15">
      <c r="B15" s="18" t="s">
        <v>56</v>
      </c>
      <c r="C15" s="19">
        <v>3</v>
      </c>
      <c r="D15" s="20">
        <v>0</v>
      </c>
      <c r="E15" s="20">
        <v>0</v>
      </c>
      <c r="F15" s="20">
        <v>0</v>
      </c>
      <c r="G15" s="20">
        <v>0</v>
      </c>
      <c r="H15" s="20">
        <v>0</v>
      </c>
      <c r="I15" s="20">
        <v>0</v>
      </c>
      <c r="J15" s="20">
        <v>0</v>
      </c>
      <c r="K15" s="20">
        <v>0</v>
      </c>
      <c r="L15" s="20">
        <v>0</v>
      </c>
      <c r="M15" s="20">
        <v>0</v>
      </c>
      <c r="N15" s="20">
        <v>0</v>
      </c>
      <c r="O15" s="20">
        <v>0</v>
      </c>
      <c r="P15" s="20">
        <v>0</v>
      </c>
      <c r="Q15" s="20">
        <v>0</v>
      </c>
      <c r="R15" s="20">
        <v>0</v>
      </c>
      <c r="S15" s="20">
        <v>0</v>
      </c>
      <c r="T15" s="20">
        <v>0</v>
      </c>
      <c r="U15" s="20">
        <v>0</v>
      </c>
      <c r="V15" s="20">
        <v>0</v>
      </c>
      <c r="W15" s="20">
        <v>0</v>
      </c>
      <c r="X15" s="20">
        <v>0</v>
      </c>
      <c r="Y15" s="20">
        <v>0</v>
      </c>
      <c r="Z15" s="20">
        <v>0</v>
      </c>
      <c r="AA15" s="20">
        <v>0</v>
      </c>
      <c r="AB15" s="20">
        <v>0</v>
      </c>
      <c r="AC15" s="20">
        <v>0</v>
      </c>
      <c r="AD15" s="20">
        <v>0</v>
      </c>
      <c r="AE15" s="20">
        <v>0</v>
      </c>
      <c r="AF15" s="20">
        <v>0</v>
      </c>
      <c r="AG15" s="20">
        <v>1</v>
      </c>
      <c r="AH15" s="20">
        <v>0</v>
      </c>
      <c r="AI15" s="20">
        <v>0</v>
      </c>
      <c r="AJ15" s="20">
        <v>0</v>
      </c>
      <c r="AK15" s="20">
        <v>0</v>
      </c>
      <c r="AL15" s="20">
        <v>0</v>
      </c>
      <c r="AM15" s="20">
        <v>0</v>
      </c>
      <c r="AN15" s="20">
        <v>1</v>
      </c>
      <c r="AO15" s="20">
        <v>0</v>
      </c>
      <c r="AP15" s="20">
        <v>0</v>
      </c>
      <c r="AQ15" s="20">
        <v>0</v>
      </c>
      <c r="AR15" s="20">
        <v>0</v>
      </c>
      <c r="AS15" s="20">
        <v>0</v>
      </c>
      <c r="AT15" s="20">
        <v>0</v>
      </c>
      <c r="AU15" s="20">
        <v>0</v>
      </c>
      <c r="AV15" s="20">
        <v>0</v>
      </c>
      <c r="AW15" s="20">
        <v>0</v>
      </c>
      <c r="AX15" s="20">
        <v>0</v>
      </c>
      <c r="AY15" s="20">
        <v>0</v>
      </c>
      <c r="AZ15" s="21">
        <f t="shared" si="0"/>
        <v>2</v>
      </c>
    </row>
    <row r="16" spans="1:52" ht="15.75" customHeight="1" x14ac:dyDescent="0.15">
      <c r="B16" s="18" t="s">
        <v>58</v>
      </c>
      <c r="C16" s="19">
        <v>5</v>
      </c>
      <c r="D16" s="20">
        <v>1</v>
      </c>
      <c r="E16" s="20">
        <v>1</v>
      </c>
      <c r="F16" s="20">
        <v>0</v>
      </c>
      <c r="G16" s="20">
        <v>0</v>
      </c>
      <c r="H16" s="20">
        <v>0</v>
      </c>
      <c r="I16" s="20">
        <v>0</v>
      </c>
      <c r="J16" s="20">
        <v>0</v>
      </c>
      <c r="K16" s="20">
        <v>0</v>
      </c>
      <c r="L16" s="20">
        <v>0</v>
      </c>
      <c r="M16" s="20">
        <v>0</v>
      </c>
      <c r="N16" s="20">
        <v>0</v>
      </c>
      <c r="O16" s="20">
        <v>0</v>
      </c>
      <c r="P16" s="20">
        <v>0</v>
      </c>
      <c r="Q16" s="20">
        <v>0</v>
      </c>
      <c r="R16" s="20">
        <v>0</v>
      </c>
      <c r="S16" s="20">
        <v>0</v>
      </c>
      <c r="T16" s="20">
        <v>0</v>
      </c>
      <c r="U16" s="20">
        <v>0</v>
      </c>
      <c r="V16" s="20">
        <v>0</v>
      </c>
      <c r="W16" s="20">
        <v>0</v>
      </c>
      <c r="X16" s="20">
        <v>0</v>
      </c>
      <c r="Y16" s="20">
        <v>0</v>
      </c>
      <c r="Z16" s="20">
        <v>0</v>
      </c>
      <c r="AA16" s="20">
        <v>0</v>
      </c>
      <c r="AB16" s="20">
        <v>0</v>
      </c>
      <c r="AC16" s="20">
        <v>0</v>
      </c>
      <c r="AD16" s="20">
        <v>0</v>
      </c>
      <c r="AE16" s="20">
        <v>0</v>
      </c>
      <c r="AF16" s="20">
        <v>0</v>
      </c>
      <c r="AG16" s="20">
        <v>0</v>
      </c>
      <c r="AH16" s="20">
        <v>0</v>
      </c>
      <c r="AI16" s="20">
        <v>0</v>
      </c>
      <c r="AJ16" s="20">
        <v>0</v>
      </c>
      <c r="AK16" s="20">
        <v>0</v>
      </c>
      <c r="AL16" s="20">
        <v>0</v>
      </c>
      <c r="AM16" s="20">
        <v>0</v>
      </c>
      <c r="AN16" s="20">
        <v>0</v>
      </c>
      <c r="AO16" s="20">
        <v>1</v>
      </c>
      <c r="AP16" s="20">
        <v>0</v>
      </c>
      <c r="AQ16" s="20">
        <v>0</v>
      </c>
      <c r="AR16" s="20">
        <v>0</v>
      </c>
      <c r="AS16" s="20">
        <v>0</v>
      </c>
      <c r="AT16" s="20">
        <v>0</v>
      </c>
      <c r="AU16" s="20">
        <v>0</v>
      </c>
      <c r="AV16" s="20">
        <v>0</v>
      </c>
      <c r="AW16" s="20">
        <v>0</v>
      </c>
      <c r="AX16" s="20">
        <v>0</v>
      </c>
      <c r="AY16" s="20">
        <v>0</v>
      </c>
      <c r="AZ16" s="21">
        <f t="shared" si="0"/>
        <v>3</v>
      </c>
    </row>
    <row r="17" spans="1:55" ht="15.75" customHeight="1" x14ac:dyDescent="0.15">
      <c r="B17" s="18" t="s">
        <v>59</v>
      </c>
      <c r="C17" s="19">
        <v>3</v>
      </c>
      <c r="D17" s="20">
        <v>0</v>
      </c>
      <c r="E17" s="20">
        <v>0</v>
      </c>
      <c r="F17" s="20">
        <v>0</v>
      </c>
      <c r="G17" s="20">
        <v>0</v>
      </c>
      <c r="H17" s="20">
        <v>0</v>
      </c>
      <c r="I17" s="20">
        <v>0</v>
      </c>
      <c r="J17" s="20">
        <v>0</v>
      </c>
      <c r="K17" s="20">
        <v>0</v>
      </c>
      <c r="L17" s="20">
        <v>0</v>
      </c>
      <c r="M17" s="20">
        <v>0</v>
      </c>
      <c r="N17" s="20">
        <v>0</v>
      </c>
      <c r="O17" s="20">
        <v>0</v>
      </c>
      <c r="P17" s="20">
        <v>0</v>
      </c>
      <c r="Q17" s="20">
        <v>0</v>
      </c>
      <c r="R17" s="20">
        <v>0</v>
      </c>
      <c r="S17" s="20">
        <v>0</v>
      </c>
      <c r="T17" s="20">
        <v>0</v>
      </c>
      <c r="U17" s="20">
        <v>0</v>
      </c>
      <c r="V17" s="20">
        <v>0</v>
      </c>
      <c r="W17" s="20">
        <v>0</v>
      </c>
      <c r="X17" s="20">
        <v>0</v>
      </c>
      <c r="Y17" s="20">
        <v>0</v>
      </c>
      <c r="Z17" s="20">
        <v>0</v>
      </c>
      <c r="AA17" s="20">
        <v>0</v>
      </c>
      <c r="AB17" s="20">
        <v>0</v>
      </c>
      <c r="AC17" s="20">
        <v>0</v>
      </c>
      <c r="AD17" s="20">
        <v>0</v>
      </c>
      <c r="AE17" s="20">
        <v>0</v>
      </c>
      <c r="AF17" s="20">
        <v>0</v>
      </c>
      <c r="AG17" s="20">
        <v>0</v>
      </c>
      <c r="AH17" s="20">
        <v>0</v>
      </c>
      <c r="AI17" s="20">
        <v>0</v>
      </c>
      <c r="AJ17" s="20">
        <v>1</v>
      </c>
      <c r="AK17" s="20">
        <v>0</v>
      </c>
      <c r="AL17" s="20">
        <v>0</v>
      </c>
      <c r="AM17" s="20">
        <v>0</v>
      </c>
      <c r="AN17" s="20">
        <v>0</v>
      </c>
      <c r="AO17" s="20">
        <v>0</v>
      </c>
      <c r="AP17" s="20">
        <v>1</v>
      </c>
      <c r="AQ17" s="20">
        <v>0</v>
      </c>
      <c r="AR17" s="20">
        <v>0</v>
      </c>
      <c r="AS17" s="20">
        <v>0</v>
      </c>
      <c r="AT17" s="20">
        <v>0</v>
      </c>
      <c r="AU17" s="20">
        <v>0</v>
      </c>
      <c r="AV17" s="20">
        <v>0</v>
      </c>
      <c r="AW17" s="20">
        <v>0</v>
      </c>
      <c r="AX17" s="20">
        <v>0</v>
      </c>
      <c r="AY17" s="20">
        <v>0</v>
      </c>
      <c r="AZ17" s="21">
        <f t="shared" si="0"/>
        <v>2</v>
      </c>
    </row>
    <row r="18" spans="1:55" ht="15.75" customHeight="1" x14ac:dyDescent="0.15">
      <c r="B18" s="18" t="s">
        <v>61</v>
      </c>
      <c r="C18" s="19">
        <v>3</v>
      </c>
      <c r="D18" s="20">
        <v>1</v>
      </c>
      <c r="E18" s="20">
        <v>1</v>
      </c>
      <c r="F18" s="20">
        <v>0</v>
      </c>
      <c r="G18" s="20">
        <v>0</v>
      </c>
      <c r="H18" s="20">
        <v>0</v>
      </c>
      <c r="I18" s="20">
        <v>0</v>
      </c>
      <c r="J18" s="20">
        <v>0</v>
      </c>
      <c r="K18" s="20">
        <v>0</v>
      </c>
      <c r="L18" s="20">
        <v>0</v>
      </c>
      <c r="M18" s="20">
        <v>0</v>
      </c>
      <c r="N18" s="20">
        <v>0</v>
      </c>
      <c r="O18" s="20">
        <v>0</v>
      </c>
      <c r="P18" s="20">
        <v>0</v>
      </c>
      <c r="Q18" s="20">
        <v>0</v>
      </c>
      <c r="R18" s="20">
        <v>0</v>
      </c>
      <c r="S18" s="20">
        <v>0</v>
      </c>
      <c r="T18" s="20">
        <v>0</v>
      </c>
      <c r="U18" s="20">
        <v>0</v>
      </c>
      <c r="V18" s="20">
        <v>0</v>
      </c>
      <c r="W18" s="20">
        <v>0</v>
      </c>
      <c r="X18" s="20">
        <v>0</v>
      </c>
      <c r="Y18" s="20">
        <v>0</v>
      </c>
      <c r="Z18" s="20">
        <v>0</v>
      </c>
      <c r="AA18" s="20">
        <v>1</v>
      </c>
      <c r="AB18" s="20">
        <v>0</v>
      </c>
      <c r="AC18" s="20">
        <v>0</v>
      </c>
      <c r="AD18" s="20">
        <v>0</v>
      </c>
      <c r="AE18" s="20">
        <v>0</v>
      </c>
      <c r="AF18" s="20">
        <v>0</v>
      </c>
      <c r="AG18" s="20">
        <v>0</v>
      </c>
      <c r="AH18" s="20">
        <v>1</v>
      </c>
      <c r="AI18" s="20">
        <v>0</v>
      </c>
      <c r="AJ18" s="20">
        <v>0</v>
      </c>
      <c r="AK18" s="20">
        <v>0</v>
      </c>
      <c r="AL18" s="20">
        <v>0</v>
      </c>
      <c r="AM18" s="20">
        <v>0</v>
      </c>
      <c r="AN18" s="20">
        <v>0</v>
      </c>
      <c r="AO18" s="20">
        <v>0</v>
      </c>
      <c r="AP18" s="20">
        <v>0</v>
      </c>
      <c r="AQ18" s="20">
        <v>1</v>
      </c>
      <c r="AR18" s="20">
        <v>0</v>
      </c>
      <c r="AS18" s="20">
        <v>0</v>
      </c>
      <c r="AT18" s="20">
        <v>0</v>
      </c>
      <c r="AU18" s="20">
        <v>0</v>
      </c>
      <c r="AV18" s="20">
        <v>0</v>
      </c>
      <c r="AW18" s="20">
        <v>0</v>
      </c>
      <c r="AX18" s="20">
        <v>0</v>
      </c>
      <c r="AY18" s="20">
        <v>0</v>
      </c>
      <c r="AZ18" s="21">
        <f t="shared" si="0"/>
        <v>5</v>
      </c>
    </row>
    <row r="19" spans="1:55" ht="15.75" customHeight="1" x14ac:dyDescent="0.15">
      <c r="A19" s="9"/>
      <c r="B19" s="18" t="s">
        <v>63</v>
      </c>
      <c r="C19" s="19">
        <v>5</v>
      </c>
      <c r="D19" s="20">
        <v>0</v>
      </c>
      <c r="E19" s="20">
        <v>0</v>
      </c>
      <c r="F19" s="20">
        <v>0</v>
      </c>
      <c r="G19" s="20">
        <v>0</v>
      </c>
      <c r="H19" s="20">
        <v>0</v>
      </c>
      <c r="I19" s="20">
        <v>0</v>
      </c>
      <c r="J19" s="20">
        <v>0</v>
      </c>
      <c r="K19" s="20">
        <v>0</v>
      </c>
      <c r="L19" s="20">
        <v>0</v>
      </c>
      <c r="M19" s="20">
        <v>0</v>
      </c>
      <c r="N19" s="20">
        <v>0</v>
      </c>
      <c r="O19" s="20">
        <v>0</v>
      </c>
      <c r="P19" s="20">
        <v>0</v>
      </c>
      <c r="Q19" s="20">
        <v>0</v>
      </c>
      <c r="R19" s="20">
        <v>0</v>
      </c>
      <c r="S19" s="20">
        <v>0</v>
      </c>
      <c r="T19" s="20">
        <v>0</v>
      </c>
      <c r="U19" s="20">
        <v>0</v>
      </c>
      <c r="V19" s="20">
        <v>0</v>
      </c>
      <c r="W19" s="20">
        <v>0</v>
      </c>
      <c r="X19" s="20">
        <v>0</v>
      </c>
      <c r="Y19" s="20">
        <v>0</v>
      </c>
      <c r="Z19" s="20">
        <v>0</v>
      </c>
      <c r="AA19" s="20">
        <v>0</v>
      </c>
      <c r="AB19" s="20">
        <v>0</v>
      </c>
      <c r="AC19" s="20">
        <v>0</v>
      </c>
      <c r="AD19" s="20">
        <v>0</v>
      </c>
      <c r="AE19" s="20">
        <v>0</v>
      </c>
      <c r="AF19" s="20">
        <v>0</v>
      </c>
      <c r="AG19" s="20">
        <v>0</v>
      </c>
      <c r="AH19" s="20">
        <v>0</v>
      </c>
      <c r="AI19" s="20">
        <v>0</v>
      </c>
      <c r="AJ19" s="20">
        <v>0</v>
      </c>
      <c r="AK19" s="20">
        <v>0</v>
      </c>
      <c r="AL19" s="20">
        <v>0</v>
      </c>
      <c r="AM19" s="20">
        <v>0</v>
      </c>
      <c r="AN19" s="20">
        <v>0</v>
      </c>
      <c r="AO19" s="20">
        <v>0</v>
      </c>
      <c r="AP19" s="20">
        <v>0</v>
      </c>
      <c r="AQ19" s="20">
        <v>0</v>
      </c>
      <c r="AR19" s="20">
        <v>1</v>
      </c>
      <c r="AS19" s="20">
        <v>0</v>
      </c>
      <c r="AT19" s="20">
        <v>0</v>
      </c>
      <c r="AU19" s="20">
        <v>0</v>
      </c>
      <c r="AV19" s="20">
        <v>0</v>
      </c>
      <c r="AW19" s="20">
        <v>0</v>
      </c>
      <c r="AX19" s="20">
        <v>0</v>
      </c>
      <c r="AY19" s="20">
        <v>0</v>
      </c>
      <c r="AZ19" s="21">
        <f t="shared" si="0"/>
        <v>1</v>
      </c>
    </row>
    <row r="20" spans="1:55" ht="15.75" customHeight="1" x14ac:dyDescent="0.15">
      <c r="A20" s="9"/>
      <c r="B20" s="18" t="s">
        <v>64</v>
      </c>
      <c r="C20" s="19">
        <v>2</v>
      </c>
      <c r="D20" s="20">
        <v>1</v>
      </c>
      <c r="E20" s="20">
        <v>1</v>
      </c>
      <c r="F20" s="20">
        <v>0</v>
      </c>
      <c r="G20" s="20">
        <v>0</v>
      </c>
      <c r="H20" s="20">
        <v>0</v>
      </c>
      <c r="I20" s="20">
        <v>0</v>
      </c>
      <c r="J20" s="20">
        <v>0</v>
      </c>
      <c r="K20" s="20">
        <v>0</v>
      </c>
      <c r="L20" s="20">
        <v>0</v>
      </c>
      <c r="M20" s="20">
        <v>0</v>
      </c>
      <c r="N20" s="20">
        <v>0</v>
      </c>
      <c r="O20" s="20">
        <v>0</v>
      </c>
      <c r="P20" s="20">
        <v>0</v>
      </c>
      <c r="Q20" s="20">
        <v>0</v>
      </c>
      <c r="R20" s="20">
        <v>0</v>
      </c>
      <c r="S20" s="20">
        <v>0</v>
      </c>
      <c r="T20" s="20">
        <v>0</v>
      </c>
      <c r="U20" s="20">
        <v>0</v>
      </c>
      <c r="V20" s="20">
        <v>0</v>
      </c>
      <c r="W20" s="20">
        <v>0</v>
      </c>
      <c r="X20" s="20">
        <v>0</v>
      </c>
      <c r="Y20" s="20">
        <v>0</v>
      </c>
      <c r="Z20" s="20">
        <v>0</v>
      </c>
      <c r="AA20" s="20">
        <v>0</v>
      </c>
      <c r="AB20" s="20">
        <v>0</v>
      </c>
      <c r="AC20" s="20">
        <v>1</v>
      </c>
      <c r="AD20" s="20">
        <v>0</v>
      </c>
      <c r="AE20" s="20">
        <v>1</v>
      </c>
      <c r="AF20" s="20">
        <v>0</v>
      </c>
      <c r="AG20" s="20">
        <v>0</v>
      </c>
      <c r="AH20" s="20">
        <v>0</v>
      </c>
      <c r="AI20" s="20">
        <v>0</v>
      </c>
      <c r="AJ20" s="20">
        <v>0</v>
      </c>
      <c r="AK20" s="20">
        <v>0</v>
      </c>
      <c r="AL20" s="20">
        <v>0</v>
      </c>
      <c r="AM20" s="20">
        <v>0</v>
      </c>
      <c r="AN20" s="20">
        <v>0</v>
      </c>
      <c r="AO20" s="20">
        <v>0</v>
      </c>
      <c r="AP20" s="20">
        <v>0</v>
      </c>
      <c r="AQ20" s="20">
        <v>0</v>
      </c>
      <c r="AR20" s="20">
        <v>0</v>
      </c>
      <c r="AS20" s="20">
        <v>1</v>
      </c>
      <c r="AT20" s="20">
        <v>0</v>
      </c>
      <c r="AU20" s="20">
        <v>0</v>
      </c>
      <c r="AV20" s="20">
        <v>0</v>
      </c>
      <c r="AW20" s="20">
        <v>0</v>
      </c>
      <c r="AX20" s="20">
        <v>0</v>
      </c>
      <c r="AY20" s="20">
        <v>0</v>
      </c>
      <c r="AZ20" s="21">
        <f t="shared" si="0"/>
        <v>5</v>
      </c>
    </row>
    <row r="21" spans="1:55" ht="15.75" customHeight="1" x14ac:dyDescent="0.15">
      <c r="B21" s="18" t="s">
        <v>65</v>
      </c>
      <c r="C21" s="19">
        <v>1</v>
      </c>
      <c r="D21" s="20">
        <v>0</v>
      </c>
      <c r="E21" s="20">
        <v>0</v>
      </c>
      <c r="F21" s="20">
        <v>0</v>
      </c>
      <c r="G21" s="20">
        <v>0</v>
      </c>
      <c r="H21" s="20">
        <v>0</v>
      </c>
      <c r="I21" s="20">
        <v>0</v>
      </c>
      <c r="J21" s="20">
        <v>0</v>
      </c>
      <c r="K21" s="20">
        <v>0</v>
      </c>
      <c r="L21" s="20">
        <v>0</v>
      </c>
      <c r="M21" s="20">
        <v>0</v>
      </c>
      <c r="N21" s="20">
        <v>0</v>
      </c>
      <c r="O21" s="20">
        <v>0</v>
      </c>
      <c r="P21" s="20">
        <v>0</v>
      </c>
      <c r="Q21" s="20">
        <v>0</v>
      </c>
      <c r="R21" s="20">
        <v>0</v>
      </c>
      <c r="S21" s="20">
        <v>0</v>
      </c>
      <c r="T21" s="20">
        <v>0</v>
      </c>
      <c r="U21" s="20">
        <v>1</v>
      </c>
      <c r="V21" s="20">
        <v>0</v>
      </c>
      <c r="W21" s="20">
        <v>0</v>
      </c>
      <c r="X21" s="20">
        <v>0</v>
      </c>
      <c r="Y21" s="20">
        <v>0</v>
      </c>
      <c r="Z21" s="20">
        <v>0</v>
      </c>
      <c r="AA21" s="20">
        <v>0</v>
      </c>
      <c r="AB21" s="20">
        <v>0</v>
      </c>
      <c r="AC21" s="20">
        <v>0</v>
      </c>
      <c r="AD21" s="20">
        <v>0</v>
      </c>
      <c r="AE21" s="20">
        <v>0</v>
      </c>
      <c r="AF21" s="20">
        <v>0</v>
      </c>
      <c r="AG21" s="20">
        <v>0</v>
      </c>
      <c r="AH21" s="20">
        <v>0</v>
      </c>
      <c r="AI21" s="20">
        <v>0</v>
      </c>
      <c r="AJ21" s="20">
        <v>0</v>
      </c>
      <c r="AK21" s="20">
        <v>0</v>
      </c>
      <c r="AL21" s="20">
        <v>0</v>
      </c>
      <c r="AM21" s="20">
        <v>0</v>
      </c>
      <c r="AN21" s="20">
        <v>0</v>
      </c>
      <c r="AO21" s="20">
        <v>0</v>
      </c>
      <c r="AP21" s="20">
        <v>0</v>
      </c>
      <c r="AQ21" s="20">
        <v>0</v>
      </c>
      <c r="AR21" s="20">
        <v>0</v>
      </c>
      <c r="AS21" s="20">
        <v>0</v>
      </c>
      <c r="AT21" s="20">
        <v>0</v>
      </c>
      <c r="AU21" s="20">
        <v>0</v>
      </c>
      <c r="AV21" s="20">
        <v>0</v>
      </c>
      <c r="AW21" s="20">
        <v>0</v>
      </c>
      <c r="AX21" s="20">
        <v>0</v>
      </c>
      <c r="AY21" s="20">
        <v>0</v>
      </c>
      <c r="AZ21" s="21">
        <f t="shared" si="0"/>
        <v>1</v>
      </c>
    </row>
    <row r="22" spans="1:55" ht="15.75" customHeight="1" x14ac:dyDescent="0.15">
      <c r="B22" s="18" t="s">
        <v>80</v>
      </c>
      <c r="C22" s="19">
        <v>4</v>
      </c>
      <c r="D22" s="20">
        <v>0</v>
      </c>
      <c r="E22" s="20">
        <v>0</v>
      </c>
      <c r="F22" s="20">
        <v>0</v>
      </c>
      <c r="G22" s="20">
        <v>0</v>
      </c>
      <c r="H22" s="20">
        <v>0</v>
      </c>
      <c r="I22" s="20">
        <v>0</v>
      </c>
      <c r="J22" s="20">
        <v>0</v>
      </c>
      <c r="K22" s="20">
        <v>0</v>
      </c>
      <c r="L22" s="20">
        <v>0</v>
      </c>
      <c r="M22" s="20">
        <v>0</v>
      </c>
      <c r="N22" s="20">
        <v>0</v>
      </c>
      <c r="O22" s="20">
        <v>0</v>
      </c>
      <c r="P22" s="20">
        <v>0</v>
      </c>
      <c r="Q22" s="20">
        <v>0</v>
      </c>
      <c r="R22" s="20">
        <v>0</v>
      </c>
      <c r="S22" s="20">
        <v>0</v>
      </c>
      <c r="T22" s="20">
        <v>0</v>
      </c>
      <c r="U22" s="20">
        <v>0</v>
      </c>
      <c r="V22" s="20">
        <v>0</v>
      </c>
      <c r="W22" s="20">
        <v>0</v>
      </c>
      <c r="X22" s="20">
        <v>0</v>
      </c>
      <c r="Y22" s="20">
        <v>0</v>
      </c>
      <c r="Z22" s="20">
        <v>0</v>
      </c>
      <c r="AA22" s="20">
        <v>0</v>
      </c>
      <c r="AB22" s="20">
        <v>0</v>
      </c>
      <c r="AC22" s="20">
        <v>0</v>
      </c>
      <c r="AD22" s="20">
        <v>1</v>
      </c>
      <c r="AE22" s="20">
        <v>0</v>
      </c>
      <c r="AF22" s="20">
        <v>0</v>
      </c>
      <c r="AG22" s="20">
        <v>0</v>
      </c>
      <c r="AH22" s="20">
        <v>0</v>
      </c>
      <c r="AI22" s="20">
        <v>0</v>
      </c>
      <c r="AJ22" s="20">
        <v>0</v>
      </c>
      <c r="AK22" s="20">
        <v>0</v>
      </c>
      <c r="AL22" s="20">
        <v>0</v>
      </c>
      <c r="AM22" s="20">
        <v>1</v>
      </c>
      <c r="AN22" s="20">
        <v>0</v>
      </c>
      <c r="AO22" s="20">
        <v>0</v>
      </c>
      <c r="AP22" s="20">
        <v>0</v>
      </c>
      <c r="AQ22" s="20">
        <v>0</v>
      </c>
      <c r="AR22" s="20">
        <v>0</v>
      </c>
      <c r="AS22" s="20">
        <v>0</v>
      </c>
      <c r="AT22" s="20">
        <v>1</v>
      </c>
      <c r="AU22" s="20">
        <v>0</v>
      </c>
      <c r="AV22" s="20">
        <v>0</v>
      </c>
      <c r="AW22" s="20">
        <v>0</v>
      </c>
      <c r="AX22" s="20">
        <v>0</v>
      </c>
      <c r="AY22" s="20">
        <v>0</v>
      </c>
      <c r="AZ22" s="21">
        <f t="shared" si="0"/>
        <v>3</v>
      </c>
    </row>
    <row r="23" spans="1:55" ht="15.75" customHeight="1" x14ac:dyDescent="0.15">
      <c r="A23" s="9"/>
      <c r="B23" s="18" t="s">
        <v>81</v>
      </c>
      <c r="C23" s="19">
        <v>2</v>
      </c>
      <c r="D23" s="20">
        <v>0</v>
      </c>
      <c r="E23" s="20">
        <v>0</v>
      </c>
      <c r="F23" s="20">
        <v>0</v>
      </c>
      <c r="G23" s="20">
        <v>0</v>
      </c>
      <c r="H23" s="20">
        <v>0</v>
      </c>
      <c r="I23" s="20">
        <v>0</v>
      </c>
      <c r="J23" s="20">
        <v>0</v>
      </c>
      <c r="K23" s="20">
        <v>0</v>
      </c>
      <c r="L23" s="20">
        <v>0</v>
      </c>
      <c r="M23" s="20">
        <v>0</v>
      </c>
      <c r="N23" s="20">
        <v>0</v>
      </c>
      <c r="O23" s="20">
        <v>0</v>
      </c>
      <c r="P23" s="20">
        <v>0</v>
      </c>
      <c r="Q23" s="20">
        <v>1</v>
      </c>
      <c r="R23" s="20">
        <v>1</v>
      </c>
      <c r="S23" s="20">
        <v>0</v>
      </c>
      <c r="T23" s="20">
        <v>0</v>
      </c>
      <c r="U23" s="20">
        <v>0</v>
      </c>
      <c r="V23" s="20">
        <v>0</v>
      </c>
      <c r="W23" s="20">
        <v>0</v>
      </c>
      <c r="X23" s="20">
        <v>0</v>
      </c>
      <c r="Y23" s="20">
        <v>0</v>
      </c>
      <c r="Z23" s="20">
        <v>0</v>
      </c>
      <c r="AA23" s="20">
        <v>0</v>
      </c>
      <c r="AB23" s="20">
        <v>0</v>
      </c>
      <c r="AC23" s="20">
        <v>0</v>
      </c>
      <c r="AD23" s="20">
        <v>0</v>
      </c>
      <c r="AE23" s="20">
        <v>0</v>
      </c>
      <c r="AF23" s="20">
        <v>0</v>
      </c>
      <c r="AG23" s="20">
        <v>0</v>
      </c>
      <c r="AH23" s="20">
        <v>0</v>
      </c>
      <c r="AI23" s="20">
        <v>0</v>
      </c>
      <c r="AJ23" s="20">
        <v>0</v>
      </c>
      <c r="AK23" s="20">
        <v>0</v>
      </c>
      <c r="AL23" s="20">
        <v>0</v>
      </c>
      <c r="AM23" s="20">
        <v>0</v>
      </c>
      <c r="AN23" s="20">
        <v>0</v>
      </c>
      <c r="AO23" s="20">
        <v>0</v>
      </c>
      <c r="AP23" s="20">
        <v>0</v>
      </c>
      <c r="AQ23" s="20">
        <v>0</v>
      </c>
      <c r="AR23" s="20">
        <v>0</v>
      </c>
      <c r="AS23" s="20">
        <v>1</v>
      </c>
      <c r="AT23" s="20">
        <v>0</v>
      </c>
      <c r="AU23" s="20">
        <v>0</v>
      </c>
      <c r="AV23" s="20">
        <v>0</v>
      </c>
      <c r="AW23" s="20">
        <v>0</v>
      </c>
      <c r="AX23" s="20">
        <v>0</v>
      </c>
      <c r="AY23" s="20">
        <v>0</v>
      </c>
      <c r="AZ23" s="21">
        <f t="shared" si="0"/>
        <v>3</v>
      </c>
    </row>
    <row r="24" spans="1:55" ht="15.75" customHeight="1" x14ac:dyDescent="0.15">
      <c r="B24" s="18" t="s">
        <v>82</v>
      </c>
      <c r="C24" s="19">
        <v>1</v>
      </c>
      <c r="D24" s="20">
        <v>1</v>
      </c>
      <c r="E24" s="20">
        <v>1</v>
      </c>
      <c r="F24" s="20">
        <v>0</v>
      </c>
      <c r="G24" s="20">
        <v>0</v>
      </c>
      <c r="H24" s="20">
        <v>0</v>
      </c>
      <c r="I24" s="20">
        <v>0</v>
      </c>
      <c r="J24" s="20">
        <v>0</v>
      </c>
      <c r="K24" s="20">
        <v>0</v>
      </c>
      <c r="L24" s="20">
        <v>0</v>
      </c>
      <c r="M24" s="20">
        <v>0</v>
      </c>
      <c r="N24" s="20">
        <v>0</v>
      </c>
      <c r="O24" s="20">
        <v>0</v>
      </c>
      <c r="P24" s="20">
        <v>0</v>
      </c>
      <c r="Q24" s="20">
        <v>0</v>
      </c>
      <c r="R24" s="20">
        <v>0</v>
      </c>
      <c r="S24" s="20">
        <v>0</v>
      </c>
      <c r="T24" s="20">
        <v>0</v>
      </c>
      <c r="U24" s="20">
        <v>0</v>
      </c>
      <c r="V24" s="20">
        <v>0</v>
      </c>
      <c r="W24" s="20">
        <v>1</v>
      </c>
      <c r="X24" s="20">
        <v>0</v>
      </c>
      <c r="Y24" s="20">
        <v>0</v>
      </c>
      <c r="Z24" s="20">
        <v>0</v>
      </c>
      <c r="AA24" s="20">
        <v>0</v>
      </c>
      <c r="AB24" s="20">
        <v>0</v>
      </c>
      <c r="AC24" s="20">
        <v>0</v>
      </c>
      <c r="AD24" s="20">
        <v>0</v>
      </c>
      <c r="AE24" s="20">
        <v>0</v>
      </c>
      <c r="AF24" s="20">
        <v>0</v>
      </c>
      <c r="AG24" s="20">
        <v>0</v>
      </c>
      <c r="AH24" s="20">
        <v>0</v>
      </c>
      <c r="AI24" s="20">
        <v>0</v>
      </c>
      <c r="AJ24" s="20">
        <v>0</v>
      </c>
      <c r="AK24" s="20">
        <v>0</v>
      </c>
      <c r="AL24" s="20">
        <v>0</v>
      </c>
      <c r="AM24" s="20">
        <v>0</v>
      </c>
      <c r="AN24" s="20">
        <v>0</v>
      </c>
      <c r="AO24" s="20">
        <v>0</v>
      </c>
      <c r="AP24" s="20">
        <v>0</v>
      </c>
      <c r="AQ24" s="20">
        <v>0</v>
      </c>
      <c r="AR24" s="20">
        <v>0</v>
      </c>
      <c r="AS24" s="20">
        <v>0</v>
      </c>
      <c r="AT24" s="20">
        <v>0</v>
      </c>
      <c r="AU24" s="20">
        <v>1</v>
      </c>
      <c r="AV24" s="20">
        <v>1</v>
      </c>
      <c r="AW24" s="20">
        <v>1</v>
      </c>
      <c r="AX24" s="20">
        <v>0</v>
      </c>
      <c r="AY24" s="20">
        <v>0</v>
      </c>
      <c r="AZ24" s="21">
        <f t="shared" si="0"/>
        <v>6</v>
      </c>
    </row>
    <row r="25" spans="1:55" ht="15.75" customHeight="1" x14ac:dyDescent="0.15">
      <c r="B25" s="18"/>
      <c r="F25" s="20"/>
    </row>
    <row r="26" spans="1:55" ht="15.75" customHeight="1" x14ac:dyDescent="0.15">
      <c r="A26" s="9"/>
    </row>
    <row r="27" spans="1:55" ht="15.75" customHeight="1" x14ac:dyDescent="0.15"/>
    <row r="28" spans="1:55" ht="15.75" customHeight="1" x14ac:dyDescent="0.15">
      <c r="B28" s="22" t="s">
        <v>67</v>
      </c>
      <c r="C28" s="9">
        <f>SUM(C4:C24)</f>
        <v>70</v>
      </c>
      <c r="D28" s="9">
        <f>C28-SUM(D4:D24)</f>
        <v>62</v>
      </c>
      <c r="E28" s="9">
        <f>D28-SUM(E4:E24)</f>
        <v>54</v>
      </c>
      <c r="F28" s="9">
        <f>E28-SUM(F4:F24)</f>
        <v>54</v>
      </c>
      <c r="G28" s="9">
        <f>F28-SUM(G4:G24)</f>
        <v>54</v>
      </c>
      <c r="H28" s="9">
        <f>G28-SUM(H4:H24)</f>
        <v>54</v>
      </c>
      <c r="I28" s="9">
        <f>H28-SUM(I4:I24)</f>
        <v>54</v>
      </c>
      <c r="J28" s="9">
        <f>I28-SUM(J4:J24)</f>
        <v>54</v>
      </c>
      <c r="K28" s="9">
        <f>J28-SUM(K4:K24)</f>
        <v>54</v>
      </c>
      <c r="L28" s="9">
        <f>K28-SUM(L4:L24)</f>
        <v>54</v>
      </c>
      <c r="M28" s="9">
        <f>L28-SUM(M4:M24)</f>
        <v>54</v>
      </c>
      <c r="N28" s="9">
        <f>M28-SUM(N4:N24)</f>
        <v>54</v>
      </c>
      <c r="O28" s="9">
        <f>N28-SUM(O4:O24)</f>
        <v>54</v>
      </c>
      <c r="P28" s="9">
        <f>O28-SUM(P4:P24)</f>
        <v>54</v>
      </c>
      <c r="Q28" s="9">
        <f>P28-SUM(Q4:Q24)</f>
        <v>53</v>
      </c>
      <c r="R28" s="9">
        <f>Q28-SUM(R4:R24)</f>
        <v>52</v>
      </c>
      <c r="S28" s="9">
        <f>R28-SUM(S4:S24)</f>
        <v>52</v>
      </c>
      <c r="T28" s="9">
        <f>S28-SUM(T4:T24)</f>
        <v>52</v>
      </c>
      <c r="U28" s="9">
        <f>T28-SUM(U4:U24)</f>
        <v>51</v>
      </c>
      <c r="V28" s="9">
        <f>U28-SUM(V4:V24)</f>
        <v>51</v>
      </c>
      <c r="W28" s="9">
        <f>V28-SUM(W4:W24)</f>
        <v>50</v>
      </c>
      <c r="X28" s="9">
        <f>W28-SUM(X4:X24)</f>
        <v>50</v>
      </c>
      <c r="Y28" s="9">
        <f>X28-SUM(Y4:Y24)</f>
        <v>50</v>
      </c>
      <c r="Z28" s="9">
        <f>Y28-SUM(Z4:Z24)</f>
        <v>50</v>
      </c>
      <c r="AA28" s="9">
        <f>Z28-SUM(AA4:AA24)</f>
        <v>49</v>
      </c>
      <c r="AB28" s="9">
        <f>AA28-SUM(AB4:AB24)</f>
        <v>47</v>
      </c>
      <c r="AC28" s="9">
        <f>AB28-SUM(AC4:AC24)</f>
        <v>44</v>
      </c>
      <c r="AD28" s="9">
        <f>AC28-SUM(AD4:AD24)</f>
        <v>41</v>
      </c>
      <c r="AE28" s="9">
        <f>AD28-SUM(AE4:AE24)</f>
        <v>38</v>
      </c>
      <c r="AF28" s="9">
        <f>AE28-SUM(AF4:AF24)</f>
        <v>36</v>
      </c>
      <c r="AG28" s="9">
        <f>AF28-SUM(AG4:AG24)</f>
        <v>34</v>
      </c>
      <c r="AH28" s="9">
        <f>AG28-SUM(AH4:AH24)</f>
        <v>32</v>
      </c>
      <c r="AI28" s="9">
        <f>AH28-SUM(AI4:AI24)</f>
        <v>31</v>
      </c>
      <c r="AJ28" s="9">
        <f>AI28-SUM(AJ4:AJ24)</f>
        <v>29</v>
      </c>
      <c r="AK28" s="9">
        <f>AJ28-SUM(AK4:AK24)</f>
        <v>28</v>
      </c>
      <c r="AL28" s="9">
        <f>AK28-SUM(AL4:AL24)</f>
        <v>27</v>
      </c>
      <c r="AM28" s="9">
        <f>AL28-SUM(AM4:AM24)</f>
        <v>25</v>
      </c>
      <c r="AN28" s="9">
        <f>AM28-SUM(AN4:AN24)</f>
        <v>24</v>
      </c>
      <c r="AO28" s="9">
        <f>AN28-SUM(AO4:AO24)</f>
        <v>23</v>
      </c>
      <c r="AP28" s="9">
        <f>AO28-SUM(AP4:AP24)</f>
        <v>22</v>
      </c>
      <c r="AQ28" s="9">
        <f>AP28-SUM(AQ4:AQ24)</f>
        <v>20</v>
      </c>
      <c r="AR28" s="9">
        <f>AQ28-SUM(AR4:AR24)</f>
        <v>19</v>
      </c>
      <c r="AS28" s="9">
        <f>AR28-SUM(AS4:AS24)</f>
        <v>17</v>
      </c>
      <c r="AT28" s="9">
        <f>AS28-SUM(AT4:AT24)</f>
        <v>16</v>
      </c>
      <c r="AU28" s="9">
        <f>AT28-SUM(AU4:AU24)</f>
        <v>15</v>
      </c>
      <c r="AV28" s="9">
        <f>AU28-SUM(AV4:AV24)</f>
        <v>11</v>
      </c>
      <c r="AW28" s="9">
        <f>AV28-SUM(AW4:AW24)</f>
        <v>9</v>
      </c>
      <c r="AX28" s="9">
        <f>AW28-SUM(AX4:AX24)</f>
        <v>8</v>
      </c>
      <c r="AY28" s="9">
        <f>AX28-SUM(AY4:AY24)</f>
        <v>8</v>
      </c>
      <c r="AZ28" s="9"/>
    </row>
    <row r="29" spans="1:55" ht="15.75" customHeight="1" x14ac:dyDescent="0.15">
      <c r="B29" s="22" t="s">
        <v>68</v>
      </c>
      <c r="C29" s="9">
        <f>SUM(C4:C24)</f>
        <v>70</v>
      </c>
      <c r="D29" s="9">
        <f>C29-(SUM(D28)/48)</f>
        <v>68.708333333333329</v>
      </c>
      <c r="E29" s="9">
        <f t="shared" ref="E29:AY29" si="1">D29-(SUM(E28)/48)</f>
        <v>67.583333333333329</v>
      </c>
      <c r="F29" s="9">
        <f t="shared" si="1"/>
        <v>66.458333333333329</v>
      </c>
      <c r="G29" s="9">
        <f t="shared" si="1"/>
        <v>65.333333333333329</v>
      </c>
      <c r="H29" s="9">
        <f t="shared" si="1"/>
        <v>64.208333333333329</v>
      </c>
      <c r="I29" s="9">
        <f t="shared" si="1"/>
        <v>63.083333333333329</v>
      </c>
      <c r="J29" s="9">
        <f t="shared" si="1"/>
        <v>61.958333333333329</v>
      </c>
      <c r="K29" s="9">
        <f>J29-(SUM(K28)/48)</f>
        <v>60.833333333333329</v>
      </c>
      <c r="L29" s="9">
        <f t="shared" si="1"/>
        <v>59.708333333333329</v>
      </c>
      <c r="M29" s="9">
        <f t="shared" si="1"/>
        <v>58.583333333333329</v>
      </c>
      <c r="N29" s="9">
        <f t="shared" si="1"/>
        <v>57.458333333333329</v>
      </c>
      <c r="O29" s="9">
        <f t="shared" si="1"/>
        <v>56.333333333333329</v>
      </c>
      <c r="P29" s="9">
        <f t="shared" si="1"/>
        <v>55.208333333333329</v>
      </c>
      <c r="Q29" s="9">
        <f t="shared" si="1"/>
        <v>54.104166666666664</v>
      </c>
      <c r="R29" s="9">
        <f t="shared" si="1"/>
        <v>53.020833333333329</v>
      </c>
      <c r="S29" s="9">
        <f t="shared" si="1"/>
        <v>51.937499999999993</v>
      </c>
      <c r="T29" s="9">
        <f t="shared" si="1"/>
        <v>50.854166666666657</v>
      </c>
      <c r="U29" s="9">
        <f t="shared" si="1"/>
        <v>49.791666666666657</v>
      </c>
      <c r="V29" s="9">
        <f t="shared" si="1"/>
        <v>48.729166666666657</v>
      </c>
      <c r="W29" s="9">
        <f t="shared" si="1"/>
        <v>47.687499999999993</v>
      </c>
      <c r="X29" s="9">
        <f t="shared" si="1"/>
        <v>46.645833333333329</v>
      </c>
      <c r="Y29" s="9">
        <f t="shared" si="1"/>
        <v>45.604166666666664</v>
      </c>
      <c r="Z29" s="9">
        <f t="shared" si="1"/>
        <v>44.5625</v>
      </c>
      <c r="AA29" s="9">
        <f t="shared" si="1"/>
        <v>43.541666666666664</v>
      </c>
      <c r="AB29" s="9">
        <f t="shared" si="1"/>
        <v>42.5625</v>
      </c>
      <c r="AC29" s="9">
        <f t="shared" si="1"/>
        <v>41.645833333333336</v>
      </c>
      <c r="AD29" s="9">
        <f t="shared" si="1"/>
        <v>40.791666666666671</v>
      </c>
      <c r="AE29" s="9">
        <f t="shared" si="1"/>
        <v>40.000000000000007</v>
      </c>
      <c r="AF29" s="9">
        <f t="shared" si="1"/>
        <v>39.250000000000007</v>
      </c>
      <c r="AG29" s="9">
        <f t="shared" si="1"/>
        <v>38.541666666666671</v>
      </c>
      <c r="AH29" s="9">
        <f t="shared" si="1"/>
        <v>37.875000000000007</v>
      </c>
      <c r="AI29" s="9">
        <f t="shared" si="1"/>
        <v>37.229166666666671</v>
      </c>
      <c r="AJ29" s="9">
        <f t="shared" si="1"/>
        <v>36.625000000000007</v>
      </c>
      <c r="AK29" s="9">
        <f t="shared" si="1"/>
        <v>36.041666666666671</v>
      </c>
      <c r="AL29" s="9">
        <f t="shared" si="1"/>
        <v>35.479166666666671</v>
      </c>
      <c r="AM29" s="9">
        <f t="shared" si="1"/>
        <v>34.958333333333336</v>
      </c>
      <c r="AN29" s="9">
        <f t="shared" si="1"/>
        <v>34.458333333333336</v>
      </c>
      <c r="AO29" s="9">
        <f t="shared" si="1"/>
        <v>33.979166666666671</v>
      </c>
      <c r="AP29" s="9">
        <f t="shared" si="1"/>
        <v>33.520833333333336</v>
      </c>
      <c r="AQ29" s="9">
        <f t="shared" si="1"/>
        <v>33.104166666666671</v>
      </c>
      <c r="AR29" s="9">
        <f t="shared" si="1"/>
        <v>32.708333333333336</v>
      </c>
      <c r="AS29" s="9">
        <f t="shared" si="1"/>
        <v>32.354166666666671</v>
      </c>
      <c r="AT29" s="9">
        <f t="shared" si="1"/>
        <v>32.020833333333336</v>
      </c>
      <c r="AU29" s="9">
        <f t="shared" si="1"/>
        <v>31.708333333333336</v>
      </c>
      <c r="AV29" s="9">
        <f t="shared" si="1"/>
        <v>31.479166666666668</v>
      </c>
      <c r="AW29" s="9">
        <f t="shared" si="1"/>
        <v>31.291666666666668</v>
      </c>
      <c r="AX29" s="9">
        <f t="shared" si="1"/>
        <v>31.125</v>
      </c>
      <c r="AY29" s="9">
        <f t="shared" si="1"/>
        <v>30.958333333333332</v>
      </c>
      <c r="AZ29" s="9"/>
    </row>
    <row r="30" spans="1:55" ht="15.75" customHeight="1" x14ac:dyDescent="0.15">
      <c r="C30" s="23"/>
    </row>
    <row r="31" spans="1:55" ht="15.75" customHeight="1" x14ac:dyDescent="0.15"/>
    <row r="32" spans="1:55" ht="15.75" customHeight="1" x14ac:dyDescent="0.15">
      <c r="B32" s="49" t="s">
        <v>122</v>
      </c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  <c r="AB32" s="49"/>
      <c r="AC32" s="49"/>
      <c r="AD32" s="49"/>
      <c r="AE32" s="49"/>
      <c r="AF32" s="49"/>
      <c r="AG32" s="49"/>
      <c r="AH32" s="49"/>
      <c r="AI32" s="49"/>
      <c r="AJ32" s="49"/>
      <c r="AK32" s="49"/>
      <c r="AL32" s="49"/>
      <c r="AM32" s="49"/>
      <c r="AN32" s="49"/>
      <c r="AO32" s="49"/>
      <c r="AP32" s="49"/>
      <c r="AQ32" s="49"/>
      <c r="AR32" s="49"/>
      <c r="AS32" s="49"/>
      <c r="AT32" s="49"/>
      <c r="AU32" s="49"/>
      <c r="AV32" s="49"/>
      <c r="AW32" s="49"/>
      <c r="AX32" s="49"/>
      <c r="AY32" s="49"/>
      <c r="AZ32" s="49"/>
      <c r="BA32" s="49"/>
      <c r="BB32" s="49"/>
      <c r="BC32" s="49"/>
    </row>
    <row r="33" spans="2:55" ht="15.75" customHeight="1" x14ac:dyDescent="0.15"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  <c r="AA33" s="49"/>
      <c r="AB33" s="49"/>
      <c r="AC33" s="49"/>
      <c r="AD33" s="49"/>
      <c r="AE33" s="49"/>
      <c r="AF33" s="49"/>
      <c r="AG33" s="49"/>
      <c r="AH33" s="49"/>
      <c r="AI33" s="49"/>
      <c r="AJ33" s="49"/>
      <c r="AK33" s="49"/>
      <c r="AL33" s="49"/>
      <c r="AM33" s="49"/>
      <c r="AN33" s="49"/>
      <c r="AO33" s="49"/>
      <c r="AP33" s="49"/>
      <c r="AQ33" s="49"/>
      <c r="AR33" s="49"/>
      <c r="AS33" s="49"/>
      <c r="AT33" s="49"/>
      <c r="AU33" s="49"/>
      <c r="AV33" s="49"/>
      <c r="AW33" s="49"/>
      <c r="AX33" s="49"/>
      <c r="AY33" s="49"/>
      <c r="AZ33" s="49"/>
      <c r="BA33" s="49"/>
      <c r="BB33" s="49"/>
      <c r="BC33" s="49"/>
    </row>
    <row r="34" spans="2:55" ht="15.75" customHeight="1" x14ac:dyDescent="0.15"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  <c r="AA34" s="49"/>
      <c r="AB34" s="49"/>
      <c r="AC34" s="49"/>
      <c r="AD34" s="49"/>
      <c r="AE34" s="49"/>
      <c r="AF34" s="49"/>
      <c r="AG34" s="49"/>
      <c r="AH34" s="49"/>
      <c r="AI34" s="49"/>
      <c r="AJ34" s="49"/>
      <c r="AK34" s="49"/>
      <c r="AL34" s="49"/>
      <c r="AM34" s="49"/>
      <c r="AN34" s="49"/>
      <c r="AO34" s="49"/>
      <c r="AP34" s="49"/>
      <c r="AQ34" s="49"/>
      <c r="AR34" s="49"/>
      <c r="AS34" s="49"/>
      <c r="AT34" s="49"/>
      <c r="AU34" s="49"/>
      <c r="AV34" s="49"/>
      <c r="AW34" s="49"/>
      <c r="AX34" s="49"/>
      <c r="AY34" s="49"/>
      <c r="AZ34" s="49"/>
      <c r="BA34" s="49"/>
      <c r="BB34" s="49"/>
      <c r="BC34" s="49"/>
    </row>
    <row r="35" spans="2:55" ht="15.75" customHeight="1" x14ac:dyDescent="0.15">
      <c r="B35" s="49"/>
      <c r="C35" s="49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  <c r="AA35" s="49"/>
      <c r="AB35" s="49"/>
      <c r="AC35" s="49"/>
      <c r="AD35" s="49"/>
      <c r="AE35" s="49"/>
      <c r="AF35" s="49"/>
      <c r="AG35" s="49"/>
      <c r="AH35" s="49"/>
      <c r="AI35" s="49"/>
      <c r="AJ35" s="49"/>
      <c r="AK35" s="49"/>
      <c r="AL35" s="49"/>
      <c r="AM35" s="49"/>
      <c r="AN35" s="49"/>
      <c r="AO35" s="49"/>
      <c r="AP35" s="49"/>
      <c r="AQ35" s="49"/>
      <c r="AR35" s="49"/>
      <c r="AS35" s="49"/>
      <c r="AT35" s="49"/>
      <c r="AU35" s="49"/>
      <c r="AV35" s="49"/>
      <c r="AW35" s="49"/>
      <c r="AX35" s="49"/>
      <c r="AY35" s="49"/>
      <c r="AZ35" s="49"/>
      <c r="BA35" s="49"/>
      <c r="BB35" s="49"/>
      <c r="BC35" s="49"/>
    </row>
    <row r="36" spans="2:55" ht="15.75" customHeight="1" x14ac:dyDescent="0.15">
      <c r="B36" s="49"/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49"/>
      <c r="AB36" s="49"/>
      <c r="AC36" s="49"/>
      <c r="AD36" s="49"/>
      <c r="AE36" s="49"/>
      <c r="AF36" s="49"/>
      <c r="AG36" s="49"/>
      <c r="AH36" s="49"/>
      <c r="AI36" s="49"/>
      <c r="AJ36" s="49"/>
      <c r="AK36" s="49"/>
      <c r="AL36" s="49"/>
      <c r="AM36" s="49"/>
      <c r="AN36" s="49"/>
      <c r="AO36" s="49"/>
      <c r="AP36" s="49"/>
      <c r="AQ36" s="49"/>
      <c r="AR36" s="49"/>
      <c r="AS36" s="49"/>
      <c r="AT36" s="49"/>
      <c r="AU36" s="49"/>
      <c r="AV36" s="49"/>
      <c r="AW36" s="49"/>
      <c r="AX36" s="49"/>
      <c r="AY36" s="49"/>
      <c r="AZ36" s="49"/>
      <c r="BA36" s="49"/>
      <c r="BB36" s="49"/>
      <c r="BC36" s="49"/>
    </row>
    <row r="37" spans="2:55" ht="15.75" customHeight="1" x14ac:dyDescent="0.15">
      <c r="B37" s="49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49"/>
      <c r="AJ37" s="49"/>
      <c r="AK37" s="49"/>
      <c r="AL37" s="49"/>
      <c r="AM37" s="49"/>
      <c r="AN37" s="49"/>
      <c r="AO37" s="49"/>
      <c r="AP37" s="49"/>
      <c r="AQ37" s="49"/>
      <c r="AR37" s="49"/>
      <c r="AS37" s="49"/>
      <c r="AT37" s="49"/>
      <c r="AU37" s="49"/>
      <c r="AV37" s="49"/>
      <c r="AW37" s="49"/>
      <c r="AX37" s="49"/>
      <c r="AY37" s="49"/>
      <c r="AZ37" s="49"/>
      <c r="BA37" s="49"/>
      <c r="BB37" s="49"/>
      <c r="BC37" s="49"/>
    </row>
    <row r="38" spans="2:55" ht="15.75" customHeight="1" x14ac:dyDescent="0.15">
      <c r="B38" s="49"/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  <c r="AA38" s="49"/>
      <c r="AB38" s="49"/>
      <c r="AC38" s="49"/>
      <c r="AD38" s="49"/>
      <c r="AE38" s="49"/>
      <c r="AF38" s="49"/>
      <c r="AG38" s="49"/>
      <c r="AH38" s="49"/>
      <c r="AI38" s="49"/>
      <c r="AJ38" s="49"/>
      <c r="AK38" s="49"/>
      <c r="AL38" s="49"/>
      <c r="AM38" s="49"/>
      <c r="AN38" s="49"/>
      <c r="AO38" s="49"/>
      <c r="AP38" s="49"/>
      <c r="AQ38" s="49"/>
      <c r="AR38" s="49"/>
      <c r="AS38" s="49"/>
      <c r="AT38" s="49"/>
      <c r="AU38" s="49"/>
      <c r="AV38" s="49"/>
      <c r="AW38" s="49"/>
      <c r="AX38" s="49"/>
      <c r="AY38" s="49"/>
      <c r="AZ38" s="49"/>
      <c r="BA38" s="49"/>
      <c r="BB38" s="49"/>
      <c r="BC38" s="49"/>
    </row>
    <row r="39" spans="2:55" ht="15.75" customHeight="1" x14ac:dyDescent="0.15">
      <c r="B39" s="49"/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  <c r="AA39" s="49"/>
      <c r="AB39" s="49"/>
      <c r="AC39" s="49"/>
      <c r="AD39" s="49"/>
      <c r="AE39" s="49"/>
      <c r="AF39" s="49"/>
      <c r="AG39" s="49"/>
      <c r="AH39" s="49"/>
      <c r="AI39" s="49"/>
      <c r="AJ39" s="49"/>
      <c r="AK39" s="49"/>
      <c r="AL39" s="49"/>
      <c r="AM39" s="49"/>
      <c r="AN39" s="49"/>
      <c r="AO39" s="49"/>
      <c r="AP39" s="49"/>
      <c r="AQ39" s="49"/>
      <c r="AR39" s="49"/>
      <c r="AS39" s="49"/>
      <c r="AT39" s="49"/>
      <c r="AU39" s="49"/>
      <c r="AV39" s="49"/>
      <c r="AW39" s="49"/>
      <c r="AX39" s="49"/>
      <c r="AY39" s="49"/>
      <c r="AZ39" s="49"/>
      <c r="BA39" s="49"/>
      <c r="BB39" s="49"/>
      <c r="BC39" s="49"/>
    </row>
    <row r="40" spans="2:55" ht="15.75" customHeight="1" x14ac:dyDescent="0.15"/>
    <row r="41" spans="2:55" ht="15.75" customHeight="1" x14ac:dyDescent="0.15"/>
    <row r="42" spans="2:55" ht="15.75" customHeight="1" x14ac:dyDescent="0.15"/>
    <row r="43" spans="2:55" ht="15.75" customHeight="1" x14ac:dyDescent="0.15"/>
    <row r="44" spans="2:55" ht="15.75" customHeight="1" x14ac:dyDescent="0.15"/>
    <row r="45" spans="2:55" ht="15.75" customHeight="1" x14ac:dyDescent="0.15"/>
    <row r="46" spans="2:55" ht="15.75" customHeight="1" x14ac:dyDescent="0.15"/>
    <row r="47" spans="2:55" ht="15.75" customHeight="1" x14ac:dyDescent="0.15"/>
    <row r="48" spans="2:55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spans="2:7" ht="15.75" customHeight="1" x14ac:dyDescent="0.15"/>
    <row r="66" spans="2:7" ht="15.75" customHeight="1" x14ac:dyDescent="0.15">
      <c r="B66" s="35" t="s">
        <v>70</v>
      </c>
      <c r="C66" s="36"/>
      <c r="D66" s="36"/>
      <c r="E66" s="36"/>
      <c r="F66" s="36"/>
      <c r="G66" s="37"/>
    </row>
    <row r="67" spans="2:7" ht="15.75" customHeight="1" x14ac:dyDescent="0.15">
      <c r="B67" s="38" t="s">
        <v>72</v>
      </c>
      <c r="C67" s="39"/>
      <c r="D67" s="39"/>
      <c r="E67" s="39"/>
      <c r="F67" s="39"/>
      <c r="G67" s="40"/>
    </row>
    <row r="68" spans="2:7" ht="15.75" customHeight="1" x14ac:dyDescent="0.15">
      <c r="B68" s="41"/>
      <c r="C68" s="42"/>
      <c r="D68" s="42"/>
      <c r="E68" s="42"/>
      <c r="F68" s="42"/>
      <c r="G68" s="43"/>
    </row>
    <row r="69" spans="2:7" ht="15.75" customHeight="1" x14ac:dyDescent="0.15">
      <c r="B69" s="41"/>
      <c r="C69" s="42"/>
      <c r="D69" s="42"/>
      <c r="E69" s="42"/>
      <c r="F69" s="42"/>
      <c r="G69" s="43"/>
    </row>
    <row r="70" spans="2:7" ht="15.75" customHeight="1" x14ac:dyDescent="0.15">
      <c r="B70" s="41"/>
      <c r="C70" s="42"/>
      <c r="D70" s="42"/>
      <c r="E70" s="42"/>
      <c r="F70" s="42"/>
      <c r="G70" s="43"/>
    </row>
    <row r="71" spans="2:7" ht="15.75" customHeight="1" x14ac:dyDescent="0.15">
      <c r="B71" s="41"/>
      <c r="C71" s="42"/>
      <c r="D71" s="42"/>
      <c r="E71" s="42"/>
      <c r="F71" s="42"/>
      <c r="G71" s="43"/>
    </row>
    <row r="72" spans="2:7" ht="15.75" customHeight="1" x14ac:dyDescent="0.15">
      <c r="B72" s="41"/>
      <c r="C72" s="42"/>
      <c r="D72" s="42"/>
      <c r="E72" s="42"/>
      <c r="F72" s="42"/>
      <c r="G72" s="43"/>
    </row>
    <row r="73" spans="2:7" ht="15.75" customHeight="1" x14ac:dyDescent="0.15">
      <c r="B73" s="41"/>
      <c r="C73" s="42"/>
      <c r="D73" s="42"/>
      <c r="E73" s="42"/>
      <c r="F73" s="42"/>
      <c r="G73" s="43"/>
    </row>
    <row r="74" spans="2:7" ht="15.75" customHeight="1" x14ac:dyDescent="0.15">
      <c r="B74" s="41"/>
      <c r="C74" s="42"/>
      <c r="D74" s="42"/>
      <c r="E74" s="42"/>
      <c r="F74" s="42"/>
      <c r="G74" s="43"/>
    </row>
    <row r="75" spans="2:7" ht="15.75" customHeight="1" x14ac:dyDescent="0.15">
      <c r="B75" s="41"/>
      <c r="C75" s="42"/>
      <c r="D75" s="42"/>
      <c r="E75" s="42"/>
      <c r="F75" s="42"/>
      <c r="G75" s="43"/>
    </row>
    <row r="76" spans="2:7" ht="15.75" customHeight="1" x14ac:dyDescent="0.15">
      <c r="B76" s="41"/>
      <c r="C76" s="42"/>
      <c r="D76" s="42"/>
      <c r="E76" s="42"/>
      <c r="F76" s="42"/>
      <c r="G76" s="43"/>
    </row>
    <row r="77" spans="2:7" ht="15.75" customHeight="1" x14ac:dyDescent="0.15">
      <c r="B77" s="41"/>
      <c r="C77" s="42"/>
      <c r="D77" s="42"/>
      <c r="E77" s="42"/>
      <c r="F77" s="42"/>
      <c r="G77" s="43"/>
    </row>
    <row r="78" spans="2:7" ht="15.75" customHeight="1" x14ac:dyDescent="0.15">
      <c r="B78" s="41"/>
      <c r="C78" s="42"/>
      <c r="D78" s="42"/>
      <c r="E78" s="42"/>
      <c r="F78" s="42"/>
      <c r="G78" s="43"/>
    </row>
    <row r="79" spans="2:7" ht="15.75" customHeight="1" x14ac:dyDescent="0.15">
      <c r="B79" s="41"/>
      <c r="C79" s="42"/>
      <c r="D79" s="42"/>
      <c r="E79" s="42"/>
      <c r="F79" s="42"/>
      <c r="G79" s="43"/>
    </row>
    <row r="80" spans="2:7" ht="15.75" customHeight="1" x14ac:dyDescent="0.15">
      <c r="B80" s="41"/>
      <c r="C80" s="42"/>
      <c r="D80" s="42"/>
      <c r="E80" s="42"/>
      <c r="F80" s="42"/>
      <c r="G80" s="43"/>
    </row>
    <row r="81" spans="2:7" ht="15.75" customHeight="1" x14ac:dyDescent="0.15">
      <c r="B81" s="41"/>
      <c r="C81" s="42"/>
      <c r="D81" s="42"/>
      <c r="E81" s="42"/>
      <c r="F81" s="42"/>
      <c r="G81" s="43"/>
    </row>
    <row r="82" spans="2:7" ht="15.75" customHeight="1" x14ac:dyDescent="0.15">
      <c r="B82" s="41"/>
      <c r="C82" s="42"/>
      <c r="D82" s="42"/>
      <c r="E82" s="42"/>
      <c r="F82" s="42"/>
      <c r="G82" s="43"/>
    </row>
    <row r="83" spans="2:7" ht="15.75" customHeight="1" x14ac:dyDescent="0.15">
      <c r="B83" s="41"/>
      <c r="C83" s="42"/>
      <c r="D83" s="42"/>
      <c r="E83" s="42"/>
      <c r="F83" s="42"/>
      <c r="G83" s="43"/>
    </row>
    <row r="84" spans="2:7" ht="15.75" customHeight="1" x14ac:dyDescent="0.15">
      <c r="B84" s="44"/>
      <c r="C84" s="45"/>
      <c r="D84" s="45"/>
      <c r="E84" s="45"/>
      <c r="F84" s="45"/>
      <c r="G84" s="46"/>
    </row>
    <row r="85" spans="2:7" ht="15.75" customHeight="1" x14ac:dyDescent="0.15"/>
    <row r="86" spans="2:7" ht="15.75" customHeight="1" x14ac:dyDescent="0.15"/>
    <row r="87" spans="2:7" ht="15.75" customHeight="1" x14ac:dyDescent="0.15"/>
    <row r="88" spans="2:7" ht="15.75" customHeight="1" x14ac:dyDescent="0.15"/>
    <row r="89" spans="2:7" ht="15.75" customHeight="1" x14ac:dyDescent="0.15">
      <c r="B89" s="35" t="s">
        <v>69</v>
      </c>
      <c r="C89" s="36"/>
      <c r="D89" s="36"/>
      <c r="E89" s="36"/>
      <c r="F89" s="36"/>
      <c r="G89" s="37"/>
    </row>
    <row r="90" spans="2:7" ht="15.75" customHeight="1" x14ac:dyDescent="0.15">
      <c r="B90" s="47" t="s">
        <v>71</v>
      </c>
      <c r="C90" s="47"/>
      <c r="D90" s="47"/>
      <c r="E90" s="47"/>
      <c r="F90" s="47"/>
      <c r="G90" s="47"/>
    </row>
    <row r="91" spans="2:7" ht="15.75" customHeight="1" x14ac:dyDescent="0.15">
      <c r="B91" s="48"/>
      <c r="C91" s="48"/>
      <c r="D91" s="48"/>
      <c r="E91" s="48"/>
      <c r="F91" s="48"/>
      <c r="G91" s="48"/>
    </row>
    <row r="92" spans="2:7" ht="15.75" customHeight="1" x14ac:dyDescent="0.15">
      <c r="B92" s="48"/>
      <c r="C92" s="48"/>
      <c r="D92" s="48"/>
      <c r="E92" s="48"/>
      <c r="F92" s="48"/>
      <c r="G92" s="48"/>
    </row>
    <row r="93" spans="2:7" ht="15.75" customHeight="1" x14ac:dyDescent="0.15">
      <c r="B93" s="48"/>
      <c r="C93" s="48"/>
      <c r="D93" s="48"/>
      <c r="E93" s="48"/>
      <c r="F93" s="48"/>
      <c r="G93" s="48"/>
    </row>
    <row r="94" spans="2:7" ht="15.75" customHeight="1" x14ac:dyDescent="0.15">
      <c r="B94" s="48"/>
      <c r="C94" s="48"/>
      <c r="D94" s="48"/>
      <c r="E94" s="48"/>
      <c r="F94" s="48"/>
      <c r="G94" s="48"/>
    </row>
    <row r="95" spans="2:7" ht="15.75" customHeight="1" x14ac:dyDescent="0.15">
      <c r="B95" s="48"/>
      <c r="C95" s="48"/>
      <c r="D95" s="48"/>
      <c r="E95" s="48"/>
      <c r="F95" s="48"/>
      <c r="G95" s="48"/>
    </row>
    <row r="96" spans="2:7" ht="15.75" customHeight="1" x14ac:dyDescent="0.15">
      <c r="B96" s="48"/>
      <c r="C96" s="48"/>
      <c r="D96" s="48"/>
      <c r="E96" s="48"/>
      <c r="F96" s="48"/>
      <c r="G96" s="48"/>
    </row>
    <row r="97" spans="2:7" ht="15.75" customHeight="1" x14ac:dyDescent="0.15">
      <c r="B97" s="48"/>
      <c r="C97" s="48"/>
      <c r="D97" s="48"/>
      <c r="E97" s="48"/>
      <c r="F97" s="48"/>
      <c r="G97" s="48"/>
    </row>
    <row r="98" spans="2:7" ht="15.75" customHeight="1" x14ac:dyDescent="0.15">
      <c r="B98" s="48"/>
      <c r="C98" s="48"/>
      <c r="D98" s="48"/>
      <c r="E98" s="48"/>
      <c r="F98" s="48"/>
      <c r="G98" s="48"/>
    </row>
    <row r="99" spans="2:7" ht="15.75" customHeight="1" x14ac:dyDescent="0.15">
      <c r="B99" s="48"/>
      <c r="C99" s="48"/>
      <c r="D99" s="48"/>
      <c r="E99" s="48"/>
      <c r="F99" s="48"/>
      <c r="G99" s="48"/>
    </row>
    <row r="100" spans="2:7" ht="15.75" customHeight="1" x14ac:dyDescent="0.15">
      <c r="B100" s="48"/>
      <c r="C100" s="48"/>
      <c r="D100" s="48"/>
      <c r="E100" s="48"/>
      <c r="F100" s="48"/>
      <c r="G100" s="48"/>
    </row>
    <row r="101" spans="2:7" ht="15.75" customHeight="1" x14ac:dyDescent="0.15">
      <c r="B101" s="48"/>
      <c r="C101" s="48"/>
      <c r="D101" s="48"/>
      <c r="E101" s="48"/>
      <c r="F101" s="48"/>
      <c r="G101" s="48"/>
    </row>
    <row r="102" spans="2:7" ht="15.75" customHeight="1" x14ac:dyDescent="0.15">
      <c r="B102" s="48"/>
      <c r="C102" s="48"/>
      <c r="D102" s="48"/>
      <c r="E102" s="48"/>
      <c r="F102" s="48"/>
      <c r="G102" s="48"/>
    </row>
    <row r="103" spans="2:7" ht="15.75" customHeight="1" x14ac:dyDescent="0.15">
      <c r="B103" s="48"/>
      <c r="C103" s="48"/>
      <c r="D103" s="48"/>
      <c r="E103" s="48"/>
      <c r="F103" s="48"/>
      <c r="G103" s="48"/>
    </row>
    <row r="104" spans="2:7" ht="15.75" customHeight="1" x14ac:dyDescent="0.15">
      <c r="B104" s="48"/>
      <c r="C104" s="48"/>
      <c r="D104" s="48"/>
      <c r="E104" s="48"/>
      <c r="F104" s="48"/>
      <c r="G104" s="48"/>
    </row>
    <row r="105" spans="2:7" ht="15.75" customHeight="1" x14ac:dyDescent="0.15">
      <c r="B105" s="48"/>
      <c r="C105" s="48"/>
      <c r="D105" s="48"/>
      <c r="E105" s="48"/>
      <c r="F105" s="48"/>
      <c r="G105" s="48"/>
    </row>
    <row r="106" spans="2:7" ht="15.75" customHeight="1" x14ac:dyDescent="0.15">
      <c r="B106" s="48"/>
      <c r="C106" s="48"/>
      <c r="D106" s="48"/>
      <c r="E106" s="48"/>
      <c r="F106" s="48"/>
      <c r="G106" s="48"/>
    </row>
    <row r="107" spans="2:7" ht="15.75" customHeight="1" x14ac:dyDescent="0.15">
      <c r="B107" s="48"/>
      <c r="C107" s="48"/>
      <c r="D107" s="48"/>
      <c r="E107" s="48"/>
      <c r="F107" s="48"/>
      <c r="G107" s="48"/>
    </row>
    <row r="108" spans="2:7" ht="15.75" customHeight="1" x14ac:dyDescent="0.15">
      <c r="B108" s="48"/>
      <c r="C108" s="48"/>
      <c r="D108" s="48"/>
      <c r="E108" s="48"/>
      <c r="F108" s="48"/>
      <c r="G108" s="48"/>
    </row>
    <row r="109" spans="2:7" ht="15.75" customHeight="1" x14ac:dyDescent="0.15">
      <c r="B109" s="48"/>
      <c r="C109" s="48"/>
      <c r="D109" s="48"/>
      <c r="E109" s="48"/>
      <c r="F109" s="48"/>
      <c r="G109" s="48"/>
    </row>
    <row r="110" spans="2:7" ht="15.75" customHeight="1" x14ac:dyDescent="0.15">
      <c r="B110" s="48"/>
      <c r="C110" s="48"/>
      <c r="D110" s="48"/>
      <c r="E110" s="48"/>
      <c r="F110" s="48"/>
      <c r="G110" s="48"/>
    </row>
    <row r="111" spans="2:7" ht="15.75" customHeight="1" x14ac:dyDescent="0.15">
      <c r="B111" s="48"/>
      <c r="C111" s="48"/>
      <c r="D111" s="48"/>
      <c r="E111" s="48"/>
      <c r="F111" s="48"/>
      <c r="G111" s="48"/>
    </row>
    <row r="112" spans="2:7" ht="15.75" customHeight="1" x14ac:dyDescent="0.15">
      <c r="B112" s="48"/>
      <c r="C112" s="48"/>
      <c r="D112" s="48"/>
      <c r="E112" s="48"/>
      <c r="F112" s="48"/>
      <c r="G112" s="48"/>
    </row>
    <row r="113" spans="2:7" ht="15.75" customHeight="1" x14ac:dyDescent="0.15">
      <c r="B113" s="48"/>
      <c r="C113" s="48"/>
      <c r="D113" s="48"/>
      <c r="E113" s="48"/>
      <c r="F113" s="48"/>
      <c r="G113" s="48"/>
    </row>
    <row r="114" spans="2:7" ht="15.75" customHeight="1" x14ac:dyDescent="0.15">
      <c r="B114" s="48"/>
      <c r="C114" s="48"/>
      <c r="D114" s="48"/>
      <c r="E114" s="48"/>
      <c r="F114" s="48"/>
      <c r="G114" s="48"/>
    </row>
    <row r="115" spans="2:7" ht="15.75" customHeight="1" x14ac:dyDescent="0.15">
      <c r="B115" s="48"/>
      <c r="C115" s="48"/>
      <c r="D115" s="48"/>
      <c r="E115" s="48"/>
      <c r="F115" s="48"/>
      <c r="G115" s="48"/>
    </row>
    <row r="116" spans="2:7" ht="15.75" customHeight="1" x14ac:dyDescent="0.15">
      <c r="B116" s="48"/>
      <c r="C116" s="48"/>
      <c r="D116" s="48"/>
      <c r="E116" s="48"/>
      <c r="F116" s="48"/>
      <c r="G116" s="48"/>
    </row>
    <row r="117" spans="2:7" ht="15.75" customHeight="1" x14ac:dyDescent="0.15">
      <c r="B117" s="48"/>
      <c r="C117" s="48"/>
      <c r="D117" s="48"/>
      <c r="E117" s="48"/>
      <c r="F117" s="48"/>
      <c r="G117" s="48"/>
    </row>
    <row r="118" spans="2:7" ht="15.75" customHeight="1" x14ac:dyDescent="0.15">
      <c r="B118" s="48"/>
      <c r="C118" s="48"/>
      <c r="D118" s="48"/>
      <c r="E118" s="48"/>
      <c r="F118" s="48"/>
      <c r="G118" s="48"/>
    </row>
    <row r="119" spans="2:7" ht="15.75" customHeight="1" x14ac:dyDescent="0.15"/>
    <row r="120" spans="2:7" ht="15.75" customHeight="1" x14ac:dyDescent="0.15"/>
    <row r="121" spans="2:7" ht="15.75" customHeight="1" x14ac:dyDescent="0.15"/>
    <row r="122" spans="2:7" ht="15.75" customHeight="1" x14ac:dyDescent="0.15"/>
    <row r="123" spans="2:7" ht="15.75" customHeight="1" x14ac:dyDescent="0.15"/>
    <row r="124" spans="2:7" ht="15.75" customHeight="1" x14ac:dyDescent="0.15"/>
    <row r="125" spans="2:7" ht="15.75" customHeight="1" x14ac:dyDescent="0.15"/>
    <row r="126" spans="2:7" ht="15.75" customHeight="1" x14ac:dyDescent="0.15"/>
    <row r="127" spans="2:7" ht="15.75" customHeight="1" x14ac:dyDescent="0.15"/>
    <row r="128" spans="2:7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  <row r="1001" ht="15.75" customHeight="1" x14ac:dyDescent="0.15"/>
    <row r="1002" ht="15.75" customHeight="1" x14ac:dyDescent="0.15"/>
    <row r="1003" ht="15.75" customHeight="1" x14ac:dyDescent="0.15"/>
  </sheetData>
  <mergeCells count="5">
    <mergeCell ref="B66:G66"/>
    <mergeCell ref="B67:G84"/>
    <mergeCell ref="B89:G89"/>
    <mergeCell ref="B90:G118"/>
    <mergeCell ref="B32:BC39"/>
  </mergeCells>
  <pageMargins left="0.7" right="0.7" top="0.75" bottom="0.75" header="0" footer="0"/>
  <pageSetup orientation="landscape"/>
  <drawing r:id="rId1"/>
  <tableParts count="5">
    <tablePart r:id="rId2"/>
    <tablePart r:id="rId3"/>
    <tablePart r:id="rId4"/>
    <tablePart r:id="rId5"/>
    <tablePart r:id="rId6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E490C-A37A-694F-B65F-F7AAB51183C5}">
  <dimension ref="A1:A4"/>
  <sheetViews>
    <sheetView workbookViewId="0">
      <selection activeCell="D43" sqref="D43:BE50"/>
    </sheetView>
  </sheetViews>
  <sheetFormatPr baseColWidth="10" defaultRowHeight="13" x14ac:dyDescent="0.15"/>
  <sheetData>
    <row r="1" spans="1:1" x14ac:dyDescent="0.15">
      <c r="A1" s="23"/>
    </row>
    <row r="4" spans="1:1" ht="13" customHeight="1" x14ac:dyDescent="0.1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Backlog</vt:lpstr>
      <vt:lpstr>sprint</vt:lpstr>
      <vt:lpstr>burdonchart</vt:lpstr>
      <vt:lpstr>Concluciones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SANTIAGO MAURICIO NOGALES PA�ORA</cp:lastModifiedBy>
  <dcterms:created xsi:type="dcterms:W3CDTF">2023-06-05T13:12:31Z</dcterms:created>
  <dcterms:modified xsi:type="dcterms:W3CDTF">2025-08-04T15:43:15Z</dcterms:modified>
</cp:coreProperties>
</file>